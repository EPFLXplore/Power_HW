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sdx" ContentType="application/vnd.ms-visio.drawing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0499778\Documents\design calc\"/>
    </mc:Choice>
  </mc:AlternateContent>
  <xr:revisionPtr revIDLastSave="0" documentId="13_ncr:1_{1A7BBBB3-DE81-45CA-B350-E33A9857B297}" xr6:coauthVersionLast="36" xr6:coauthVersionMax="36" xr10:uidLastSave="{00000000-0000-0000-0000-000000000000}"/>
  <workbookProtection workbookAlgorithmName="SHA-512" workbookHashValue="MDh/W/G6N4NbDNs8AHmkovJ8tceglKqFRuarws7WY7J39NeDhoiLXFXdmzy25IL/h7koWALn5+J+OjWLeJ0bQA==" workbookSaltValue="VJ9mCMQw2HXp5lM5ByAoog==" workbookSpinCount="100000" lockStructure="1"/>
  <bookViews>
    <workbookView xWindow="28248" yWindow="6312" windowWidth="28908" windowHeight="17628" xr2:uid="{00000000-000D-0000-FFFF-FFFF00000000}"/>
  </bookViews>
  <sheets>
    <sheet name="Calculation Sheet" sheetId="1" r:id="rId1"/>
    <sheet name="LUT &quot;TSD vs PD start-up&quot;" sheetId="17" state="hidden" r:id="rId2"/>
    <sheet name="Res EIA Tables" sheetId="11" state="hidden" r:id="rId3"/>
    <sheet name="Cap Tables" sheetId="13" state="hidden" r:id="rId4"/>
    <sheet name="Nretry" sheetId="16" state="hidden" r:id="rId5"/>
  </sheets>
  <definedNames>
    <definedName name="_xlnm._FilterDatabase" localSheetId="0" hidden="1">'Calculation Sheet'!$B$8:$F$8</definedName>
    <definedName name="Cdvdt_ext">'Calculation Sheet'!$D$62</definedName>
    <definedName name="Cdvdt_ext_cal1">'Calculation Sheet'!$D$59</definedName>
    <definedName name="Cext_dvdt_cal2">'Calculation Sheet'!$D$60</definedName>
    <definedName name="Cout">'Calculation Sheet'!$D$10</definedName>
    <definedName name="GainIMON">'Calculation Sheet'!$D$129</definedName>
    <definedName name="Icharge">'Calculation Sheet'!$D$63</definedName>
    <definedName name="Icharge_req">'Calculation Sheet'!$D$58</definedName>
    <definedName name="Ilimit">'Calculation Sheet'!$D$13</definedName>
    <definedName name="Ilimit_final">'Calculation Sheet'!$D$45</definedName>
    <definedName name="Imax">'Calculation Sheet'!$D$12</definedName>
    <definedName name="Max_Citimer">'Calculation Sheet'!$G$82</definedName>
    <definedName name="Min_Ilim">'Calculation Sheet'!$G$45</definedName>
    <definedName name="Ncalc">'Calculation Sheet'!$H$89</definedName>
    <definedName name="NRETRY">'Calculation Sheet'!$D$19</definedName>
    <definedName name="Nretry_cal">'Calculation Sheet'!$G$90</definedName>
    <definedName name="OVref">'Calculation Sheet'!$D$127</definedName>
    <definedName name="OVset">'Calculation Sheet'!$D$14</definedName>
    <definedName name="Rdson_125deg">'Calculation Sheet'!$D$119</definedName>
    <definedName name="Rdson_25deg">'Calculation Sheet'!$D$118</definedName>
    <definedName name="Rec_VIMONMax">'Calculation Sheet'!$D$20</definedName>
    <definedName name="RILIM">'Calculation Sheet'!$D$44</definedName>
    <definedName name="RILIM_max">'Calculation Sheet'!#REF!</definedName>
    <definedName name="Rlimit">'Calculation Sheet'!$D$44</definedName>
    <definedName name="Rlstart">'Calculation Sheet'!$D$11</definedName>
    <definedName name="RMON_sel">'Calculation Sheet'!$D$49</definedName>
    <definedName name="RpUVLO">'Calculation Sheet'!$D$24</definedName>
    <definedName name="Tchg_dvdt">'Calculation Sheet'!$D$65</definedName>
    <definedName name="Tchg_fastest">'Calculation Sheet'!$D$55</definedName>
    <definedName name="Tchg_req">'Calculation Sheet'!$D$57</definedName>
    <definedName name="tITIMER">'Calculation Sheet'!$D$16</definedName>
    <definedName name="tLDSTRT">'Calculation Sheet'!#REF!</definedName>
    <definedName name="tRETRY_DLY">'Calculation Sheet'!$D$18</definedName>
    <definedName name="UVref">1.1</definedName>
    <definedName name="Uvref_fall">'Calculation Sheet'!$D$128</definedName>
    <definedName name="Uvref_rise">'Calculation Sheet'!$D$127</definedName>
    <definedName name="UVset">'Calculation Sheet'!$D$8</definedName>
    <definedName name="Vcc_max">'Calculation Sheet'!$D$6</definedName>
    <definedName name="Vcc_nom">'Calculation Sheet'!$D$5</definedName>
    <definedName name="Vimon_max">'Calculation Sheet'!$D$21</definedName>
    <definedName name="VUVP">'Calculation Sheet'!$D$9</definedName>
  </definedNames>
  <calcPr calcId="191029"/>
</workbook>
</file>

<file path=xl/calcChain.xml><?xml version="1.0" encoding="utf-8"?>
<calcChain xmlns="http://schemas.openxmlformats.org/spreadsheetml/2006/main">
  <c r="M71" i="1" l="1"/>
  <c r="M70" i="1"/>
  <c r="G71" i="1"/>
  <c r="D62" i="1"/>
  <c r="D55" i="1" l="1"/>
  <c r="D87" i="1" l="1"/>
  <c r="D50" i="1"/>
  <c r="D48" i="1"/>
  <c r="D30" i="1"/>
  <c r="G44" i="1" l="1"/>
  <c r="L43" i="1"/>
  <c r="D13" i="1" l="1"/>
  <c r="D25" i="1" l="1"/>
  <c r="D42" i="1" l="1"/>
  <c r="D85" i="1" l="1"/>
  <c r="D80" i="1"/>
  <c r="D20" i="1" l="1"/>
  <c r="F50" i="1" l="1"/>
  <c r="F65" i="1" l="1"/>
  <c r="F63" i="1" l="1"/>
  <c r="D60" i="1" l="1"/>
  <c r="D59" i="1" l="1"/>
  <c r="D24" i="1"/>
  <c r="P23" i="1" l="1"/>
  <c r="D28" i="1" s="1"/>
  <c r="E96" i="1"/>
  <c r="D27" i="1" l="1"/>
  <c r="L41" i="1" s="1"/>
  <c r="L42" i="1" s="1"/>
  <c r="G30" i="1" s="1"/>
  <c r="L44" i="1"/>
  <c r="G31" i="1" s="1"/>
  <c r="D31" i="1" s="1"/>
  <c r="E98" i="1" s="1"/>
  <c r="G85" i="1"/>
  <c r="D33" i="1" l="1"/>
  <c r="E97" i="1"/>
  <c r="D34" i="1"/>
  <c r="D35" i="1"/>
  <c r="D32" i="1"/>
  <c r="D36" i="1"/>
  <c r="G6" i="1"/>
  <c r="G11" i="1"/>
  <c r="I98" i="1" l="1"/>
  <c r="J25" i="1"/>
  <c r="I107" i="1"/>
  <c r="J26" i="1"/>
  <c r="I99" i="1"/>
  <c r="J24" i="1"/>
  <c r="D44" i="1"/>
  <c r="E100" i="1" s="1"/>
  <c r="G45" i="1"/>
  <c r="L23" i="1"/>
  <c r="D45" i="1" l="1"/>
  <c r="F45" i="1"/>
  <c r="B74" i="13"/>
  <c r="B73" i="13" s="1"/>
  <c r="B71" i="13"/>
  <c r="B70" i="13" s="1"/>
  <c r="B69" i="13" s="1"/>
  <c r="B67" i="13"/>
  <c r="B66" i="13"/>
  <c r="B65" i="13"/>
  <c r="B63" i="13"/>
  <c r="B62" i="13" s="1"/>
  <c r="B61" i="13" s="1"/>
  <c r="B59" i="13"/>
  <c r="B58" i="13" s="1"/>
  <c r="B57" i="13" s="1"/>
  <c r="B55" i="13"/>
  <c r="B54" i="13"/>
  <c r="B53" i="13" s="1"/>
  <c r="B51" i="13"/>
  <c r="B50" i="13"/>
  <c r="B49" i="13" s="1"/>
  <c r="B47" i="13"/>
  <c r="B46" i="13"/>
  <c r="B45" i="13"/>
  <c r="B43" i="13"/>
  <c r="B42" i="13" s="1"/>
  <c r="B41" i="13" s="1"/>
  <c r="B39" i="13"/>
  <c r="B38" i="13"/>
  <c r="B37" i="13" s="1"/>
  <c r="B35" i="13"/>
  <c r="B34" i="13" s="1"/>
  <c r="B33" i="13" s="1"/>
  <c r="B31" i="13"/>
  <c r="B30" i="13"/>
  <c r="B29" i="13" s="1"/>
  <c r="C74" i="13"/>
  <c r="C73" i="13" s="1"/>
  <c r="C71" i="13"/>
  <c r="C70" i="13" s="1"/>
  <c r="C69" i="13" s="1"/>
  <c r="C67" i="13"/>
  <c r="C66" i="13"/>
  <c r="C65" i="13" s="1"/>
  <c r="C63" i="13"/>
  <c r="C62" i="13" s="1"/>
  <c r="C61" i="13" s="1"/>
  <c r="C59" i="13"/>
  <c r="C58" i="13"/>
  <c r="C57" i="13"/>
  <c r="C55" i="13"/>
  <c r="C54" i="13"/>
  <c r="C53" i="13"/>
  <c r="C51" i="13"/>
  <c r="C50" i="13" s="1"/>
  <c r="C49" i="13" s="1"/>
  <c r="C47" i="13"/>
  <c r="C46" i="13" s="1"/>
  <c r="C45" i="13" s="1"/>
  <c r="C43" i="13"/>
  <c r="C42" i="13" s="1"/>
  <c r="C41" i="13" s="1"/>
  <c r="C39" i="13"/>
  <c r="C38" i="13"/>
  <c r="C37" i="13" s="1"/>
  <c r="C35" i="13"/>
  <c r="C34" i="13"/>
  <c r="C33" i="13"/>
  <c r="C31" i="13"/>
  <c r="C30" i="13" s="1"/>
  <c r="C29" i="13" s="1"/>
  <c r="C27" i="13"/>
  <c r="C26" i="13"/>
  <c r="C25" i="13" s="1"/>
  <c r="C23" i="13"/>
  <c r="C22" i="13"/>
  <c r="C21" i="13" s="1"/>
  <c r="C18" i="13"/>
  <c r="C17" i="13" s="1"/>
  <c r="C19" i="13"/>
  <c r="D69" i="1"/>
  <c r="G86" i="1" l="1"/>
  <c r="D86" i="1" s="1"/>
  <c r="E105" i="1" s="1"/>
  <c r="L24" i="1"/>
  <c r="L26" i="1" l="1"/>
  <c r="D88" i="1"/>
  <c r="G88" i="1" s="1"/>
  <c r="G89" i="1" s="1"/>
  <c r="D89" i="1" s="1"/>
  <c r="E106" i="1" s="1"/>
  <c r="I104" i="1"/>
  <c r="G80" i="1"/>
  <c r="H89" i="1" l="1"/>
  <c r="G90" i="1" s="1"/>
  <c r="F5" i="16" s="1"/>
  <c r="H90" i="1" s="1"/>
  <c r="D90" i="1" s="1"/>
  <c r="I105" i="1" s="1"/>
  <c r="D56" i="1"/>
  <c r="I97" i="1"/>
  <c r="G48" i="1"/>
  <c r="L47" i="1" s="1"/>
  <c r="G81" i="1"/>
  <c r="D81" i="1" s="1"/>
  <c r="E104" i="1" s="1"/>
  <c r="G60" i="1"/>
  <c r="G62" i="1" s="1"/>
  <c r="J42" i="1"/>
  <c r="L48" i="1" l="1"/>
  <c r="G49" i="1" s="1"/>
  <c r="D49" i="1" s="1"/>
  <c r="E101" i="1" s="1"/>
  <c r="D82" i="1"/>
  <c r="I102" i="1" s="1"/>
  <c r="D132" i="1" l="1"/>
  <c r="D133" i="1" s="1"/>
  <c r="G82" i="1" s="1"/>
  <c r="E103" i="1"/>
  <c r="D51" i="1"/>
  <c r="D63" i="1"/>
  <c r="D64" i="1" s="1"/>
  <c r="D76" i="1"/>
  <c r="D77" i="1"/>
  <c r="G64" i="1" l="1"/>
  <c r="D65" i="1" s="1"/>
  <c r="L71" i="1" s="1"/>
  <c r="J41" i="1"/>
  <c r="D66" i="1"/>
  <c r="D70" i="1" s="1"/>
  <c r="L70" i="1" l="1"/>
  <c r="D71" i="1"/>
  <c r="I100" i="1"/>
  <c r="D7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Vishal Gupta</author>
    <author>kunalgoel</author>
    <author>a0176617</author>
  </authors>
  <commentList>
    <comment ref="C7" authorId="0" shapeId="0" xr:uid="{745C1512-5F00-460E-AA24-E7502F25F368}">
      <text>
        <r>
          <rPr>
            <b/>
            <sz val="9"/>
            <color indexed="81"/>
            <rFont val="Tahoma"/>
            <family val="2"/>
          </rPr>
          <t xml:space="preserve">For Vin </t>
        </r>
        <r>
          <rPr>
            <b/>
            <sz val="9"/>
            <color indexed="81"/>
            <rFont val="Calibri"/>
            <family val="2"/>
          </rPr>
          <t xml:space="preserve">≤ </t>
        </r>
        <r>
          <rPr>
            <b/>
            <sz val="9"/>
            <color indexed="81"/>
            <rFont val="Tahoma"/>
            <family val="2"/>
          </rPr>
          <t>6V, Use RVL1=1M and RVL2=OPEN to set the default internal UVP. Otherwise use RVL1, RVL2 divider or drive EN pin with 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For Vin </t>
        </r>
        <r>
          <rPr>
            <b/>
            <sz val="9"/>
            <color indexed="81"/>
            <rFont val="Calibri"/>
            <family val="2"/>
          </rPr>
          <t xml:space="preserve">≤ </t>
        </r>
        <r>
          <rPr>
            <b/>
            <sz val="9"/>
            <color indexed="81"/>
            <rFont val="Tahoma"/>
            <family val="2"/>
          </rPr>
          <t>6V, Use RVL1=1M and RVL2=OPEN to set the default internal UVP. Otherwise use RVL1, RVL2 divider or drive EN pin with 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For Vin ≤ 6V, Use RVL1=1M and RVL2=OPEN to set the default internal UVP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Min Rlstart allowed.</t>
        </r>
      </text>
    </comment>
    <comment ref="C1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If YES, Select alteast  tITIMER &gt; 100us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Enter the duration for which load transients between Ilimit and 2.1xIlimit to be allowed
</t>
        </r>
      </text>
    </comment>
    <comment ref="C26" authorId="2" shapeId="0" xr:uid="{3BE79E9C-998A-41FE-B814-2E8FDDED2EBA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Higher value will limit the leakage current draw from supply</t>
        </r>
      </text>
    </comment>
    <comment ref="D26" authorId="2" shapeId="0" xr:uid="{616E8E6F-17F4-4621-8FBE-0D2CAEC7736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For supply voltages greater than 5V or systems which can
be exposed to reverse polarity on input supply, it is recommended to use a pull-up resistor with a minimum value of 350 kΩ.</t>
        </r>
      </text>
    </comment>
    <comment ref="E108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TI recomends the SMCJxx TVS, which are used on the EVM. 
Pick the proper value based on the input voltage. </t>
        </r>
      </text>
    </comment>
    <comment ref="E10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TI recomends B530C-13-F Schottky diode, which is used on the EVM. </t>
        </r>
      </text>
    </comment>
    <comment ref="E111" authorId="0" shapeId="0" xr:uid="{A5B964FC-57F8-4F71-89C7-9871F56BA7C9}">
      <text>
        <r>
          <rPr>
            <b/>
            <sz val="9"/>
            <color indexed="81"/>
            <rFont val="Tahoma"/>
            <family val="2"/>
          </rPr>
          <t xml:space="preserve">TI recomends B530C-13-F Schottky diode, which is used on the EVM. </t>
        </r>
      </text>
    </comment>
    <comment ref="C125" authorId="3" shapeId="0" xr:uid="{00000000-0006-0000-0000-000009000000}">
      <text>
        <r>
          <rPr>
            <b/>
            <sz val="8"/>
            <color indexed="81"/>
            <rFont val="Tahoma"/>
            <family val="2"/>
          </rPr>
          <t>Assumption:</t>
        </r>
        <r>
          <rPr>
            <sz val="8"/>
            <color indexed="81"/>
            <rFont val="Tahoma"/>
            <family val="2"/>
          </rPr>
          <t xml:space="preserve">
Depends on application PCB</t>
        </r>
      </text>
    </comment>
  </commentList>
</comments>
</file>

<file path=xl/sharedStrings.xml><?xml version="1.0" encoding="utf-8"?>
<sst xmlns="http://schemas.openxmlformats.org/spreadsheetml/2006/main" count="347" uniqueCount="248">
  <si>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</si>
  <si>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</si>
  <si>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</si>
  <si>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</si>
  <si>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</si>
  <si>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</si>
  <si>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</si>
  <si>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</si>
  <si>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</si>
  <si>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</si>
  <si>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</si>
  <si>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</si>
  <si>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Imax</t>
  </si>
  <si>
    <t>Maximum continuous load current (magnitude)</t>
  </si>
  <si>
    <t>Ilimit</t>
  </si>
  <si>
    <t>Ilimit_final</t>
  </si>
  <si>
    <t>Final current Limit Set Point</t>
  </si>
  <si>
    <t>Calculated current limit resistor</t>
  </si>
  <si>
    <t>kOhm</t>
  </si>
  <si>
    <t>TA(max)</t>
  </si>
  <si>
    <t>Parameters internal to Device</t>
  </si>
  <si>
    <t>VDSS (max)</t>
  </si>
  <si>
    <t>FET drain-source voltage rating (maximum)</t>
  </si>
  <si>
    <t>ID(max)</t>
  </si>
  <si>
    <t>FET drain-source current rating (maximum)</t>
  </si>
  <si>
    <t>FET maximum Rds(on) at 125degC</t>
  </si>
  <si>
    <t>Rds(on)_max</t>
  </si>
  <si>
    <t>mOhm</t>
  </si>
  <si>
    <t>Rds(on)</t>
  </si>
  <si>
    <t>FET maximum Rds(on) at 25degC</t>
  </si>
  <si>
    <t>Tj(max)</t>
  </si>
  <si>
    <t>Maximum ambient temperature of the application</t>
  </si>
  <si>
    <t>W</t>
  </si>
  <si>
    <t>Junction to case (top) Thermal Resistance</t>
  </si>
  <si>
    <t>Junction to ambient thermal resistance</t>
  </si>
  <si>
    <t xml:space="preserve">Junction-to-case(bottom) thermal resistance </t>
  </si>
  <si>
    <t>Charging time set</t>
  </si>
  <si>
    <t>Thermal Parameters</t>
  </si>
  <si>
    <t>Internal FET Parameters</t>
  </si>
  <si>
    <t>Vdrop</t>
  </si>
  <si>
    <t>mV</t>
  </si>
  <si>
    <t>Maximum voltage drop across device @ 25 degC</t>
  </si>
  <si>
    <t xml:space="preserve">Steady state power dissipation with Max current @ 25degC </t>
  </si>
  <si>
    <t>mW</t>
  </si>
  <si>
    <t>Constants Cells</t>
  </si>
  <si>
    <t>Input/SelectCells</t>
  </si>
  <si>
    <t>Calculation Cells</t>
  </si>
  <si>
    <t>Steady state Voltage drop &amp; Power dissipation</t>
  </si>
  <si>
    <t>Total Power dissipation at Start-up</t>
  </si>
  <si>
    <t>Rlstart</t>
  </si>
  <si>
    <t>Ohm</t>
  </si>
  <si>
    <t>Pd_Rlstart</t>
  </si>
  <si>
    <t>Total power dissipation at start-up</t>
  </si>
  <si>
    <t>Pd_startup</t>
  </si>
  <si>
    <t>pF</t>
  </si>
  <si>
    <t>Tchg_req</t>
  </si>
  <si>
    <t>The charging time required</t>
  </si>
  <si>
    <t>Icharge_req</t>
  </si>
  <si>
    <t>Icharge</t>
  </si>
  <si>
    <t>Power dissipation due to load cap at start-up</t>
  </si>
  <si>
    <t>Power dissipation due to load resistance at start-up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</si>
  <si>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</si>
  <si>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</si>
  <si>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</si>
  <si>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</si>
  <si>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</si>
  <si>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</si>
  <si>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</si>
  <si>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</si>
  <si>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</si>
  <si>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</si>
  <si>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</si>
  <si>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</si>
  <si>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</si>
  <si>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r>
      <t></t>
    </r>
    <r>
      <rPr>
        <sz val="11"/>
        <color theme="1"/>
        <rFont val="Calibri"/>
        <family val="2"/>
        <scheme val="minor"/>
      </rPr>
      <t>C</t>
    </r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</si>
  <si>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</si>
  <si>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</si>
  <si>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Calculated, but can be over-ridden by user</t>
  </si>
  <si>
    <t>Power Fail 
(VIN Falling)</t>
  </si>
  <si>
    <t>Inrush Charging 
Current</t>
  </si>
  <si>
    <t>Overload Curr
Limit</t>
  </si>
  <si>
    <t>Icharge_fastest</t>
  </si>
  <si>
    <t>Charging (inrush) current desired in the system</t>
  </si>
  <si>
    <t>Does Device Enter Current Limit during start-up?</t>
  </si>
  <si>
    <t>Pdiss_Imax</t>
  </si>
  <si>
    <t>VIN (max)</t>
  </si>
  <si>
    <r>
      <t xml:space="preserve">Charging current when charging at fastest possible rate
</t>
    </r>
    <r>
      <rPr>
        <b/>
        <sz val="11"/>
        <color rgb="FFFF3300"/>
        <rFont val="Calibri"/>
        <family val="2"/>
        <scheme val="minor"/>
      </rPr>
      <t>If this current is &lt; Ilimit, no capacitor is required at dVdT pin</t>
    </r>
  </si>
  <si>
    <t>Cext_dvdt_cal1</t>
  </si>
  <si>
    <t>Cext_dvdt_cal2</t>
  </si>
  <si>
    <t>SELECT A CAPACITOR WITH THE CLOSEST POSSIBLE VALUE to max(Cext_dvdt_cal1, Cext_dvdt_cal2)</t>
  </si>
  <si>
    <t>CdVdT_ext</t>
  </si>
  <si>
    <t>Release UVLO (VIN Rising)</t>
  </si>
  <si>
    <t>Charging Current as per dVdT setting</t>
  </si>
  <si>
    <t>Tchg_dVdT</t>
  </si>
  <si>
    <t>Pd_Cout_startup</t>
  </si>
  <si>
    <t>Current monitor gain</t>
  </si>
  <si>
    <t>uA/A</t>
  </si>
  <si>
    <t>GainIMON</t>
  </si>
  <si>
    <t>Calculations for SoftStart control (external cap on dVdt pin)</t>
  </si>
  <si>
    <t>Tchg_fastest</t>
  </si>
  <si>
    <t>Value</t>
  </si>
  <si>
    <t>Recommended</t>
  </si>
  <si>
    <t>Error Cells, Must be Fixed</t>
  </si>
  <si>
    <t>No</t>
  </si>
  <si>
    <r>
      <t>V</t>
    </r>
    <r>
      <rPr>
        <vertAlign val="subscript"/>
        <sz val="11"/>
        <color theme="1"/>
        <rFont val="Calibri"/>
        <family val="2"/>
        <scheme val="minor"/>
      </rPr>
      <t>UVP</t>
    </r>
  </si>
  <si>
    <t>Internal Undervoltage reference (Falling)</t>
  </si>
  <si>
    <t>UV_final_rising</t>
  </si>
  <si>
    <t>UV_final_falling</t>
  </si>
  <si>
    <t>Undervoltage Threshold (VIN Rising)</t>
  </si>
  <si>
    <t>Undervoltage Threshold (VIN Falling)</t>
  </si>
  <si>
    <t>Max power dissipation allowed for glitch-free startup for the programmed startup time (20% margin)</t>
  </si>
  <si>
    <t>Maximum Operating input voltage (magnitude)</t>
  </si>
  <si>
    <r>
      <t xml:space="preserve">Will the system have glitch-free startup?
</t>
    </r>
    <r>
      <rPr>
        <b/>
        <sz val="10"/>
        <color rgb="FFFF0000"/>
        <rFont val="Calibri"/>
        <family val="2"/>
        <scheme val="minor"/>
      </rPr>
      <t>Look at Thermal Shutdown Limit Plot Tab</t>
    </r>
  </si>
  <si>
    <t>Internal IN Undervoltage Protection Threshold (VIN Rising)</t>
  </si>
  <si>
    <t xml:space="preserve">Max Ambient Temperature </t>
  </si>
  <si>
    <t>degC</t>
  </si>
  <si>
    <t>tITIMER</t>
  </si>
  <si>
    <t>us</t>
  </si>
  <si>
    <t>Yes</t>
  </si>
  <si>
    <t>Fault Response</t>
  </si>
  <si>
    <t>Auto-Retry</t>
  </si>
  <si>
    <t>Latch-off</t>
  </si>
  <si>
    <t>tRETRY_DLY</t>
  </si>
  <si>
    <t>Time delay between retries</t>
  </si>
  <si>
    <t>NRETRY</t>
  </si>
  <si>
    <t>Enter the time interval to support load transient currents</t>
  </si>
  <si>
    <t>Do you need to be immue to line transient due to adjacent card “hot-swap events”</t>
  </si>
  <si>
    <t>Enter current monitor (IMON) full-scale voltage range</t>
  </si>
  <si>
    <t>Uvref_rise</t>
  </si>
  <si>
    <t>Uvref_fall</t>
  </si>
  <si>
    <t>Internal Undervoltage reference (Rising)</t>
  </si>
  <si>
    <t>Calculations for Ilimit (resistor on ILIM Pin)</t>
  </si>
  <si>
    <t>RILIM</t>
  </si>
  <si>
    <t>SELECT A ILIMIT RESISTOR WITH THE CLOSEST AVAILABLE VALUE OF Rilim_Cal</t>
  </si>
  <si>
    <r>
      <t>Select the closest available value of R</t>
    </r>
    <r>
      <rPr>
        <sz val="7"/>
        <color theme="1"/>
        <rFont val="Calibri"/>
        <family val="2"/>
        <scheme val="minor"/>
      </rPr>
      <t>ILIM</t>
    </r>
    <r>
      <rPr>
        <sz val="11"/>
        <color theme="1"/>
        <rFont val="Calibri"/>
        <family val="2"/>
        <scheme val="minor"/>
      </rPr>
      <t>_cal</t>
    </r>
  </si>
  <si>
    <t>RILIM_Cal</t>
  </si>
  <si>
    <t>Calculations for CURRENT MONITOR</t>
  </si>
  <si>
    <t>RIMON_max</t>
  </si>
  <si>
    <t>Maximum allowed resistance at IMON pin</t>
  </si>
  <si>
    <t>RIMON_sel</t>
  </si>
  <si>
    <t>Resistor value selected at IMON pin</t>
  </si>
  <si>
    <t>Maximum voltage at IMON for maximum load current</t>
  </si>
  <si>
    <t>The range of voltage output at IMON pin will be from 0V to VMON_imax</t>
  </si>
  <si>
    <t>VIMON_final</t>
  </si>
  <si>
    <t>VIMON-Max</t>
  </si>
  <si>
    <t>Calculations for Transient Overcurrent Blanking Interval</t>
  </si>
  <si>
    <t>Calculated value of capacitor at ITIMER pin</t>
  </si>
  <si>
    <t>Citimer_cal</t>
  </si>
  <si>
    <t>Capacitor value selected at ITIMER pin</t>
  </si>
  <si>
    <t>Citimer_sel</t>
  </si>
  <si>
    <t>tITIMER_final</t>
  </si>
  <si>
    <t>Time duration for which load transients between Ilimit and 2.1xIlimit are allowed</t>
  </si>
  <si>
    <t>Setting the Auto-Retry Delay and Number of Retries</t>
  </si>
  <si>
    <t>CRETRY_DLY_cal</t>
  </si>
  <si>
    <t>Calculated value of capacitor at RETRY_DLY pin</t>
  </si>
  <si>
    <t>Capacitor value selected at RETRY_DLY pin</t>
  </si>
  <si>
    <t>CRETRY_DLY_sel</t>
  </si>
  <si>
    <t>tRETRY_DLY_final</t>
  </si>
  <si>
    <t>Calculated value of capacitor at NRETRY pin</t>
  </si>
  <si>
    <t>Capacitor value selected at NRETRY pin</t>
  </si>
  <si>
    <t>NRETRY_final</t>
  </si>
  <si>
    <t>Number of retries</t>
  </si>
  <si>
    <t>UVLOset</t>
  </si>
  <si>
    <t>Device maximum junction temperature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</si>
  <si>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JC(top)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</si>
  <si>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JC(bot)</t>
    </r>
  </si>
  <si>
    <t>When no external capacitor  is connected (max. slew rate)</t>
  </si>
  <si>
    <t>Calculated value of capacitor at dVdT pin for required Tcharge</t>
  </si>
  <si>
    <t>Calculated value of capacitor at dVdT pin for required Icharge</t>
  </si>
  <si>
    <t xml:space="preserve">The external capacitor connecetd across dVdT pin </t>
  </si>
  <si>
    <t>Load at start-up (assumed to be resistive), Refer to Section 9.2.2.5.2 in Datasheet</t>
  </si>
  <si>
    <t>VIN (nom)</t>
  </si>
  <si>
    <t>Nominal operating input voltage</t>
  </si>
  <si>
    <t>OV Cut-off
(VIN Rising)</t>
  </si>
  <si>
    <t>Design Summary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</si>
  <si>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ILIM </t>
    </r>
    <r>
      <rPr>
        <sz val="12"/>
        <color theme="1"/>
        <rFont val="Calibri"/>
        <family val="2"/>
        <scheme val="minor"/>
      </rPr>
      <t>=</t>
    </r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</si>
  <si>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IMON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</si>
  <si>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dVdt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</si>
  <si>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ITIMER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</si>
  <si>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RETRY_DLY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</si>
  <si>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NRETRY </t>
    </r>
    <r>
      <rPr>
        <sz val="12"/>
        <color theme="1"/>
        <rFont val="Calibri"/>
        <family val="2"/>
        <scheme val="minor"/>
      </rPr>
      <t>=</t>
    </r>
  </si>
  <si>
    <t>Notes:</t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</si>
  <si>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IN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</si>
  <si>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OUT </t>
    </r>
    <r>
      <rPr>
        <sz val="12"/>
        <color theme="1"/>
        <rFont val="Calibri"/>
        <family val="2"/>
        <scheme val="minor"/>
      </rPr>
      <t>=</t>
    </r>
  </si>
  <si>
    <t>Optional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</si>
  <si>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PG </t>
    </r>
    <r>
      <rPr>
        <sz val="12"/>
        <color theme="1"/>
        <rFont val="Calibri"/>
        <family val="2"/>
        <scheme val="minor"/>
      </rPr>
      <t>=</t>
    </r>
  </si>
  <si>
    <r>
      <t>D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</si>
  <si>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D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</si>
  <si>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1. Although not mandatory, C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provides transient suppression at the V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pin</t>
    </r>
  </si>
  <si>
    <t>Typical</t>
  </si>
  <si>
    <t>Units</t>
  </si>
  <si>
    <t>Current limit</t>
  </si>
  <si>
    <t>Upper UVLO Threshold</t>
  </si>
  <si>
    <t>Lower UVLO Threshold</t>
  </si>
  <si>
    <r>
      <t>2. TVS clamp diode 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from V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to GND is recommented to clamp the voltage overshoot during device turn-off, e.g. during circuit breaker </t>
    </r>
  </si>
  <si>
    <r>
      <t>3. Schottky diode 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from V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 xml:space="preserve"> to GND is mandatory to absorb negative spikes</t>
    </r>
  </si>
  <si>
    <t>Output voltage ramp time, TdVdt</t>
  </si>
  <si>
    <t>Transient overcurrent blanking interval (tITIMER)</t>
  </si>
  <si>
    <t>B530C-13-F</t>
  </si>
  <si>
    <t>SMCJxx</t>
  </si>
  <si>
    <t>Recommended maximum IMON voltage</t>
  </si>
  <si>
    <t>Rec_VIMONMax</t>
  </si>
  <si>
    <t>Infinite</t>
  </si>
  <si>
    <t>Idvdt</t>
  </si>
  <si>
    <t>dVdt Pin Charging Current</t>
  </si>
  <si>
    <t>tD,ON</t>
  </si>
  <si>
    <t>Device turn ON delay</t>
  </si>
  <si>
    <t xml:space="preserve">Internal References </t>
  </si>
  <si>
    <t xml:space="preserve">Delay </t>
  </si>
  <si>
    <t>tGHI</t>
  </si>
  <si>
    <t>Time taken to reach steady state</t>
  </si>
  <si>
    <t>Nretry_quantized =</t>
  </si>
  <si>
    <t>Overvoltage lockout</t>
  </si>
  <si>
    <t>Set current Limit 20% (typical) higher than maximum continuous load current</t>
  </si>
  <si>
    <t>CNRETRY_cal</t>
  </si>
  <si>
    <t>CNRETRY_sel</t>
  </si>
  <si>
    <t>TPS25983 Design Calculation Tool</t>
  </si>
  <si>
    <t>OVLOset</t>
  </si>
  <si>
    <t>Overvoltage Threshold (VIN Rising)</t>
  </si>
  <si>
    <t>UVLO Set Point</t>
  </si>
  <si>
    <t>Desired Undervoltage Threshold (VIN Rising)</t>
  </si>
  <si>
    <t>OVLO Set Point</t>
  </si>
  <si>
    <t>Desired Over Voltage Lockout Set Point</t>
  </si>
  <si>
    <t>R1: Pullup at EN/OVLO Pin</t>
  </si>
  <si>
    <t xml:space="preserve"> Value &gt; 350K recommended</t>
  </si>
  <si>
    <t>R2_cal</t>
  </si>
  <si>
    <t>Calculated value of Resistor at EN/OVLO pin</t>
  </si>
  <si>
    <t>R3_cal</t>
  </si>
  <si>
    <t>SELECT THE VALUE OF RESISTORS AS CLOSEST AVAILABLE VALUE OF R2 &amp; R3</t>
  </si>
  <si>
    <t>R2</t>
  </si>
  <si>
    <t>Select the closest possible value as R2_cal</t>
  </si>
  <si>
    <t>R3</t>
  </si>
  <si>
    <t>Select the closest possible value as R3_cal</t>
  </si>
  <si>
    <t>OV_final_rising</t>
  </si>
  <si>
    <t>OV_final_falling</t>
  </si>
  <si>
    <t>Overvoltage Threshold (VIN Falling)</t>
  </si>
  <si>
    <t>I_R123</t>
  </si>
  <si>
    <t>Current in R1, R2 and R3 Branch</t>
  </si>
  <si>
    <t xml:space="preserve">UVLO, OVLO set point calculations 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</si>
  <si>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</si>
  <si>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</si>
  <si>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R3</t>
    </r>
    <r>
      <rPr>
        <vertAlign val="subscript"/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=</t>
    </r>
  </si>
  <si>
    <r>
      <t>RG</t>
    </r>
    <r>
      <rPr>
        <vertAlign val="subscript"/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=</t>
    </r>
  </si>
  <si>
    <t>0.01uF</t>
  </si>
  <si>
    <t>PD (20V)</t>
  </si>
  <si>
    <t>tTSD</t>
  </si>
  <si>
    <t>Pd (12V)(W)</t>
  </si>
  <si>
    <t>tsd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</si>
</sst>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0.000"/>
    <numFmt numFmtId="167" formatCode="0.000000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rgb="FFFF3300"/>
      <name val="Calibri"/>
      <family val="2"/>
      <scheme val="minor"/>
    </font>
    <font>
      <b/>
      <sz val="11"/>
      <color rgb="FFFF3300"/>
      <name val="Calibri"/>
      <family val="2"/>
      <scheme val="minor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b/>
      <sz val="9"/>
      <color indexed="81"/>
      <name val="Calibri"/>
      <family val="2"/>
    </font>
    <font>
      <sz val="11"/>
      <color rgb="FF9C0006"/>
      <name val="Calibri"/>
      <family val="2"/>
      <scheme val="minor"/>
    </font>
    <font>
      <b/>
      <sz val="16"/>
      <color rgb="FF0000FF"/>
      <name val="Arial"/>
      <family val="2"/>
    </font>
    <font>
      <b/>
      <sz val="2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2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7"/>
        <bgColor indexed="64"/>
      </patternFill>
    </fill>
    <fill>
      <patternFill patternType="solid">
        <fgColor indexed="6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22" borderId="0" applyNumberFormat="0" applyBorder="0" applyAlignment="0" applyProtection="0"/>
  </cellStyleXfs>
  <cellXfs count="278">
    <xf numFmtId="0" fontId="0" fillId="0" borderId="0" xfId="0"/>
    <xf numFmtId="0" fontId="0" fillId="0" borderId="0" xfId="0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right" vertical="center" indent="1"/>
    </xf>
    <xf numFmtId="2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6" borderId="1" xfId="0" applyNumberFormat="1" applyFill="1" applyBorder="1" applyAlignment="1">
      <alignment horizontal="center"/>
    </xf>
    <xf numFmtId="1" fontId="0" fillId="15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12" fillId="11" borderId="5" xfId="0" applyFont="1" applyFill="1" applyBorder="1" applyAlignment="1">
      <alignment horizontal="center" vertical="center" wrapText="1"/>
    </xf>
    <xf numFmtId="164" fontId="13" fillId="0" borderId="5" xfId="0" applyNumberFormat="1" applyFont="1" applyBorder="1" applyAlignment="1">
      <alignment vertical="center" wrapText="1"/>
    </xf>
    <xf numFmtId="0" fontId="15" fillId="0" borderId="0" xfId="2" applyFont="1" applyAlignment="1"/>
    <xf numFmtId="164" fontId="0" fillId="0" borderId="0" xfId="0" applyNumberFormat="1"/>
    <xf numFmtId="2" fontId="16" fillId="5" borderId="1" xfId="0" applyNumberFormat="1" applyFont="1" applyFill="1" applyBorder="1" applyAlignment="1">
      <alignment horizontal="right" vertical="center" indent="1"/>
    </xf>
    <xf numFmtId="2" fontId="16" fillId="2" borderId="1" xfId="0" applyNumberFormat="1" applyFont="1" applyFill="1" applyBorder="1" applyAlignment="1">
      <alignment horizontal="right" vertical="center" indent="1"/>
    </xf>
    <xf numFmtId="2" fontId="16" fillId="8" borderId="1" xfId="0" applyNumberFormat="1" applyFont="1" applyFill="1" applyBorder="1" applyAlignment="1">
      <alignment horizontal="right" vertical="center" indent="1"/>
    </xf>
    <xf numFmtId="2" fontId="6" fillId="10" borderId="1" xfId="0" applyNumberFormat="1" applyFont="1" applyFill="1" applyBorder="1" applyAlignment="1">
      <alignment vertical="center"/>
    </xf>
    <xf numFmtId="0" fontId="0" fillId="17" borderId="1" xfId="0" applyFill="1" applyBorder="1" applyAlignment="1">
      <alignment vertical="center"/>
    </xf>
    <xf numFmtId="165" fontId="9" fillId="17" borderId="1" xfId="1" applyNumberFormat="1" applyFont="1" applyFill="1" applyBorder="1" applyAlignment="1" applyProtection="1">
      <alignment horizontal="center" vertical="center"/>
    </xf>
    <xf numFmtId="0" fontId="18" fillId="17" borderId="1" xfId="0" applyFont="1" applyFill="1" applyBorder="1" applyAlignment="1">
      <alignment horizontal="left" vertical="center"/>
    </xf>
    <xf numFmtId="165" fontId="18" fillId="17" borderId="1" xfId="1" applyNumberFormat="1" applyFont="1" applyFill="1" applyBorder="1" applyAlignment="1" applyProtection="1">
      <alignment horizontal="center" vertical="center"/>
    </xf>
    <xf numFmtId="165" fontId="16" fillId="8" borderId="1" xfId="1" applyNumberFormat="1" applyFont="1" applyFill="1" applyBorder="1" applyAlignment="1" applyProtection="1">
      <alignment horizontal="right" vertical="center" indent="1"/>
    </xf>
    <xf numFmtId="2" fontId="2" fillId="5" borderId="1" xfId="0" applyNumberFormat="1" applyFont="1" applyFill="1" applyBorder="1" applyAlignment="1">
      <alignment horizontal="right" vertical="center" indent="1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vertical="center"/>
    </xf>
    <xf numFmtId="164" fontId="16" fillId="8" borderId="1" xfId="0" applyNumberFormat="1" applyFont="1" applyFill="1" applyBorder="1" applyAlignment="1">
      <alignment horizontal="right" vertical="center"/>
    </xf>
    <xf numFmtId="0" fontId="3" fillId="17" borderId="1" xfId="0" applyFont="1" applyFill="1" applyBorder="1" applyAlignment="1">
      <alignment vertical="center"/>
    </xf>
    <xf numFmtId="165" fontId="3" fillId="17" borderId="1" xfId="1" applyNumberFormat="1" applyFont="1" applyFill="1" applyBorder="1" applyAlignment="1" applyProtection="1">
      <alignment horizontal="center" vertical="center"/>
    </xf>
    <xf numFmtId="2" fontId="16" fillId="8" borderId="1" xfId="0" applyNumberFormat="1" applyFont="1" applyFill="1" applyBorder="1" applyAlignment="1">
      <alignment horizontal="right" vertical="center"/>
    </xf>
    <xf numFmtId="2" fontId="16" fillId="18" borderId="1" xfId="0" applyNumberFormat="1" applyFont="1" applyFill="1" applyBorder="1" applyAlignment="1">
      <alignment horizontal="right" vertical="center" indent="1"/>
    </xf>
    <xf numFmtId="2" fontId="16" fillId="19" borderId="1" xfId="0" applyNumberFormat="1" applyFont="1" applyFill="1" applyBorder="1" applyAlignment="1">
      <alignment horizontal="right" vertical="center" indent="1"/>
    </xf>
    <xf numFmtId="164" fontId="16" fillId="19" borderId="1" xfId="0" applyNumberFormat="1" applyFont="1" applyFill="1" applyBorder="1" applyAlignment="1">
      <alignment horizontal="right" vertical="center" indent="1"/>
    </xf>
    <xf numFmtId="165" fontId="9" fillId="19" borderId="1" xfId="1" applyNumberFormat="1" applyFont="1" applyFill="1" applyBorder="1" applyAlignment="1" applyProtection="1">
      <alignment horizontal="center" vertical="center"/>
    </xf>
    <xf numFmtId="165" fontId="18" fillId="19" borderId="1" xfId="1" applyNumberFormat="1" applyFont="1" applyFill="1" applyBorder="1" applyAlignment="1" applyProtection="1">
      <alignment horizontal="center" vertical="center"/>
    </xf>
    <xf numFmtId="0" fontId="18" fillId="20" borderId="2" xfId="0" applyFont="1" applyFill="1" applyBorder="1" applyAlignment="1">
      <alignment horizontal="center" vertical="center"/>
    </xf>
    <xf numFmtId="2" fontId="18" fillId="20" borderId="3" xfId="0" applyNumberFormat="1" applyFont="1" applyFill="1" applyBorder="1" applyAlignment="1">
      <alignment horizontal="right" vertical="center" indent="1"/>
    </xf>
    <xf numFmtId="0" fontId="18" fillId="20" borderId="4" xfId="0" applyFont="1" applyFill="1" applyBorder="1" applyAlignment="1">
      <alignment horizontal="center" vertical="center"/>
    </xf>
    <xf numFmtId="2" fontId="22" fillId="5" borderId="1" xfId="0" applyNumberFormat="1" applyFont="1" applyFill="1" applyBorder="1" applyAlignment="1">
      <alignment horizontal="right" vertical="center" indent="1"/>
    </xf>
    <xf numFmtId="0" fontId="21" fillId="0" borderId="0" xfId="0" applyFont="1" applyAlignment="1">
      <alignment vertical="center"/>
    </xf>
    <xf numFmtId="0" fontId="21" fillId="17" borderId="1" xfId="0" applyFont="1" applyFill="1" applyBorder="1" applyAlignment="1">
      <alignment vertical="center"/>
    </xf>
    <xf numFmtId="165" fontId="21" fillId="5" borderId="1" xfId="1" applyNumberFormat="1" applyFont="1" applyFill="1" applyBorder="1" applyAlignment="1" applyProtection="1">
      <alignment horizontal="center" vertical="center"/>
    </xf>
    <xf numFmtId="165" fontId="9" fillId="17" borderId="6" xfId="1" applyNumberFormat="1" applyFont="1" applyFill="1" applyBorder="1" applyAlignment="1" applyProtection="1">
      <alignment horizontal="center" vertical="center"/>
    </xf>
    <xf numFmtId="165" fontId="9" fillId="19" borderId="6" xfId="1" applyNumberFormat="1" applyFont="1" applyFill="1" applyBorder="1" applyAlignment="1" applyProtection="1">
      <alignment horizontal="center" vertical="center"/>
    </xf>
    <xf numFmtId="2" fontId="24" fillId="0" borderId="0" xfId="0" applyNumberFormat="1" applyFont="1" applyAlignment="1">
      <alignment vertical="center" wrapText="1"/>
    </xf>
    <xf numFmtId="0" fontId="2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19" borderId="1" xfId="0" applyFill="1" applyBorder="1" applyAlignment="1">
      <alignment vertical="center"/>
    </xf>
    <xf numFmtId="0" fontId="17" fillId="20" borderId="1" xfId="0" applyFont="1" applyFill="1" applyBorder="1" applyAlignment="1">
      <alignment vertical="center" wrapText="1"/>
    </xf>
    <xf numFmtId="2" fontId="17" fillId="20" borderId="1" xfId="0" applyNumberFormat="1" applyFont="1" applyFill="1" applyBorder="1" applyAlignment="1">
      <alignment horizontal="right" vertical="center" wrapText="1" indent="1"/>
    </xf>
    <xf numFmtId="0" fontId="17" fillId="20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18" borderId="1" xfId="0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2" fontId="2" fillId="2" borderId="1" xfId="0" applyNumberFormat="1" applyFont="1" applyFill="1" applyBorder="1" applyAlignment="1">
      <alignment horizontal="right" vertical="center" indent="1"/>
    </xf>
    <xf numFmtId="0" fontId="21" fillId="7" borderId="1" xfId="0" applyFont="1" applyFill="1" applyBorder="1" applyAlignment="1">
      <alignment vertical="center"/>
    </xf>
    <xf numFmtId="0" fontId="10" fillId="6" borderId="1" xfId="0" applyFont="1" applyFill="1" applyBorder="1" applyAlignment="1">
      <alignment horizontal="center" vertical="center"/>
    </xf>
    <xf numFmtId="2" fontId="10" fillId="6" borderId="1" xfId="0" applyNumberFormat="1" applyFont="1" applyFill="1" applyBorder="1" applyAlignment="1">
      <alignment horizontal="right" vertical="center" indent="1"/>
    </xf>
    <xf numFmtId="0" fontId="10" fillId="6" borderId="1" xfId="0" applyFont="1" applyFill="1" applyBorder="1" applyAlignment="1">
      <alignment horizontal="left" vertical="center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left" vertical="center"/>
    </xf>
    <xf numFmtId="0" fontId="26" fillId="0" borderId="0" xfId="0" applyFont="1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27" fillId="0" borderId="0" xfId="0" applyFont="1" applyAlignment="1">
      <alignment horizontal="left" vertical="center"/>
    </xf>
    <xf numFmtId="0" fontId="0" fillId="7" borderId="1" xfId="0" applyFill="1" applyBorder="1" applyAlignment="1">
      <alignment vertical="center" wrapText="1"/>
    </xf>
    <xf numFmtId="0" fontId="18" fillId="20" borderId="3" xfId="0" applyFont="1" applyFill="1" applyBorder="1" applyAlignment="1">
      <alignment horizontal="center" vertical="center" wrapText="1"/>
    </xf>
    <xf numFmtId="0" fontId="0" fillId="19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18" borderId="1" xfId="0" applyFill="1" applyBorder="1" applyAlignment="1">
      <alignment vertical="center" wrapText="1"/>
    </xf>
    <xf numFmtId="0" fontId="21" fillId="4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21" fillId="7" borderId="1" xfId="0" applyFont="1" applyFill="1" applyBorder="1" applyAlignment="1">
      <alignment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left" vertical="center"/>
      <protection hidden="1"/>
    </xf>
    <xf numFmtId="2" fontId="24" fillId="0" borderId="1" xfId="0" applyNumberFormat="1" applyFont="1" applyBorder="1" applyAlignment="1" applyProtection="1">
      <alignment horizontal="left" vertical="center"/>
      <protection hidden="1"/>
    </xf>
    <xf numFmtId="1" fontId="0" fillId="0" borderId="0" xfId="0" applyNumberFormat="1" applyAlignment="1" applyProtection="1">
      <alignment vertical="center"/>
      <protection hidden="1"/>
    </xf>
    <xf numFmtId="0" fontId="2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2" fontId="6" fillId="10" borderId="9" xfId="0" applyNumberFormat="1" applyFont="1" applyFill="1" applyBorder="1" applyAlignment="1">
      <alignment vertical="center"/>
    </xf>
    <xf numFmtId="0" fontId="35" fillId="7" borderId="1" xfId="0" applyFont="1" applyFill="1" applyBorder="1" applyAlignment="1">
      <alignment vertical="center" wrapText="1"/>
    </xf>
    <xf numFmtId="2" fontId="0" fillId="0" borderId="3" xfId="0" applyNumberFormat="1" applyBorder="1" applyAlignment="1">
      <alignment horizontal="right" vertical="center" indent="1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2" fontId="6" fillId="9" borderId="12" xfId="0" applyNumberFormat="1" applyFont="1" applyFill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32" fillId="22" borderId="13" xfId="3" applyBorder="1" applyAlignment="1" applyProtection="1">
      <alignment vertical="center"/>
    </xf>
    <xf numFmtId="0" fontId="0" fillId="18" borderId="10" xfId="0" applyFill="1" applyBorder="1" applyAlignment="1">
      <alignment vertical="center" wrapText="1"/>
    </xf>
    <xf numFmtId="2" fontId="0" fillId="0" borderId="10" xfId="0" applyNumberFormat="1" applyBorder="1" applyAlignment="1">
      <alignment horizontal="right" vertical="center" indent="1"/>
    </xf>
    <xf numFmtId="0" fontId="0" fillId="0" borderId="10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8" fillId="20" borderId="3" xfId="0" applyFont="1" applyFill="1" applyBorder="1" applyAlignment="1">
      <alignment horizontal="left" vertical="center"/>
    </xf>
    <xf numFmtId="0" fontId="0" fillId="19" borderId="12" xfId="0" applyFill="1" applyBorder="1" applyAlignment="1">
      <alignment vertical="center"/>
    </xf>
    <xf numFmtId="0" fontId="0" fillId="4" borderId="12" xfId="0" applyFill="1" applyBorder="1" applyAlignment="1" applyProtection="1">
      <alignment vertical="center"/>
      <protection hidden="1"/>
    </xf>
    <xf numFmtId="165" fontId="16" fillId="8" borderId="6" xfId="1" applyNumberFormat="1" applyFont="1" applyFill="1" applyBorder="1" applyAlignment="1" applyProtection="1">
      <alignment horizontal="right" vertical="center" indent="1"/>
    </xf>
    <xf numFmtId="0" fontId="14" fillId="19" borderId="1" xfId="2" applyFill="1" applyBorder="1" applyAlignment="1" applyProtection="1">
      <alignment vertical="center" wrapText="1"/>
    </xf>
    <xf numFmtId="1" fontId="16" fillId="19" borderId="1" xfId="0" applyNumberFormat="1" applyFont="1" applyFill="1" applyBorder="1" applyAlignment="1">
      <alignment horizontal="right" vertical="center" indent="1"/>
    </xf>
    <xf numFmtId="2" fontId="34" fillId="0" borderId="0" xfId="0" applyNumberFormat="1" applyFont="1" applyAlignment="1">
      <alignment horizontal="left" vertical="center"/>
    </xf>
    <xf numFmtId="0" fontId="0" fillId="20" borderId="1" xfId="0" applyFill="1" applyBorder="1" applyAlignment="1">
      <alignment horizontal="center" vertical="center"/>
    </xf>
    <xf numFmtId="2" fontId="21" fillId="0" borderId="0" xfId="0" applyNumberFormat="1" applyFont="1" applyAlignment="1">
      <alignment vertical="center"/>
    </xf>
    <xf numFmtId="1" fontId="16" fillId="18" borderId="1" xfId="0" applyNumberFormat="1" applyFont="1" applyFill="1" applyBorder="1" applyAlignment="1">
      <alignment horizontal="right" vertical="center" indent="1"/>
    </xf>
    <xf numFmtId="2" fontId="0" fillId="0" borderId="0" xfId="0" applyNumberFormat="1" applyAlignment="1">
      <alignment horizontal="left" vertical="center"/>
    </xf>
    <xf numFmtId="0" fontId="18" fillId="18" borderId="1" xfId="0" applyFont="1" applyFill="1" applyBorder="1" applyAlignment="1">
      <alignment vertical="center"/>
    </xf>
    <xf numFmtId="2" fontId="18" fillId="18" borderId="1" xfId="0" applyNumberFormat="1" applyFont="1" applyFill="1" applyBorder="1" applyAlignment="1">
      <alignment horizontal="right" vertical="center" indent="1"/>
    </xf>
    <xf numFmtId="0" fontId="0" fillId="18" borderId="12" xfId="0" applyFill="1" applyBorder="1" applyAlignment="1" applyProtection="1">
      <alignment vertical="center"/>
      <protection locked="0"/>
    </xf>
    <xf numFmtId="0" fontId="0" fillId="18" borderId="1" xfId="0" applyFill="1" applyBorder="1" applyAlignment="1" applyProtection="1">
      <alignment vertical="center" wrapText="1"/>
      <protection locked="0"/>
    </xf>
    <xf numFmtId="2" fontId="16" fillId="18" borderId="1" xfId="0" applyNumberFormat="1" applyFont="1" applyFill="1" applyBorder="1" applyAlignment="1" applyProtection="1">
      <alignment horizontal="right" vertical="center" indent="1"/>
      <protection locked="0"/>
    </xf>
    <xf numFmtId="0" fontId="0" fillId="17" borderId="1" xfId="0" applyFill="1" applyBorder="1" applyAlignment="1" applyProtection="1">
      <alignment horizontal="left" vertical="center"/>
      <protection locked="0"/>
    </xf>
    <xf numFmtId="165" fontId="9" fillId="17" borderId="6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19" borderId="13" xfId="0" applyFill="1" applyBorder="1" applyAlignment="1" applyProtection="1">
      <alignment vertical="center"/>
      <protection locked="0"/>
    </xf>
    <xf numFmtId="0" fontId="0" fillId="19" borderId="10" xfId="0" applyFill="1" applyBorder="1" applyAlignment="1" applyProtection="1">
      <alignment vertical="center" wrapText="1"/>
      <protection locked="0"/>
    </xf>
    <xf numFmtId="1" fontId="16" fillId="19" borderId="10" xfId="0" applyNumberFormat="1" applyFont="1" applyFill="1" applyBorder="1" applyAlignment="1" applyProtection="1">
      <alignment horizontal="right" vertical="center" indent="1"/>
      <protection locked="0"/>
    </xf>
    <xf numFmtId="0" fontId="0" fillId="17" borderId="10" xfId="0" applyFill="1" applyBorder="1" applyAlignment="1" applyProtection="1">
      <alignment vertical="center"/>
      <protection locked="0"/>
    </xf>
    <xf numFmtId="165" fontId="9" fillId="17" borderId="14" xfId="1" applyNumberFormat="1" applyFont="1" applyFill="1" applyBorder="1" applyAlignment="1" applyProtection="1">
      <alignment horizontal="center" vertical="center"/>
      <protection locked="0"/>
    </xf>
    <xf numFmtId="2" fontId="24" fillId="0" borderId="1" xfId="0" applyNumberFormat="1" applyFont="1" applyBorder="1" applyAlignment="1" applyProtection="1">
      <alignment horizontal="left" vertical="center" wrapText="1"/>
      <protection hidden="1"/>
    </xf>
    <xf numFmtId="2" fontId="37" fillId="5" borderId="17" xfId="0" applyNumberFormat="1" applyFont="1" applyFill="1" applyBorder="1" applyAlignment="1">
      <alignment vertical="center"/>
    </xf>
    <xf numFmtId="2" fontId="17" fillId="5" borderId="7" xfId="0" applyNumberFormat="1" applyFont="1" applyFill="1" applyBorder="1" applyAlignment="1">
      <alignment vertical="center"/>
    </xf>
    <xf numFmtId="1" fontId="22" fillId="5" borderId="1" xfId="0" applyNumberFormat="1" applyFont="1" applyFill="1" applyBorder="1" applyAlignment="1">
      <alignment horizontal="right" vertical="center" indent="1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3" fillId="23" borderId="18" xfId="0" applyFont="1" applyFill="1" applyBorder="1" applyAlignment="1">
      <alignment horizontal="center"/>
    </xf>
    <xf numFmtId="1" fontId="0" fillId="24" borderId="1" xfId="0" applyNumberFormat="1" applyFill="1" applyBorder="1" applyAlignment="1">
      <alignment horizontal="center"/>
    </xf>
    <xf numFmtId="2" fontId="0" fillId="2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4" borderId="9" xfId="0" applyFill="1" applyBorder="1" applyAlignment="1">
      <alignment vertical="center" wrapText="1"/>
    </xf>
    <xf numFmtId="165" fontId="0" fillId="17" borderId="1" xfId="1" applyNumberFormat="1" applyFont="1" applyFill="1" applyBorder="1" applyAlignment="1" applyProtection="1">
      <alignment horizontal="center" vertical="center"/>
    </xf>
    <xf numFmtId="1" fontId="0" fillId="0" borderId="0" xfId="0" applyNumberFormat="1"/>
    <xf numFmtId="0" fontId="1" fillId="21" borderId="0" xfId="0" applyFont="1" applyFill="1"/>
    <xf numFmtId="0" fontId="10" fillId="0" borderId="0" xfId="0" applyFont="1" applyAlignment="1">
      <alignment horizontal="left" vertical="center"/>
    </xf>
    <xf numFmtId="164" fontId="16" fillId="8" borderId="9" xfId="0" applyNumberFormat="1" applyFont="1" applyFill="1" applyBorder="1" applyAlignment="1">
      <alignment horizontal="right" vertical="center" indent="1"/>
    </xf>
    <xf numFmtId="164" fontId="2" fillId="18" borderId="12" xfId="0" applyNumberFormat="1" applyFont="1" applyFill="1" applyBorder="1" applyAlignment="1" applyProtection="1">
      <alignment horizontal="right" vertical="center"/>
      <protection locked="0"/>
    </xf>
    <xf numFmtId="0" fontId="0" fillId="0" borderId="12" xfId="0" applyBorder="1" applyAlignment="1">
      <alignment horizontal="left" vertical="center"/>
    </xf>
    <xf numFmtId="0" fontId="0" fillId="0" borderId="25" xfId="0" applyBorder="1" applyAlignment="1">
      <alignment vertical="center" wrapText="1"/>
    </xf>
    <xf numFmtId="2" fontId="18" fillId="8" borderId="25" xfId="0" applyNumberFormat="1" applyFont="1" applyFill="1" applyBorder="1" applyAlignment="1">
      <alignment vertical="center" wrapText="1"/>
    </xf>
    <xf numFmtId="0" fontId="17" fillId="17" borderId="25" xfId="0" applyFont="1" applyFill="1" applyBorder="1" applyAlignment="1">
      <alignment vertical="center" wrapText="1"/>
    </xf>
    <xf numFmtId="0" fontId="17" fillId="17" borderId="29" xfId="0" applyFont="1" applyFill="1" applyBorder="1" applyAlignment="1">
      <alignment horizontal="center" vertical="center" wrapText="1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vertical="center" wrapText="1"/>
    </xf>
    <xf numFmtId="2" fontId="18" fillId="8" borderId="1" xfId="0" applyNumberFormat="1" applyFont="1" applyFill="1" applyBorder="1" applyAlignment="1">
      <alignment vertical="center" wrapText="1"/>
    </xf>
    <xf numFmtId="0" fontId="17" fillId="17" borderId="1" xfId="0" applyFont="1" applyFill="1" applyBorder="1" applyAlignment="1">
      <alignment vertical="center" wrapText="1"/>
    </xf>
    <xf numFmtId="0" fontId="17" fillId="17" borderId="6" xfId="0" applyFont="1" applyFill="1" applyBorder="1" applyAlignment="1">
      <alignment horizontal="center" vertical="center" wrapText="1"/>
    </xf>
    <xf numFmtId="164" fontId="18" fillId="19" borderId="1" xfId="0" applyNumberFormat="1" applyFont="1" applyFill="1" applyBorder="1" applyAlignment="1" applyProtection="1">
      <alignment vertical="center"/>
      <protection locked="0"/>
    </xf>
    <xf numFmtId="165" fontId="0" fillId="19" borderId="6" xfId="1" applyNumberFormat="1" applyFont="1" applyFill="1" applyBorder="1" applyAlignment="1" applyProtection="1">
      <alignment horizontal="center" vertical="center"/>
      <protection locked="0"/>
    </xf>
    <xf numFmtId="164" fontId="18" fillId="5" borderId="1" xfId="0" applyNumberFormat="1" applyFont="1" applyFill="1" applyBorder="1" applyAlignment="1">
      <alignment vertical="center"/>
    </xf>
    <xf numFmtId="165" fontId="0" fillId="17" borderId="6" xfId="1" applyNumberFormat="1" applyFont="1" applyFill="1" applyBorder="1" applyAlignment="1" applyProtection="1">
      <alignment horizontal="center" vertical="center"/>
    </xf>
    <xf numFmtId="165" fontId="18" fillId="17" borderId="6" xfId="1" applyNumberFormat="1" applyFont="1" applyFill="1" applyBorder="1" applyAlignment="1" applyProtection="1">
      <alignment horizontal="center" vertical="center"/>
    </xf>
    <xf numFmtId="2" fontId="18" fillId="17" borderId="1" xfId="0" applyNumberFormat="1" applyFont="1" applyFill="1" applyBorder="1" applyAlignment="1">
      <alignment horizontal="right" vertical="center" indent="1"/>
    </xf>
    <xf numFmtId="2" fontId="18" fillId="18" borderId="1" xfId="0" applyNumberFormat="1" applyFont="1" applyFill="1" applyBorder="1" applyAlignment="1" applyProtection="1">
      <alignment vertical="center"/>
      <protection locked="0"/>
    </xf>
    <xf numFmtId="10" fontId="0" fillId="18" borderId="1" xfId="0" applyNumberFormat="1" applyFill="1" applyBorder="1" applyAlignment="1" applyProtection="1">
      <alignment horizontal="center" vertical="center" wrapText="1"/>
      <protection locked="0"/>
    </xf>
    <xf numFmtId="2" fontId="18" fillId="5" borderId="1" xfId="0" applyNumberFormat="1" applyFont="1" applyFill="1" applyBorder="1" applyAlignment="1">
      <alignment vertical="center"/>
    </xf>
    <xf numFmtId="165" fontId="18" fillId="8" borderId="6" xfId="1" applyNumberFormat="1" applyFont="1" applyFill="1" applyBorder="1" applyAlignment="1" applyProtection="1">
      <alignment horizontal="center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 wrapText="1"/>
    </xf>
    <xf numFmtId="2" fontId="18" fillId="5" borderId="31" xfId="0" applyNumberFormat="1" applyFont="1" applyFill="1" applyBorder="1" applyAlignment="1">
      <alignment vertical="center"/>
    </xf>
    <xf numFmtId="0" fontId="18" fillId="17" borderId="31" xfId="0" applyFont="1" applyFill="1" applyBorder="1" applyAlignment="1">
      <alignment horizontal="left" vertical="center"/>
    </xf>
    <xf numFmtId="165" fontId="18" fillId="17" borderId="32" xfId="1" applyNumberFormat="1" applyFont="1" applyFill="1" applyBorder="1" applyAlignment="1" applyProtection="1">
      <alignment horizontal="center" vertical="center"/>
    </xf>
    <xf numFmtId="0" fontId="21" fillId="0" borderId="11" xfId="0" applyFont="1" applyBorder="1" applyAlignment="1">
      <alignment vertical="center"/>
    </xf>
    <xf numFmtId="0" fontId="0" fillId="0" borderId="34" xfId="0" applyBorder="1" applyAlignment="1">
      <alignment vertical="center" wrapText="1"/>
    </xf>
    <xf numFmtId="2" fontId="0" fillId="0" borderId="34" xfId="0" applyNumberFormat="1" applyBorder="1" applyAlignment="1">
      <alignment horizontal="right" vertical="center" indent="1"/>
    </xf>
    <xf numFmtId="0" fontId="0" fillId="0" borderId="34" xfId="0" applyBorder="1" applyAlignment="1">
      <alignment horizontal="left" vertical="center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22" xfId="0" applyBorder="1" applyAlignment="1">
      <alignment vertical="center"/>
    </xf>
    <xf numFmtId="0" fontId="21" fillId="0" borderId="8" xfId="0" applyFont="1" applyBorder="1" applyAlignment="1">
      <alignment vertical="center"/>
    </xf>
    <xf numFmtId="0" fontId="23" fillId="23" borderId="35" xfId="0" applyFont="1" applyFill="1" applyBorder="1" applyAlignment="1">
      <alignment horizontal="left"/>
    </xf>
    <xf numFmtId="0" fontId="0" fillId="0" borderId="8" xfId="0" applyBorder="1" applyAlignment="1">
      <alignment vertical="center"/>
    </xf>
    <xf numFmtId="0" fontId="6" fillId="24" borderId="1" xfId="0" applyFont="1" applyFill="1" applyBorder="1"/>
    <xf numFmtId="0" fontId="0" fillId="0" borderId="8" xfId="0" applyBorder="1" applyAlignment="1">
      <alignment horizontal="right" vertical="center"/>
    </xf>
    <xf numFmtId="0" fontId="0" fillId="0" borderId="36" xfId="0" applyBorder="1" applyAlignment="1">
      <alignment vertical="center"/>
    </xf>
    <xf numFmtId="0" fontId="18" fillId="0" borderId="37" xfId="0" applyFont="1" applyBorder="1" applyAlignment="1">
      <alignment vertical="center"/>
    </xf>
    <xf numFmtId="0" fontId="0" fillId="0" borderId="33" xfId="0" applyBorder="1" applyAlignment="1">
      <alignment vertical="center" wrapText="1"/>
    </xf>
    <xf numFmtId="0" fontId="2" fillId="0" borderId="33" xfId="0" applyFont="1" applyBorder="1" applyAlignment="1">
      <alignment horizontal="right" vertical="center"/>
    </xf>
    <xf numFmtId="0" fontId="0" fillId="0" borderId="25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left" vertical="center"/>
    </xf>
    <xf numFmtId="0" fontId="0" fillId="0" borderId="3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23" fillId="0" borderId="0" xfId="0" applyFont="1" applyBorder="1" applyAlignment="1" applyProtection="1">
      <alignment horizontal="left"/>
      <protection locked="0"/>
    </xf>
    <xf numFmtId="0" fontId="23" fillId="0" borderId="0" xfId="0" applyFont="1" applyBorder="1" applyAlignment="1" applyProtection="1">
      <alignment horizontal="center"/>
      <protection locked="0"/>
    </xf>
    <xf numFmtId="167" fontId="0" fillId="0" borderId="0" xfId="0" applyNumberFormat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39" fillId="0" borderId="0" xfId="0" applyNumberFormat="1" applyFon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Border="1"/>
    <xf numFmtId="0" fontId="6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2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 applyProtection="1">
      <alignment vertical="center"/>
      <protection hidden="1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6" fillId="24" borderId="20" xfId="0" applyNumberFormat="1" applyFont="1" applyFill="1" applyBorder="1" applyAlignment="1">
      <alignment horizontal="center"/>
    </xf>
    <xf numFmtId="166" fontId="6" fillId="24" borderId="9" xfId="0" applyNumberFormat="1" applyFont="1" applyFill="1" applyBorder="1" applyAlignment="1">
      <alignment horizontal="center"/>
    </xf>
    <xf numFmtId="0" fontId="0" fillId="24" borderId="20" xfId="0" applyFill="1" applyBorder="1" applyAlignment="1">
      <alignment horizontal="center"/>
    </xf>
    <xf numFmtId="0" fontId="0" fillId="24" borderId="9" xfId="0" applyFill="1" applyBorder="1" applyAlignment="1">
      <alignment horizontal="center"/>
    </xf>
    <xf numFmtId="0" fontId="6" fillId="24" borderId="20" xfId="0" applyFont="1" applyFill="1" applyBorder="1" applyAlignment="1">
      <alignment horizontal="center"/>
    </xf>
    <xf numFmtId="0" fontId="6" fillId="24" borderId="9" xfId="0" applyFont="1" applyFill="1" applyBorder="1" applyAlignment="1">
      <alignment horizontal="center"/>
    </xf>
    <xf numFmtId="0" fontId="6" fillId="24" borderId="21" xfId="0" applyFont="1" applyFill="1" applyBorder="1" applyAlignment="1">
      <alignment horizontal="center" wrapText="1"/>
    </xf>
    <xf numFmtId="0" fontId="6" fillId="24" borderId="22" xfId="0" applyFont="1" applyFill="1" applyBorder="1" applyAlignment="1">
      <alignment horizontal="center" wrapText="1"/>
    </xf>
    <xf numFmtId="0" fontId="6" fillId="24" borderId="23" xfId="0" applyFont="1" applyFill="1" applyBorder="1" applyAlignment="1">
      <alignment horizontal="center" wrapText="1"/>
    </xf>
    <xf numFmtId="0" fontId="6" fillId="24" borderId="24" xfId="0" applyFont="1" applyFill="1" applyBorder="1" applyAlignment="1">
      <alignment horizontal="center" wrapText="1"/>
    </xf>
    <xf numFmtId="0" fontId="23" fillId="23" borderId="15" xfId="0" applyFont="1" applyFill="1" applyBorder="1" applyAlignment="1">
      <alignment horizontal="center"/>
    </xf>
    <xf numFmtId="0" fontId="23" fillId="23" borderId="19" xfId="0" applyFont="1" applyFill="1" applyBorder="1" applyAlignment="1">
      <alignment horizontal="center"/>
    </xf>
    <xf numFmtId="0" fontId="25" fillId="20" borderId="1" xfId="0" applyFont="1" applyFill="1" applyBorder="1" applyAlignment="1">
      <alignment horizontal="left" vertical="center" wrapText="1"/>
    </xf>
    <xf numFmtId="0" fontId="33" fillId="5" borderId="15" xfId="0" applyFont="1" applyFill="1" applyBorder="1" applyAlignment="1">
      <alignment horizontal="left" vertical="center"/>
    </xf>
    <xf numFmtId="0" fontId="33" fillId="5" borderId="16" xfId="0" applyFont="1" applyFill="1" applyBorder="1" applyAlignment="1">
      <alignment horizontal="left" vertical="center"/>
    </xf>
    <xf numFmtId="0" fontId="25" fillId="20" borderId="7" xfId="0" applyFont="1" applyFill="1" applyBorder="1" applyAlignment="1">
      <alignment horizontal="left" vertical="center" wrapText="1"/>
    </xf>
    <xf numFmtId="0" fontId="25" fillId="20" borderId="9" xfId="0" applyFont="1" applyFill="1" applyBorder="1" applyAlignment="1">
      <alignment horizontal="left" vertical="center" wrapText="1"/>
    </xf>
    <xf numFmtId="2" fontId="34" fillId="0" borderId="8" xfId="0" applyNumberFormat="1" applyFont="1" applyBorder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2" borderId="9" xfId="0" applyFont="1" applyFill="1" applyBorder="1" applyAlignment="1">
      <alignment horizontal="left" vertical="center"/>
    </xf>
    <xf numFmtId="0" fontId="25" fillId="20" borderId="26" xfId="0" applyFont="1" applyFill="1" applyBorder="1" applyAlignment="1">
      <alignment horizontal="left" vertical="center"/>
    </xf>
    <xf numFmtId="0" fontId="25" fillId="20" borderId="27" xfId="0" applyFont="1" applyFill="1" applyBorder="1" applyAlignment="1">
      <alignment horizontal="left" vertical="center"/>
    </xf>
    <xf numFmtId="0" fontId="25" fillId="20" borderId="28" xfId="0" applyFont="1" applyFill="1" applyBorder="1" applyAlignment="1">
      <alignment horizontal="left" vertical="center"/>
    </xf>
    <xf numFmtId="0" fontId="1" fillId="0" borderId="2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2" fontId="0" fillId="24" borderId="10" xfId="0" applyNumberFormat="1" applyFill="1" applyBorder="1" applyAlignment="1">
      <alignment horizontal="center"/>
    </xf>
    <xf numFmtId="2" fontId="0" fillId="24" borderId="25" xfId="0" applyNumberFormat="1" applyFill="1" applyBorder="1" applyAlignment="1">
      <alignment horizontal="center"/>
    </xf>
    <xf numFmtId="0" fontId="6" fillId="24" borderId="10" xfId="0" applyFont="1" applyFill="1" applyBorder="1" applyAlignment="1">
      <alignment horizontal="left"/>
    </xf>
    <xf numFmtId="0" fontId="6" fillId="24" borderId="25" xfId="0" applyFont="1" applyFill="1" applyBorder="1" applyAlignment="1">
      <alignment horizontal="left"/>
    </xf>
    <xf numFmtId="1" fontId="0" fillId="24" borderId="10" xfId="0" applyNumberFormat="1" applyFill="1" applyBorder="1" applyAlignment="1">
      <alignment horizontal="center"/>
    </xf>
    <xf numFmtId="1" fontId="0" fillId="24" borderId="25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Fill="1" applyAlignment="1" applyProtection="1">
      <alignment horizontal="left" vertical="center"/>
      <protection locked="0"/>
    </xf>
    <xf numFmtId="2" fontId="10" fillId="0" borderId="0" xfId="0" applyNumberFormat="1" applyFont="1" applyAlignment="1">
      <alignment horizontal="left" vertical="center"/>
    </xf>
    <xf numFmtId="0" fontId="10" fillId="0" borderId="0" xfId="0" applyFont="1" applyAlignment="1" applyProtection="1">
      <alignment horizontal="left" vertical="center"/>
      <protection hidden="1"/>
    </xf>
    <xf numFmtId="1" fontId="10" fillId="0" borderId="1" xfId="0" applyNumberFormat="1" applyFont="1" applyBorder="1" applyAlignment="1">
      <alignment horizontal="left" vertical="center"/>
    </xf>
    <xf numFmtId="2" fontId="40" fillId="0" borderId="0" xfId="0" applyNumberFormat="1" applyFont="1" applyAlignment="1">
      <alignment horizontal="right" vertical="center"/>
    </xf>
    <xf numFmtId="2" fontId="41" fillId="0" borderId="0" xfId="0" applyNumberFormat="1" applyFont="1" applyAlignment="1">
      <alignment horizontal="left" vertical="center"/>
    </xf>
    <xf numFmtId="2" fontId="10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2" fontId="10" fillId="0" borderId="1" xfId="0" applyNumberFormat="1" applyFont="1" applyBorder="1" applyAlignment="1" applyProtection="1">
      <alignment horizontal="left" vertical="center"/>
      <protection hidden="1"/>
    </xf>
    <xf numFmtId="1" fontId="10" fillId="0" borderId="0" xfId="0" applyNumberFormat="1" applyFont="1" applyAlignment="1">
      <alignment horizontal="right" vertical="center"/>
    </xf>
    <xf numFmtId="0" fontId="41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1" fontId="41" fillId="0" borderId="0" xfId="0" applyNumberFormat="1" applyFont="1" applyAlignment="1">
      <alignment horizontal="left" vertical="center"/>
    </xf>
    <xf numFmtId="1" fontId="41" fillId="0" borderId="0" xfId="0" applyNumberFormat="1" applyFont="1" applyAlignment="1">
      <alignment vertical="center"/>
    </xf>
    <xf numFmtId="1" fontId="10" fillId="0" borderId="0" xfId="0" applyNumberFormat="1" applyFont="1" applyAlignment="1">
      <alignment vertical="center"/>
    </xf>
    <xf numFmtId="164" fontId="18" fillId="0" borderId="9" xfId="0" applyNumberFormat="1" applyFont="1" applyBorder="1" applyAlignment="1">
      <alignment horizontal="left" vertical="center"/>
    </xf>
  </cellXfs>
  <cellStyles count="4">
    <cellStyle name="Bad" xfId="3" builtinId="27"/>
    <cellStyle name="Hyperlink" xfId="2" builtinId="8"/>
    <cellStyle name="Normal" xfId="0" builtinId="0"/>
    <cellStyle name="Percent" xfId="1" builtinId="5"/>
  </cellStyles>
  <dxfs count="19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C00000"/>
      </font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33CC33"/>
      <color rgb="FF00FFFF"/>
      <color rgb="FFFF0000"/>
      <color rgb="FFFF6600"/>
      <color rgb="FFFF99FF"/>
      <color rgb="FF00FF00"/>
      <color rgb="FF0000FF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Progm'd</a:t>
            </a:r>
            <a:endParaRPr lang="en-US" sz="1600"/>
          </a:p>
        </c:rich>
      </c:tx>
      <c:layout>
        <c:manualLayout>
          <c:xMode val="edge"/>
          <c:yMode val="edge"/>
          <c:x val="0.11568147365500524"/>
          <c:y val="7.441063296390620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3890805207067317E-2"/>
          <c:y val="4.0716088695584636E-2"/>
          <c:w val="0.82587059339021518"/>
          <c:h val="0.88231202221800842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8.7303851883379441E-2"/>
                  <c:y val="0.1358728049618442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3E-4E8F-B2CD-86FAA1B800B9}"/>
                </c:ext>
              </c:extLst>
            </c:dLbl>
            <c:dLbl>
              <c:idx val="1"/>
              <c:layout>
                <c:manualLayout>
                  <c:x val="5.6924452011066183E-3"/>
                  <c:y val="7.16983860455968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3E-4E8F-B2CD-86FAA1B800B9}"/>
                </c:ext>
              </c:extLst>
            </c:dLbl>
            <c:dLbl>
              <c:idx val="2"/>
              <c:layout>
                <c:manualLayout>
                  <c:x val="-5.1891891891891889E-2"/>
                  <c:y val="0.12842417356949318"/>
                </c:manualLayout>
              </c:layout>
              <c:numFmt formatCode="General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3E-4E8F-B2CD-86FAA1B800B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Sheet'!$K$24:$K$26</c:f>
              <c:strCache>
                <c:ptCount val="3"/>
                <c:pt idx="0">
                  <c:v>Power Fail 
(VIN Falling)</c:v>
                </c:pt>
                <c:pt idx="1">
                  <c:v>Release UVLO (VIN Rising)</c:v>
                </c:pt>
                <c:pt idx="2">
                  <c:v>OV Cut-off
(VIN Rising)</c:v>
                </c:pt>
              </c:strCache>
            </c:strRef>
          </c:cat>
          <c:val>
            <c:numRef>
              <c:f>'Calculation Sheet'!$J$24:$J$26</c:f>
              <c:numCache>
                <c:formatCode>0.00</c:formatCode>
                <c:ptCount val="3"/>
                <c:pt idx="0">
                  <c:v>3.6532694050752319</c:v>
                </c:pt>
                <c:pt idx="1">
                  <c:v>3.9853848055366159</c:v>
                </c:pt>
                <c:pt idx="2">
                  <c:v>25.979200093999069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3E-4E8F-B2CD-86FAA1B80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19008"/>
        <c:axId val="184620160"/>
      </c:lineChart>
      <c:catAx>
        <c:axId val="184619008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84620160"/>
        <c:crosses val="autoZero"/>
        <c:auto val="0"/>
        <c:lblAlgn val="ctr"/>
        <c:lblOffset val="100"/>
        <c:noMultiLvlLbl val="0"/>
      </c:catAx>
      <c:valAx>
        <c:axId val="184620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461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Current Limits Progm'd</a:t>
            </a:r>
          </a:p>
        </c:rich>
      </c:tx>
      <c:layout>
        <c:manualLayout>
          <c:xMode val="edge"/>
          <c:yMode val="edge"/>
          <c:x val="0.10026176548168023"/>
          <c:y val="7.90248831703002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6.3406866699778158E-2"/>
          <c:w val="0.87635870516185477"/>
          <c:h val="0.8601071148817973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1"/>
              <c:layout>
                <c:manualLayout>
                  <c:x val="-7.9576822495943148E-4"/>
                  <c:y val="-2.801175378493276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A4-4E74-A33A-B0A6520BFE9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Sheet'!$K$41:$K$42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Sheet'!$J$41:$J$42</c:f>
              <c:numCache>
                <c:formatCode>0.00</c:formatCode>
                <c:ptCount val="2"/>
                <c:pt idx="0">
                  <c:v>4.5999999999999999E-2</c:v>
                </c:pt>
                <c:pt idx="1">
                  <c:v>21.549060205580027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A4-4E74-A33A-B0A6520BF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52928"/>
        <c:axId val="184654464"/>
      </c:lineChart>
      <c:catAx>
        <c:axId val="184652928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84654464"/>
        <c:crosses val="autoZero"/>
        <c:auto val="0"/>
        <c:lblAlgn val="ctr"/>
        <c:lblOffset val="100"/>
        <c:noMultiLvlLbl val="0"/>
      </c:catAx>
      <c:valAx>
        <c:axId val="1846544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4652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TSD</a:t>
            </a:r>
            <a:r>
              <a:rPr lang="en-US" baseline="0"/>
              <a:t> (ms) vs PD (W) during start-up</a:t>
            </a:r>
            <a:endParaRPr lang="en-US"/>
          </a:p>
        </c:rich>
      </c:tx>
      <c:layout>
        <c:manualLayout>
          <c:xMode val="edge"/>
          <c:yMode val="edge"/>
          <c:x val="0.39497670771637738"/>
          <c:y val="1.63265306122448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53126180414218549"/>
                  <c:y val="-8.467084471583908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'LUT "TSD vs PD start-up"'!$A$2:$A$24</c:f>
              <c:numCache>
                <c:formatCode>General</c:formatCode>
                <c:ptCount val="23"/>
                <c:pt idx="0">
                  <c:v>5.65</c:v>
                </c:pt>
                <c:pt idx="1">
                  <c:v>6.06</c:v>
                </c:pt>
                <c:pt idx="2">
                  <c:v>6.69</c:v>
                </c:pt>
                <c:pt idx="3">
                  <c:v>7.2</c:v>
                </c:pt>
                <c:pt idx="4">
                  <c:v>7.984</c:v>
                </c:pt>
                <c:pt idx="5">
                  <c:v>8.923</c:v>
                </c:pt>
                <c:pt idx="6">
                  <c:v>9.5</c:v>
                </c:pt>
                <c:pt idx="7">
                  <c:v>10.16</c:v>
                </c:pt>
                <c:pt idx="8">
                  <c:v>12.9</c:v>
                </c:pt>
                <c:pt idx="9">
                  <c:v>16.579999999999998</c:v>
                </c:pt>
                <c:pt idx="10">
                  <c:v>20.170000000000002</c:v>
                </c:pt>
                <c:pt idx="11">
                  <c:v>23.5</c:v>
                </c:pt>
                <c:pt idx="12">
                  <c:v>28</c:v>
                </c:pt>
                <c:pt idx="13">
                  <c:v>30.8</c:v>
                </c:pt>
                <c:pt idx="14">
                  <c:v>34.22</c:v>
                </c:pt>
                <c:pt idx="15">
                  <c:v>40.5</c:v>
                </c:pt>
                <c:pt idx="16">
                  <c:v>42.7</c:v>
                </c:pt>
                <c:pt idx="17">
                  <c:v>47.9</c:v>
                </c:pt>
                <c:pt idx="18">
                  <c:v>52.6</c:v>
                </c:pt>
                <c:pt idx="19">
                  <c:v>57.8</c:v>
                </c:pt>
                <c:pt idx="20">
                  <c:v>59.57</c:v>
                </c:pt>
                <c:pt idx="21">
                  <c:v>71</c:v>
                </c:pt>
                <c:pt idx="22">
                  <c:v>72.180000000000007</c:v>
                </c:pt>
              </c:numCache>
            </c:numRef>
          </c:xVal>
          <c:yVal>
            <c:numRef>
              <c:f>'LUT "TSD vs PD start-up"'!$B$2:$B$24</c:f>
              <c:numCache>
                <c:formatCode>General</c:formatCode>
                <c:ptCount val="23"/>
                <c:pt idx="0">
                  <c:v>29.4</c:v>
                </c:pt>
                <c:pt idx="1">
                  <c:v>25.8</c:v>
                </c:pt>
                <c:pt idx="2">
                  <c:v>21.9</c:v>
                </c:pt>
                <c:pt idx="3">
                  <c:v>18.7</c:v>
                </c:pt>
                <c:pt idx="4">
                  <c:v>15.8</c:v>
                </c:pt>
                <c:pt idx="5">
                  <c:v>12.983000000000001</c:v>
                </c:pt>
                <c:pt idx="6">
                  <c:v>11.64</c:v>
                </c:pt>
                <c:pt idx="7">
                  <c:v>10.45</c:v>
                </c:pt>
                <c:pt idx="8">
                  <c:v>6.76</c:v>
                </c:pt>
                <c:pt idx="9">
                  <c:v>4.28</c:v>
                </c:pt>
                <c:pt idx="10">
                  <c:v>2.85</c:v>
                </c:pt>
                <c:pt idx="11">
                  <c:v>2.1749999999999998</c:v>
                </c:pt>
                <c:pt idx="12">
                  <c:v>1.22</c:v>
                </c:pt>
                <c:pt idx="13">
                  <c:v>1.08</c:v>
                </c:pt>
                <c:pt idx="14">
                  <c:v>0.98</c:v>
                </c:pt>
                <c:pt idx="15">
                  <c:v>0.80600000000000005</c:v>
                </c:pt>
                <c:pt idx="16">
                  <c:v>0.79600000000000004</c:v>
                </c:pt>
                <c:pt idx="17">
                  <c:v>0.73</c:v>
                </c:pt>
                <c:pt idx="18">
                  <c:v>0.68500000000000005</c:v>
                </c:pt>
                <c:pt idx="19">
                  <c:v>0.65200000000000002</c:v>
                </c:pt>
                <c:pt idx="20">
                  <c:v>0.65</c:v>
                </c:pt>
                <c:pt idx="21">
                  <c:v>0.55200000000000005</c:v>
                </c:pt>
                <c:pt idx="22">
                  <c:v>0.55100000000000005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9D-49AB-A66A-97C999EA3EF8}"/>
            </c:ext>
          </c:extLst>
        </c:ser>
        <c:ser>
          <c:idx val="1"/>
          <c:order val="1"/>
          <c:tx>
            <c:v>12V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9.1979772525958292E-3"/>
                  <c:y val="-6.56099416144410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'LUT "TSD vs PD start-up"'!$C$2:$C$21</c:f>
              <c:numCache>
                <c:formatCode>General</c:formatCode>
                <c:ptCount val="20"/>
                <c:pt idx="0">
                  <c:v>5.95</c:v>
                </c:pt>
                <c:pt idx="1">
                  <c:v>6.48</c:v>
                </c:pt>
                <c:pt idx="2">
                  <c:v>7.34</c:v>
                </c:pt>
                <c:pt idx="3">
                  <c:v>8.0190000000000001</c:v>
                </c:pt>
                <c:pt idx="4">
                  <c:v>8.5790000000000006</c:v>
                </c:pt>
                <c:pt idx="5">
                  <c:v>9.2799999999999994</c:v>
                </c:pt>
                <c:pt idx="6">
                  <c:v>10</c:v>
                </c:pt>
                <c:pt idx="7">
                  <c:v>10.64</c:v>
                </c:pt>
                <c:pt idx="8">
                  <c:v>11.63</c:v>
                </c:pt>
                <c:pt idx="9">
                  <c:v>28.8</c:v>
                </c:pt>
                <c:pt idx="10">
                  <c:v>30.3</c:v>
                </c:pt>
                <c:pt idx="11">
                  <c:v>31.67</c:v>
                </c:pt>
                <c:pt idx="12">
                  <c:v>35.5</c:v>
                </c:pt>
                <c:pt idx="13">
                  <c:v>36.200000000000003</c:v>
                </c:pt>
                <c:pt idx="14">
                  <c:v>36.65</c:v>
                </c:pt>
                <c:pt idx="15">
                  <c:v>42.92</c:v>
                </c:pt>
                <c:pt idx="16">
                  <c:v>44</c:v>
                </c:pt>
                <c:pt idx="17">
                  <c:v>45.7</c:v>
                </c:pt>
                <c:pt idx="18">
                  <c:v>52.24</c:v>
                </c:pt>
                <c:pt idx="19">
                  <c:v>54.54</c:v>
                </c:pt>
              </c:numCache>
            </c:numRef>
          </c:xVal>
          <c:yVal>
            <c:numRef>
              <c:f>'LUT "TSD vs PD start-up"'!$D$2:$D$21</c:f>
              <c:numCache>
                <c:formatCode>General</c:formatCode>
                <c:ptCount val="20"/>
                <c:pt idx="0">
                  <c:v>52.4</c:v>
                </c:pt>
                <c:pt idx="1">
                  <c:v>43.97</c:v>
                </c:pt>
                <c:pt idx="2">
                  <c:v>34.799999999999997</c:v>
                </c:pt>
                <c:pt idx="3">
                  <c:v>29.16</c:v>
                </c:pt>
                <c:pt idx="4">
                  <c:v>26</c:v>
                </c:pt>
                <c:pt idx="5">
                  <c:v>22.77</c:v>
                </c:pt>
                <c:pt idx="6">
                  <c:v>20.010000000000002</c:v>
                </c:pt>
                <c:pt idx="7">
                  <c:v>17.760000000000002</c:v>
                </c:pt>
                <c:pt idx="8">
                  <c:v>15.5</c:v>
                </c:pt>
                <c:pt idx="9">
                  <c:v>2.1339999999999999</c:v>
                </c:pt>
                <c:pt idx="10">
                  <c:v>1.87</c:v>
                </c:pt>
                <c:pt idx="11">
                  <c:v>1.67</c:v>
                </c:pt>
                <c:pt idx="12">
                  <c:v>1.44</c:v>
                </c:pt>
                <c:pt idx="13">
                  <c:v>1.42</c:v>
                </c:pt>
                <c:pt idx="14">
                  <c:v>1.329</c:v>
                </c:pt>
                <c:pt idx="15">
                  <c:v>1.147</c:v>
                </c:pt>
                <c:pt idx="16">
                  <c:v>1.1000000000000001</c:v>
                </c:pt>
                <c:pt idx="17">
                  <c:v>1.06</c:v>
                </c:pt>
                <c:pt idx="18">
                  <c:v>0.94099999999999995</c:v>
                </c:pt>
                <c:pt idx="19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9D-49AB-A66A-97C999EA3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432480"/>
        <c:axId val="1347801808"/>
      </c:scatterChart>
      <c:valAx>
        <c:axId val="99743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PD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801808"/>
        <c:crosses val="autoZero"/>
        <c:crossBetween val="midCat"/>
      </c:valAx>
      <c:valAx>
        <c:axId val="134780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TSD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7432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667204</xdr:colOff>
      <xdr:row>10</xdr:row>
      <xdr:rowOff>279181</xdr:rowOff>
    </xdr:from>
    <xdr:to>
      <xdr:col>13</xdr:col>
      <xdr:colOff>853964</xdr:colOff>
      <xdr:row>27</xdr:row>
      <xdr:rowOff>66334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716507</xdr:colOff>
      <xdr:row>29</xdr:row>
      <xdr:rowOff>131379</xdr:rowOff>
    </xdr:from>
    <xdr:to>
      <xdr:col>13</xdr:col>
      <xdr:colOff>870388</xdr:colOff>
      <xdr:row>50</xdr:row>
      <xdr:rowOff>180647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96</xdr:row>
          <xdr:rowOff>22860</xdr:rowOff>
        </xdr:from>
        <xdr:to>
          <xdr:col>2</xdr:col>
          <xdr:colOff>3943350</xdr:colOff>
          <xdr:row>105</xdr:row>
          <xdr:rowOff>15240</xdr:rowOff>
        </xdr:to>
        <xdr:sp macro="" textlink="">
          <xdr:nvSpPr>
            <xdr:cNvPr id="1089" name="Object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428625</xdr:colOff>
      <xdr:row>4</xdr:row>
      <xdr:rowOff>85725</xdr:rowOff>
    </xdr:from>
    <xdr:to>
      <xdr:col>22</xdr:col>
      <xdr:colOff>66674</xdr:colOff>
      <xdr:row>28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i.com/lit/ds/symlink/tps25982.pdf" TargetMode="External"/><Relationship Id="rId6" Type="http://schemas.openxmlformats.org/officeDocument/2006/relationships/image" Target="../media/image1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133"/>
  <sheetViews>
    <sheetView showGridLines="0" tabSelected="1" topLeftCell="B1" zoomScale="70" zoomScaleNormal="70" workbookViewId="0">
      <selection activeCell="H21" sqref="H21"/>
    </sheetView>
  </sheetViews>
  <sheetFormatPr defaultColWidth="9.109375" defaultRowHeight="18" customHeight="1" x14ac:dyDescent="0.3"/>
  <cols>
    <col min="1" max="1" width="2.44140625" style="1" customWidth="1"/>
    <col min="2" max="2" width="28.5546875" style="1" customWidth="1"/>
    <col min="3" max="3" width="64.109375" style="79" customWidth="1"/>
    <col min="4" max="4" width="16.6640625" style="3" customWidth="1"/>
    <col min="5" max="5" width="10.44140625" style="1" customWidth="1"/>
    <col min="6" max="6" width="9.109375" style="5" bestFit="1" customWidth="1"/>
    <col min="7" max="7" width="13.5546875" style="32" bestFit="1" customWidth="1"/>
    <col min="8" max="8" width="9.6640625" style="1" bestFit="1" customWidth="1"/>
    <col min="9" max="9" width="11.5546875" style="1" bestFit="1" customWidth="1"/>
    <col min="10" max="10" width="20.6640625" style="1" customWidth="1"/>
    <col min="11" max="11" width="62.5546875" style="1" customWidth="1"/>
    <col min="12" max="13" width="21.33203125" style="1" customWidth="1"/>
    <col min="14" max="14" width="14.6640625" style="1" customWidth="1"/>
    <col min="15" max="15" width="27.33203125" style="1" customWidth="1"/>
    <col min="16" max="16" width="10.33203125" style="1" bestFit="1" customWidth="1"/>
    <col min="17" max="17" width="5.109375" style="1" bestFit="1" customWidth="1"/>
    <col min="18" max="18" width="13.5546875" style="5" bestFit="1" customWidth="1"/>
    <col min="19" max="19" width="14.44140625" style="5" bestFit="1" customWidth="1"/>
    <col min="20" max="26" width="9.109375" style="1"/>
    <col min="27" max="28" width="0" style="1" hidden="1" customWidth="1"/>
    <col min="29" max="16384" width="9.109375" style="1"/>
  </cols>
  <sheetData>
    <row r="1" spans="2:28" ht="24" customHeight="1" x14ac:dyDescent="0.3">
      <c r="B1" s="236" t="s">
        <v>216</v>
      </c>
      <c r="C1" s="237"/>
      <c r="D1" s="105"/>
      <c r="E1" s="106"/>
      <c r="F1" s="107"/>
      <c r="L1"/>
      <c r="M1"/>
      <c r="N1"/>
      <c r="O1"/>
      <c r="P1"/>
      <c r="AA1" s="1" t="s">
        <v>118</v>
      </c>
      <c r="AB1" s="74">
        <v>4</v>
      </c>
    </row>
    <row r="2" spans="2:28" ht="22.2" customHeight="1" x14ac:dyDescent="0.3">
      <c r="B2" s="108" t="s">
        <v>44</v>
      </c>
      <c r="C2" s="78" t="s">
        <v>45</v>
      </c>
      <c r="D2" s="24" t="s">
        <v>46</v>
      </c>
      <c r="E2" s="88"/>
      <c r="F2" s="109"/>
      <c r="G2" s="103" t="s">
        <v>101</v>
      </c>
      <c r="L2"/>
      <c r="M2"/>
      <c r="N2"/>
      <c r="O2"/>
      <c r="P2"/>
      <c r="R2" s="1"/>
      <c r="S2" s="1"/>
      <c r="AA2" s="1" t="s">
        <v>103</v>
      </c>
      <c r="AB2" s="74">
        <v>16</v>
      </c>
    </row>
    <row r="3" spans="2:28" ht="18" customHeight="1" thickBot="1" x14ac:dyDescent="0.35">
      <c r="B3" s="110" t="s">
        <v>102</v>
      </c>
      <c r="C3" s="111" t="s">
        <v>77</v>
      </c>
      <c r="D3" s="112"/>
      <c r="E3" s="113"/>
      <c r="F3" s="114"/>
      <c r="G3" s="103" t="s">
        <v>100</v>
      </c>
      <c r="L3"/>
      <c r="M3"/>
      <c r="N3"/>
      <c r="O3"/>
      <c r="P3"/>
      <c r="R3" s="1"/>
      <c r="S3" s="1"/>
      <c r="AA3" s="1" t="s">
        <v>120</v>
      </c>
      <c r="AB3" s="74">
        <v>64</v>
      </c>
    </row>
    <row r="4" spans="2:28" ht="18" customHeight="1" x14ac:dyDescent="0.3">
      <c r="B4" s="43" t="s">
        <v>0</v>
      </c>
      <c r="C4" s="77" t="s">
        <v>1</v>
      </c>
      <c r="D4" s="44" t="s">
        <v>2</v>
      </c>
      <c r="E4" s="115" t="s">
        <v>3</v>
      </c>
      <c r="F4" s="45" t="s">
        <v>61</v>
      </c>
      <c r="L4"/>
      <c r="M4"/>
      <c r="N4"/>
      <c r="O4"/>
      <c r="P4"/>
      <c r="R4" s="1"/>
      <c r="S4" s="1"/>
      <c r="AA4" s="1" t="s">
        <v>121</v>
      </c>
      <c r="AB4" s="74">
        <v>256</v>
      </c>
    </row>
    <row r="5" spans="2:28" ht="15.6" x14ac:dyDescent="0.3">
      <c r="B5" s="116" t="s">
        <v>171</v>
      </c>
      <c r="C5" s="78" t="s">
        <v>172</v>
      </c>
      <c r="D5" s="39">
        <v>15</v>
      </c>
      <c r="E5" s="25" t="s">
        <v>6</v>
      </c>
      <c r="F5" s="50"/>
      <c r="L5"/>
      <c r="M5"/>
      <c r="N5"/>
      <c r="O5"/>
      <c r="P5"/>
      <c r="R5" s="1"/>
      <c r="S5" s="1"/>
      <c r="AB5" s="74" t="s">
        <v>202</v>
      </c>
    </row>
    <row r="6" spans="2:28" ht="14.4" x14ac:dyDescent="0.3">
      <c r="B6" s="126" t="s">
        <v>85</v>
      </c>
      <c r="C6" s="126" t="s">
        <v>111</v>
      </c>
      <c r="D6" s="127">
        <v>25</v>
      </c>
      <c r="E6" s="25" t="s">
        <v>6</v>
      </c>
      <c r="F6" s="50"/>
      <c r="G6" s="156" t="e">
        <f>IF(RIGHT(#REF!,2)="7L",24,(IF(RIGHT(#REF!,2)="7O",24,#REF!)))</f>
        <v>#REF!</v>
      </c>
      <c r="L6"/>
      <c r="M6"/>
      <c r="N6"/>
      <c r="O6"/>
      <c r="P6"/>
      <c r="R6" s="1"/>
      <c r="S6" s="1"/>
    </row>
    <row r="7" spans="2:28" ht="14.4" x14ac:dyDescent="0.3">
      <c r="B7" s="126" t="s">
        <v>217</v>
      </c>
      <c r="C7" s="126" t="s">
        <v>218</v>
      </c>
      <c r="D7" s="127">
        <v>26</v>
      </c>
      <c r="E7" s="25" t="s">
        <v>6</v>
      </c>
      <c r="F7" s="50"/>
      <c r="G7" s="156"/>
      <c r="L7"/>
      <c r="M7"/>
      <c r="N7"/>
      <c r="O7"/>
      <c r="P7"/>
      <c r="R7" s="1"/>
      <c r="S7" s="1"/>
    </row>
    <row r="8" spans="2:28" ht="14.4" x14ac:dyDescent="0.3">
      <c r="B8" s="126" t="s">
        <v>162</v>
      </c>
      <c r="C8" s="126" t="s">
        <v>108</v>
      </c>
      <c r="D8" s="127">
        <v>4</v>
      </c>
      <c r="E8" s="25" t="s">
        <v>6</v>
      </c>
      <c r="F8" s="50"/>
      <c r="L8"/>
      <c r="M8"/>
      <c r="N8"/>
      <c r="O8"/>
      <c r="P8"/>
      <c r="R8" s="1"/>
      <c r="S8" s="1"/>
    </row>
    <row r="9" spans="2:28" ht="16.2" customHeight="1" x14ac:dyDescent="0.3">
      <c r="B9" s="117" t="s">
        <v>104</v>
      </c>
      <c r="C9" s="102" t="s">
        <v>113</v>
      </c>
      <c r="D9" s="23">
        <v>2.5299999999999998</v>
      </c>
      <c r="E9" s="25" t="s">
        <v>6</v>
      </c>
      <c r="F9" s="118">
        <v>2.7E-2</v>
      </c>
      <c r="L9"/>
      <c r="M9"/>
      <c r="N9"/>
      <c r="O9"/>
      <c r="P9"/>
      <c r="R9" s="1"/>
      <c r="S9" s="1"/>
    </row>
    <row r="10" spans="2:28" ht="15.6" x14ac:dyDescent="0.3">
      <c r="B10" s="116" t="s">
        <v>9</v>
      </c>
      <c r="C10" s="78" t="s">
        <v>10</v>
      </c>
      <c r="D10" s="40">
        <v>62</v>
      </c>
      <c r="E10" s="25" t="s">
        <v>11</v>
      </c>
      <c r="F10" s="51">
        <v>0.1</v>
      </c>
      <c r="L10"/>
      <c r="M10"/>
      <c r="N10"/>
      <c r="O10"/>
      <c r="P10"/>
      <c r="R10" s="1"/>
      <c r="S10" s="1"/>
    </row>
    <row r="11" spans="2:28" ht="30.6" customHeight="1" x14ac:dyDescent="0.3">
      <c r="B11" s="116" t="s">
        <v>49</v>
      </c>
      <c r="C11" s="119" t="s">
        <v>170</v>
      </c>
      <c r="D11" s="40">
        <v>24</v>
      </c>
      <c r="E11" s="25" t="s">
        <v>50</v>
      </c>
      <c r="F11" s="50"/>
      <c r="G11" s="277">
        <f>Vcc_nom/Imax</f>
        <v>0.83333333333333337</v>
      </c>
      <c r="L11"/>
      <c r="M11"/>
      <c r="N11"/>
      <c r="O11"/>
      <c r="P11"/>
      <c r="R11" s="1"/>
      <c r="S11" s="1"/>
    </row>
    <row r="12" spans="2:28" ht="18" customHeight="1" x14ac:dyDescent="0.3">
      <c r="B12" s="116" t="s">
        <v>12</v>
      </c>
      <c r="C12" s="78" t="s">
        <v>13</v>
      </c>
      <c r="D12" s="39">
        <v>18</v>
      </c>
      <c r="E12" s="25" t="s">
        <v>4</v>
      </c>
      <c r="F12" s="50"/>
      <c r="M12" s="5"/>
      <c r="R12" s="1"/>
      <c r="S12" s="1"/>
    </row>
    <row r="13" spans="2:28" s="133" customFormat="1" ht="17.7" customHeight="1" x14ac:dyDescent="0.3">
      <c r="B13" s="128" t="s">
        <v>14</v>
      </c>
      <c r="C13" s="129" t="s">
        <v>213</v>
      </c>
      <c r="D13" s="130">
        <f>Imax*1.2</f>
        <v>21.599999999999998</v>
      </c>
      <c r="E13" s="131" t="s">
        <v>4</v>
      </c>
      <c r="F13" s="132"/>
      <c r="G13" s="262"/>
      <c r="M13" s="134"/>
    </row>
    <row r="14" spans="2:28" s="133" customFormat="1" ht="15" customHeight="1" x14ac:dyDescent="0.3">
      <c r="B14" s="135" t="s">
        <v>19</v>
      </c>
      <c r="C14" s="136" t="s">
        <v>114</v>
      </c>
      <c r="D14" s="137">
        <v>70</v>
      </c>
      <c r="E14" s="138" t="s">
        <v>115</v>
      </c>
      <c r="F14" s="139"/>
      <c r="G14" s="262"/>
      <c r="M14" s="134"/>
    </row>
    <row r="15" spans="2:28" ht="25.2" customHeight="1" x14ac:dyDescent="0.3">
      <c r="B15" s="55"/>
      <c r="C15" s="78" t="s">
        <v>126</v>
      </c>
      <c r="D15" s="120" t="s">
        <v>103</v>
      </c>
      <c r="E15" s="25"/>
      <c r="F15" s="26"/>
      <c r="M15" s="5"/>
      <c r="R15" s="1"/>
      <c r="S15" s="1"/>
    </row>
    <row r="16" spans="2:28" ht="18" customHeight="1" x14ac:dyDescent="0.3">
      <c r="B16" s="55" t="s">
        <v>116</v>
      </c>
      <c r="C16" s="78" t="s">
        <v>125</v>
      </c>
      <c r="D16" s="120">
        <v>2000</v>
      </c>
      <c r="E16" s="25" t="s">
        <v>117</v>
      </c>
      <c r="F16" s="26"/>
      <c r="M16" s="5"/>
      <c r="R16" s="1"/>
      <c r="S16" s="1"/>
    </row>
    <row r="17" spans="1:20" ht="18" customHeight="1" x14ac:dyDescent="0.3">
      <c r="B17" s="55"/>
      <c r="C17" s="78" t="s">
        <v>119</v>
      </c>
      <c r="D17" s="120" t="s">
        <v>120</v>
      </c>
      <c r="E17" s="25"/>
      <c r="F17" s="26"/>
      <c r="M17" s="5"/>
      <c r="R17" s="1"/>
      <c r="S17" s="1"/>
    </row>
    <row r="18" spans="1:20" ht="18" customHeight="1" x14ac:dyDescent="0.3">
      <c r="B18" s="55" t="s">
        <v>122</v>
      </c>
      <c r="C18" s="78" t="s">
        <v>123</v>
      </c>
      <c r="D18" s="39">
        <v>100</v>
      </c>
      <c r="E18" s="25" t="s">
        <v>5</v>
      </c>
      <c r="F18" s="26"/>
      <c r="M18" s="5"/>
      <c r="R18" s="1"/>
      <c r="S18" s="1"/>
    </row>
    <row r="19" spans="1:20" ht="18" customHeight="1" x14ac:dyDescent="0.3">
      <c r="B19" s="55" t="s">
        <v>124</v>
      </c>
      <c r="C19" s="78" t="s">
        <v>161</v>
      </c>
      <c r="D19" s="120">
        <v>4</v>
      </c>
      <c r="E19" s="25"/>
      <c r="F19" s="26"/>
      <c r="M19" s="5"/>
      <c r="R19" s="1"/>
      <c r="S19" s="1"/>
    </row>
    <row r="20" spans="1:20" ht="18" customHeight="1" x14ac:dyDescent="0.3">
      <c r="B20" s="83" t="s">
        <v>201</v>
      </c>
      <c r="C20" s="152" t="s">
        <v>200</v>
      </c>
      <c r="D20" s="157">
        <f>IF(Vcc_nom&lt;5, IF(Vcc_nom&lt;3.3, 1, 1.8), 3.3)</f>
        <v>3.3</v>
      </c>
      <c r="E20" s="25" t="s">
        <v>6</v>
      </c>
      <c r="F20" s="153"/>
      <c r="M20" s="5"/>
      <c r="R20" s="1"/>
      <c r="S20" s="1"/>
    </row>
    <row r="21" spans="1:20" ht="18" customHeight="1" x14ac:dyDescent="0.3">
      <c r="B21" s="128" t="s">
        <v>144</v>
      </c>
      <c r="C21" s="128" t="s">
        <v>127</v>
      </c>
      <c r="D21" s="158">
        <v>2</v>
      </c>
      <c r="E21" s="25" t="s">
        <v>6</v>
      </c>
      <c r="F21" s="26"/>
      <c r="M21" s="7"/>
      <c r="N21" s="7"/>
      <c r="O21" s="7"/>
      <c r="P21" s="7"/>
      <c r="Q21" s="7"/>
    </row>
    <row r="22" spans="1:20" s="91" customFormat="1" ht="18" customHeight="1" thickBot="1" x14ac:dyDescent="0.35">
      <c r="A22" s="1"/>
      <c r="B22" s="1"/>
      <c r="C22" s="79"/>
      <c r="D22" s="3"/>
      <c r="E22" s="1"/>
      <c r="F22" s="5"/>
      <c r="G22" s="32"/>
      <c r="R22" s="92"/>
      <c r="S22" s="92"/>
    </row>
    <row r="23" spans="1:20" s="91" customFormat="1" ht="21.6" thickBot="1" x14ac:dyDescent="0.35">
      <c r="B23" s="244" t="s">
        <v>238</v>
      </c>
      <c r="C23" s="245"/>
      <c r="D23" s="245"/>
      <c r="E23" s="245"/>
      <c r="F23" s="246"/>
      <c r="G23" s="90"/>
      <c r="L23" s="91">
        <f>IF(D24&gt;=100,D24,IF(D24&gt;=10,D24*10,D24*100))</f>
        <v>400</v>
      </c>
      <c r="P23" s="220">
        <f>(OVref*D26)/(D24-OVref)</f>
        <v>213.85714285714286</v>
      </c>
      <c r="R23" s="92"/>
      <c r="S23" s="92"/>
    </row>
    <row r="24" spans="1:20" s="91" customFormat="1" ht="18" customHeight="1" x14ac:dyDescent="0.3">
      <c r="B24" s="159" t="s">
        <v>219</v>
      </c>
      <c r="C24" s="160" t="s">
        <v>220</v>
      </c>
      <c r="D24" s="161">
        <f>UVset</f>
        <v>4</v>
      </c>
      <c r="E24" s="162"/>
      <c r="F24" s="163"/>
      <c r="G24" s="90"/>
      <c r="J24" s="93">
        <f>D33</f>
        <v>3.6532694050752319</v>
      </c>
      <c r="K24" s="94" t="s">
        <v>78</v>
      </c>
      <c r="L24" s="95">
        <f t="shared" ref="L24" si="0">IF(D25&gt;=100,D25,IF(D25&gt;=10,D25*10,D25*100))</f>
        <v>260</v>
      </c>
      <c r="R24" s="92"/>
      <c r="S24" s="92"/>
      <c r="T24" s="96"/>
    </row>
    <row r="25" spans="1:20" s="91" customFormat="1" ht="18" customHeight="1" x14ac:dyDescent="0.3">
      <c r="B25" s="164" t="s">
        <v>221</v>
      </c>
      <c r="C25" s="165" t="s">
        <v>222</v>
      </c>
      <c r="D25" s="166">
        <f>D7</f>
        <v>26</v>
      </c>
      <c r="E25" s="167"/>
      <c r="F25" s="168"/>
      <c r="G25" s="90"/>
      <c r="J25" s="93">
        <f>D32</f>
        <v>3.9853848055366159</v>
      </c>
      <c r="K25" s="94" t="s">
        <v>91</v>
      </c>
      <c r="R25" s="92"/>
      <c r="S25" s="92"/>
      <c r="T25" s="97"/>
    </row>
    <row r="26" spans="1:20" s="91" customFormat="1" ht="18" customHeight="1" x14ac:dyDescent="0.3">
      <c r="B26" s="164" t="s">
        <v>223</v>
      </c>
      <c r="C26" s="165" t="s">
        <v>224</v>
      </c>
      <c r="D26" s="169">
        <v>499</v>
      </c>
      <c r="E26" s="25" t="s">
        <v>18</v>
      </c>
      <c r="F26" s="170">
        <v>0.01</v>
      </c>
      <c r="G26" s="90"/>
      <c r="J26" s="93">
        <f>D34</f>
        <v>25.979200093999069</v>
      </c>
      <c r="K26" s="140" t="s">
        <v>173</v>
      </c>
      <c r="L26" s="99">
        <f>INDEX('Res EIA Tables'!E$5:E$197,2+MATCH(L24,'Res EIA Tables'!E$5:E$197))</f>
        <v>261</v>
      </c>
      <c r="R26" s="92"/>
      <c r="S26" s="92"/>
    </row>
    <row r="27" spans="1:20" s="96" customFormat="1" ht="18" customHeight="1" x14ac:dyDescent="0.3">
      <c r="A27" s="91"/>
      <c r="B27" s="164" t="s">
        <v>225</v>
      </c>
      <c r="C27" s="165" t="s">
        <v>226</v>
      </c>
      <c r="D27" s="171">
        <f>P23-D28</f>
        <v>180.95604395604397</v>
      </c>
      <c r="E27" s="27" t="s">
        <v>18</v>
      </c>
      <c r="F27" s="172"/>
      <c r="G27" s="98"/>
      <c r="M27" s="91"/>
      <c r="N27" s="91"/>
      <c r="O27" s="91"/>
      <c r="P27" s="91"/>
      <c r="Q27" s="91"/>
      <c r="R27" s="92"/>
      <c r="S27" s="92"/>
      <c r="T27" s="91"/>
    </row>
    <row r="28" spans="1:20" s="97" customFormat="1" ht="18" customHeight="1" x14ac:dyDescent="0.3">
      <c r="A28" s="96"/>
      <c r="B28" s="164" t="s">
        <v>227</v>
      </c>
      <c r="C28" s="165" t="s">
        <v>226</v>
      </c>
      <c r="D28" s="171">
        <f>(D26+P23)*OVref/D25</f>
        <v>32.901098901098905</v>
      </c>
      <c r="E28" s="27" t="s">
        <v>18</v>
      </c>
      <c r="F28" s="173"/>
      <c r="G28" s="100"/>
      <c r="M28" s="91"/>
      <c r="N28" s="91"/>
      <c r="O28" s="91"/>
      <c r="P28" s="91"/>
      <c r="Q28" s="91"/>
      <c r="R28" s="92"/>
      <c r="S28" s="92"/>
      <c r="T28" s="91"/>
    </row>
    <row r="29" spans="1:20" s="91" customFormat="1" ht="18" customHeight="1" x14ac:dyDescent="0.3">
      <c r="A29" s="97"/>
      <c r="B29" s="247" t="s">
        <v>228</v>
      </c>
      <c r="C29" s="248"/>
      <c r="D29" s="174"/>
      <c r="E29" s="174"/>
      <c r="F29" s="173"/>
      <c r="G29" s="101"/>
      <c r="R29" s="92"/>
      <c r="S29" s="92"/>
    </row>
    <row r="30" spans="1:20" s="91" customFormat="1" ht="18" customHeight="1" x14ac:dyDescent="0.3">
      <c r="B30" s="164" t="s">
        <v>229</v>
      </c>
      <c r="C30" s="165" t="s">
        <v>230</v>
      </c>
      <c r="D30" s="175">
        <f>G30</f>
        <v>181.99999999999997</v>
      </c>
      <c r="E30" s="27" t="s">
        <v>18</v>
      </c>
      <c r="F30" s="176">
        <v>0.01</v>
      </c>
      <c r="G30" s="264">
        <f>L42/L41*D27</f>
        <v>181.99999999999997</v>
      </c>
      <c r="R30" s="92"/>
      <c r="S30" s="92"/>
    </row>
    <row r="31" spans="1:20" ht="18" customHeight="1" x14ac:dyDescent="0.3">
      <c r="B31" s="164" t="s">
        <v>231</v>
      </c>
      <c r="C31" s="165" t="s">
        <v>232</v>
      </c>
      <c r="D31" s="175">
        <f>G31</f>
        <v>32.979272813487889</v>
      </c>
      <c r="E31" s="27" t="s">
        <v>18</v>
      </c>
      <c r="F31" s="176">
        <v>0.01</v>
      </c>
      <c r="G31" s="156">
        <f>L44/L43*D28</f>
        <v>32.979272813487889</v>
      </c>
    </row>
    <row r="32" spans="1:20" ht="18" customHeight="1" x14ac:dyDescent="0.3">
      <c r="B32" s="164" t="s">
        <v>106</v>
      </c>
      <c r="C32" s="165" t="s">
        <v>108</v>
      </c>
      <c r="D32" s="177">
        <f>OVref*(D26+D30+D31)/(D30+D31)</f>
        <v>3.9853848055366159</v>
      </c>
      <c r="E32" s="27" t="s">
        <v>6</v>
      </c>
      <c r="F32" s="178"/>
    </row>
    <row r="33" spans="2:19" ht="18" customHeight="1" x14ac:dyDescent="0.3">
      <c r="B33" s="164" t="s">
        <v>107</v>
      </c>
      <c r="C33" s="165" t="s">
        <v>109</v>
      </c>
      <c r="D33" s="177">
        <f>UVref*(D26+D30+D31)/(D30+D31)</f>
        <v>3.6532694050752319</v>
      </c>
      <c r="E33" s="27" t="s">
        <v>6</v>
      </c>
      <c r="F33" s="178"/>
    </row>
    <row r="34" spans="2:19" ht="18" customHeight="1" x14ac:dyDescent="0.3">
      <c r="B34" s="164" t="s">
        <v>233</v>
      </c>
      <c r="C34" s="165" t="s">
        <v>218</v>
      </c>
      <c r="D34" s="177">
        <f>OVref*(D26+D30+D31)/(D31)</f>
        <v>25.979200093999069</v>
      </c>
      <c r="E34" s="27" t="s">
        <v>6</v>
      </c>
      <c r="F34" s="178"/>
    </row>
    <row r="35" spans="2:19" ht="18" customHeight="1" x14ac:dyDescent="0.3">
      <c r="B35" s="164" t="s">
        <v>234</v>
      </c>
      <c r="C35" s="165" t="s">
        <v>235</v>
      </c>
      <c r="D35" s="177">
        <f>UVref*(D26+D30+D31)/(D31)</f>
        <v>23.814266752832481</v>
      </c>
      <c r="E35" s="27" t="s">
        <v>6</v>
      </c>
      <c r="F35" s="178"/>
    </row>
    <row r="36" spans="2:19" ht="18" customHeight="1" thickBot="1" x14ac:dyDescent="0.35">
      <c r="B36" s="179" t="s">
        <v>236</v>
      </c>
      <c r="C36" s="180" t="s">
        <v>237</v>
      </c>
      <c r="D36" s="181">
        <f>D6*1000/(D26+D30+D31)</f>
        <v>35.015022076881387</v>
      </c>
      <c r="E36" s="182" t="s">
        <v>7</v>
      </c>
      <c r="F36" s="183"/>
    </row>
    <row r="41" spans="2:19" ht="18" customHeight="1" x14ac:dyDescent="0.3">
      <c r="B41" s="238" t="s">
        <v>131</v>
      </c>
      <c r="C41" s="239"/>
      <c r="D41" s="57"/>
      <c r="E41" s="56"/>
      <c r="F41" s="58"/>
      <c r="J41" s="4">
        <f>Icharge</f>
        <v>4.5999999999999999E-2</v>
      </c>
      <c r="K41" s="52" t="s">
        <v>79</v>
      </c>
      <c r="L41" s="73">
        <f>IF(D27&gt;=10000,D27/100,IF(D27&gt;=1000,D27/10,IF(D27&gt;=100,D27,IF(D27&gt;=10,D27*10,D27*100))))</f>
        <v>180.95604395604397</v>
      </c>
    </row>
    <row r="42" spans="2:19" ht="18" customHeight="1" x14ac:dyDescent="0.3">
      <c r="B42" s="59" t="s">
        <v>135</v>
      </c>
      <c r="C42" s="76" t="s">
        <v>17</v>
      </c>
      <c r="D42" s="21">
        <f>1460/(Ilimit-0.11)</f>
        <v>67.93857608189856</v>
      </c>
      <c r="E42" s="25" t="s">
        <v>50</v>
      </c>
      <c r="F42" s="26"/>
      <c r="J42" s="4">
        <f>Ilimit_final</f>
        <v>21.549060205580027</v>
      </c>
      <c r="K42" s="52" t="s">
        <v>80</v>
      </c>
      <c r="L42" s="1">
        <f>INDEX('Res EIA Tables'!E$5:E$197,2+MATCH(L41,'Res EIA Tables'!E$5:E$197))</f>
        <v>182</v>
      </c>
    </row>
    <row r="43" spans="2:19" ht="21.75" customHeight="1" x14ac:dyDescent="0.3">
      <c r="B43" s="60" t="s">
        <v>133</v>
      </c>
      <c r="C43" s="80"/>
      <c r="D43" s="64"/>
      <c r="E43" s="25"/>
      <c r="F43" s="26"/>
      <c r="L43" s="1">
        <f>IF(D42&gt;=10000,D42/100,IF(D42&gt;=1000,D42/10,IF(D42&gt;=100,D42,IF(D42&gt;=10,D42*10,D42*100))))</f>
        <v>679.38576081898555</v>
      </c>
    </row>
    <row r="44" spans="2:19" ht="18" customHeight="1" x14ac:dyDescent="0.3">
      <c r="B44" s="61" t="s">
        <v>132</v>
      </c>
      <c r="C44" s="81" t="s">
        <v>134</v>
      </c>
      <c r="D44" s="124">
        <f>G44</f>
        <v>68.100000000000009</v>
      </c>
      <c r="E44" s="25" t="s">
        <v>50</v>
      </c>
      <c r="F44" s="41">
        <v>0.01</v>
      </c>
      <c r="G44" s="265">
        <f>L44*D42/L43</f>
        <v>68.100000000000009</v>
      </c>
      <c r="L44" s="1">
        <f>INDEX('Res EIA Tables'!E$5:E$197,2+MATCH(L43,'Res EIA Tables'!E$5:E$197))</f>
        <v>681</v>
      </c>
    </row>
    <row r="45" spans="2:19" ht="18" customHeight="1" x14ac:dyDescent="0.3">
      <c r="B45" s="65" t="s">
        <v>15</v>
      </c>
      <c r="C45" s="84" t="s">
        <v>16</v>
      </c>
      <c r="D45" s="46">
        <f>((1460/RILIM)+0.11)</f>
        <v>21.549060205580027</v>
      </c>
      <c r="E45" s="48" t="s">
        <v>4</v>
      </c>
      <c r="F45" s="49">
        <f>SQRT(((27.875*((1460/D44)+0.11)^-0.459)/100)^2+F44^2)</f>
        <v>6.8834046688113243E-2</v>
      </c>
      <c r="G45" s="266">
        <f>((1460/G44)+0.11)*(100-(27.875*((1460/G44)+0.11)^-0.459))/100</f>
        <v>20.08148757085598</v>
      </c>
      <c r="H45" s="219" t="s">
        <v>4</v>
      </c>
    </row>
    <row r="46" spans="2:19" ht="21.75" customHeight="1" x14ac:dyDescent="0.3">
      <c r="L46" s="4"/>
      <c r="R46" s="1"/>
      <c r="S46" s="1"/>
    </row>
    <row r="47" spans="2:19" ht="18" customHeight="1" x14ac:dyDescent="0.3">
      <c r="B47" s="235" t="s">
        <v>136</v>
      </c>
      <c r="C47" s="235"/>
      <c r="D47" s="235"/>
      <c r="E47" s="235"/>
      <c r="F47" s="122"/>
      <c r="G47" s="54"/>
      <c r="L47" s="73">
        <f>IF(G48&gt;=100,G48,IF(G48&gt;=10,G48*10,G48*100))</f>
        <v>381.94021439347421</v>
      </c>
      <c r="M47" s="73"/>
      <c r="R47" s="1"/>
      <c r="S47" s="1"/>
    </row>
    <row r="48" spans="2:19" ht="18" customHeight="1" x14ac:dyDescent="0.3">
      <c r="B48" s="63" t="s">
        <v>137</v>
      </c>
      <c r="C48" s="63" t="s">
        <v>138</v>
      </c>
      <c r="D48" s="21">
        <f>Vimon_max/(Ilimit_final*243*10^-6)</f>
        <v>381.94021439347421</v>
      </c>
      <c r="E48" s="25" t="s">
        <v>50</v>
      </c>
      <c r="F48" s="26"/>
      <c r="G48" s="267">
        <f>D48</f>
        <v>381.94021439347421</v>
      </c>
      <c r="L48" s="73">
        <f>IF(L47&gt;1000,INDEX('Res EIA Tables'!E$5:E$197,MATCH(L47/10,'Res EIA Tables'!E$5:E$197))*10,INDEX('Res EIA Tables'!E$5:E$197,MATCH(L47,'Res EIA Tables'!E$5:E$197)))</f>
        <v>374</v>
      </c>
      <c r="R48" s="1"/>
      <c r="S48" s="1"/>
    </row>
    <row r="49" spans="1:20" s="47" customFormat="1" ht="18" customHeight="1" x14ac:dyDescent="0.3">
      <c r="A49" s="1"/>
      <c r="B49" s="61" t="s">
        <v>139</v>
      </c>
      <c r="C49" s="61" t="s">
        <v>140</v>
      </c>
      <c r="D49" s="38">
        <f>G49</f>
        <v>374</v>
      </c>
      <c r="E49" s="27" t="s">
        <v>50</v>
      </c>
      <c r="F49" s="42">
        <v>0.01</v>
      </c>
      <c r="G49" s="156">
        <f>L48*G48/L47</f>
        <v>374</v>
      </c>
      <c r="L49" s="123"/>
    </row>
    <row r="50" spans="1:20" ht="18" customHeight="1" x14ac:dyDescent="0.3">
      <c r="A50" s="47"/>
      <c r="B50" s="62" t="s">
        <v>143</v>
      </c>
      <c r="C50" s="62" t="s">
        <v>141</v>
      </c>
      <c r="D50" s="46">
        <f>(Ilimit_final*RMON_sel*243*10^-6)</f>
        <v>1.958421689603524</v>
      </c>
      <c r="E50" s="48" t="s">
        <v>6</v>
      </c>
      <c r="F50" s="49">
        <f>SQRT(F129^2+F49^2)</f>
        <v>3.1622776601683791E-2</v>
      </c>
      <c r="G50" s="53"/>
      <c r="L50" s="4"/>
      <c r="R50" s="1"/>
      <c r="S50" s="1"/>
    </row>
    <row r="51" spans="1:20" ht="17.7" customHeight="1" x14ac:dyDescent="0.3">
      <c r="B51" s="242" t="s">
        <v>142</v>
      </c>
      <c r="C51" s="243"/>
      <c r="D51" s="142" t="str">
        <f>IF(D50&gt;D21,"VIMON is Outside limits of uC interface", "VIMON is Within Limits")</f>
        <v>VIMON is Within Limits</v>
      </c>
      <c r="E51" s="141"/>
      <c r="F51" s="141"/>
    </row>
    <row r="52" spans="1:20" x14ac:dyDescent="0.3">
      <c r="T52" s="47"/>
    </row>
    <row r="53" spans="1:20" ht="18" customHeight="1" x14ac:dyDescent="0.3">
      <c r="B53" s="235" t="s">
        <v>98</v>
      </c>
      <c r="C53" s="235"/>
      <c r="D53" s="57"/>
      <c r="E53" s="56"/>
      <c r="F53" s="58"/>
      <c r="T53" s="47"/>
    </row>
    <row r="54" spans="1:20" ht="18" customHeight="1" x14ac:dyDescent="0.3">
      <c r="B54" s="66" t="s">
        <v>0</v>
      </c>
      <c r="C54" s="85" t="s">
        <v>1</v>
      </c>
      <c r="D54" s="67" t="s">
        <v>2</v>
      </c>
      <c r="E54" s="68" t="s">
        <v>3</v>
      </c>
      <c r="F54" s="66" t="s">
        <v>61</v>
      </c>
      <c r="T54" s="47"/>
    </row>
    <row r="55" spans="1:20" s="47" customFormat="1" ht="18" customHeight="1" x14ac:dyDescent="0.3">
      <c r="A55" s="1"/>
      <c r="B55" s="59" t="s">
        <v>99</v>
      </c>
      <c r="C55" s="76" t="s">
        <v>166</v>
      </c>
      <c r="D55" s="23">
        <f>Vcc_nom/7.35</f>
        <v>2.0408163265306123</v>
      </c>
      <c r="E55" s="27" t="s">
        <v>5</v>
      </c>
      <c r="F55" s="29">
        <v>0.15</v>
      </c>
      <c r="G55" s="32"/>
      <c r="M55" s="1"/>
      <c r="N55" s="1"/>
      <c r="O55" s="1"/>
      <c r="P55" s="1"/>
      <c r="Q55" s="1"/>
      <c r="R55" s="5"/>
      <c r="S55" s="5"/>
      <c r="T55" s="1"/>
    </row>
    <row r="56" spans="1:20" s="47" customFormat="1" ht="27" customHeight="1" x14ac:dyDescent="0.3">
      <c r="B56" s="59" t="s">
        <v>81</v>
      </c>
      <c r="C56" s="76" t="s">
        <v>86</v>
      </c>
      <c r="D56" s="23">
        <f>MIN(Cout*(Vcc_nom/D55)/1000, Ilimit_final)</f>
        <v>0.45569999999999999</v>
      </c>
      <c r="E56" s="27" t="s">
        <v>4</v>
      </c>
      <c r="F56" s="29"/>
      <c r="G56" s="32"/>
      <c r="M56" s="1"/>
      <c r="N56" s="1"/>
      <c r="O56" s="1"/>
      <c r="P56" s="1"/>
      <c r="Q56" s="1"/>
      <c r="R56"/>
      <c r="S56" s="5"/>
      <c r="T56" s="1"/>
    </row>
    <row r="57" spans="1:20" ht="18" customHeight="1" x14ac:dyDescent="0.3">
      <c r="B57" s="55" t="s">
        <v>55</v>
      </c>
      <c r="C57" s="78" t="s">
        <v>56</v>
      </c>
      <c r="D57" s="39">
        <v>20</v>
      </c>
      <c r="E57" s="27" t="s">
        <v>5</v>
      </c>
      <c r="F57" s="28"/>
      <c r="M57" s="47"/>
      <c r="N57" s="47"/>
      <c r="O57" s="47"/>
      <c r="P57" s="47"/>
      <c r="Q57" s="47"/>
      <c r="R57"/>
      <c r="S57" s="89"/>
    </row>
    <row r="58" spans="1:20" ht="18" customHeight="1" x14ac:dyDescent="0.3">
      <c r="B58" s="55" t="s">
        <v>57</v>
      </c>
      <c r="C58" s="78" t="s">
        <v>82</v>
      </c>
      <c r="D58" s="39">
        <v>1</v>
      </c>
      <c r="E58" s="27" t="s">
        <v>4</v>
      </c>
      <c r="F58" s="28"/>
      <c r="M58" s="47"/>
      <c r="N58" s="47"/>
      <c r="O58" s="47"/>
      <c r="P58" s="47"/>
      <c r="Q58" s="47"/>
      <c r="R58"/>
      <c r="S58" s="89"/>
    </row>
    <row r="59" spans="1:20" ht="18" customHeight="1" x14ac:dyDescent="0.3">
      <c r="B59" s="59" t="s">
        <v>87</v>
      </c>
      <c r="C59" s="76" t="s">
        <v>167</v>
      </c>
      <c r="D59" s="30">
        <f>IF(Tchg_req&lt;Tchg_fastest,    0,  (4600*Tchg_req/Vcc_nom)/1000)</f>
        <v>6.1333333333333329</v>
      </c>
      <c r="E59" s="27" t="s">
        <v>8</v>
      </c>
      <c r="F59" s="28"/>
      <c r="R59"/>
    </row>
    <row r="60" spans="1:20" ht="18" customHeight="1" x14ac:dyDescent="0.3">
      <c r="B60" s="59" t="s">
        <v>88</v>
      </c>
      <c r="C60" s="76" t="s">
        <v>168</v>
      </c>
      <c r="D60" s="30">
        <f>(4600*(Cout/1000)/Icharge_req)/1000</f>
        <v>0.28520000000000001</v>
      </c>
      <c r="E60" s="27" t="s">
        <v>8</v>
      </c>
      <c r="F60" s="28"/>
      <c r="G60" s="268">
        <f>MAX(Cdvdt_ext_cal1,Cext_dvdt_cal2)</f>
        <v>6.1333333333333329</v>
      </c>
      <c r="R60"/>
    </row>
    <row r="61" spans="1:20" ht="15.6" x14ac:dyDescent="0.3">
      <c r="B61" s="60" t="s">
        <v>89</v>
      </c>
      <c r="C61" s="80"/>
      <c r="D61" s="22"/>
      <c r="E61" s="27"/>
      <c r="F61" s="28"/>
      <c r="R61"/>
    </row>
    <row r="62" spans="1:20" ht="15.6" x14ac:dyDescent="0.3">
      <c r="B62" s="61" t="s">
        <v>90</v>
      </c>
      <c r="C62" s="81" t="s">
        <v>169</v>
      </c>
      <c r="D62" s="38">
        <f>G62</f>
        <v>6.2</v>
      </c>
      <c r="E62" s="27" t="s">
        <v>8</v>
      </c>
      <c r="F62" s="42">
        <v>0.1</v>
      </c>
      <c r="G62" s="269">
        <f>IF(G60&gt;1,    INDEX('Cap Tables'!B4:B75,1+MATCH(G60,'Cap Tables'!B4:B75)),     INDEX('Cap Tables'!A4:A75,1+MATCH(G60*10,'Cap Tables'!A4:A75))/10)</f>
        <v>6.2</v>
      </c>
      <c r="R62"/>
    </row>
    <row r="63" spans="1:20" ht="18" customHeight="1" x14ac:dyDescent="0.3">
      <c r="B63" s="65" t="s">
        <v>58</v>
      </c>
      <c r="C63" s="84" t="s">
        <v>92</v>
      </c>
      <c r="D63" s="46">
        <f>(Cout/1000)*(4600/(Cdvdt_ext*1000))</f>
        <v>4.5999999999999999E-2</v>
      </c>
      <c r="E63" s="48" t="s">
        <v>4</v>
      </c>
      <c r="F63" s="49">
        <f>SQRT(F55^2+F62^2)</f>
        <v>0.18027756377319948</v>
      </c>
      <c r="G63" s="75"/>
      <c r="R63" s="2"/>
    </row>
    <row r="64" spans="1:20" ht="20.25" customHeight="1" x14ac:dyDescent="0.3">
      <c r="B64" s="65" t="s">
        <v>83</v>
      </c>
      <c r="C64" s="84"/>
      <c r="D64" s="46" t="b">
        <f>((Icharge+Vcc_nom/Rlstart) &gt;= Ilimit_final)</f>
        <v>0</v>
      </c>
      <c r="E64" s="48"/>
      <c r="F64" s="49"/>
      <c r="G64" s="270">
        <f>Cout*0.001*Rlstart*(Ilimit_final/Icharge -1+LN(Icharge/(Ilimit_final-Vcc_nom/Rlstart)))</f>
        <v>686.47067165246801</v>
      </c>
      <c r="R64"/>
    </row>
    <row r="65" spans="2:19" ht="18" customHeight="1" x14ac:dyDescent="0.3">
      <c r="B65" s="65" t="s">
        <v>93</v>
      </c>
      <c r="C65" s="84" t="s">
        <v>36</v>
      </c>
      <c r="D65" s="46">
        <f>IF(D64, G64, ((Cdvdt_ext*1000*Vcc_nom)/(4600)))</f>
        <v>20.217391304347824</v>
      </c>
      <c r="E65" s="48" t="s">
        <v>5</v>
      </c>
      <c r="F65" s="49">
        <f>SQRT(F62^2+F55^2)</f>
        <v>0.18027756377319948</v>
      </c>
      <c r="G65" s="53"/>
      <c r="R65"/>
    </row>
    <row r="66" spans="2:19" ht="18" customHeight="1" x14ac:dyDescent="0.3">
      <c r="B66" s="59" t="s">
        <v>94</v>
      </c>
      <c r="C66" s="76" t="s">
        <v>59</v>
      </c>
      <c r="D66" s="21">
        <f>0.5*Vcc_nom*Icharge</f>
        <v>0.34499999999999997</v>
      </c>
      <c r="E66" s="25" t="s">
        <v>32</v>
      </c>
      <c r="F66" s="26"/>
      <c r="R66"/>
    </row>
    <row r="67" spans="2:19" ht="18" customHeight="1" x14ac:dyDescent="0.3">
      <c r="R67"/>
    </row>
    <row r="68" spans="2:19" ht="16.2" customHeight="1" x14ac:dyDescent="0.3">
      <c r="B68" s="235" t="s">
        <v>48</v>
      </c>
      <c r="C68" s="235"/>
      <c r="D68" s="235"/>
      <c r="E68" s="235"/>
      <c r="F68" s="58"/>
      <c r="R68"/>
    </row>
    <row r="69" spans="2:19" ht="18" customHeight="1" x14ac:dyDescent="0.3">
      <c r="B69" s="59" t="s">
        <v>51</v>
      </c>
      <c r="C69" s="76" t="s">
        <v>60</v>
      </c>
      <c r="D69" s="21">
        <f>(1/6)*(Vcc_nom^2)/Rlstart</f>
        <v>1.5625</v>
      </c>
      <c r="E69" s="27" t="s">
        <v>32</v>
      </c>
      <c r="F69" s="28"/>
      <c r="R69"/>
    </row>
    <row r="70" spans="2:19" ht="27" customHeight="1" x14ac:dyDescent="0.3">
      <c r="B70" s="59" t="s">
        <v>53</v>
      </c>
      <c r="C70" s="76" t="s">
        <v>52</v>
      </c>
      <c r="D70" s="21">
        <f>D66+D69</f>
        <v>1.9075</v>
      </c>
      <c r="E70" s="27" t="s">
        <v>32</v>
      </c>
      <c r="F70" s="28"/>
      <c r="L70" s="218">
        <f>(D65/1679.1)^(-1/1.946)</f>
        <v>9.6896030074412796</v>
      </c>
      <c r="M70" s="219">
        <f>INDEX('LUT "TSD vs PD start-up"'!C2:D21,MATCH(Tchg_dvdt,'LUT "TSD vs PD start-up"'!D2:D21,-1),1)</f>
        <v>9.2799999999999994</v>
      </c>
      <c r="R70"/>
    </row>
    <row r="71" spans="2:19" ht="28.8" x14ac:dyDescent="0.3">
      <c r="B71" s="59"/>
      <c r="C71" s="76" t="s">
        <v>110</v>
      </c>
      <c r="D71" s="21">
        <f>G71*0.8</f>
        <v>7.7516824059530238</v>
      </c>
      <c r="E71" s="27" t="s">
        <v>32</v>
      </c>
      <c r="F71" s="29">
        <v>0.2</v>
      </c>
      <c r="G71" s="263">
        <f>IF(Vcc_nom &gt;16.5, L71,L70)</f>
        <v>9.6896030074412796</v>
      </c>
      <c r="H71" s="125"/>
      <c r="I71" s="125"/>
      <c r="J71" s="121"/>
      <c r="K71" s="121"/>
      <c r="L71" s="218">
        <f>(D65/467.3)^(-1/1.661)</f>
        <v>6.6239063963765155</v>
      </c>
      <c r="M71" s="219">
        <f>INDEX('LUT "TSD vs PD start-up"'!A2:B24,MATCH(Tchg_dvdt,'LUT "TSD vs PD start-up"'!B2:B24,-1),1)</f>
        <v>6.69</v>
      </c>
      <c r="R71"/>
    </row>
    <row r="72" spans="2:19" ht="37.200000000000003" customHeight="1" x14ac:dyDescent="0.3">
      <c r="B72" s="59"/>
      <c r="C72" s="104" t="s">
        <v>112</v>
      </c>
      <c r="D72" s="240" t="str">
        <f>IF(D70&lt;(D71),"YES","NO, Increase Rlstart and/or Tchg_req; and/or Reduce Cout")</f>
        <v>YES</v>
      </c>
      <c r="E72" s="241"/>
      <c r="F72" s="241"/>
      <c r="G72" s="241"/>
      <c r="H72" s="241"/>
      <c r="I72" s="241"/>
      <c r="J72" s="241"/>
      <c r="R72"/>
    </row>
    <row r="73" spans="2:19" ht="18" customHeight="1" x14ac:dyDescent="0.3">
      <c r="R73"/>
    </row>
    <row r="74" spans="2:19" ht="18" customHeight="1" x14ac:dyDescent="0.3">
      <c r="B74" s="235" t="s">
        <v>47</v>
      </c>
      <c r="C74" s="235"/>
      <c r="D74" s="235"/>
      <c r="E74" s="235"/>
      <c r="F74" s="58"/>
      <c r="R74"/>
    </row>
    <row r="75" spans="2:19" ht="18" customHeight="1" x14ac:dyDescent="0.3">
      <c r="B75" s="66" t="s">
        <v>0</v>
      </c>
      <c r="C75" s="85" t="s">
        <v>1</v>
      </c>
      <c r="D75" s="67" t="s">
        <v>2</v>
      </c>
      <c r="E75" s="68" t="s">
        <v>3</v>
      </c>
      <c r="F75" s="66" t="s">
        <v>61</v>
      </c>
      <c r="R75"/>
    </row>
    <row r="76" spans="2:19" ht="18" customHeight="1" x14ac:dyDescent="0.3">
      <c r="B76" s="59" t="s">
        <v>39</v>
      </c>
      <c r="C76" s="76" t="s">
        <v>41</v>
      </c>
      <c r="D76" s="21">
        <f>Imax*Rdson_25deg</f>
        <v>57.6</v>
      </c>
      <c r="E76" s="25" t="s">
        <v>40</v>
      </c>
      <c r="F76" s="26"/>
      <c r="R76"/>
    </row>
    <row r="77" spans="2:19" ht="18" customHeight="1" x14ac:dyDescent="0.3">
      <c r="B77" s="59" t="s">
        <v>84</v>
      </c>
      <c r="C77" s="76" t="s">
        <v>42</v>
      </c>
      <c r="D77" s="21">
        <f>Imax^2*Rdson_25deg</f>
        <v>1036.8</v>
      </c>
      <c r="E77" s="25" t="s">
        <v>43</v>
      </c>
      <c r="F77" s="26"/>
      <c r="R77"/>
    </row>
    <row r="78" spans="2:19" ht="21.75" customHeight="1" x14ac:dyDescent="0.3">
      <c r="B78" s="31"/>
      <c r="C78" s="86"/>
      <c r="E78" s="32"/>
      <c r="G78" s="54"/>
      <c r="L78" s="4"/>
      <c r="R78"/>
      <c r="S78" s="1"/>
    </row>
    <row r="79" spans="2:19" ht="18" customHeight="1" x14ac:dyDescent="0.3">
      <c r="B79" s="235" t="s">
        <v>145</v>
      </c>
      <c r="C79" s="235"/>
      <c r="D79" s="235"/>
      <c r="E79" s="235"/>
      <c r="F79" s="122"/>
      <c r="G79" s="54"/>
      <c r="L79" s="73"/>
      <c r="M79" s="73"/>
      <c r="R79" s="1"/>
      <c r="S79" s="1"/>
    </row>
    <row r="80" spans="2:19" ht="18" customHeight="1" x14ac:dyDescent="0.3">
      <c r="B80" s="63" t="s">
        <v>147</v>
      </c>
      <c r="C80" s="63" t="s">
        <v>146</v>
      </c>
      <c r="D80" s="21">
        <f>tITIMER/470</f>
        <v>4.2553191489361701</v>
      </c>
      <c r="E80" s="25" t="s">
        <v>8</v>
      </c>
      <c r="F80" s="26"/>
      <c r="G80" s="267">
        <f>D80</f>
        <v>4.2553191489361701</v>
      </c>
      <c r="L80" s="73"/>
      <c r="R80" s="1"/>
      <c r="S80" s="1"/>
    </row>
    <row r="81" spans="1:19" s="47" customFormat="1" ht="18.600000000000001" customHeight="1" x14ac:dyDescent="0.3">
      <c r="A81" s="1"/>
      <c r="B81" s="61" t="s">
        <v>149</v>
      </c>
      <c r="C81" s="61" t="s">
        <v>148</v>
      </c>
      <c r="D81" s="38">
        <f>G81</f>
        <v>4.3</v>
      </c>
      <c r="E81" s="27" t="s">
        <v>8</v>
      </c>
      <c r="F81" s="42">
        <v>0.1</v>
      </c>
      <c r="G81" s="156">
        <f>INDEX('Cap Tables'!B4:B75,1+MATCH(G80,'Cap Tables'!B4:B75))</f>
        <v>4.3</v>
      </c>
      <c r="L81" s="123"/>
    </row>
    <row r="82" spans="1:19" ht="18" customHeight="1" x14ac:dyDescent="0.3">
      <c r="A82" s="47"/>
      <c r="B82" s="62" t="s">
        <v>150</v>
      </c>
      <c r="C82" s="82" t="s">
        <v>151</v>
      </c>
      <c r="D82" s="143">
        <f>D81*470</f>
        <v>2021</v>
      </c>
      <c r="E82" s="48" t="s">
        <v>117</v>
      </c>
      <c r="F82" s="62"/>
      <c r="G82" s="271">
        <f>(D133/53000)/1000*10^9</f>
        <v>517.18198682560512</v>
      </c>
      <c r="H82" s="219" t="s">
        <v>8</v>
      </c>
    </row>
    <row r="83" spans="1:19" ht="21.75" customHeight="1" x14ac:dyDescent="0.3">
      <c r="E83" s="32"/>
      <c r="G83" s="156"/>
      <c r="L83" s="4"/>
      <c r="R83" s="1"/>
      <c r="S83" s="1"/>
    </row>
    <row r="84" spans="1:19" ht="18" customHeight="1" x14ac:dyDescent="0.3">
      <c r="B84" s="235" t="s">
        <v>152</v>
      </c>
      <c r="C84" s="235"/>
      <c r="D84" s="235"/>
      <c r="E84" s="235"/>
      <c r="F84" s="122"/>
      <c r="G84" s="272"/>
      <c r="L84" s="73"/>
      <c r="M84" s="73"/>
      <c r="R84" s="1"/>
      <c r="S84" s="1"/>
    </row>
    <row r="85" spans="1:19" ht="18" customHeight="1" x14ac:dyDescent="0.3">
      <c r="B85" s="63" t="s">
        <v>153</v>
      </c>
      <c r="C85" s="63" t="s">
        <v>154</v>
      </c>
      <c r="D85" s="21">
        <f>((tRETRY_DLY*1000/46.83)-4)/1000</f>
        <v>2.1313833013025838</v>
      </c>
      <c r="E85" s="25" t="s">
        <v>8</v>
      </c>
      <c r="F85" s="26"/>
      <c r="G85" s="267">
        <f>D85</f>
        <v>2.1313833013025838</v>
      </c>
      <c r="L85" s="73"/>
      <c r="R85" s="1"/>
      <c r="S85" s="1"/>
    </row>
    <row r="86" spans="1:19" s="47" customFormat="1" ht="18.75" customHeight="1" x14ac:dyDescent="0.3">
      <c r="A86" s="1"/>
      <c r="B86" s="61" t="s">
        <v>156</v>
      </c>
      <c r="C86" s="61" t="s">
        <v>155</v>
      </c>
      <c r="D86" s="38">
        <f>G86</f>
        <v>2.2000000000000002</v>
      </c>
      <c r="E86" s="27" t="s">
        <v>8</v>
      </c>
      <c r="F86" s="42">
        <v>0.1</v>
      </c>
      <c r="G86" s="156">
        <f>IF(G85&gt;1,    INDEX('Cap Tables'!B4:B75,1+MATCH(G85,'Cap Tables'!B4:B75)),     INDEX('Cap Tables'!A4:A75,1+MATCH(G85*10,'Cap Tables'!A4:A75))/10)</f>
        <v>2.2000000000000002</v>
      </c>
      <c r="L86" s="123"/>
    </row>
    <row r="87" spans="1:19" ht="18" customHeight="1" x14ac:dyDescent="0.3">
      <c r="A87" s="47"/>
      <c r="B87" s="62" t="s">
        <v>157</v>
      </c>
      <c r="C87" s="82" t="s">
        <v>123</v>
      </c>
      <c r="D87" s="46">
        <f>((D86*1000+4)*46.83)/1000</f>
        <v>103.21332</v>
      </c>
      <c r="E87" s="48" t="s">
        <v>5</v>
      </c>
      <c r="F87" s="62"/>
      <c r="G87" s="273"/>
      <c r="L87" s="73"/>
      <c r="M87" s="73"/>
      <c r="R87" s="1"/>
      <c r="S87" s="1"/>
    </row>
    <row r="88" spans="1:19" ht="18" customHeight="1" x14ac:dyDescent="0.3">
      <c r="B88" s="63" t="s">
        <v>214</v>
      </c>
      <c r="C88" s="63" t="s">
        <v>158</v>
      </c>
      <c r="D88" s="21">
        <f>IF(NRETRY="Infinite", "Short to Gnd", NRETRY*(D86*1000+4)/4000)</f>
        <v>2.2040000000000002</v>
      </c>
      <c r="E88" s="25" t="s">
        <v>8</v>
      </c>
      <c r="F88" s="26"/>
      <c r="G88" s="263">
        <f>IF(D88 ="Short to Gnd", "Short to Gnd", 0.9*D88)</f>
        <v>1.9836000000000003</v>
      </c>
      <c r="L88" s="73"/>
      <c r="R88" s="1"/>
      <c r="S88" s="1"/>
    </row>
    <row r="89" spans="1:19" s="47" customFormat="1" ht="18.75" customHeight="1" x14ac:dyDescent="0.3">
      <c r="A89" s="1"/>
      <c r="B89" s="61" t="s">
        <v>215</v>
      </c>
      <c r="C89" s="61" t="s">
        <v>159</v>
      </c>
      <c r="D89" s="124">
        <f>G89</f>
        <v>1.8</v>
      </c>
      <c r="E89" s="27" t="s">
        <v>8</v>
      </c>
      <c r="F89" s="42">
        <v>0.1</v>
      </c>
      <c r="G89" s="156">
        <f>IF(D88 ="Short to Gnd", "Short to Gnd", INDEX('Cap Tables'!B4:B75,MATCH(G88,'Cap Tables'!B4:B75)))</f>
        <v>1.8</v>
      </c>
      <c r="H89" s="275">
        <f>4*D89*1000/(D86*1000+4)</f>
        <v>3.266787658802178</v>
      </c>
      <c r="L89" s="123"/>
    </row>
    <row r="90" spans="1:19" ht="18" customHeight="1" x14ac:dyDescent="0.3">
      <c r="A90" s="47"/>
      <c r="B90" s="62" t="s">
        <v>160</v>
      </c>
      <c r="C90" s="82" t="s">
        <v>161</v>
      </c>
      <c r="D90" s="143">
        <f>H90</f>
        <v>4</v>
      </c>
      <c r="E90" s="48"/>
      <c r="F90" s="62"/>
      <c r="G90" s="274">
        <f>IF(D89="Short to Gnd", "Infinite", 1024*((Ncalc/1024)-TRUNC(Ncalc/1024)))</f>
        <v>3.266787658802178</v>
      </c>
      <c r="H90" s="276">
        <f>Nretry!F5</f>
        <v>4</v>
      </c>
    </row>
    <row r="91" spans="1:19" ht="21.75" customHeight="1" x14ac:dyDescent="0.3">
      <c r="E91" s="32"/>
      <c r="L91" s="4"/>
      <c r="R91" s="1"/>
      <c r="S91" s="1"/>
    </row>
    <row r="92" spans="1:19" ht="18" customHeight="1" x14ac:dyDescent="0.3">
      <c r="E92" s="32"/>
    </row>
    <row r="93" spans="1:19" ht="18" customHeight="1" x14ac:dyDescent="0.3">
      <c r="E93" s="32"/>
    </row>
    <row r="94" spans="1:19" ht="18" customHeight="1" x14ac:dyDescent="0.3">
      <c r="E94" s="32"/>
    </row>
    <row r="95" spans="1:19" ht="18" customHeight="1" thickBot="1" x14ac:dyDescent="0.35">
      <c r="B95" s="184" t="s">
        <v>174</v>
      </c>
      <c r="C95" s="185"/>
      <c r="D95" s="186"/>
      <c r="E95" s="187"/>
      <c r="F95" s="188"/>
      <c r="G95" s="187"/>
      <c r="H95" s="189"/>
      <c r="I95" s="189"/>
      <c r="J95" s="190"/>
    </row>
    <row r="96" spans="1:19" ht="18" customHeight="1" x14ac:dyDescent="0.25">
      <c r="B96" s="191"/>
      <c r="D96" s="147" t="s">
        <v>239</v>
      </c>
      <c r="E96" s="144">
        <f>RpUVLO</f>
        <v>4</v>
      </c>
      <c r="F96" s="32" t="s">
        <v>18</v>
      </c>
      <c r="G96" s="233" t="s">
        <v>0</v>
      </c>
      <c r="H96" s="234"/>
      <c r="I96" s="148" t="s">
        <v>189</v>
      </c>
      <c r="J96" s="192" t="s">
        <v>190</v>
      </c>
      <c r="Q96" s="5"/>
      <c r="S96" s="1"/>
    </row>
    <row r="97" spans="2:19" ht="18" customHeight="1" x14ac:dyDescent="0.3">
      <c r="B97" s="193"/>
      <c r="D97" s="147" t="s">
        <v>240</v>
      </c>
      <c r="E97" s="146">
        <f>D30</f>
        <v>181.99999999999997</v>
      </c>
      <c r="F97" s="32" t="s">
        <v>18</v>
      </c>
      <c r="G97" s="227" t="s">
        <v>191</v>
      </c>
      <c r="H97" s="228"/>
      <c r="I97" s="150">
        <f>Ilimit_final</f>
        <v>21.549060205580027</v>
      </c>
      <c r="J97" s="194" t="s">
        <v>4</v>
      </c>
      <c r="Q97" s="5"/>
      <c r="S97" s="1"/>
    </row>
    <row r="98" spans="2:19" ht="18" customHeight="1" x14ac:dyDescent="0.3">
      <c r="B98" s="193"/>
      <c r="D98" s="147" t="s">
        <v>241</v>
      </c>
      <c r="E98" s="145">
        <f>D31</f>
        <v>32.979272813487889</v>
      </c>
      <c r="F98" s="32" t="s">
        <v>18</v>
      </c>
      <c r="G98" s="223" t="s">
        <v>192</v>
      </c>
      <c r="H98" s="224"/>
      <c r="I98" s="150">
        <f>D32</f>
        <v>3.9853848055366159</v>
      </c>
      <c r="J98" s="194" t="s">
        <v>6</v>
      </c>
      <c r="Q98" s="5"/>
      <c r="S98" s="1"/>
    </row>
    <row r="99" spans="2:19" ht="18" customHeight="1" x14ac:dyDescent="0.3">
      <c r="B99" s="193"/>
      <c r="D99" s="147" t="s">
        <v>242</v>
      </c>
      <c r="E99" s="144">
        <v>2</v>
      </c>
      <c r="F99" s="32" t="s">
        <v>50</v>
      </c>
      <c r="G99" s="223" t="s">
        <v>193</v>
      </c>
      <c r="H99" s="224"/>
      <c r="I99" s="150">
        <f>D33</f>
        <v>3.6532694050752319</v>
      </c>
      <c r="J99" s="194" t="s">
        <v>6</v>
      </c>
      <c r="Q99" s="5"/>
      <c r="S99" s="1"/>
    </row>
    <row r="100" spans="2:19" ht="18" customHeight="1" x14ac:dyDescent="0.3">
      <c r="B100" s="193"/>
      <c r="D100" s="147" t="s">
        <v>175</v>
      </c>
      <c r="E100" s="144">
        <f>RILIM</f>
        <v>68.100000000000009</v>
      </c>
      <c r="F100" s="32" t="s">
        <v>50</v>
      </c>
      <c r="G100" s="229" t="s">
        <v>196</v>
      </c>
      <c r="H100" s="230"/>
      <c r="I100" s="249">
        <f>Tchg_dvdt</f>
        <v>20.217391304347824</v>
      </c>
      <c r="J100" s="251" t="s">
        <v>5</v>
      </c>
      <c r="Q100" s="5"/>
      <c r="S100" s="1"/>
    </row>
    <row r="101" spans="2:19" ht="18" customHeight="1" x14ac:dyDescent="0.3">
      <c r="B101" s="193"/>
      <c r="D101" s="147" t="s">
        <v>176</v>
      </c>
      <c r="E101" s="144">
        <f>RMON_sel</f>
        <v>374</v>
      </c>
      <c r="F101" s="32" t="s">
        <v>50</v>
      </c>
      <c r="G101" s="231"/>
      <c r="H101" s="232"/>
      <c r="I101" s="250"/>
      <c r="J101" s="252"/>
      <c r="Q101" s="5"/>
      <c r="S101" s="1"/>
    </row>
    <row r="102" spans="2:19" ht="18" customHeight="1" x14ac:dyDescent="0.3">
      <c r="B102" s="193"/>
      <c r="D102" s="147" t="s">
        <v>185</v>
      </c>
      <c r="E102" s="145">
        <v>10</v>
      </c>
      <c r="F102" s="32" t="s">
        <v>18</v>
      </c>
      <c r="G102" s="229" t="s">
        <v>197</v>
      </c>
      <c r="H102" s="230"/>
      <c r="I102" s="253">
        <f>D82</f>
        <v>2021</v>
      </c>
      <c r="J102" s="251" t="s">
        <v>117</v>
      </c>
      <c r="Q102" s="5"/>
      <c r="S102" s="1"/>
    </row>
    <row r="103" spans="2:19" ht="18" customHeight="1" x14ac:dyDescent="0.3">
      <c r="B103" s="193"/>
      <c r="D103" s="147" t="s">
        <v>177</v>
      </c>
      <c r="E103" s="145">
        <f>Cdvdt_ext</f>
        <v>6.2</v>
      </c>
      <c r="F103" s="32" t="s">
        <v>8</v>
      </c>
      <c r="G103" s="231"/>
      <c r="H103" s="232"/>
      <c r="I103" s="254"/>
      <c r="J103" s="252"/>
      <c r="Q103" s="5"/>
      <c r="S103" s="1"/>
    </row>
    <row r="104" spans="2:19" ht="18" customHeight="1" x14ac:dyDescent="0.3">
      <c r="B104" s="193"/>
      <c r="D104" s="147" t="s">
        <v>178</v>
      </c>
      <c r="E104" s="146">
        <f>D81</f>
        <v>4.3</v>
      </c>
      <c r="F104" s="32" t="s">
        <v>8</v>
      </c>
      <c r="G104" s="223" t="s">
        <v>123</v>
      </c>
      <c r="H104" s="224"/>
      <c r="I104" s="149">
        <f>IF(D17="Latch-off", "Latch-off", D87)</f>
        <v>103.21332</v>
      </c>
      <c r="J104" s="194" t="s">
        <v>5</v>
      </c>
      <c r="Q104" s="5"/>
      <c r="S104" s="1"/>
    </row>
    <row r="105" spans="2:19" ht="18" customHeight="1" x14ac:dyDescent="0.3">
      <c r="B105" s="193"/>
      <c r="D105" s="147" t="s">
        <v>179</v>
      </c>
      <c r="E105" s="146">
        <f>IF(D17="Latch-off", "Short to Gnd", D86)</f>
        <v>2.2000000000000002</v>
      </c>
      <c r="F105" s="32" t="s">
        <v>8</v>
      </c>
      <c r="G105" s="223" t="s">
        <v>161</v>
      </c>
      <c r="H105" s="224"/>
      <c r="I105" s="149">
        <f>IF(D17="Latch-off", 0, D90)</f>
        <v>4</v>
      </c>
      <c r="J105" s="194"/>
      <c r="Q105" s="5"/>
      <c r="S105" s="1"/>
    </row>
    <row r="106" spans="2:19" ht="18" customHeight="1" x14ac:dyDescent="0.3">
      <c r="B106" s="193"/>
      <c r="D106" s="147" t="s">
        <v>180</v>
      </c>
      <c r="E106" s="146">
        <f>D89</f>
        <v>1.8</v>
      </c>
      <c r="F106" s="32" t="s">
        <v>8</v>
      </c>
      <c r="G106" s="225"/>
      <c r="H106" s="226"/>
      <c r="I106" s="149"/>
      <c r="J106" s="194"/>
      <c r="Q106" s="5"/>
      <c r="S106" s="1"/>
    </row>
    <row r="107" spans="2:19" ht="18" customHeight="1" x14ac:dyDescent="0.3">
      <c r="B107" s="193"/>
      <c r="D107" s="147"/>
      <c r="E107" s="144"/>
      <c r="F107" s="32"/>
      <c r="G107" s="221" t="s">
        <v>212</v>
      </c>
      <c r="H107" s="222"/>
      <c r="I107" s="150">
        <f>D34</f>
        <v>25.979200093999069</v>
      </c>
      <c r="J107" s="88" t="s">
        <v>6</v>
      </c>
      <c r="Q107" s="5"/>
      <c r="S107" s="1"/>
    </row>
    <row r="108" spans="2:19" ht="18" customHeight="1" x14ac:dyDescent="0.3">
      <c r="B108" s="195" t="s">
        <v>181</v>
      </c>
      <c r="C108" s="79" t="s">
        <v>188</v>
      </c>
      <c r="D108" s="147" t="s">
        <v>182</v>
      </c>
      <c r="E108" s="144" t="s">
        <v>243</v>
      </c>
      <c r="F108" s="32" t="s">
        <v>11</v>
      </c>
      <c r="G108" s="1"/>
      <c r="J108" s="196"/>
      <c r="Q108" s="5"/>
      <c r="S108" s="1"/>
    </row>
    <row r="109" spans="2:19" ht="32.700000000000003" customHeight="1" x14ac:dyDescent="0.3">
      <c r="B109" s="193"/>
      <c r="C109" s="79" t="s">
        <v>194</v>
      </c>
      <c r="D109" s="147" t="s">
        <v>183</v>
      </c>
      <c r="E109" s="151" t="s">
        <v>184</v>
      </c>
      <c r="F109" s="32"/>
      <c r="G109" s="1"/>
      <c r="J109" s="196"/>
      <c r="K109" s="79"/>
      <c r="Q109" s="5"/>
      <c r="S109" s="1"/>
    </row>
    <row r="110" spans="2:19" ht="29.7" customHeight="1" x14ac:dyDescent="0.3">
      <c r="B110" s="193"/>
      <c r="C110" s="32" t="s">
        <v>195</v>
      </c>
      <c r="D110" s="147" t="s">
        <v>186</v>
      </c>
      <c r="E110" s="151" t="s">
        <v>199</v>
      </c>
      <c r="F110" s="32"/>
      <c r="G110" s="1"/>
      <c r="J110" s="196"/>
      <c r="Q110" s="5"/>
      <c r="S110" s="1"/>
    </row>
    <row r="111" spans="2:19" ht="18" customHeight="1" x14ac:dyDescent="0.3">
      <c r="B111" s="197"/>
      <c r="C111" s="198"/>
      <c r="D111" s="199" t="s">
        <v>187</v>
      </c>
      <c r="E111" s="200" t="s">
        <v>198</v>
      </c>
      <c r="F111" s="201"/>
      <c r="G111" s="202"/>
      <c r="H111" s="203"/>
      <c r="I111" s="203"/>
      <c r="J111" s="204"/>
    </row>
    <row r="112" spans="2:19" ht="18" customHeight="1" x14ac:dyDescent="0.3">
      <c r="E112" s="32"/>
    </row>
    <row r="113" spans="2:6" ht="18" customHeight="1" x14ac:dyDescent="0.3">
      <c r="B113" s="33" t="s">
        <v>20</v>
      </c>
      <c r="D113" s="4"/>
    </row>
    <row r="114" spans="2:6" ht="18" customHeight="1" x14ac:dyDescent="0.3">
      <c r="B114" s="72" t="s">
        <v>38</v>
      </c>
      <c r="D114" s="4"/>
    </row>
    <row r="115" spans="2:6" ht="18" customHeight="1" x14ac:dyDescent="0.3">
      <c r="B115" s="69" t="s">
        <v>0</v>
      </c>
      <c r="C115" s="87" t="s">
        <v>1</v>
      </c>
      <c r="D115" s="70" t="s">
        <v>2</v>
      </c>
      <c r="E115" s="71" t="s">
        <v>3</v>
      </c>
      <c r="F115" s="69" t="s">
        <v>61</v>
      </c>
    </row>
    <row r="116" spans="2:6" ht="18" customHeight="1" x14ac:dyDescent="0.3">
      <c r="B116" s="63" t="s">
        <v>21</v>
      </c>
      <c r="C116" s="83" t="s">
        <v>22</v>
      </c>
      <c r="D116" s="34">
        <v>30</v>
      </c>
      <c r="E116" s="25" t="s">
        <v>6</v>
      </c>
      <c r="F116" s="26"/>
    </row>
    <row r="117" spans="2:6" ht="18" customHeight="1" x14ac:dyDescent="0.3">
      <c r="B117" s="63" t="s">
        <v>23</v>
      </c>
      <c r="C117" s="83" t="s">
        <v>24</v>
      </c>
      <c r="D117" s="34">
        <v>18</v>
      </c>
      <c r="E117" s="25" t="s">
        <v>4</v>
      </c>
      <c r="F117" s="26"/>
    </row>
    <row r="118" spans="2:6" ht="18" customHeight="1" x14ac:dyDescent="0.3">
      <c r="B118" s="63" t="s">
        <v>28</v>
      </c>
      <c r="C118" s="83" t="s">
        <v>29</v>
      </c>
      <c r="D118" s="37">
        <v>3.2</v>
      </c>
      <c r="E118" s="25" t="s">
        <v>27</v>
      </c>
      <c r="F118" s="26"/>
    </row>
    <row r="119" spans="2:6" ht="18" customHeight="1" x14ac:dyDescent="0.3">
      <c r="B119" s="63" t="s">
        <v>26</v>
      </c>
      <c r="C119" s="83" t="s">
        <v>25</v>
      </c>
      <c r="D119" s="37">
        <v>4.5</v>
      </c>
      <c r="E119" s="25" t="s">
        <v>27</v>
      </c>
      <c r="F119" s="26"/>
    </row>
    <row r="120" spans="2:6" ht="18" customHeight="1" x14ac:dyDescent="0.3">
      <c r="B120" s="72" t="s">
        <v>37</v>
      </c>
      <c r="D120" s="4"/>
    </row>
    <row r="121" spans="2:6" ht="18" customHeight="1" x14ac:dyDescent="0.3">
      <c r="B121" s="63" t="s">
        <v>30</v>
      </c>
      <c r="C121" s="83" t="s">
        <v>163</v>
      </c>
      <c r="D121" s="34">
        <v>150</v>
      </c>
      <c r="E121" s="35" t="s">
        <v>74</v>
      </c>
      <c r="F121" s="36"/>
    </row>
    <row r="122" spans="2:6" ht="18" customHeight="1" x14ac:dyDescent="0.3">
      <c r="B122" s="63" t="s">
        <v>19</v>
      </c>
      <c r="C122" s="83" t="s">
        <v>31</v>
      </c>
      <c r="D122" s="34">
        <v>125</v>
      </c>
      <c r="E122" s="35" t="s">
        <v>74</v>
      </c>
      <c r="F122" s="36"/>
    </row>
    <row r="123" spans="2:6" ht="18" customHeight="1" x14ac:dyDescent="0.3">
      <c r="B123" s="63" t="s">
        <v>164</v>
      </c>
      <c r="C123" s="83" t="s">
        <v>33</v>
      </c>
      <c r="D123" s="34">
        <v>36.700000000000003</v>
      </c>
      <c r="E123" s="35" t="s">
        <v>75</v>
      </c>
      <c r="F123" s="36"/>
    </row>
    <row r="124" spans="2:6" ht="18" customHeight="1" x14ac:dyDescent="0.3">
      <c r="B124" s="63" t="s">
        <v>76</v>
      </c>
      <c r="C124" s="83" t="s">
        <v>34</v>
      </c>
      <c r="D124" s="34">
        <v>34.6</v>
      </c>
      <c r="E124" s="35" t="s">
        <v>75</v>
      </c>
      <c r="F124" s="36"/>
    </row>
    <row r="125" spans="2:6" ht="18" customHeight="1" x14ac:dyDescent="0.3">
      <c r="B125" s="63" t="s">
        <v>165</v>
      </c>
      <c r="C125" s="83" t="s">
        <v>35</v>
      </c>
      <c r="D125" s="34">
        <v>1.6</v>
      </c>
      <c r="E125" s="35" t="s">
        <v>75</v>
      </c>
      <c r="F125" s="36"/>
    </row>
    <row r="126" spans="2:6" ht="18" customHeight="1" x14ac:dyDescent="0.3">
      <c r="B126" s="72" t="s">
        <v>207</v>
      </c>
      <c r="D126" s="4"/>
    </row>
    <row r="127" spans="2:6" ht="18" customHeight="1" x14ac:dyDescent="0.3">
      <c r="B127" s="63" t="s">
        <v>128</v>
      </c>
      <c r="C127" s="83" t="s">
        <v>130</v>
      </c>
      <c r="D127" s="37">
        <v>1.2</v>
      </c>
      <c r="E127" s="25" t="s">
        <v>6</v>
      </c>
      <c r="F127" s="26">
        <v>2.5000000000000001E-2</v>
      </c>
    </row>
    <row r="128" spans="2:6" ht="18" customHeight="1" x14ac:dyDescent="0.3">
      <c r="B128" s="63" t="s">
        <v>129</v>
      </c>
      <c r="C128" s="83" t="s">
        <v>105</v>
      </c>
      <c r="D128" s="37">
        <v>1.1000000000000001</v>
      </c>
      <c r="E128" s="25" t="s">
        <v>6</v>
      </c>
      <c r="F128" s="26">
        <v>2.7E-2</v>
      </c>
    </row>
    <row r="129" spans="2:7" ht="18" customHeight="1" x14ac:dyDescent="0.3">
      <c r="B129" s="63" t="s">
        <v>97</v>
      </c>
      <c r="C129" s="83" t="s">
        <v>95</v>
      </c>
      <c r="D129" s="37">
        <v>243</v>
      </c>
      <c r="E129" s="25" t="s">
        <v>96</v>
      </c>
      <c r="F129" s="26">
        <v>0.03</v>
      </c>
    </row>
    <row r="130" spans="2:7" ht="18" customHeight="1" x14ac:dyDescent="0.3">
      <c r="B130" s="63" t="s">
        <v>203</v>
      </c>
      <c r="C130" s="63" t="s">
        <v>204</v>
      </c>
      <c r="D130" s="37">
        <v>4.76</v>
      </c>
      <c r="E130" s="25" t="s">
        <v>7</v>
      </c>
      <c r="F130" s="26">
        <v>0.03</v>
      </c>
    </row>
    <row r="131" spans="2:7" ht="18" customHeight="1" x14ac:dyDescent="0.3">
      <c r="B131" s="72" t="s">
        <v>208</v>
      </c>
      <c r="C131" s="1"/>
      <c r="D131" s="1"/>
      <c r="F131" s="1"/>
      <c r="G131" s="1"/>
    </row>
    <row r="132" spans="2:7" ht="18" customHeight="1" x14ac:dyDescent="0.3">
      <c r="B132" s="24" t="s">
        <v>205</v>
      </c>
      <c r="C132" s="24" t="s">
        <v>206</v>
      </c>
      <c r="D132" s="24">
        <f>(0.0663*Cdvdt_ext/3.3)*Vcc_nom+1.3153</f>
        <v>3.1837545454545451</v>
      </c>
      <c r="E132" s="24" t="s">
        <v>5</v>
      </c>
      <c r="F132" s="24"/>
    </row>
    <row r="133" spans="2:7" ht="18" customHeight="1" x14ac:dyDescent="0.3">
      <c r="B133" s="24" t="s">
        <v>209</v>
      </c>
      <c r="C133" s="24" t="s">
        <v>210</v>
      </c>
      <c r="D133" s="24">
        <f>D132+(Cdvdt_ext*(Vcc_nom+3.6)/D130)</f>
        <v>27.410645301757068</v>
      </c>
      <c r="E133" s="24" t="s">
        <v>5</v>
      </c>
      <c r="F133" s="24"/>
    </row>
  </sheetData>
  <sheetProtection algorithmName="SHA-512" hashValue="00K4u45yFn/rU8Iq09QGD+2AhSBCMxuRrbdqOhAZXoD0tZgpbzhaF1pfETKFIJREGnTv7M2/D0r8cULWHmvRsw==" saltValue="q4Ah5XRUN6+rlCkUjqcY0w==" spinCount="100000" sheet="1" formatCells="0" formatColumns="0" formatRows="0"/>
  <protectedRanges>
    <protectedRange sqref="D14:D19 D21 D26 F26 D30:D31 F30:F31" name="Range3"/>
    <protectedRange sqref="D62 F62 D57:D58 D44 F44 D10:D13 F10 D5:D8" name="UserInputs"/>
    <protectedRange sqref="D49 F49 D81 F81 D86 F86 D89 F89" name="Range1"/>
  </protectedRanges>
  <mergeCells count="26">
    <mergeCell ref="I100:I101"/>
    <mergeCell ref="J100:J101"/>
    <mergeCell ref="G102:H103"/>
    <mergeCell ref="I102:I103"/>
    <mergeCell ref="J102:J103"/>
    <mergeCell ref="G96:H96"/>
    <mergeCell ref="B79:E79"/>
    <mergeCell ref="B84:E84"/>
    <mergeCell ref="B1:C1"/>
    <mergeCell ref="B41:C41"/>
    <mergeCell ref="B74:E74"/>
    <mergeCell ref="B68:E68"/>
    <mergeCell ref="B53:C53"/>
    <mergeCell ref="B47:E47"/>
    <mergeCell ref="D72:J72"/>
    <mergeCell ref="B51:C51"/>
    <mergeCell ref="B23:F23"/>
    <mergeCell ref="B29:C29"/>
    <mergeCell ref="G107:H107"/>
    <mergeCell ref="G105:H105"/>
    <mergeCell ref="G106:H106"/>
    <mergeCell ref="G97:H97"/>
    <mergeCell ref="G98:H98"/>
    <mergeCell ref="G99:H99"/>
    <mergeCell ref="G100:H101"/>
    <mergeCell ref="G104:H104"/>
  </mergeCells>
  <conditionalFormatting sqref="D5">
    <cfRule type="cellIs" dxfId="18" priority="55" operator="greaterThan">
      <formula>$D$7</formula>
    </cfRule>
  </conditionalFormatting>
  <conditionalFormatting sqref="D7">
    <cfRule type="cellIs" dxfId="17" priority="2" operator="greaterThan">
      <formula>26</formula>
    </cfRule>
  </conditionalFormatting>
  <conditionalFormatting sqref="D10">
    <cfRule type="expression" dxfId="16" priority="17" stopIfTrue="1">
      <formula>$D$72&lt;&gt;"YES"</formula>
    </cfRule>
  </conditionalFormatting>
  <conditionalFormatting sqref="D11">
    <cfRule type="cellIs" dxfId="15" priority="62" stopIfTrue="1" operator="lessThan">
      <formula>$G$11</formula>
    </cfRule>
    <cfRule type="expression" dxfId="14" priority="63" stopIfTrue="1">
      <formula>$D$72&lt;&gt;"YES"</formula>
    </cfRule>
  </conditionalFormatting>
  <conditionalFormatting sqref="D12">
    <cfRule type="cellIs" dxfId="13" priority="27" operator="greaterThan">
      <formula>18</formula>
    </cfRule>
  </conditionalFormatting>
  <conditionalFormatting sqref="D21">
    <cfRule type="cellIs" dxfId="12" priority="6" operator="greaterThan">
      <formula>$D$20</formula>
    </cfRule>
  </conditionalFormatting>
  <conditionalFormatting sqref="D36">
    <cfRule type="cellIs" dxfId="11" priority="1" operator="lessThan">
      <formula>1</formula>
    </cfRule>
  </conditionalFormatting>
  <conditionalFormatting sqref="D49">
    <cfRule type="cellIs" dxfId="10" priority="12" operator="greaterThan">
      <formula>$D$48</formula>
    </cfRule>
  </conditionalFormatting>
  <conditionalFormatting sqref="D57">
    <cfRule type="cellIs" dxfId="9" priority="14" operator="greaterThan">
      <formula>$D$65</formula>
    </cfRule>
    <cfRule type="expression" dxfId="8" priority="15">
      <formula>$D$72&lt;&gt;"YES"</formula>
    </cfRule>
  </conditionalFormatting>
  <conditionalFormatting sqref="D58">
    <cfRule type="cellIs" dxfId="7" priority="16" operator="greaterThan">
      <formula>$D$45</formula>
    </cfRule>
  </conditionalFormatting>
  <conditionalFormatting sqref="D64">
    <cfRule type="cellIs" dxfId="6" priority="13" operator="equal">
      <formula>TRUE</formula>
    </cfRule>
  </conditionalFormatting>
  <conditionalFormatting sqref="D72">
    <cfRule type="cellIs" dxfId="5" priority="22" stopIfTrue="1" operator="equal">
      <formula>"YES"</formula>
    </cfRule>
    <cfRule type="cellIs" dxfId="4" priority="23" operator="notEqual">
      <formula>"YES"</formula>
    </cfRule>
  </conditionalFormatting>
  <conditionalFormatting sqref="D81">
    <cfRule type="cellIs" dxfId="3" priority="5" operator="greaterThan">
      <formula>$G$82</formula>
    </cfRule>
  </conditionalFormatting>
  <conditionalFormatting sqref="D51:F51">
    <cfRule type="containsText" dxfId="2" priority="11" operator="containsText" text="Outside">
      <formula>NOT(ISERROR(SEARCH("Outside",D51)))</formula>
    </cfRule>
  </conditionalFormatting>
  <conditionalFormatting sqref="I107">
    <cfRule type="expression" dxfId="1" priority="3">
      <formula>$G$21="No"</formula>
    </cfRule>
    <cfRule type="expression" dxfId="0" priority="4">
      <formula>#REF!="No"</formula>
    </cfRule>
  </conditionalFormatting>
  <dataValidations xWindow="966" yWindow="434" count="24">
    <dataValidation type="decimal" operator="lessThanOrEqual" allowBlank="1" showInputMessage="1" showErrorMessage="1" errorTitle="Error (Reenter the Value)" error="Only values less than Ilimit_final will be accepted" promptTitle="Restriction" prompt="Please enter a value less than Ilimit_final" sqref="D58" xr:uid="{00000000-0002-0000-0000-000000000000}">
      <formula1>D45</formula1>
    </dataValidation>
    <dataValidation errorTitle="Error (Reenter the Value)" error="Only values greater than UVref will be accepted" promptTitle="Restriction" prompt="Please enter a value greater than UVref" sqref="D9 D14 D20" xr:uid="{00000000-0002-0000-0000-000001000000}"/>
    <dataValidation type="decimal" operator="greaterThan" showInputMessage="1" showErrorMessage="1" errorTitle="ERROR!!" error="Start-up Load Resistor is &lt; VCC(max)/Imax, this will prevent start-up." prompt="Start-up Load must be &gt; VCC(max)/Imax" sqref="D11" xr:uid="{00000000-0002-0000-0000-000002000000}">
      <formula1>G11</formula1>
    </dataValidation>
    <dataValidation type="decimal" operator="greaterThanOrEqual" allowBlank="1" showInputMessage="1" showErrorMessage="1" errorTitle="Error (Reenter the Value)" error="Only values &gt;= Tchg_fastest will be accepted" promptTitle="Restriction" prompt="Enter a value &gt;= Tchg_fastest" sqref="D57" xr:uid="{00000000-0002-0000-0000-000003000000}">
      <formula1>D55</formula1>
    </dataValidation>
    <dataValidation type="decimal" allowBlank="1" showInputMessage="1" showErrorMessage="1" error="2 A &lt;= Ilimit &lt;= 18 A_x000a_" prompt="2 A &lt;= Ilimit &lt;= 18 A" sqref="D13" xr:uid="{00000000-0002-0000-0000-000004000000}">
      <formula1>2</formula1>
      <formula2>18</formula2>
    </dataValidation>
    <dataValidation type="decimal" operator="lessThanOrEqual" allowBlank="1" showInputMessage="1" showErrorMessage="1" error="Imax &lt;= 18A" prompt="Imax &lt;= 18 A" sqref="D12" xr:uid="{00000000-0002-0000-0000-000005000000}">
      <formula1>18</formula1>
    </dataValidation>
    <dataValidation type="custom" showInputMessage="1" showErrorMessage="1" errorTitle="Error (Reenter the Value)" error="Only values less than Ilimit_final will be accepted" promptTitle="Restriction" prompt="Please enter a value less than Ilimit_final" sqref="K64" xr:uid="{00000000-0002-0000-0000-000007000000}">
      <formula1>K64&lt;K55</formula1>
    </dataValidation>
    <dataValidation type="custom" showInputMessage="1" showErrorMessage="1" errorTitle="Error (Reenter the Value)" error="Only values greater than Tchg_min will be accepted" promptTitle="Restriction" prompt="Please enter a value greater than Tchg_min calculated" sqref="K63" xr:uid="{00000000-0002-0000-0000-000008000000}">
      <formula1>K63&gt;K62</formula1>
    </dataValidation>
    <dataValidation allowBlank="1" showInputMessage="1" showErrorMessage="1" prompt="Considered 20% as design margin" sqref="D72" xr:uid="{00000000-0002-0000-0000-000009000000}"/>
    <dataValidation type="list" errorTitle="Error (Reenter the Value)" error="Only values greater than UVref will be accepted" promptTitle="Restriction" prompt="Please enter a value greater than UVref" sqref="D15" xr:uid="{00000000-0002-0000-0000-00000B000000}">
      <formula1>$AA$1:$AA$2</formula1>
    </dataValidation>
    <dataValidation type="list" errorTitle="Error (Reenter the Value)" error="Only values greater than UVref will be accepted" promptTitle="Restriction" prompt="Please enter a value greater than UVref" sqref="D17" xr:uid="{00000000-0002-0000-0000-00000C000000}">
      <formula1>$AA$3:$AA$4</formula1>
    </dataValidation>
    <dataValidation type="list" errorTitle="Error (Reenter the Value)" error="Only values greater than UVref will be accepted" promptTitle="Restriction" prompt="Please enter a value greater than UVref" sqref="D19" xr:uid="{00000000-0002-0000-0000-00000D000000}">
      <formula1>$AB$1:$AB$5</formula1>
    </dataValidation>
    <dataValidation type="custom" errorStyle="warning" showInputMessage="1" showErrorMessage="1" errorTitle="Warning" error="Please select a value to restrict the range to &lt;=5V; This will help to interface with Microcontrollers within the acceptable range_x000a_" promptTitle="Evaluate" prompt="Please select the RIMON_sel to have range starting from 0 to Maximum value as required by logic interface connected to measure the current" sqref="D50" xr:uid="{00000000-0002-0000-0000-00000E000000}">
      <formula1>D50&lt;5</formula1>
    </dataValidation>
    <dataValidation type="decimal" operator="greaterThanOrEqual" showInputMessage="1" showErrorMessage="1" errorTitle="Error (Reenter the Value)" error="Enter value &gt;100 for line transient immunity" promptTitle="Restriction" prompt="Enter value greater than 100" sqref="D16" xr:uid="{00000000-0002-0000-0000-000011000000}">
      <formula1>100</formula1>
    </dataValidation>
    <dataValidation type="decimal" operator="greaterThan" allowBlank="1" showInputMessage="1" showErrorMessage="1" errorTitle="Error (Reenter the Value)" error="Minimum retry delay is 0.2 ms" promptTitle="Restriction" prompt="Enter value &gt; 0.2" sqref="D18" xr:uid="{00000000-0002-0000-0000-000012000000}">
      <formula1>0.2</formula1>
    </dataValidation>
    <dataValidation type="custom" allowBlank="1" showInputMessage="1" errorTitle="Error (Re-Enter)" error="Please enter a value less than RIMON_max;" promptTitle="Restriction" prompt="The resistance should be less than RIMON_max" sqref="D49" xr:uid="{00000000-0002-0000-0000-000013000000}">
      <formula1>D49&lt;D48</formula1>
    </dataValidation>
    <dataValidation errorTitle="Error (Re-Enter)" error="Please enter a value less than RIMON_max;" promptTitle="Restriction" prompt="The resistance should be less than RIMON_max" sqref="D89 D86" xr:uid="{00000000-0002-0000-0000-000014000000}"/>
    <dataValidation type="decimal" errorStyle="information" operator="lessThanOrEqual" showErrorMessage="1" errorTitle="Error (Reenter the Value)" error="Recommended to limit the max IMON voltage to Rec_VIMONMax to ensure linear operation of the IMON amplifier " promptTitle="Restriction" sqref="D21" xr:uid="{00000000-0002-0000-0000-000015000000}">
      <formula1>D20</formula1>
    </dataValidation>
    <dataValidation type="decimal" operator="lessThanOrEqual" showErrorMessage="1" errorTitle="Error (Re-Enter the value)" error="Select Citimer less than Max_Citimer (Cell G77) for successful startup" promptTitle="Restriction" sqref="D81" xr:uid="{00000000-0002-0000-0000-000016000000}">
      <formula1>G82</formula1>
    </dataValidation>
    <dataValidation type="decimal" operator="lessThanOrEqual" showInputMessage="1" showErrorMessage="1" error="VIN(operating max) must be &lt; Vovloset_x000a__x000a_" prompt="VIN(max) must be &lt; VOVLOset" sqref="D6" xr:uid="{00000000-0002-0000-0000-000006000000}">
      <formula1>D7</formula1>
    </dataValidation>
    <dataValidation type="decimal" operator="lessThanOrEqual" showInputMessage="1" showErrorMessage="1" error="VIN(operating) must be &lt; Vovloset" prompt="VIN(nom) must be &lt; VOVLOset" sqref="D5" xr:uid="{00000000-0002-0000-0000-000010000000}">
      <formula1>D7</formula1>
    </dataValidation>
    <dataValidation type="decimal" operator="lessThanOrEqual" allowBlank="1" showInputMessage="1" showErrorMessage="1" error="Overvoltage threshold should be less than VIN abs max rating of 26V" prompt="Overvoltage threshold should be less than VIN abs max rating of 26V" sqref="D7" xr:uid="{755B7C8B-F30D-4AF8-AE85-8CCDEE75893B}">
      <formula1>26</formula1>
    </dataValidation>
    <dataValidation allowBlank="1" showInputMessage="1" showErrorMessage="1" prompt="Select R1, R2 and R3 such that I_R123 is &gt; 1 uA" sqref="D36" xr:uid="{7F27956A-AA1C-4C50-B058-F4874BCDAF59}"/>
    <dataValidation type="decimal" operator="lessThanOrEqual" allowBlank="1" showErrorMessage="1" errorTitle="Re-enter" error="Enter value lower than RILIM_max (Cell G40) to allow max load current without limiting." sqref="D44" xr:uid="{00000000-0002-0000-0000-000017000000}">
      <formula1>#REF!</formula1>
    </dataValidation>
  </dataValidations>
  <hyperlinks>
    <hyperlink ref="C11" r:id="rId1" xr:uid="{00000000-0004-0000-0000-000000000000}"/>
  </hyperlinks>
  <pageMargins left="0.7" right="0.7" top="0.75" bottom="0.75" header="0.3" footer="0.3"/>
  <pageSetup orientation="portrait" r:id="rId2"/>
  <ignoredErrors>
    <ignoredError sqref="H89" evalError="1"/>
  </ignoredErrors>
  <drawing r:id="rId3"/>
  <legacyDrawing r:id="rId4"/>
  <oleObjects>
    <mc:AlternateContent xmlns:mc="http://schemas.openxmlformats.org/markup-compatibility/2006">
      <mc:Choice Requires="x14">
        <oleObject progId="Visio.Drawing.15" shapeId="1089" r:id="rId5">
          <objectPr defaultSize="0" r:id="rId6">
            <anchor moveWithCells="1">
              <from>
                <xdr:col>1</xdr:col>
                <xdr:colOff>403860</xdr:colOff>
                <xdr:row>96</xdr:row>
                <xdr:rowOff>22860</xdr:rowOff>
              </from>
              <to>
                <xdr:col>2</xdr:col>
                <xdr:colOff>3931920</xdr:colOff>
                <xdr:row>105</xdr:row>
                <xdr:rowOff>22860</xdr:rowOff>
              </to>
            </anchor>
          </objectPr>
        </oleObject>
      </mc:Choice>
      <mc:Fallback>
        <oleObject progId="Visio.Drawing.15" shapeId="1089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1A82E-B932-4077-9E86-DA330E06E472}">
  <dimension ref="A1:U25"/>
  <sheetViews>
    <sheetView workbookViewId="0">
      <selection activeCell="E33" sqref="E33"/>
    </sheetView>
  </sheetViews>
  <sheetFormatPr defaultRowHeight="14.4" x14ac:dyDescent="0.3"/>
  <sheetData>
    <row r="1" spans="1:21" ht="28.8" x14ac:dyDescent="0.3">
      <c r="A1" s="5" t="s">
        <v>244</v>
      </c>
      <c r="B1" s="205" t="s">
        <v>245</v>
      </c>
      <c r="C1" s="206" t="s">
        <v>246</v>
      </c>
      <c r="D1" t="s">
        <v>247</v>
      </c>
      <c r="O1" s="215"/>
      <c r="P1" s="207"/>
      <c r="Q1" s="208"/>
      <c r="R1" s="208"/>
      <c r="S1" s="208"/>
      <c r="T1" s="212"/>
      <c r="U1" s="215"/>
    </row>
    <row r="2" spans="1:21" x14ac:dyDescent="0.3">
      <c r="A2">
        <v>5.65</v>
      </c>
      <c r="B2">
        <v>29.4</v>
      </c>
      <c r="C2">
        <v>5.95</v>
      </c>
      <c r="D2">
        <v>52.4</v>
      </c>
      <c r="O2" s="215"/>
      <c r="P2" s="208"/>
      <c r="Q2" s="208"/>
      <c r="R2" s="208"/>
      <c r="S2" s="208"/>
      <c r="T2" s="208"/>
      <c r="U2" s="215"/>
    </row>
    <row r="3" spans="1:21" x14ac:dyDescent="0.3">
      <c r="A3">
        <v>6.06</v>
      </c>
      <c r="B3">
        <v>25.8</v>
      </c>
      <c r="C3">
        <v>6.48</v>
      </c>
      <c r="D3">
        <v>43.97</v>
      </c>
      <c r="O3" s="215"/>
      <c r="P3" s="216"/>
      <c r="Q3" s="209"/>
      <c r="R3" s="210"/>
      <c r="S3" s="210"/>
      <c r="T3" s="213"/>
      <c r="U3" s="215"/>
    </row>
    <row r="4" spans="1:21" x14ac:dyDescent="0.3">
      <c r="A4">
        <v>6.69</v>
      </c>
      <c r="B4">
        <v>21.9</v>
      </c>
      <c r="C4">
        <v>7.34</v>
      </c>
      <c r="D4">
        <v>34.799999999999997</v>
      </c>
      <c r="O4" s="215"/>
      <c r="P4" s="216"/>
      <c r="Q4" s="211"/>
      <c r="R4" s="212"/>
      <c r="S4" s="213"/>
      <c r="T4" s="213"/>
      <c r="U4" s="215"/>
    </row>
    <row r="5" spans="1:21" x14ac:dyDescent="0.3">
      <c r="A5">
        <v>7.2</v>
      </c>
      <c r="B5">
        <v>18.7</v>
      </c>
      <c r="C5">
        <v>8.0190000000000001</v>
      </c>
      <c r="D5">
        <v>29.16</v>
      </c>
      <c r="O5" s="215"/>
      <c r="P5" s="216"/>
      <c r="Q5" s="211"/>
      <c r="R5" s="212"/>
      <c r="S5" s="213"/>
      <c r="T5" s="213"/>
      <c r="U5" s="215"/>
    </row>
    <row r="6" spans="1:21" x14ac:dyDescent="0.3">
      <c r="A6">
        <v>7.984</v>
      </c>
      <c r="B6">
        <v>15.8</v>
      </c>
      <c r="C6">
        <v>8.5790000000000006</v>
      </c>
      <c r="D6">
        <v>26</v>
      </c>
      <c r="O6" s="215"/>
      <c r="P6" s="216"/>
      <c r="Q6" s="211"/>
      <c r="R6" s="211"/>
      <c r="S6" s="213"/>
      <c r="T6" s="213"/>
      <c r="U6" s="215"/>
    </row>
    <row r="7" spans="1:21" x14ac:dyDescent="0.3">
      <c r="A7">
        <v>8.923</v>
      </c>
      <c r="B7">
        <v>12.983000000000001</v>
      </c>
      <c r="C7">
        <v>9.2799999999999994</v>
      </c>
      <c r="D7">
        <v>22.77</v>
      </c>
      <c r="O7" s="215"/>
      <c r="P7" s="217"/>
      <c r="Q7" s="213"/>
      <c r="R7" s="211"/>
      <c r="S7" s="213"/>
      <c r="T7" s="213"/>
      <c r="U7" s="215"/>
    </row>
    <row r="8" spans="1:21" x14ac:dyDescent="0.3">
      <c r="A8">
        <v>9.5</v>
      </c>
      <c r="B8">
        <v>11.64</v>
      </c>
      <c r="C8">
        <v>10</v>
      </c>
      <c r="D8">
        <v>20.010000000000002</v>
      </c>
      <c r="O8" s="215"/>
      <c r="P8" s="217"/>
      <c r="Q8" s="213"/>
      <c r="R8" s="211"/>
      <c r="S8" s="213"/>
      <c r="T8" s="213"/>
      <c r="U8" s="215"/>
    </row>
    <row r="9" spans="1:21" x14ac:dyDescent="0.3">
      <c r="A9">
        <v>10.16</v>
      </c>
      <c r="B9">
        <v>10.45</v>
      </c>
      <c r="C9">
        <v>10.64</v>
      </c>
      <c r="D9">
        <v>17.760000000000002</v>
      </c>
      <c r="O9" s="215"/>
      <c r="P9" s="217"/>
      <c r="Q9" s="213"/>
      <c r="R9" s="211"/>
      <c r="S9" s="213"/>
      <c r="T9" s="213"/>
      <c r="U9" s="215"/>
    </row>
    <row r="10" spans="1:21" x14ac:dyDescent="0.3">
      <c r="A10">
        <v>12.9</v>
      </c>
      <c r="B10">
        <v>6.76</v>
      </c>
      <c r="C10">
        <v>11.63</v>
      </c>
      <c r="D10">
        <v>15.5</v>
      </c>
      <c r="O10" s="215"/>
      <c r="P10" s="217"/>
      <c r="Q10" s="213"/>
      <c r="R10" s="211"/>
      <c r="S10" s="213"/>
      <c r="T10" s="213"/>
      <c r="U10" s="215"/>
    </row>
    <row r="11" spans="1:21" x14ac:dyDescent="0.3">
      <c r="A11">
        <v>16.579999999999998</v>
      </c>
      <c r="B11">
        <v>4.28</v>
      </c>
      <c r="C11">
        <v>28.8</v>
      </c>
      <c r="D11">
        <v>2.1339999999999999</v>
      </c>
      <c r="O11" s="215"/>
      <c r="P11" s="217"/>
      <c r="Q11" s="213"/>
      <c r="R11" s="211"/>
      <c r="S11" s="213"/>
      <c r="T11" s="213"/>
      <c r="U11" s="215"/>
    </row>
    <row r="12" spans="1:21" x14ac:dyDescent="0.3">
      <c r="A12">
        <v>20.170000000000002</v>
      </c>
      <c r="B12">
        <v>2.85</v>
      </c>
      <c r="C12">
        <v>30.3</v>
      </c>
      <c r="D12">
        <v>1.87</v>
      </c>
      <c r="O12" s="215"/>
      <c r="P12" s="217"/>
      <c r="Q12" s="213"/>
      <c r="R12" s="211"/>
      <c r="S12" s="213"/>
      <c r="T12" s="213"/>
      <c r="U12" s="215"/>
    </row>
    <row r="13" spans="1:21" x14ac:dyDescent="0.3">
      <c r="A13">
        <v>23.5</v>
      </c>
      <c r="B13">
        <v>2.1749999999999998</v>
      </c>
      <c r="C13">
        <v>31.67</v>
      </c>
      <c r="D13">
        <v>1.67</v>
      </c>
      <c r="O13" s="215"/>
      <c r="P13" s="217"/>
      <c r="Q13" s="213"/>
      <c r="R13" s="214"/>
      <c r="S13" s="213"/>
      <c r="T13" s="213"/>
      <c r="U13" s="215"/>
    </row>
    <row r="14" spans="1:21" x14ac:dyDescent="0.3">
      <c r="A14">
        <v>28</v>
      </c>
      <c r="B14">
        <v>1.22</v>
      </c>
      <c r="C14">
        <v>35.5</v>
      </c>
      <c r="D14">
        <v>1.44</v>
      </c>
      <c r="O14" s="215"/>
      <c r="P14" s="217"/>
      <c r="Q14" s="213"/>
      <c r="R14" s="214"/>
      <c r="S14" s="213"/>
      <c r="T14" s="213"/>
      <c r="U14" s="215"/>
    </row>
    <row r="15" spans="1:21" x14ac:dyDescent="0.3">
      <c r="A15">
        <v>30.8</v>
      </c>
      <c r="B15">
        <v>1.08</v>
      </c>
      <c r="C15">
        <v>36.200000000000003</v>
      </c>
      <c r="D15">
        <v>1.42</v>
      </c>
      <c r="O15" s="215"/>
      <c r="P15" s="217"/>
      <c r="Q15" s="213"/>
      <c r="R15" s="211"/>
      <c r="S15" s="213"/>
      <c r="T15" s="213"/>
      <c r="U15" s="215"/>
    </row>
    <row r="16" spans="1:21" x14ac:dyDescent="0.3">
      <c r="A16">
        <v>34.22</v>
      </c>
      <c r="B16">
        <v>0.98</v>
      </c>
      <c r="C16">
        <v>36.65</v>
      </c>
      <c r="D16">
        <v>1.329</v>
      </c>
      <c r="O16" s="215"/>
      <c r="P16" s="217"/>
      <c r="Q16" s="213"/>
      <c r="R16" s="211"/>
      <c r="S16" s="213"/>
      <c r="T16" s="213"/>
      <c r="U16" s="215"/>
    </row>
    <row r="17" spans="1:21" x14ac:dyDescent="0.3">
      <c r="A17">
        <v>40.5</v>
      </c>
      <c r="B17">
        <v>0.80600000000000005</v>
      </c>
      <c r="C17">
        <v>42.92</v>
      </c>
      <c r="D17">
        <v>1.147</v>
      </c>
      <c r="O17" s="215"/>
      <c r="P17" s="217"/>
      <c r="Q17" s="213"/>
      <c r="R17" s="211"/>
      <c r="S17" s="213"/>
      <c r="T17" s="213"/>
      <c r="U17" s="215"/>
    </row>
    <row r="18" spans="1:21" x14ac:dyDescent="0.3">
      <c r="A18">
        <v>42.7</v>
      </c>
      <c r="B18">
        <v>0.79600000000000004</v>
      </c>
      <c r="C18">
        <v>44</v>
      </c>
      <c r="D18">
        <v>1.1000000000000001</v>
      </c>
      <c r="O18" s="215"/>
      <c r="P18" s="217"/>
      <c r="Q18" s="213"/>
      <c r="R18" s="211"/>
      <c r="S18" s="213"/>
      <c r="T18" s="213"/>
      <c r="U18" s="215"/>
    </row>
    <row r="19" spans="1:21" x14ac:dyDescent="0.3">
      <c r="A19">
        <v>47.9</v>
      </c>
      <c r="B19">
        <v>0.73</v>
      </c>
      <c r="C19">
        <v>45.7</v>
      </c>
      <c r="D19">
        <v>1.06</v>
      </c>
      <c r="O19" s="215"/>
      <c r="P19" s="217"/>
      <c r="Q19" s="213"/>
      <c r="R19" s="211"/>
      <c r="S19" s="213"/>
      <c r="T19" s="213"/>
      <c r="U19" s="215"/>
    </row>
    <row r="20" spans="1:21" x14ac:dyDescent="0.3">
      <c r="A20">
        <v>52.6</v>
      </c>
      <c r="B20">
        <v>0.68500000000000005</v>
      </c>
      <c r="C20">
        <v>52.24</v>
      </c>
      <c r="D20">
        <v>0.94099999999999995</v>
      </c>
      <c r="O20" s="215"/>
      <c r="P20" s="217"/>
      <c r="Q20" s="213"/>
      <c r="R20" s="211"/>
      <c r="S20" s="213"/>
      <c r="T20" s="213"/>
      <c r="U20" s="215"/>
    </row>
    <row r="21" spans="1:21" x14ac:dyDescent="0.3">
      <c r="A21">
        <v>57.8</v>
      </c>
      <c r="B21">
        <v>0.65200000000000002</v>
      </c>
      <c r="C21">
        <v>54.54</v>
      </c>
      <c r="D21">
        <v>0.9</v>
      </c>
      <c r="O21" s="215"/>
      <c r="P21" s="217"/>
      <c r="Q21" s="213"/>
      <c r="R21" s="211"/>
      <c r="S21" s="213"/>
      <c r="T21" s="213"/>
      <c r="U21" s="215"/>
    </row>
    <row r="22" spans="1:21" x14ac:dyDescent="0.3">
      <c r="A22">
        <v>59.57</v>
      </c>
      <c r="B22">
        <v>0.65</v>
      </c>
      <c r="C22" s="205"/>
      <c r="D22" s="205"/>
      <c r="O22" s="215"/>
      <c r="P22" s="217"/>
      <c r="Q22" s="213"/>
      <c r="R22" s="211"/>
      <c r="S22" s="213"/>
      <c r="T22" s="213"/>
      <c r="U22" s="215"/>
    </row>
    <row r="23" spans="1:21" x14ac:dyDescent="0.3">
      <c r="A23">
        <v>71</v>
      </c>
      <c r="B23">
        <v>0.55200000000000005</v>
      </c>
      <c r="C23" s="205"/>
      <c r="D23" s="205"/>
      <c r="O23" s="215"/>
      <c r="P23" s="217"/>
      <c r="Q23" s="213"/>
      <c r="R23" s="211"/>
      <c r="S23" s="213"/>
      <c r="T23" s="213"/>
      <c r="U23" s="215"/>
    </row>
    <row r="24" spans="1:21" x14ac:dyDescent="0.3">
      <c r="A24">
        <v>72.180000000000007</v>
      </c>
      <c r="B24">
        <v>0.55100000000000005</v>
      </c>
      <c r="C24" s="205"/>
      <c r="D24" s="205"/>
      <c r="O24" s="215"/>
      <c r="P24" s="217"/>
      <c r="Q24" s="213"/>
      <c r="R24" s="211"/>
      <c r="S24" s="213"/>
      <c r="T24" s="213"/>
      <c r="U24" s="215"/>
    </row>
    <row r="25" spans="1:21" x14ac:dyDescent="0.3">
      <c r="O25" s="215"/>
      <c r="P25" s="217"/>
      <c r="Q25" s="213"/>
      <c r="R25" s="211"/>
      <c r="S25" s="213"/>
      <c r="T25" s="213"/>
      <c r="U25" s="21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00FF"/>
  </sheetPr>
  <dimension ref="A1:I197"/>
  <sheetViews>
    <sheetView topLeftCell="E1" workbookViewId="0">
      <pane ySplit="4" topLeftCell="A5" activePane="bottomLeft" state="frozen"/>
      <selection activeCell="G170" sqref="G170"/>
      <selection pane="bottomLeft" activeCell="F12" sqref="F12"/>
    </sheetView>
  </sheetViews>
  <sheetFormatPr defaultRowHeight="14.4" x14ac:dyDescent="0.3"/>
  <cols>
    <col min="1" max="6" width="18.6640625" customWidth="1"/>
    <col min="257" max="262" width="18.6640625" customWidth="1"/>
    <col min="513" max="518" width="18.6640625" customWidth="1"/>
    <col min="769" max="774" width="18.6640625" customWidth="1"/>
    <col min="1025" max="1030" width="18.6640625" customWidth="1"/>
    <col min="1281" max="1286" width="18.6640625" customWidth="1"/>
    <col min="1537" max="1542" width="18.6640625" customWidth="1"/>
    <col min="1793" max="1798" width="18.6640625" customWidth="1"/>
    <col min="2049" max="2054" width="18.6640625" customWidth="1"/>
    <col min="2305" max="2310" width="18.6640625" customWidth="1"/>
    <col min="2561" max="2566" width="18.6640625" customWidth="1"/>
    <col min="2817" max="2822" width="18.6640625" customWidth="1"/>
    <col min="3073" max="3078" width="18.6640625" customWidth="1"/>
    <col min="3329" max="3334" width="18.6640625" customWidth="1"/>
    <col min="3585" max="3590" width="18.6640625" customWidth="1"/>
    <col min="3841" max="3846" width="18.6640625" customWidth="1"/>
    <col min="4097" max="4102" width="18.6640625" customWidth="1"/>
    <col min="4353" max="4358" width="18.6640625" customWidth="1"/>
    <col min="4609" max="4614" width="18.6640625" customWidth="1"/>
    <col min="4865" max="4870" width="18.6640625" customWidth="1"/>
    <col min="5121" max="5126" width="18.6640625" customWidth="1"/>
    <col min="5377" max="5382" width="18.6640625" customWidth="1"/>
    <col min="5633" max="5638" width="18.6640625" customWidth="1"/>
    <col min="5889" max="5894" width="18.6640625" customWidth="1"/>
    <col min="6145" max="6150" width="18.6640625" customWidth="1"/>
    <col min="6401" max="6406" width="18.6640625" customWidth="1"/>
    <col min="6657" max="6662" width="18.6640625" customWidth="1"/>
    <col min="6913" max="6918" width="18.6640625" customWidth="1"/>
    <col min="7169" max="7174" width="18.6640625" customWidth="1"/>
    <col min="7425" max="7430" width="18.6640625" customWidth="1"/>
    <col min="7681" max="7686" width="18.6640625" customWidth="1"/>
    <col min="7937" max="7942" width="18.6640625" customWidth="1"/>
    <col min="8193" max="8198" width="18.6640625" customWidth="1"/>
    <col min="8449" max="8454" width="18.6640625" customWidth="1"/>
    <col min="8705" max="8710" width="18.6640625" customWidth="1"/>
    <col min="8961" max="8966" width="18.6640625" customWidth="1"/>
    <col min="9217" max="9222" width="18.6640625" customWidth="1"/>
    <col min="9473" max="9478" width="18.6640625" customWidth="1"/>
    <col min="9729" max="9734" width="18.6640625" customWidth="1"/>
    <col min="9985" max="9990" width="18.6640625" customWidth="1"/>
    <col min="10241" max="10246" width="18.6640625" customWidth="1"/>
    <col min="10497" max="10502" width="18.6640625" customWidth="1"/>
    <col min="10753" max="10758" width="18.6640625" customWidth="1"/>
    <col min="11009" max="11014" width="18.6640625" customWidth="1"/>
    <col min="11265" max="11270" width="18.6640625" customWidth="1"/>
    <col min="11521" max="11526" width="18.6640625" customWidth="1"/>
    <col min="11777" max="11782" width="18.6640625" customWidth="1"/>
    <col min="12033" max="12038" width="18.6640625" customWidth="1"/>
    <col min="12289" max="12294" width="18.6640625" customWidth="1"/>
    <col min="12545" max="12550" width="18.6640625" customWidth="1"/>
    <col min="12801" max="12806" width="18.6640625" customWidth="1"/>
    <col min="13057" max="13062" width="18.6640625" customWidth="1"/>
    <col min="13313" max="13318" width="18.6640625" customWidth="1"/>
    <col min="13569" max="13574" width="18.6640625" customWidth="1"/>
    <col min="13825" max="13830" width="18.6640625" customWidth="1"/>
    <col min="14081" max="14086" width="18.6640625" customWidth="1"/>
    <col min="14337" max="14342" width="18.6640625" customWidth="1"/>
    <col min="14593" max="14598" width="18.6640625" customWidth="1"/>
    <col min="14849" max="14854" width="18.6640625" customWidth="1"/>
    <col min="15105" max="15110" width="18.6640625" customWidth="1"/>
    <col min="15361" max="15366" width="18.6640625" customWidth="1"/>
    <col min="15617" max="15622" width="18.6640625" customWidth="1"/>
    <col min="15873" max="15878" width="18.6640625" customWidth="1"/>
    <col min="16129" max="16134" width="18.6640625" customWidth="1"/>
  </cols>
  <sheetData>
    <row r="1" spans="1:9" ht="21" x14ac:dyDescent="0.4">
      <c r="A1" s="260" t="s">
        <v>62</v>
      </c>
      <c r="B1" s="260"/>
      <c r="C1" s="260"/>
      <c r="D1" s="260"/>
      <c r="E1" s="260"/>
      <c r="F1" s="260"/>
    </row>
    <row r="3" spans="1:9" x14ac:dyDescent="0.3">
      <c r="A3" s="6">
        <v>0.2</v>
      </c>
      <c r="B3" s="6">
        <v>0.1</v>
      </c>
      <c r="C3" s="6">
        <v>0.05</v>
      </c>
      <c r="D3" s="6">
        <v>0.02</v>
      </c>
      <c r="E3" s="6">
        <v>0.01</v>
      </c>
      <c r="F3" s="7" t="s">
        <v>63</v>
      </c>
    </row>
    <row r="4" spans="1:9" x14ac:dyDescent="0.3">
      <c r="A4" s="8" t="s">
        <v>64</v>
      </c>
      <c r="B4" s="8" t="s">
        <v>65</v>
      </c>
      <c r="C4" s="8" t="s">
        <v>66</v>
      </c>
      <c r="D4" s="8" t="s">
        <v>67</v>
      </c>
      <c r="E4" s="8" t="s">
        <v>68</v>
      </c>
      <c r="F4" s="8" t="s">
        <v>69</v>
      </c>
    </row>
    <row r="5" spans="1:9" x14ac:dyDescent="0.3">
      <c r="A5" s="259">
        <v>100</v>
      </c>
      <c r="B5" s="257">
        <v>100</v>
      </c>
      <c r="C5" s="258">
        <v>100</v>
      </c>
      <c r="D5" s="256">
        <v>100</v>
      </c>
      <c r="E5" s="255">
        <v>100</v>
      </c>
      <c r="F5" s="9">
        <v>100</v>
      </c>
    </row>
    <row r="6" spans="1:9" x14ac:dyDescent="0.3">
      <c r="A6" s="259"/>
      <c r="B6" s="257"/>
      <c r="C6" s="258"/>
      <c r="D6" s="256"/>
      <c r="E6" s="255"/>
      <c r="F6" s="9">
        <v>101</v>
      </c>
    </row>
    <row r="7" spans="1:9" x14ac:dyDescent="0.3">
      <c r="A7" s="259"/>
      <c r="B7" s="257"/>
      <c r="C7" s="258"/>
      <c r="D7" s="256"/>
      <c r="E7" s="255">
        <v>102</v>
      </c>
      <c r="F7" s="9">
        <v>102</v>
      </c>
    </row>
    <row r="8" spans="1:9" x14ac:dyDescent="0.3">
      <c r="A8" s="259"/>
      <c r="B8" s="257"/>
      <c r="C8" s="258"/>
      <c r="D8" s="256"/>
      <c r="E8" s="255"/>
      <c r="F8" s="9">
        <v>104</v>
      </c>
    </row>
    <row r="9" spans="1:9" x14ac:dyDescent="0.3">
      <c r="A9" s="259"/>
      <c r="B9" s="257"/>
      <c r="C9" s="258"/>
      <c r="D9" s="256">
        <v>105</v>
      </c>
      <c r="E9" s="255">
        <v>105</v>
      </c>
      <c r="F9" s="9">
        <v>105</v>
      </c>
    </row>
    <row r="10" spans="1:9" x14ac:dyDescent="0.3">
      <c r="A10" s="259"/>
      <c r="B10" s="257"/>
      <c r="C10" s="258"/>
      <c r="D10" s="256"/>
      <c r="E10" s="255"/>
      <c r="F10" s="9">
        <v>106</v>
      </c>
      <c r="I10" s="2"/>
    </row>
    <row r="11" spans="1:9" x14ac:dyDescent="0.3">
      <c r="A11" s="259"/>
      <c r="B11" s="257"/>
      <c r="C11" s="258"/>
      <c r="D11" s="256"/>
      <c r="E11" s="255">
        <v>107</v>
      </c>
      <c r="F11" s="9">
        <v>107</v>
      </c>
    </row>
    <row r="12" spans="1:9" x14ac:dyDescent="0.3">
      <c r="A12" s="259"/>
      <c r="B12" s="257"/>
      <c r="C12" s="258"/>
      <c r="D12" s="256"/>
      <c r="E12" s="255"/>
      <c r="F12" s="9">
        <v>109</v>
      </c>
    </row>
    <row r="13" spans="1:9" x14ac:dyDescent="0.3">
      <c r="A13" s="259"/>
      <c r="B13" s="257"/>
      <c r="C13" s="258">
        <v>110</v>
      </c>
      <c r="D13" s="256">
        <v>110</v>
      </c>
      <c r="E13" s="255">
        <v>110</v>
      </c>
      <c r="F13" s="9">
        <v>110</v>
      </c>
    </row>
    <row r="14" spans="1:9" x14ac:dyDescent="0.3">
      <c r="A14" s="259"/>
      <c r="B14" s="257"/>
      <c r="C14" s="258"/>
      <c r="D14" s="256"/>
      <c r="E14" s="255"/>
      <c r="F14" s="9">
        <v>111</v>
      </c>
    </row>
    <row r="15" spans="1:9" x14ac:dyDescent="0.3">
      <c r="A15" s="259"/>
      <c r="B15" s="257"/>
      <c r="C15" s="258"/>
      <c r="D15" s="256"/>
      <c r="E15" s="255">
        <v>113</v>
      </c>
      <c r="F15" s="9">
        <v>113</v>
      </c>
    </row>
    <row r="16" spans="1:9" x14ac:dyDescent="0.3">
      <c r="A16" s="259"/>
      <c r="B16" s="257"/>
      <c r="C16" s="258"/>
      <c r="D16" s="256"/>
      <c r="E16" s="255"/>
      <c r="F16" s="9">
        <v>114</v>
      </c>
    </row>
    <row r="17" spans="1:6" x14ac:dyDescent="0.3">
      <c r="A17" s="259"/>
      <c r="B17" s="257"/>
      <c r="C17" s="258"/>
      <c r="D17" s="256">
        <v>115</v>
      </c>
      <c r="E17" s="255">
        <v>115</v>
      </c>
      <c r="F17" s="9">
        <v>115</v>
      </c>
    </row>
    <row r="18" spans="1:6" x14ac:dyDescent="0.3">
      <c r="A18" s="259"/>
      <c r="B18" s="257"/>
      <c r="C18" s="258"/>
      <c r="D18" s="256"/>
      <c r="E18" s="255"/>
      <c r="F18" s="9">
        <v>117</v>
      </c>
    </row>
    <row r="19" spans="1:6" x14ac:dyDescent="0.3">
      <c r="A19" s="259"/>
      <c r="B19" s="257"/>
      <c r="C19" s="258"/>
      <c r="D19" s="256"/>
      <c r="E19" s="255">
        <v>118</v>
      </c>
      <c r="F19" s="9">
        <v>118</v>
      </c>
    </row>
    <row r="20" spans="1:6" x14ac:dyDescent="0.3">
      <c r="A20" s="259"/>
      <c r="B20" s="257"/>
      <c r="C20" s="258"/>
      <c r="D20" s="256"/>
      <c r="E20" s="255"/>
      <c r="F20" s="9">
        <v>120</v>
      </c>
    </row>
    <row r="21" spans="1:6" x14ac:dyDescent="0.3">
      <c r="A21" s="259"/>
      <c r="B21" s="257">
        <v>120</v>
      </c>
      <c r="C21" s="258">
        <v>120</v>
      </c>
      <c r="D21" s="256">
        <v>121</v>
      </c>
      <c r="E21" s="255">
        <v>121</v>
      </c>
      <c r="F21" s="9">
        <v>121</v>
      </c>
    </row>
    <row r="22" spans="1:6" x14ac:dyDescent="0.3">
      <c r="A22" s="259"/>
      <c r="B22" s="257"/>
      <c r="C22" s="258"/>
      <c r="D22" s="256"/>
      <c r="E22" s="255"/>
      <c r="F22" s="9">
        <v>123</v>
      </c>
    </row>
    <row r="23" spans="1:6" x14ac:dyDescent="0.3">
      <c r="A23" s="259"/>
      <c r="B23" s="257"/>
      <c r="C23" s="258"/>
      <c r="D23" s="256"/>
      <c r="E23" s="255">
        <v>124</v>
      </c>
      <c r="F23" s="9">
        <v>124</v>
      </c>
    </row>
    <row r="24" spans="1:6" x14ac:dyDescent="0.3">
      <c r="A24" s="259"/>
      <c r="B24" s="257"/>
      <c r="C24" s="258"/>
      <c r="D24" s="256"/>
      <c r="E24" s="255"/>
      <c r="F24" s="9">
        <v>126</v>
      </c>
    </row>
    <row r="25" spans="1:6" x14ac:dyDescent="0.3">
      <c r="A25" s="259"/>
      <c r="B25" s="257"/>
      <c r="C25" s="258"/>
      <c r="D25" s="256">
        <v>127</v>
      </c>
      <c r="E25" s="255">
        <v>127</v>
      </c>
      <c r="F25" s="9">
        <v>127</v>
      </c>
    </row>
    <row r="26" spans="1:6" x14ac:dyDescent="0.3">
      <c r="A26" s="259"/>
      <c r="B26" s="257"/>
      <c r="C26" s="258"/>
      <c r="D26" s="256"/>
      <c r="E26" s="255"/>
      <c r="F26" s="9">
        <v>129</v>
      </c>
    </row>
    <row r="27" spans="1:6" x14ac:dyDescent="0.3">
      <c r="A27" s="259"/>
      <c r="B27" s="257"/>
      <c r="C27" s="258"/>
      <c r="D27" s="256"/>
      <c r="E27" s="255">
        <v>130</v>
      </c>
      <c r="F27" s="9">
        <v>130</v>
      </c>
    </row>
    <row r="28" spans="1:6" x14ac:dyDescent="0.3">
      <c r="A28" s="259"/>
      <c r="B28" s="257"/>
      <c r="C28" s="258"/>
      <c r="D28" s="256"/>
      <c r="E28" s="255"/>
      <c r="F28" s="9">
        <v>132</v>
      </c>
    </row>
    <row r="29" spans="1:6" x14ac:dyDescent="0.3">
      <c r="A29" s="259"/>
      <c r="B29" s="257"/>
      <c r="C29" s="258">
        <v>130</v>
      </c>
      <c r="D29" s="256">
        <v>133</v>
      </c>
      <c r="E29" s="255">
        <v>133</v>
      </c>
      <c r="F29" s="9">
        <v>133</v>
      </c>
    </row>
    <row r="30" spans="1:6" x14ac:dyDescent="0.3">
      <c r="A30" s="259"/>
      <c r="B30" s="257"/>
      <c r="C30" s="258"/>
      <c r="D30" s="256"/>
      <c r="E30" s="255"/>
      <c r="F30" s="9">
        <v>135</v>
      </c>
    </row>
    <row r="31" spans="1:6" x14ac:dyDescent="0.3">
      <c r="A31" s="259"/>
      <c r="B31" s="257"/>
      <c r="C31" s="258"/>
      <c r="D31" s="256"/>
      <c r="E31" s="255">
        <v>137</v>
      </c>
      <c r="F31" s="9">
        <v>137</v>
      </c>
    </row>
    <row r="32" spans="1:6" x14ac:dyDescent="0.3">
      <c r="A32" s="259"/>
      <c r="B32" s="257"/>
      <c r="C32" s="258"/>
      <c r="D32" s="256"/>
      <c r="E32" s="255"/>
      <c r="F32" s="9">
        <v>138</v>
      </c>
    </row>
    <row r="33" spans="1:6" x14ac:dyDescent="0.3">
      <c r="A33" s="259"/>
      <c r="B33" s="257"/>
      <c r="C33" s="258"/>
      <c r="D33" s="256">
        <v>140</v>
      </c>
      <c r="E33" s="255">
        <v>140</v>
      </c>
      <c r="F33" s="9">
        <v>140</v>
      </c>
    </row>
    <row r="34" spans="1:6" x14ac:dyDescent="0.3">
      <c r="A34" s="259"/>
      <c r="B34" s="257"/>
      <c r="C34" s="258"/>
      <c r="D34" s="256"/>
      <c r="E34" s="255"/>
      <c r="F34" s="9">
        <v>142</v>
      </c>
    </row>
    <row r="35" spans="1:6" x14ac:dyDescent="0.3">
      <c r="A35" s="259"/>
      <c r="B35" s="257"/>
      <c r="C35" s="258"/>
      <c r="D35" s="256"/>
      <c r="E35" s="255">
        <v>143</v>
      </c>
      <c r="F35" s="9">
        <v>143</v>
      </c>
    </row>
    <row r="36" spans="1:6" x14ac:dyDescent="0.3">
      <c r="A36" s="259"/>
      <c r="B36" s="257"/>
      <c r="C36" s="258"/>
      <c r="D36" s="256"/>
      <c r="E36" s="255"/>
      <c r="F36" s="9">
        <v>145</v>
      </c>
    </row>
    <row r="37" spans="1:6" x14ac:dyDescent="0.3">
      <c r="A37" s="259">
        <v>150</v>
      </c>
      <c r="B37" s="257">
        <v>150</v>
      </c>
      <c r="C37" s="258">
        <v>150</v>
      </c>
      <c r="D37" s="256">
        <v>147</v>
      </c>
      <c r="E37" s="255">
        <v>147</v>
      </c>
      <c r="F37" s="9">
        <v>147</v>
      </c>
    </row>
    <row r="38" spans="1:6" x14ac:dyDescent="0.3">
      <c r="A38" s="259"/>
      <c r="B38" s="257"/>
      <c r="C38" s="258"/>
      <c r="D38" s="256"/>
      <c r="E38" s="255"/>
      <c r="F38" s="9">
        <v>149</v>
      </c>
    </row>
    <row r="39" spans="1:6" x14ac:dyDescent="0.3">
      <c r="A39" s="259"/>
      <c r="B39" s="257"/>
      <c r="C39" s="258"/>
      <c r="D39" s="256"/>
      <c r="E39" s="255">
        <v>150</v>
      </c>
      <c r="F39" s="9">
        <v>150</v>
      </c>
    </row>
    <row r="40" spans="1:6" x14ac:dyDescent="0.3">
      <c r="A40" s="259"/>
      <c r="B40" s="257"/>
      <c r="C40" s="258"/>
      <c r="D40" s="256"/>
      <c r="E40" s="255"/>
      <c r="F40" s="9">
        <v>152</v>
      </c>
    </row>
    <row r="41" spans="1:6" x14ac:dyDescent="0.3">
      <c r="A41" s="259"/>
      <c r="B41" s="257"/>
      <c r="C41" s="258"/>
      <c r="D41" s="256">
        <v>154</v>
      </c>
      <c r="E41" s="255">
        <v>154</v>
      </c>
      <c r="F41" s="9">
        <v>154</v>
      </c>
    </row>
    <row r="42" spans="1:6" x14ac:dyDescent="0.3">
      <c r="A42" s="259"/>
      <c r="B42" s="257"/>
      <c r="C42" s="258"/>
      <c r="D42" s="256"/>
      <c r="E42" s="255"/>
      <c r="F42" s="9">
        <v>156</v>
      </c>
    </row>
    <row r="43" spans="1:6" x14ac:dyDescent="0.3">
      <c r="A43" s="259"/>
      <c r="B43" s="257"/>
      <c r="C43" s="258"/>
      <c r="D43" s="256"/>
      <c r="E43" s="255">
        <v>158</v>
      </c>
      <c r="F43" s="9">
        <v>158</v>
      </c>
    </row>
    <row r="44" spans="1:6" x14ac:dyDescent="0.3">
      <c r="A44" s="259"/>
      <c r="B44" s="257"/>
      <c r="C44" s="258"/>
      <c r="D44" s="256"/>
      <c r="E44" s="255"/>
      <c r="F44" s="9">
        <v>160</v>
      </c>
    </row>
    <row r="45" spans="1:6" x14ac:dyDescent="0.3">
      <c r="A45" s="259"/>
      <c r="B45" s="257"/>
      <c r="C45" s="258">
        <v>160</v>
      </c>
      <c r="D45" s="256">
        <v>162</v>
      </c>
      <c r="E45" s="255">
        <v>162</v>
      </c>
      <c r="F45" s="9">
        <v>162</v>
      </c>
    </row>
    <row r="46" spans="1:6" x14ac:dyDescent="0.3">
      <c r="A46" s="259"/>
      <c r="B46" s="257"/>
      <c r="C46" s="258"/>
      <c r="D46" s="256"/>
      <c r="E46" s="255"/>
      <c r="F46" s="9">
        <v>164</v>
      </c>
    </row>
    <row r="47" spans="1:6" x14ac:dyDescent="0.3">
      <c r="A47" s="259"/>
      <c r="B47" s="257"/>
      <c r="C47" s="258"/>
      <c r="D47" s="256"/>
      <c r="E47" s="255">
        <v>165</v>
      </c>
      <c r="F47" s="9">
        <v>165</v>
      </c>
    </row>
    <row r="48" spans="1:6" x14ac:dyDescent="0.3">
      <c r="A48" s="259"/>
      <c r="B48" s="257"/>
      <c r="C48" s="258"/>
      <c r="D48" s="256"/>
      <c r="E48" s="255"/>
      <c r="F48" s="9">
        <v>167</v>
      </c>
    </row>
    <row r="49" spans="1:6" x14ac:dyDescent="0.3">
      <c r="A49" s="259"/>
      <c r="B49" s="257"/>
      <c r="C49" s="258"/>
      <c r="D49" s="256">
        <v>169</v>
      </c>
      <c r="E49" s="255">
        <v>169</v>
      </c>
      <c r="F49" s="9">
        <v>169</v>
      </c>
    </row>
    <row r="50" spans="1:6" x14ac:dyDescent="0.3">
      <c r="A50" s="259"/>
      <c r="B50" s="257"/>
      <c r="C50" s="258"/>
      <c r="D50" s="256"/>
      <c r="E50" s="255"/>
      <c r="F50" s="9">
        <v>172</v>
      </c>
    </row>
    <row r="51" spans="1:6" x14ac:dyDescent="0.3">
      <c r="A51" s="259"/>
      <c r="B51" s="257"/>
      <c r="C51" s="258"/>
      <c r="D51" s="256"/>
      <c r="E51" s="255">
        <v>174</v>
      </c>
      <c r="F51" s="9">
        <v>174</v>
      </c>
    </row>
    <row r="52" spans="1:6" x14ac:dyDescent="0.3">
      <c r="A52" s="259"/>
      <c r="B52" s="257"/>
      <c r="C52" s="258"/>
      <c r="D52" s="256"/>
      <c r="E52" s="255"/>
      <c r="F52" s="9">
        <v>176</v>
      </c>
    </row>
    <row r="53" spans="1:6" x14ac:dyDescent="0.3">
      <c r="A53" s="259"/>
      <c r="B53" s="257">
        <v>180</v>
      </c>
      <c r="C53" s="258">
        <v>180</v>
      </c>
      <c r="D53" s="256">
        <v>178</v>
      </c>
      <c r="E53" s="255">
        <v>178</v>
      </c>
      <c r="F53" s="9">
        <v>178</v>
      </c>
    </row>
    <row r="54" spans="1:6" x14ac:dyDescent="0.3">
      <c r="A54" s="259"/>
      <c r="B54" s="257"/>
      <c r="C54" s="258"/>
      <c r="D54" s="256"/>
      <c r="E54" s="255"/>
      <c r="F54" s="9">
        <v>180</v>
      </c>
    </row>
    <row r="55" spans="1:6" x14ac:dyDescent="0.3">
      <c r="A55" s="259"/>
      <c r="B55" s="257"/>
      <c r="C55" s="258"/>
      <c r="D55" s="256"/>
      <c r="E55" s="255">
        <v>182</v>
      </c>
      <c r="F55" s="9">
        <v>182</v>
      </c>
    </row>
    <row r="56" spans="1:6" x14ac:dyDescent="0.3">
      <c r="A56" s="259"/>
      <c r="B56" s="257"/>
      <c r="C56" s="258"/>
      <c r="D56" s="256"/>
      <c r="E56" s="255"/>
      <c r="F56" s="9">
        <v>184</v>
      </c>
    </row>
    <row r="57" spans="1:6" x14ac:dyDescent="0.3">
      <c r="A57" s="259"/>
      <c r="B57" s="257"/>
      <c r="C57" s="258"/>
      <c r="D57" s="256">
        <v>187</v>
      </c>
      <c r="E57" s="255">
        <v>187</v>
      </c>
      <c r="F57" s="9">
        <v>187</v>
      </c>
    </row>
    <row r="58" spans="1:6" x14ac:dyDescent="0.3">
      <c r="A58" s="259"/>
      <c r="B58" s="257"/>
      <c r="C58" s="258"/>
      <c r="D58" s="256"/>
      <c r="E58" s="255"/>
      <c r="F58" s="9">
        <v>189</v>
      </c>
    </row>
    <row r="59" spans="1:6" x14ac:dyDescent="0.3">
      <c r="A59" s="259"/>
      <c r="B59" s="257"/>
      <c r="C59" s="258"/>
      <c r="D59" s="256"/>
      <c r="E59" s="255">
        <v>191</v>
      </c>
      <c r="F59" s="9">
        <v>191</v>
      </c>
    </row>
    <row r="60" spans="1:6" x14ac:dyDescent="0.3">
      <c r="A60" s="259"/>
      <c r="B60" s="257"/>
      <c r="C60" s="258"/>
      <c r="D60" s="256"/>
      <c r="E60" s="255"/>
      <c r="F60" s="9">
        <v>193</v>
      </c>
    </row>
    <row r="61" spans="1:6" x14ac:dyDescent="0.3">
      <c r="A61" s="259"/>
      <c r="B61" s="257"/>
      <c r="C61" s="258">
        <v>200</v>
      </c>
      <c r="D61" s="256">
        <v>196</v>
      </c>
      <c r="E61" s="255">
        <v>196</v>
      </c>
      <c r="F61" s="9">
        <v>196</v>
      </c>
    </row>
    <row r="62" spans="1:6" x14ac:dyDescent="0.3">
      <c r="A62" s="259"/>
      <c r="B62" s="257"/>
      <c r="C62" s="258"/>
      <c r="D62" s="256"/>
      <c r="E62" s="255"/>
      <c r="F62" s="9">
        <v>198</v>
      </c>
    </row>
    <row r="63" spans="1:6" x14ac:dyDescent="0.3">
      <c r="A63" s="259"/>
      <c r="B63" s="257"/>
      <c r="C63" s="258"/>
      <c r="D63" s="256"/>
      <c r="E63" s="255">
        <v>200</v>
      </c>
      <c r="F63" s="9">
        <v>200</v>
      </c>
    </row>
    <row r="64" spans="1:6" x14ac:dyDescent="0.3">
      <c r="A64" s="259"/>
      <c r="B64" s="257"/>
      <c r="C64" s="258"/>
      <c r="D64" s="256"/>
      <c r="E64" s="255"/>
      <c r="F64" s="9">
        <v>203</v>
      </c>
    </row>
    <row r="65" spans="1:6" x14ac:dyDescent="0.3">
      <c r="A65" s="259"/>
      <c r="B65" s="257"/>
      <c r="C65" s="258"/>
      <c r="D65" s="256">
        <v>205</v>
      </c>
      <c r="E65" s="255">
        <v>205</v>
      </c>
      <c r="F65" s="9">
        <v>205</v>
      </c>
    </row>
    <row r="66" spans="1:6" x14ac:dyDescent="0.3">
      <c r="A66" s="259"/>
      <c r="B66" s="257"/>
      <c r="C66" s="258"/>
      <c r="D66" s="256"/>
      <c r="E66" s="255"/>
      <c r="F66" s="9">
        <v>208</v>
      </c>
    </row>
    <row r="67" spans="1:6" x14ac:dyDescent="0.3">
      <c r="A67" s="259"/>
      <c r="B67" s="257"/>
      <c r="C67" s="258"/>
      <c r="D67" s="256"/>
      <c r="E67" s="255">
        <v>210</v>
      </c>
      <c r="F67" s="9">
        <v>210</v>
      </c>
    </row>
    <row r="68" spans="1:6" x14ac:dyDescent="0.3">
      <c r="A68" s="259"/>
      <c r="B68" s="257"/>
      <c r="C68" s="258"/>
      <c r="D68" s="256"/>
      <c r="E68" s="255"/>
      <c r="F68" s="9">
        <v>213</v>
      </c>
    </row>
    <row r="69" spans="1:6" x14ac:dyDescent="0.3">
      <c r="A69" s="259">
        <v>220</v>
      </c>
      <c r="B69" s="257">
        <v>220</v>
      </c>
      <c r="C69" s="258">
        <v>220</v>
      </c>
      <c r="D69" s="256">
        <v>215</v>
      </c>
      <c r="E69" s="255">
        <v>215</v>
      </c>
      <c r="F69" s="9">
        <v>215</v>
      </c>
    </row>
    <row r="70" spans="1:6" x14ac:dyDescent="0.3">
      <c r="A70" s="259"/>
      <c r="B70" s="257"/>
      <c r="C70" s="258"/>
      <c r="D70" s="256"/>
      <c r="E70" s="255"/>
      <c r="F70" s="9">
        <v>218</v>
      </c>
    </row>
    <row r="71" spans="1:6" x14ac:dyDescent="0.3">
      <c r="A71" s="259"/>
      <c r="B71" s="257"/>
      <c r="C71" s="258"/>
      <c r="D71" s="256"/>
      <c r="E71" s="255">
        <v>221</v>
      </c>
      <c r="F71" s="9">
        <v>221</v>
      </c>
    </row>
    <row r="72" spans="1:6" x14ac:dyDescent="0.3">
      <c r="A72" s="259"/>
      <c r="B72" s="257"/>
      <c r="C72" s="258"/>
      <c r="D72" s="256"/>
      <c r="E72" s="255"/>
      <c r="F72" s="9">
        <v>223</v>
      </c>
    </row>
    <row r="73" spans="1:6" x14ac:dyDescent="0.3">
      <c r="A73" s="259"/>
      <c r="B73" s="257"/>
      <c r="C73" s="258"/>
      <c r="D73" s="256">
        <v>226</v>
      </c>
      <c r="E73" s="255">
        <v>226</v>
      </c>
      <c r="F73" s="9">
        <v>226</v>
      </c>
    </row>
    <row r="74" spans="1:6" x14ac:dyDescent="0.3">
      <c r="A74" s="259"/>
      <c r="B74" s="257"/>
      <c r="C74" s="258"/>
      <c r="D74" s="256"/>
      <c r="E74" s="255"/>
      <c r="F74" s="9">
        <v>229</v>
      </c>
    </row>
    <row r="75" spans="1:6" x14ac:dyDescent="0.3">
      <c r="A75" s="259"/>
      <c r="B75" s="257"/>
      <c r="C75" s="258"/>
      <c r="D75" s="256"/>
      <c r="E75" s="255">
        <v>232</v>
      </c>
      <c r="F75" s="9">
        <v>232</v>
      </c>
    </row>
    <row r="76" spans="1:6" x14ac:dyDescent="0.3">
      <c r="A76" s="259"/>
      <c r="B76" s="257"/>
      <c r="C76" s="258"/>
      <c r="D76" s="256"/>
      <c r="E76" s="255"/>
      <c r="F76" s="9">
        <v>234</v>
      </c>
    </row>
    <row r="77" spans="1:6" x14ac:dyDescent="0.3">
      <c r="A77" s="259"/>
      <c r="B77" s="257"/>
      <c r="C77" s="258">
        <v>240</v>
      </c>
      <c r="D77" s="256">
        <v>237</v>
      </c>
      <c r="E77" s="255">
        <v>237</v>
      </c>
      <c r="F77" s="9">
        <v>237</v>
      </c>
    </row>
    <row r="78" spans="1:6" x14ac:dyDescent="0.3">
      <c r="A78" s="259"/>
      <c r="B78" s="257"/>
      <c r="C78" s="258"/>
      <c r="D78" s="256"/>
      <c r="E78" s="255"/>
      <c r="F78" s="9">
        <v>240</v>
      </c>
    </row>
    <row r="79" spans="1:6" x14ac:dyDescent="0.3">
      <c r="A79" s="259"/>
      <c r="B79" s="257"/>
      <c r="C79" s="258"/>
      <c r="D79" s="256"/>
      <c r="E79" s="255">
        <v>243</v>
      </c>
      <c r="F79" s="9">
        <v>243</v>
      </c>
    </row>
    <row r="80" spans="1:6" x14ac:dyDescent="0.3">
      <c r="A80" s="259"/>
      <c r="B80" s="257"/>
      <c r="C80" s="258"/>
      <c r="D80" s="256"/>
      <c r="E80" s="255"/>
      <c r="F80" s="9">
        <v>246</v>
      </c>
    </row>
    <row r="81" spans="1:6" x14ac:dyDescent="0.3">
      <c r="A81" s="259"/>
      <c r="B81" s="257"/>
      <c r="C81" s="258"/>
      <c r="D81" s="256">
        <v>249</v>
      </c>
      <c r="E81" s="255">
        <v>249</v>
      </c>
      <c r="F81" s="9">
        <v>249</v>
      </c>
    </row>
    <row r="82" spans="1:6" x14ac:dyDescent="0.3">
      <c r="A82" s="259"/>
      <c r="B82" s="257"/>
      <c r="C82" s="258"/>
      <c r="D82" s="256"/>
      <c r="E82" s="255"/>
      <c r="F82" s="9">
        <v>252</v>
      </c>
    </row>
    <row r="83" spans="1:6" x14ac:dyDescent="0.3">
      <c r="A83" s="259"/>
      <c r="B83" s="257"/>
      <c r="C83" s="258"/>
      <c r="D83" s="256"/>
      <c r="E83" s="255">
        <v>255</v>
      </c>
      <c r="F83" s="9">
        <v>255</v>
      </c>
    </row>
    <row r="84" spans="1:6" x14ac:dyDescent="0.3">
      <c r="A84" s="259"/>
      <c r="B84" s="257"/>
      <c r="C84" s="258"/>
      <c r="D84" s="256"/>
      <c r="E84" s="255"/>
      <c r="F84" s="9">
        <v>258</v>
      </c>
    </row>
    <row r="85" spans="1:6" x14ac:dyDescent="0.3">
      <c r="A85" s="259"/>
      <c r="B85" s="257">
        <v>270</v>
      </c>
      <c r="C85" s="258">
        <v>270</v>
      </c>
      <c r="D85" s="256">
        <v>261</v>
      </c>
      <c r="E85" s="255">
        <v>261</v>
      </c>
      <c r="F85" s="9">
        <v>261</v>
      </c>
    </row>
    <row r="86" spans="1:6" x14ac:dyDescent="0.3">
      <c r="A86" s="259"/>
      <c r="B86" s="257"/>
      <c r="C86" s="258"/>
      <c r="D86" s="256"/>
      <c r="E86" s="255"/>
      <c r="F86" s="9">
        <v>264</v>
      </c>
    </row>
    <row r="87" spans="1:6" x14ac:dyDescent="0.3">
      <c r="A87" s="259"/>
      <c r="B87" s="257"/>
      <c r="C87" s="258"/>
      <c r="D87" s="256"/>
      <c r="E87" s="255">
        <v>267</v>
      </c>
      <c r="F87" s="9">
        <v>267</v>
      </c>
    </row>
    <row r="88" spans="1:6" x14ac:dyDescent="0.3">
      <c r="A88" s="259"/>
      <c r="B88" s="257"/>
      <c r="C88" s="258"/>
      <c r="D88" s="256"/>
      <c r="E88" s="255"/>
      <c r="F88" s="9">
        <v>271</v>
      </c>
    </row>
    <row r="89" spans="1:6" x14ac:dyDescent="0.3">
      <c r="A89" s="259"/>
      <c r="B89" s="257"/>
      <c r="C89" s="258"/>
      <c r="D89" s="256">
        <v>274</v>
      </c>
      <c r="E89" s="255">
        <v>274</v>
      </c>
      <c r="F89" s="9">
        <v>274</v>
      </c>
    </row>
    <row r="90" spans="1:6" x14ac:dyDescent="0.3">
      <c r="A90" s="259"/>
      <c r="B90" s="257"/>
      <c r="C90" s="258"/>
      <c r="D90" s="256"/>
      <c r="E90" s="255"/>
      <c r="F90" s="9">
        <v>277</v>
      </c>
    </row>
    <row r="91" spans="1:6" x14ac:dyDescent="0.3">
      <c r="A91" s="259"/>
      <c r="B91" s="257"/>
      <c r="C91" s="258"/>
      <c r="D91" s="256"/>
      <c r="E91" s="255">
        <v>280</v>
      </c>
      <c r="F91" s="9">
        <v>280</v>
      </c>
    </row>
    <row r="92" spans="1:6" x14ac:dyDescent="0.3">
      <c r="A92" s="259"/>
      <c r="B92" s="257"/>
      <c r="C92" s="258"/>
      <c r="D92" s="256"/>
      <c r="E92" s="255"/>
      <c r="F92" s="9">
        <v>284</v>
      </c>
    </row>
    <row r="93" spans="1:6" x14ac:dyDescent="0.3">
      <c r="A93" s="259"/>
      <c r="B93" s="257"/>
      <c r="C93" s="258">
        <v>300</v>
      </c>
      <c r="D93" s="256">
        <v>287</v>
      </c>
      <c r="E93" s="255">
        <v>287</v>
      </c>
      <c r="F93" s="9">
        <v>287</v>
      </c>
    </row>
    <row r="94" spans="1:6" x14ac:dyDescent="0.3">
      <c r="A94" s="259"/>
      <c r="B94" s="257"/>
      <c r="C94" s="258"/>
      <c r="D94" s="256"/>
      <c r="E94" s="255"/>
      <c r="F94" s="9">
        <v>291</v>
      </c>
    </row>
    <row r="95" spans="1:6" x14ac:dyDescent="0.3">
      <c r="A95" s="259"/>
      <c r="B95" s="257"/>
      <c r="C95" s="258"/>
      <c r="D95" s="256"/>
      <c r="E95" s="255">
        <v>294</v>
      </c>
      <c r="F95" s="9">
        <v>294</v>
      </c>
    </row>
    <row r="96" spans="1:6" x14ac:dyDescent="0.3">
      <c r="A96" s="259"/>
      <c r="B96" s="257"/>
      <c r="C96" s="258"/>
      <c r="D96" s="256"/>
      <c r="E96" s="255"/>
      <c r="F96" s="9">
        <v>298</v>
      </c>
    </row>
    <row r="97" spans="1:6" x14ac:dyDescent="0.3">
      <c r="A97" s="259"/>
      <c r="B97" s="257"/>
      <c r="C97" s="258"/>
      <c r="D97" s="256">
        <v>301</v>
      </c>
      <c r="E97" s="255">
        <v>301</v>
      </c>
      <c r="F97" s="9">
        <v>301</v>
      </c>
    </row>
    <row r="98" spans="1:6" x14ac:dyDescent="0.3">
      <c r="A98" s="259"/>
      <c r="B98" s="257"/>
      <c r="C98" s="258"/>
      <c r="D98" s="256"/>
      <c r="E98" s="255"/>
      <c r="F98" s="9">
        <v>305</v>
      </c>
    </row>
    <row r="99" spans="1:6" x14ac:dyDescent="0.3">
      <c r="A99" s="259"/>
      <c r="B99" s="257"/>
      <c r="C99" s="258"/>
      <c r="D99" s="256"/>
      <c r="E99" s="255">
        <v>309</v>
      </c>
      <c r="F99" s="9">
        <v>309</v>
      </c>
    </row>
    <row r="100" spans="1:6" x14ac:dyDescent="0.3">
      <c r="A100" s="259"/>
      <c r="B100" s="257"/>
      <c r="C100" s="258"/>
      <c r="D100" s="256"/>
      <c r="E100" s="255"/>
      <c r="F100" s="9">
        <v>312</v>
      </c>
    </row>
    <row r="101" spans="1:6" x14ac:dyDescent="0.3">
      <c r="A101" s="259">
        <v>330</v>
      </c>
      <c r="B101" s="257">
        <v>330</v>
      </c>
      <c r="C101" s="258">
        <v>330</v>
      </c>
      <c r="D101" s="256">
        <v>316</v>
      </c>
      <c r="E101" s="255">
        <v>316</v>
      </c>
      <c r="F101" s="9">
        <v>316</v>
      </c>
    </row>
    <row r="102" spans="1:6" x14ac:dyDescent="0.3">
      <c r="A102" s="259"/>
      <c r="B102" s="257"/>
      <c r="C102" s="258"/>
      <c r="D102" s="256"/>
      <c r="E102" s="255"/>
      <c r="F102" s="9">
        <v>320</v>
      </c>
    </row>
    <row r="103" spans="1:6" x14ac:dyDescent="0.3">
      <c r="A103" s="259"/>
      <c r="B103" s="257"/>
      <c r="C103" s="258"/>
      <c r="D103" s="256"/>
      <c r="E103" s="255">
        <v>324</v>
      </c>
      <c r="F103" s="9">
        <v>324</v>
      </c>
    </row>
    <row r="104" spans="1:6" x14ac:dyDescent="0.3">
      <c r="A104" s="259"/>
      <c r="B104" s="257"/>
      <c r="C104" s="258"/>
      <c r="D104" s="256"/>
      <c r="E104" s="255"/>
      <c r="F104" s="9">
        <v>328</v>
      </c>
    </row>
    <row r="105" spans="1:6" x14ac:dyDescent="0.3">
      <c r="A105" s="259"/>
      <c r="B105" s="257"/>
      <c r="C105" s="258"/>
      <c r="D105" s="256">
        <v>332</v>
      </c>
      <c r="E105" s="255">
        <v>332</v>
      </c>
      <c r="F105" s="9">
        <v>332</v>
      </c>
    </row>
    <row r="106" spans="1:6" x14ac:dyDescent="0.3">
      <c r="A106" s="259"/>
      <c r="B106" s="257"/>
      <c r="C106" s="258"/>
      <c r="D106" s="256"/>
      <c r="E106" s="255"/>
      <c r="F106" s="9">
        <v>336</v>
      </c>
    </row>
    <row r="107" spans="1:6" x14ac:dyDescent="0.3">
      <c r="A107" s="259"/>
      <c r="B107" s="257"/>
      <c r="C107" s="258"/>
      <c r="D107" s="256"/>
      <c r="E107" s="255">
        <v>340</v>
      </c>
      <c r="F107" s="9">
        <v>340</v>
      </c>
    </row>
    <row r="108" spans="1:6" x14ac:dyDescent="0.3">
      <c r="A108" s="259"/>
      <c r="B108" s="257"/>
      <c r="C108" s="258"/>
      <c r="D108" s="256"/>
      <c r="E108" s="255"/>
      <c r="F108" s="9">
        <v>344</v>
      </c>
    </row>
    <row r="109" spans="1:6" x14ac:dyDescent="0.3">
      <c r="A109" s="259"/>
      <c r="B109" s="257"/>
      <c r="C109" s="258">
        <v>360</v>
      </c>
      <c r="D109" s="256">
        <v>348</v>
      </c>
      <c r="E109" s="255">
        <v>348</v>
      </c>
      <c r="F109" s="9">
        <v>348</v>
      </c>
    </row>
    <row r="110" spans="1:6" x14ac:dyDescent="0.3">
      <c r="A110" s="259"/>
      <c r="B110" s="257"/>
      <c r="C110" s="258"/>
      <c r="D110" s="256"/>
      <c r="E110" s="255"/>
      <c r="F110" s="9">
        <v>352</v>
      </c>
    </row>
    <row r="111" spans="1:6" x14ac:dyDescent="0.3">
      <c r="A111" s="259"/>
      <c r="B111" s="257"/>
      <c r="C111" s="258"/>
      <c r="D111" s="256"/>
      <c r="E111" s="255">
        <v>357</v>
      </c>
      <c r="F111" s="9">
        <v>357</v>
      </c>
    </row>
    <row r="112" spans="1:6" x14ac:dyDescent="0.3">
      <c r="A112" s="259"/>
      <c r="B112" s="257"/>
      <c r="C112" s="258"/>
      <c r="D112" s="256"/>
      <c r="E112" s="255"/>
      <c r="F112" s="9">
        <v>361</v>
      </c>
    </row>
    <row r="113" spans="1:6" x14ac:dyDescent="0.3">
      <c r="A113" s="259"/>
      <c r="B113" s="257"/>
      <c r="C113" s="258"/>
      <c r="D113" s="256">
        <v>365</v>
      </c>
      <c r="E113" s="255">
        <v>365</v>
      </c>
      <c r="F113" s="9">
        <v>365</v>
      </c>
    </row>
    <row r="114" spans="1:6" x14ac:dyDescent="0.3">
      <c r="A114" s="259"/>
      <c r="B114" s="257"/>
      <c r="C114" s="258"/>
      <c r="D114" s="256"/>
      <c r="E114" s="255"/>
      <c r="F114" s="9">
        <v>370</v>
      </c>
    </row>
    <row r="115" spans="1:6" x14ac:dyDescent="0.3">
      <c r="A115" s="259"/>
      <c r="B115" s="257"/>
      <c r="C115" s="258"/>
      <c r="D115" s="256"/>
      <c r="E115" s="255">
        <v>374</v>
      </c>
      <c r="F115" s="9">
        <v>374</v>
      </c>
    </row>
    <row r="116" spans="1:6" x14ac:dyDescent="0.3">
      <c r="A116" s="259"/>
      <c r="B116" s="257"/>
      <c r="C116" s="258"/>
      <c r="D116" s="256"/>
      <c r="E116" s="255"/>
      <c r="F116" s="9">
        <v>379</v>
      </c>
    </row>
    <row r="117" spans="1:6" x14ac:dyDescent="0.3">
      <c r="A117" s="259"/>
      <c r="B117" s="257">
        <v>390</v>
      </c>
      <c r="C117" s="258">
        <v>390</v>
      </c>
      <c r="D117" s="256">
        <v>383</v>
      </c>
      <c r="E117" s="255">
        <v>383</v>
      </c>
      <c r="F117" s="9">
        <v>383</v>
      </c>
    </row>
    <row r="118" spans="1:6" x14ac:dyDescent="0.3">
      <c r="A118" s="259"/>
      <c r="B118" s="257"/>
      <c r="C118" s="258"/>
      <c r="D118" s="256"/>
      <c r="E118" s="255"/>
      <c r="F118" s="9">
        <v>388</v>
      </c>
    </row>
    <row r="119" spans="1:6" x14ac:dyDescent="0.3">
      <c r="A119" s="259"/>
      <c r="B119" s="257"/>
      <c r="C119" s="258"/>
      <c r="D119" s="256"/>
      <c r="E119" s="255">
        <v>392</v>
      </c>
      <c r="F119" s="9">
        <v>392</v>
      </c>
    </row>
    <row r="120" spans="1:6" x14ac:dyDescent="0.3">
      <c r="A120" s="259"/>
      <c r="B120" s="257"/>
      <c r="C120" s="258"/>
      <c r="D120" s="256"/>
      <c r="E120" s="255"/>
      <c r="F120" s="9">
        <v>397</v>
      </c>
    </row>
    <row r="121" spans="1:6" x14ac:dyDescent="0.3">
      <c r="A121" s="259"/>
      <c r="B121" s="257"/>
      <c r="C121" s="258"/>
      <c r="D121" s="256">
        <v>402</v>
      </c>
      <c r="E121" s="255">
        <v>402</v>
      </c>
      <c r="F121" s="9">
        <v>402</v>
      </c>
    </row>
    <row r="122" spans="1:6" x14ac:dyDescent="0.3">
      <c r="A122" s="259"/>
      <c r="B122" s="257"/>
      <c r="C122" s="258"/>
      <c r="D122" s="256"/>
      <c r="E122" s="255"/>
      <c r="F122" s="9">
        <v>407</v>
      </c>
    </row>
    <row r="123" spans="1:6" x14ac:dyDescent="0.3">
      <c r="A123" s="259"/>
      <c r="B123" s="257"/>
      <c r="C123" s="258"/>
      <c r="D123" s="256"/>
      <c r="E123" s="255">
        <v>412</v>
      </c>
      <c r="F123" s="9">
        <v>412</v>
      </c>
    </row>
    <row r="124" spans="1:6" x14ac:dyDescent="0.3">
      <c r="A124" s="259"/>
      <c r="B124" s="257"/>
      <c r="C124" s="258"/>
      <c r="D124" s="256"/>
      <c r="E124" s="255"/>
      <c r="F124" s="9">
        <v>417</v>
      </c>
    </row>
    <row r="125" spans="1:6" x14ac:dyDescent="0.3">
      <c r="A125" s="259"/>
      <c r="B125" s="257"/>
      <c r="C125" s="258">
        <v>430</v>
      </c>
      <c r="D125" s="256">
        <v>422</v>
      </c>
      <c r="E125" s="255">
        <v>422</v>
      </c>
      <c r="F125" s="9">
        <v>422</v>
      </c>
    </row>
    <row r="126" spans="1:6" x14ac:dyDescent="0.3">
      <c r="A126" s="259"/>
      <c r="B126" s="257"/>
      <c r="C126" s="258"/>
      <c r="D126" s="256"/>
      <c r="E126" s="255"/>
      <c r="F126" s="9">
        <v>427</v>
      </c>
    </row>
    <row r="127" spans="1:6" x14ac:dyDescent="0.3">
      <c r="A127" s="259"/>
      <c r="B127" s="257"/>
      <c r="C127" s="258"/>
      <c r="D127" s="256"/>
      <c r="E127" s="255">
        <v>432</v>
      </c>
      <c r="F127" s="9">
        <v>432</v>
      </c>
    </row>
    <row r="128" spans="1:6" x14ac:dyDescent="0.3">
      <c r="A128" s="259"/>
      <c r="B128" s="257"/>
      <c r="C128" s="258"/>
      <c r="D128" s="256"/>
      <c r="E128" s="255"/>
      <c r="F128" s="9">
        <v>437</v>
      </c>
    </row>
    <row r="129" spans="1:6" x14ac:dyDescent="0.3">
      <c r="A129" s="259"/>
      <c r="B129" s="257"/>
      <c r="C129" s="258"/>
      <c r="D129" s="256">
        <v>442</v>
      </c>
      <c r="E129" s="255">
        <v>442</v>
      </c>
      <c r="F129" s="9">
        <v>442</v>
      </c>
    </row>
    <row r="130" spans="1:6" x14ac:dyDescent="0.3">
      <c r="A130" s="259"/>
      <c r="B130" s="257"/>
      <c r="C130" s="258"/>
      <c r="D130" s="256"/>
      <c r="E130" s="255"/>
      <c r="F130" s="9">
        <v>448</v>
      </c>
    </row>
    <row r="131" spans="1:6" x14ac:dyDescent="0.3">
      <c r="A131" s="259"/>
      <c r="B131" s="257"/>
      <c r="C131" s="258"/>
      <c r="D131" s="256"/>
      <c r="E131" s="255">
        <v>453</v>
      </c>
      <c r="F131" s="9">
        <v>453</v>
      </c>
    </row>
    <row r="132" spans="1:6" x14ac:dyDescent="0.3">
      <c r="A132" s="259"/>
      <c r="B132" s="257"/>
      <c r="C132" s="258"/>
      <c r="D132" s="256"/>
      <c r="E132" s="255"/>
      <c r="F132" s="9">
        <v>459</v>
      </c>
    </row>
    <row r="133" spans="1:6" x14ac:dyDescent="0.3">
      <c r="A133" s="259">
        <v>470</v>
      </c>
      <c r="B133" s="257">
        <v>470</v>
      </c>
      <c r="C133" s="258">
        <v>470</v>
      </c>
      <c r="D133" s="256">
        <v>464</v>
      </c>
      <c r="E133" s="255">
        <v>464</v>
      </c>
      <c r="F133" s="9">
        <v>464</v>
      </c>
    </row>
    <row r="134" spans="1:6" x14ac:dyDescent="0.3">
      <c r="A134" s="259"/>
      <c r="B134" s="257"/>
      <c r="C134" s="258"/>
      <c r="D134" s="256"/>
      <c r="E134" s="255"/>
      <c r="F134" s="9">
        <v>470</v>
      </c>
    </row>
    <row r="135" spans="1:6" x14ac:dyDescent="0.3">
      <c r="A135" s="259"/>
      <c r="B135" s="257"/>
      <c r="C135" s="258"/>
      <c r="D135" s="256"/>
      <c r="E135" s="255">
        <v>475</v>
      </c>
      <c r="F135" s="9">
        <v>475</v>
      </c>
    </row>
    <row r="136" spans="1:6" x14ac:dyDescent="0.3">
      <c r="A136" s="259"/>
      <c r="B136" s="257"/>
      <c r="C136" s="258"/>
      <c r="D136" s="256"/>
      <c r="E136" s="255"/>
      <c r="F136" s="9">
        <v>481</v>
      </c>
    </row>
    <row r="137" spans="1:6" x14ac:dyDescent="0.3">
      <c r="A137" s="259"/>
      <c r="B137" s="257"/>
      <c r="C137" s="258"/>
      <c r="D137" s="256">
        <v>487</v>
      </c>
      <c r="E137" s="255">
        <v>487</v>
      </c>
      <c r="F137" s="9">
        <v>487</v>
      </c>
    </row>
    <row r="138" spans="1:6" x14ac:dyDescent="0.3">
      <c r="A138" s="259"/>
      <c r="B138" s="257"/>
      <c r="C138" s="258"/>
      <c r="D138" s="256"/>
      <c r="E138" s="255"/>
      <c r="F138" s="9">
        <v>493</v>
      </c>
    </row>
    <row r="139" spans="1:6" x14ac:dyDescent="0.3">
      <c r="A139" s="259"/>
      <c r="B139" s="257"/>
      <c r="C139" s="258"/>
      <c r="D139" s="256"/>
      <c r="E139" s="255">
        <v>499</v>
      </c>
      <c r="F139" s="9">
        <v>499</v>
      </c>
    </row>
    <row r="140" spans="1:6" x14ac:dyDescent="0.3">
      <c r="A140" s="259"/>
      <c r="B140" s="257"/>
      <c r="C140" s="258"/>
      <c r="D140" s="256"/>
      <c r="E140" s="255"/>
      <c r="F140" s="9">
        <v>505</v>
      </c>
    </row>
    <row r="141" spans="1:6" x14ac:dyDescent="0.3">
      <c r="A141" s="259"/>
      <c r="B141" s="257"/>
      <c r="C141" s="258">
        <v>510</v>
      </c>
      <c r="D141" s="256">
        <v>511</v>
      </c>
      <c r="E141" s="255">
        <v>511</v>
      </c>
      <c r="F141" s="9">
        <v>511</v>
      </c>
    </row>
    <row r="142" spans="1:6" x14ac:dyDescent="0.3">
      <c r="A142" s="259"/>
      <c r="B142" s="257"/>
      <c r="C142" s="258"/>
      <c r="D142" s="256"/>
      <c r="E142" s="255"/>
      <c r="F142" s="9">
        <v>517</v>
      </c>
    </row>
    <row r="143" spans="1:6" x14ac:dyDescent="0.3">
      <c r="A143" s="259"/>
      <c r="B143" s="257"/>
      <c r="C143" s="258"/>
      <c r="D143" s="256"/>
      <c r="E143" s="255">
        <v>523</v>
      </c>
      <c r="F143" s="9">
        <v>523</v>
      </c>
    </row>
    <row r="144" spans="1:6" x14ac:dyDescent="0.3">
      <c r="A144" s="259"/>
      <c r="B144" s="257"/>
      <c r="C144" s="258"/>
      <c r="D144" s="256"/>
      <c r="E144" s="255"/>
      <c r="F144" s="9">
        <v>530</v>
      </c>
    </row>
    <row r="145" spans="1:6" x14ac:dyDescent="0.3">
      <c r="A145" s="259"/>
      <c r="B145" s="257"/>
      <c r="C145" s="258"/>
      <c r="D145" s="256">
        <v>536</v>
      </c>
      <c r="E145" s="255">
        <v>536</v>
      </c>
      <c r="F145" s="9">
        <v>536</v>
      </c>
    </row>
    <row r="146" spans="1:6" x14ac:dyDescent="0.3">
      <c r="A146" s="259"/>
      <c r="B146" s="257"/>
      <c r="C146" s="258"/>
      <c r="D146" s="256"/>
      <c r="E146" s="255"/>
      <c r="F146" s="9">
        <v>542</v>
      </c>
    </row>
    <row r="147" spans="1:6" x14ac:dyDescent="0.3">
      <c r="A147" s="259"/>
      <c r="B147" s="257"/>
      <c r="C147" s="258"/>
      <c r="D147" s="256"/>
      <c r="E147" s="255">
        <v>549</v>
      </c>
      <c r="F147" s="9">
        <v>549</v>
      </c>
    </row>
    <row r="148" spans="1:6" x14ac:dyDescent="0.3">
      <c r="A148" s="259"/>
      <c r="B148" s="257"/>
      <c r="C148" s="258"/>
      <c r="D148" s="256"/>
      <c r="E148" s="255"/>
      <c r="F148" s="9">
        <v>556</v>
      </c>
    </row>
    <row r="149" spans="1:6" x14ac:dyDescent="0.3">
      <c r="A149" s="259"/>
      <c r="B149" s="257">
        <v>560</v>
      </c>
      <c r="C149" s="258">
        <v>560</v>
      </c>
      <c r="D149" s="256">
        <v>562</v>
      </c>
      <c r="E149" s="255">
        <v>562</v>
      </c>
      <c r="F149" s="9">
        <v>562</v>
      </c>
    </row>
    <row r="150" spans="1:6" x14ac:dyDescent="0.3">
      <c r="A150" s="259"/>
      <c r="B150" s="257"/>
      <c r="C150" s="258"/>
      <c r="D150" s="256"/>
      <c r="E150" s="255"/>
      <c r="F150" s="9">
        <v>569</v>
      </c>
    </row>
    <row r="151" spans="1:6" x14ac:dyDescent="0.3">
      <c r="A151" s="259"/>
      <c r="B151" s="257"/>
      <c r="C151" s="258"/>
      <c r="D151" s="256"/>
      <c r="E151" s="255">
        <v>576</v>
      </c>
      <c r="F151" s="9">
        <v>576</v>
      </c>
    </row>
    <row r="152" spans="1:6" x14ac:dyDescent="0.3">
      <c r="A152" s="259"/>
      <c r="B152" s="257"/>
      <c r="C152" s="258"/>
      <c r="D152" s="256"/>
      <c r="E152" s="255"/>
      <c r="F152" s="9">
        <v>583</v>
      </c>
    </row>
    <row r="153" spans="1:6" x14ac:dyDescent="0.3">
      <c r="A153" s="259"/>
      <c r="B153" s="257"/>
      <c r="C153" s="258"/>
      <c r="D153" s="256">
        <v>590</v>
      </c>
      <c r="E153" s="255">
        <v>590</v>
      </c>
      <c r="F153" s="9">
        <v>590</v>
      </c>
    </row>
    <row r="154" spans="1:6" x14ac:dyDescent="0.3">
      <c r="A154" s="259"/>
      <c r="B154" s="257"/>
      <c r="C154" s="258"/>
      <c r="D154" s="256"/>
      <c r="E154" s="255"/>
      <c r="F154" s="9">
        <v>597</v>
      </c>
    </row>
    <row r="155" spans="1:6" x14ac:dyDescent="0.3">
      <c r="A155" s="259"/>
      <c r="B155" s="257"/>
      <c r="C155" s="258"/>
      <c r="D155" s="256"/>
      <c r="E155" s="255">
        <v>604</v>
      </c>
      <c r="F155" s="9">
        <v>604</v>
      </c>
    </row>
    <row r="156" spans="1:6" x14ac:dyDescent="0.3">
      <c r="A156" s="259"/>
      <c r="B156" s="257"/>
      <c r="C156" s="258"/>
      <c r="D156" s="256"/>
      <c r="E156" s="255"/>
      <c r="F156" s="9">
        <v>612</v>
      </c>
    </row>
    <row r="157" spans="1:6" x14ac:dyDescent="0.3">
      <c r="A157" s="259"/>
      <c r="B157" s="257"/>
      <c r="C157" s="258">
        <v>620</v>
      </c>
      <c r="D157" s="256">
        <v>619</v>
      </c>
      <c r="E157" s="255">
        <v>619</v>
      </c>
      <c r="F157" s="9">
        <v>619</v>
      </c>
    </row>
    <row r="158" spans="1:6" x14ac:dyDescent="0.3">
      <c r="A158" s="259"/>
      <c r="B158" s="257"/>
      <c r="C158" s="258"/>
      <c r="D158" s="256"/>
      <c r="E158" s="255"/>
      <c r="F158" s="9">
        <v>626</v>
      </c>
    </row>
    <row r="159" spans="1:6" x14ac:dyDescent="0.3">
      <c r="A159" s="259"/>
      <c r="B159" s="257"/>
      <c r="C159" s="258"/>
      <c r="D159" s="256"/>
      <c r="E159" s="255">
        <v>634</v>
      </c>
      <c r="F159" s="9">
        <v>634</v>
      </c>
    </row>
    <row r="160" spans="1:6" x14ac:dyDescent="0.3">
      <c r="A160" s="259"/>
      <c r="B160" s="257"/>
      <c r="C160" s="258"/>
      <c r="D160" s="256"/>
      <c r="E160" s="255"/>
      <c r="F160" s="9">
        <v>642</v>
      </c>
    </row>
    <row r="161" spans="1:6" x14ac:dyDescent="0.3">
      <c r="A161" s="259"/>
      <c r="B161" s="257"/>
      <c r="C161" s="258"/>
      <c r="D161" s="256">
        <v>649</v>
      </c>
      <c r="E161" s="255">
        <v>649</v>
      </c>
      <c r="F161" s="9">
        <v>649</v>
      </c>
    </row>
    <row r="162" spans="1:6" x14ac:dyDescent="0.3">
      <c r="A162" s="259"/>
      <c r="B162" s="257"/>
      <c r="C162" s="258"/>
      <c r="D162" s="256"/>
      <c r="E162" s="255"/>
      <c r="F162" s="9">
        <v>657</v>
      </c>
    </row>
    <row r="163" spans="1:6" x14ac:dyDescent="0.3">
      <c r="A163" s="259"/>
      <c r="B163" s="257"/>
      <c r="C163" s="258"/>
      <c r="D163" s="256"/>
      <c r="E163" s="255">
        <v>665</v>
      </c>
      <c r="F163" s="9">
        <v>665</v>
      </c>
    </row>
    <row r="164" spans="1:6" x14ac:dyDescent="0.3">
      <c r="A164" s="259"/>
      <c r="B164" s="257"/>
      <c r="C164" s="258"/>
      <c r="D164" s="256"/>
      <c r="E164" s="255"/>
      <c r="F164" s="9">
        <v>673</v>
      </c>
    </row>
    <row r="165" spans="1:6" x14ac:dyDescent="0.3">
      <c r="A165" s="259">
        <v>680</v>
      </c>
      <c r="B165" s="257">
        <v>680</v>
      </c>
      <c r="C165" s="258">
        <v>680</v>
      </c>
      <c r="D165" s="256">
        <v>681</v>
      </c>
      <c r="E165" s="255">
        <v>681</v>
      </c>
      <c r="F165" s="9">
        <v>681</v>
      </c>
    </row>
    <row r="166" spans="1:6" x14ac:dyDescent="0.3">
      <c r="A166" s="259"/>
      <c r="B166" s="257"/>
      <c r="C166" s="258"/>
      <c r="D166" s="256"/>
      <c r="E166" s="255"/>
      <c r="F166" s="9">
        <v>690</v>
      </c>
    </row>
    <row r="167" spans="1:6" x14ac:dyDescent="0.3">
      <c r="A167" s="259"/>
      <c r="B167" s="257"/>
      <c r="C167" s="258"/>
      <c r="D167" s="256"/>
      <c r="E167" s="255">
        <v>698</v>
      </c>
      <c r="F167" s="9">
        <v>698</v>
      </c>
    </row>
    <row r="168" spans="1:6" x14ac:dyDescent="0.3">
      <c r="A168" s="259"/>
      <c r="B168" s="257"/>
      <c r="C168" s="258"/>
      <c r="D168" s="256"/>
      <c r="E168" s="255"/>
      <c r="F168" s="9">
        <v>706</v>
      </c>
    </row>
    <row r="169" spans="1:6" x14ac:dyDescent="0.3">
      <c r="A169" s="259"/>
      <c r="B169" s="257"/>
      <c r="C169" s="258"/>
      <c r="D169" s="256">
        <v>715</v>
      </c>
      <c r="E169" s="255">
        <v>715</v>
      </c>
      <c r="F169" s="9">
        <v>715</v>
      </c>
    </row>
    <row r="170" spans="1:6" x14ac:dyDescent="0.3">
      <c r="A170" s="259"/>
      <c r="B170" s="257"/>
      <c r="C170" s="258"/>
      <c r="D170" s="256"/>
      <c r="E170" s="255"/>
      <c r="F170" s="9">
        <v>723</v>
      </c>
    </row>
    <row r="171" spans="1:6" x14ac:dyDescent="0.3">
      <c r="A171" s="259"/>
      <c r="B171" s="257"/>
      <c r="C171" s="258"/>
      <c r="D171" s="256"/>
      <c r="E171" s="255">
        <v>732</v>
      </c>
      <c r="F171" s="9">
        <v>732</v>
      </c>
    </row>
    <row r="172" spans="1:6" x14ac:dyDescent="0.3">
      <c r="A172" s="259"/>
      <c r="B172" s="257"/>
      <c r="C172" s="258"/>
      <c r="D172" s="256"/>
      <c r="E172" s="255"/>
      <c r="F172" s="9">
        <v>741</v>
      </c>
    </row>
    <row r="173" spans="1:6" x14ac:dyDescent="0.3">
      <c r="A173" s="259"/>
      <c r="B173" s="257"/>
      <c r="C173" s="258">
        <v>750</v>
      </c>
      <c r="D173" s="256">
        <v>750</v>
      </c>
      <c r="E173" s="255">
        <v>750</v>
      </c>
      <c r="F173" s="9">
        <v>750</v>
      </c>
    </row>
    <row r="174" spans="1:6" x14ac:dyDescent="0.3">
      <c r="A174" s="259"/>
      <c r="B174" s="257"/>
      <c r="C174" s="258"/>
      <c r="D174" s="256"/>
      <c r="E174" s="255"/>
      <c r="F174" s="9">
        <v>759</v>
      </c>
    </row>
    <row r="175" spans="1:6" x14ac:dyDescent="0.3">
      <c r="A175" s="259"/>
      <c r="B175" s="257"/>
      <c r="C175" s="258"/>
      <c r="D175" s="256"/>
      <c r="E175" s="255">
        <v>768</v>
      </c>
      <c r="F175" s="9">
        <v>768</v>
      </c>
    </row>
    <row r="176" spans="1:6" x14ac:dyDescent="0.3">
      <c r="A176" s="259"/>
      <c r="B176" s="257"/>
      <c r="C176" s="258"/>
      <c r="D176" s="256"/>
      <c r="E176" s="255"/>
      <c r="F176" s="9">
        <v>777</v>
      </c>
    </row>
    <row r="177" spans="1:6" x14ac:dyDescent="0.3">
      <c r="A177" s="259"/>
      <c r="B177" s="257"/>
      <c r="C177" s="258"/>
      <c r="D177" s="256">
        <v>787</v>
      </c>
      <c r="E177" s="255">
        <v>787</v>
      </c>
      <c r="F177" s="9">
        <v>787</v>
      </c>
    </row>
    <row r="178" spans="1:6" x14ac:dyDescent="0.3">
      <c r="A178" s="259"/>
      <c r="B178" s="257"/>
      <c r="C178" s="258"/>
      <c r="D178" s="256"/>
      <c r="E178" s="255"/>
      <c r="F178" s="9">
        <v>796</v>
      </c>
    </row>
    <row r="179" spans="1:6" x14ac:dyDescent="0.3">
      <c r="A179" s="259"/>
      <c r="B179" s="257"/>
      <c r="C179" s="258"/>
      <c r="D179" s="256"/>
      <c r="E179" s="255">
        <v>806</v>
      </c>
      <c r="F179" s="9">
        <v>806</v>
      </c>
    </row>
    <row r="180" spans="1:6" x14ac:dyDescent="0.3">
      <c r="A180" s="259"/>
      <c r="B180" s="257"/>
      <c r="C180" s="258"/>
      <c r="D180" s="256"/>
      <c r="E180" s="255"/>
      <c r="F180" s="9">
        <v>816</v>
      </c>
    </row>
    <row r="181" spans="1:6" x14ac:dyDescent="0.3">
      <c r="A181" s="259"/>
      <c r="B181" s="257">
        <v>820</v>
      </c>
      <c r="C181" s="258">
        <v>820</v>
      </c>
      <c r="D181" s="256">
        <v>825</v>
      </c>
      <c r="E181" s="255">
        <v>825</v>
      </c>
      <c r="F181" s="9">
        <v>825</v>
      </c>
    </row>
    <row r="182" spans="1:6" x14ac:dyDescent="0.3">
      <c r="A182" s="259"/>
      <c r="B182" s="257"/>
      <c r="C182" s="258"/>
      <c r="D182" s="256"/>
      <c r="E182" s="255"/>
      <c r="F182" s="9">
        <v>835</v>
      </c>
    </row>
    <row r="183" spans="1:6" x14ac:dyDescent="0.3">
      <c r="A183" s="259"/>
      <c r="B183" s="257"/>
      <c r="C183" s="258"/>
      <c r="D183" s="256"/>
      <c r="E183" s="255">
        <v>845</v>
      </c>
      <c r="F183" s="9">
        <v>845</v>
      </c>
    </row>
    <row r="184" spans="1:6" x14ac:dyDescent="0.3">
      <c r="A184" s="259"/>
      <c r="B184" s="257"/>
      <c r="C184" s="258"/>
      <c r="D184" s="256"/>
      <c r="E184" s="255"/>
      <c r="F184" s="9">
        <v>856</v>
      </c>
    </row>
    <row r="185" spans="1:6" x14ac:dyDescent="0.3">
      <c r="A185" s="259"/>
      <c r="B185" s="257"/>
      <c r="C185" s="258"/>
      <c r="D185" s="256">
        <v>866</v>
      </c>
      <c r="E185" s="255">
        <v>866</v>
      </c>
      <c r="F185" s="9">
        <v>866</v>
      </c>
    </row>
    <row r="186" spans="1:6" x14ac:dyDescent="0.3">
      <c r="A186" s="259"/>
      <c r="B186" s="257"/>
      <c r="C186" s="258"/>
      <c r="D186" s="256"/>
      <c r="E186" s="255"/>
      <c r="F186" s="9">
        <v>876</v>
      </c>
    </row>
    <row r="187" spans="1:6" x14ac:dyDescent="0.3">
      <c r="A187" s="259"/>
      <c r="B187" s="257"/>
      <c r="C187" s="258"/>
      <c r="D187" s="256"/>
      <c r="E187" s="255">
        <v>887</v>
      </c>
      <c r="F187" s="9">
        <v>887</v>
      </c>
    </row>
    <row r="188" spans="1:6" x14ac:dyDescent="0.3">
      <c r="A188" s="259"/>
      <c r="B188" s="257"/>
      <c r="C188" s="258"/>
      <c r="D188" s="256"/>
      <c r="E188" s="255"/>
      <c r="F188" s="9">
        <v>898</v>
      </c>
    </row>
    <row r="189" spans="1:6" x14ac:dyDescent="0.3">
      <c r="A189" s="259"/>
      <c r="B189" s="257"/>
      <c r="C189" s="258">
        <v>910</v>
      </c>
      <c r="D189" s="256">
        <v>909</v>
      </c>
      <c r="E189" s="255">
        <v>909</v>
      </c>
      <c r="F189" s="9">
        <v>909</v>
      </c>
    </row>
    <row r="190" spans="1:6" x14ac:dyDescent="0.3">
      <c r="A190" s="259"/>
      <c r="B190" s="257"/>
      <c r="C190" s="258"/>
      <c r="D190" s="256"/>
      <c r="E190" s="255"/>
      <c r="F190" s="9">
        <v>920</v>
      </c>
    </row>
    <row r="191" spans="1:6" x14ac:dyDescent="0.3">
      <c r="A191" s="259"/>
      <c r="B191" s="257"/>
      <c r="C191" s="258"/>
      <c r="D191" s="256"/>
      <c r="E191" s="255">
        <v>931</v>
      </c>
      <c r="F191" s="9">
        <v>931</v>
      </c>
    </row>
    <row r="192" spans="1:6" x14ac:dyDescent="0.3">
      <c r="A192" s="259"/>
      <c r="B192" s="257"/>
      <c r="C192" s="258"/>
      <c r="D192" s="256"/>
      <c r="E192" s="255"/>
      <c r="F192" s="9">
        <v>942</v>
      </c>
    </row>
    <row r="193" spans="1:7" x14ac:dyDescent="0.3">
      <c r="A193" s="259"/>
      <c r="B193" s="257"/>
      <c r="C193" s="258"/>
      <c r="D193" s="256">
        <v>953</v>
      </c>
      <c r="E193" s="255">
        <v>953</v>
      </c>
      <c r="F193" s="9">
        <v>953</v>
      </c>
    </row>
    <row r="194" spans="1:7" x14ac:dyDescent="0.3">
      <c r="A194" s="259"/>
      <c r="B194" s="257"/>
      <c r="C194" s="258"/>
      <c r="D194" s="256"/>
      <c r="E194" s="255"/>
      <c r="F194" s="9">
        <v>965</v>
      </c>
    </row>
    <row r="195" spans="1:7" x14ac:dyDescent="0.3">
      <c r="A195" s="259"/>
      <c r="B195" s="257"/>
      <c r="C195" s="258"/>
      <c r="D195" s="256"/>
      <c r="E195" s="255">
        <v>976</v>
      </c>
      <c r="F195" s="9">
        <v>976</v>
      </c>
    </row>
    <row r="196" spans="1:7" x14ac:dyDescent="0.3">
      <c r="A196" s="259"/>
      <c r="B196" s="257"/>
      <c r="C196" s="258"/>
      <c r="D196" s="256"/>
      <c r="E196" s="255"/>
      <c r="F196" s="9">
        <v>988</v>
      </c>
    </row>
    <row r="197" spans="1:7" x14ac:dyDescent="0.3">
      <c r="A197" s="10">
        <v>1000</v>
      </c>
      <c r="B197" s="11">
        <v>1000</v>
      </c>
      <c r="C197" s="12">
        <v>1000</v>
      </c>
      <c r="D197" s="13">
        <v>1000</v>
      </c>
      <c r="E197" s="14">
        <v>1000</v>
      </c>
      <c r="F197" s="15">
        <v>1000</v>
      </c>
      <c r="G197" s="16" t="s">
        <v>70</v>
      </c>
    </row>
  </sheetData>
  <sheetProtection sheet="1" objects="1" scenarios="1"/>
  <mergeCells count="187"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-0.499984740745262"/>
  </sheetPr>
  <dimension ref="A1:F75"/>
  <sheetViews>
    <sheetView workbookViewId="0">
      <pane xSplit="1" ySplit="3" topLeftCell="B22" activePane="bottomRight" state="frozen"/>
      <selection activeCell="G170" sqref="G170"/>
      <selection pane="topRight" activeCell="G170" sqref="G170"/>
      <selection pane="bottomLeft" activeCell="G170" sqref="G170"/>
      <selection pane="bottomRight" activeCell="B53" sqref="B53"/>
    </sheetView>
  </sheetViews>
  <sheetFormatPr defaultRowHeight="14.4" x14ac:dyDescent="0.3"/>
  <cols>
    <col min="1" max="4" width="9.33203125" bestFit="1" customWidth="1"/>
  </cols>
  <sheetData>
    <row r="1" spans="1:4" ht="25.8" x14ac:dyDescent="0.5">
      <c r="A1" s="19" t="s">
        <v>72</v>
      </c>
      <c r="B1" s="19"/>
    </row>
    <row r="3" spans="1:4" x14ac:dyDescent="0.3">
      <c r="A3" s="17" t="s">
        <v>54</v>
      </c>
      <c r="B3" s="17" t="s">
        <v>8</v>
      </c>
      <c r="C3" s="17" t="s">
        <v>71</v>
      </c>
      <c r="D3" s="17" t="s">
        <v>73</v>
      </c>
    </row>
    <row r="4" spans="1:4" x14ac:dyDescent="0.3">
      <c r="A4" s="18">
        <v>1</v>
      </c>
      <c r="B4" s="18">
        <v>1</v>
      </c>
      <c r="C4" s="18">
        <v>1</v>
      </c>
      <c r="D4" s="18">
        <v>1</v>
      </c>
    </row>
    <row r="5" spans="1:4" x14ac:dyDescent="0.3">
      <c r="A5" s="18">
        <v>1.1000000000000001</v>
      </c>
      <c r="B5" s="18">
        <v>1.1000000000000001</v>
      </c>
      <c r="C5" s="18">
        <v>1</v>
      </c>
      <c r="D5" s="18"/>
    </row>
    <row r="6" spans="1:4" x14ac:dyDescent="0.3">
      <c r="A6" s="18">
        <v>1.2</v>
      </c>
      <c r="B6" s="18">
        <v>1.2</v>
      </c>
      <c r="C6" s="18">
        <v>1</v>
      </c>
      <c r="D6" s="18"/>
    </row>
    <row r="7" spans="1:4" x14ac:dyDescent="0.3">
      <c r="A7" s="18">
        <v>1.3</v>
      </c>
      <c r="B7" s="18">
        <v>1.3</v>
      </c>
      <c r="C7" s="18">
        <v>1</v>
      </c>
      <c r="D7" s="18"/>
    </row>
    <row r="8" spans="1:4" x14ac:dyDescent="0.3">
      <c r="A8" s="18">
        <v>1.5</v>
      </c>
      <c r="B8" s="18">
        <v>1.5</v>
      </c>
      <c r="C8" s="18">
        <v>1.5</v>
      </c>
      <c r="D8" s="18">
        <v>1.5</v>
      </c>
    </row>
    <row r="9" spans="1:4" x14ac:dyDescent="0.3">
      <c r="A9" s="18">
        <v>1.6</v>
      </c>
      <c r="B9" s="18">
        <v>1.6</v>
      </c>
      <c r="C9" s="18">
        <v>1.5</v>
      </c>
      <c r="D9" s="18"/>
    </row>
    <row r="10" spans="1:4" x14ac:dyDescent="0.3">
      <c r="A10" s="18">
        <v>1.8</v>
      </c>
      <c r="B10" s="18">
        <v>1.8</v>
      </c>
      <c r="C10" s="18">
        <v>1.5</v>
      </c>
      <c r="D10" s="18"/>
    </row>
    <row r="11" spans="1:4" x14ac:dyDescent="0.3">
      <c r="A11" s="18">
        <v>2</v>
      </c>
      <c r="B11" s="18">
        <v>2</v>
      </c>
      <c r="C11" s="18">
        <v>1.5</v>
      </c>
      <c r="D11" s="18"/>
    </row>
    <row r="12" spans="1:4" x14ac:dyDescent="0.3">
      <c r="A12" s="18">
        <v>2.2000000000000002</v>
      </c>
      <c r="B12" s="18">
        <v>2.2000000000000002</v>
      </c>
      <c r="C12" s="18">
        <v>2.2000000000000002</v>
      </c>
      <c r="D12" s="18">
        <v>2.2000000000000002</v>
      </c>
    </row>
    <row r="13" spans="1:4" x14ac:dyDescent="0.3">
      <c r="A13" s="18">
        <v>2.4</v>
      </c>
      <c r="B13" s="18">
        <v>2.4</v>
      </c>
      <c r="C13" s="18">
        <v>2.2000000000000002</v>
      </c>
      <c r="D13" s="18"/>
    </row>
    <row r="14" spans="1:4" x14ac:dyDescent="0.3">
      <c r="A14" s="18">
        <v>2.7</v>
      </c>
      <c r="B14" s="18">
        <v>2.7</v>
      </c>
      <c r="C14" s="18">
        <v>2.2000000000000002</v>
      </c>
      <c r="D14" s="18"/>
    </row>
    <row r="15" spans="1:4" x14ac:dyDescent="0.3">
      <c r="A15" s="18">
        <v>3</v>
      </c>
      <c r="B15" s="18">
        <v>3</v>
      </c>
      <c r="C15" s="18">
        <v>2.2000000000000002</v>
      </c>
      <c r="D15" s="18"/>
    </row>
    <row r="16" spans="1:4" x14ac:dyDescent="0.3">
      <c r="A16" s="18">
        <v>3.3</v>
      </c>
      <c r="B16" s="18">
        <v>3.3</v>
      </c>
      <c r="C16" s="18">
        <v>3.3</v>
      </c>
      <c r="D16" s="18">
        <v>3.3</v>
      </c>
    </row>
    <row r="17" spans="1:6" x14ac:dyDescent="0.3">
      <c r="A17" s="18">
        <v>3.6</v>
      </c>
      <c r="B17" s="18">
        <v>3.6</v>
      </c>
      <c r="C17" s="18">
        <f t="shared" ref="C17:C18" si="0">C18</f>
        <v>4.7</v>
      </c>
      <c r="D17" s="18"/>
    </row>
    <row r="18" spans="1:6" x14ac:dyDescent="0.3">
      <c r="A18" s="18">
        <v>3.9</v>
      </c>
      <c r="B18" s="18">
        <v>3.9</v>
      </c>
      <c r="C18" s="18">
        <f t="shared" si="0"/>
        <v>4.7</v>
      </c>
      <c r="D18" s="18"/>
    </row>
    <row r="19" spans="1:6" x14ac:dyDescent="0.3">
      <c r="A19" s="18">
        <v>4.3</v>
      </c>
      <c r="B19" s="18">
        <v>4.3</v>
      </c>
      <c r="C19" s="18">
        <f>C20</f>
        <v>4.7</v>
      </c>
      <c r="D19" s="18"/>
    </row>
    <row r="20" spans="1:6" x14ac:dyDescent="0.3">
      <c r="A20" s="18">
        <v>4.7</v>
      </c>
      <c r="B20" s="18">
        <v>4.7</v>
      </c>
      <c r="C20" s="18">
        <v>4.7</v>
      </c>
      <c r="D20" s="18">
        <v>4.7</v>
      </c>
    </row>
    <row r="21" spans="1:6" x14ac:dyDescent="0.3">
      <c r="A21" s="18">
        <v>5.0999999999999996</v>
      </c>
      <c r="B21" s="18">
        <v>5.0999999999999996</v>
      </c>
      <c r="C21" s="18">
        <f t="shared" ref="C21:C22" si="1">C22</f>
        <v>6.8</v>
      </c>
      <c r="D21" s="18"/>
    </row>
    <row r="22" spans="1:6" x14ac:dyDescent="0.3">
      <c r="A22" s="18">
        <v>5.6</v>
      </c>
      <c r="B22" s="18">
        <v>5.6</v>
      </c>
      <c r="C22" s="18">
        <f t="shared" si="1"/>
        <v>6.8</v>
      </c>
      <c r="D22" s="18"/>
    </row>
    <row r="23" spans="1:6" x14ac:dyDescent="0.3">
      <c r="A23" s="18">
        <v>6.2</v>
      </c>
      <c r="B23" s="18">
        <v>6.2</v>
      </c>
      <c r="C23" s="18">
        <f>C24</f>
        <v>6.8</v>
      </c>
      <c r="D23" s="18"/>
    </row>
    <row r="24" spans="1:6" x14ac:dyDescent="0.3">
      <c r="A24" s="18">
        <v>6.8</v>
      </c>
      <c r="B24" s="18">
        <v>6.8</v>
      </c>
      <c r="C24" s="18">
        <v>6.8</v>
      </c>
      <c r="D24" s="18">
        <v>6.8</v>
      </c>
    </row>
    <row r="25" spans="1:6" x14ac:dyDescent="0.3">
      <c r="A25" s="18">
        <v>7.5</v>
      </c>
      <c r="B25" s="18">
        <v>7.5</v>
      </c>
      <c r="C25" s="18">
        <f t="shared" ref="C25:C26" si="2">C26</f>
        <v>10</v>
      </c>
      <c r="D25" s="18"/>
    </row>
    <row r="26" spans="1:6" x14ac:dyDescent="0.3">
      <c r="A26" s="18">
        <v>8.1999999999999993</v>
      </c>
      <c r="B26" s="18">
        <v>8.1999999999999993</v>
      </c>
      <c r="C26" s="18">
        <f t="shared" si="2"/>
        <v>10</v>
      </c>
      <c r="D26" s="18"/>
    </row>
    <row r="27" spans="1:6" x14ac:dyDescent="0.3">
      <c r="A27" s="18">
        <v>9.1</v>
      </c>
      <c r="B27" s="18">
        <v>9.1</v>
      </c>
      <c r="C27" s="18">
        <f>C28</f>
        <v>10</v>
      </c>
      <c r="D27" s="18"/>
    </row>
    <row r="28" spans="1:6" x14ac:dyDescent="0.3">
      <c r="A28" s="18">
        <v>10</v>
      </c>
      <c r="B28" s="18">
        <v>10</v>
      </c>
      <c r="C28" s="18">
        <v>10</v>
      </c>
      <c r="D28" s="18">
        <v>10</v>
      </c>
    </row>
    <row r="29" spans="1:6" x14ac:dyDescent="0.3">
      <c r="A29" s="18">
        <v>11</v>
      </c>
      <c r="B29" s="18">
        <f t="shared" ref="B29:C30" si="3">B30</f>
        <v>15</v>
      </c>
      <c r="C29" s="18">
        <f t="shared" si="3"/>
        <v>15</v>
      </c>
      <c r="D29" s="18"/>
    </row>
    <row r="30" spans="1:6" x14ac:dyDescent="0.3">
      <c r="A30" s="18">
        <v>12</v>
      </c>
      <c r="B30" s="18">
        <f t="shared" si="3"/>
        <v>15</v>
      </c>
      <c r="C30" s="18">
        <f t="shared" si="3"/>
        <v>15</v>
      </c>
      <c r="D30" s="18"/>
    </row>
    <row r="31" spans="1:6" x14ac:dyDescent="0.3">
      <c r="A31" s="18">
        <v>13</v>
      </c>
      <c r="B31" s="18">
        <f>B32</f>
        <v>15</v>
      </c>
      <c r="C31" s="18">
        <f>C32</f>
        <v>15</v>
      </c>
      <c r="D31" s="18"/>
    </row>
    <row r="32" spans="1:6" x14ac:dyDescent="0.3">
      <c r="A32" s="18">
        <v>15</v>
      </c>
      <c r="B32" s="18">
        <v>15</v>
      </c>
      <c r="C32" s="18">
        <v>15</v>
      </c>
      <c r="D32" s="18"/>
      <c r="F32" s="20"/>
    </row>
    <row r="33" spans="1:4" x14ac:dyDescent="0.3">
      <c r="A33" s="18">
        <v>16</v>
      </c>
      <c r="B33" s="18">
        <f t="shared" ref="B33:C34" si="4">B34</f>
        <v>22</v>
      </c>
      <c r="C33" s="18">
        <f t="shared" si="4"/>
        <v>22</v>
      </c>
      <c r="D33" s="18"/>
    </row>
    <row r="34" spans="1:4" x14ac:dyDescent="0.3">
      <c r="A34" s="18">
        <v>18</v>
      </c>
      <c r="B34" s="18">
        <f t="shared" si="4"/>
        <v>22</v>
      </c>
      <c r="C34" s="18">
        <f t="shared" si="4"/>
        <v>22</v>
      </c>
      <c r="D34" s="18"/>
    </row>
    <row r="35" spans="1:4" x14ac:dyDescent="0.3">
      <c r="A35" s="18">
        <v>20</v>
      </c>
      <c r="B35" s="18">
        <f>B36</f>
        <v>22</v>
      </c>
      <c r="C35" s="18">
        <f>C36</f>
        <v>22</v>
      </c>
      <c r="D35" s="18"/>
    </row>
    <row r="36" spans="1:4" x14ac:dyDescent="0.3">
      <c r="A36" s="18">
        <v>22</v>
      </c>
      <c r="B36" s="18">
        <v>22</v>
      </c>
      <c r="C36" s="18">
        <v>22</v>
      </c>
      <c r="D36" s="18"/>
    </row>
    <row r="37" spans="1:4" x14ac:dyDescent="0.3">
      <c r="A37" s="18">
        <v>24</v>
      </c>
      <c r="B37" s="18">
        <f t="shared" ref="B37:C38" si="5">B38</f>
        <v>33</v>
      </c>
      <c r="C37" s="18">
        <f t="shared" si="5"/>
        <v>33</v>
      </c>
      <c r="D37" s="18"/>
    </row>
    <row r="38" spans="1:4" x14ac:dyDescent="0.3">
      <c r="A38" s="18">
        <v>27</v>
      </c>
      <c r="B38" s="18">
        <f t="shared" si="5"/>
        <v>33</v>
      </c>
      <c r="C38" s="18">
        <f t="shared" si="5"/>
        <v>33</v>
      </c>
      <c r="D38" s="18"/>
    </row>
    <row r="39" spans="1:4" x14ac:dyDescent="0.3">
      <c r="A39" s="18">
        <v>30</v>
      </c>
      <c r="B39" s="18">
        <f>B40</f>
        <v>33</v>
      </c>
      <c r="C39" s="18">
        <f>C40</f>
        <v>33</v>
      </c>
      <c r="D39" s="18"/>
    </row>
    <row r="40" spans="1:4" x14ac:dyDescent="0.3">
      <c r="A40" s="18">
        <v>33</v>
      </c>
      <c r="B40" s="18">
        <v>33</v>
      </c>
      <c r="C40" s="18">
        <v>33</v>
      </c>
      <c r="D40" s="18"/>
    </row>
    <row r="41" spans="1:4" x14ac:dyDescent="0.3">
      <c r="A41" s="18">
        <v>36</v>
      </c>
      <c r="B41" s="18">
        <f t="shared" ref="B41:C42" si="6">B42</f>
        <v>47</v>
      </c>
      <c r="C41" s="18">
        <f t="shared" si="6"/>
        <v>47</v>
      </c>
      <c r="D41" s="18"/>
    </row>
    <row r="42" spans="1:4" x14ac:dyDescent="0.3">
      <c r="A42" s="18">
        <v>39</v>
      </c>
      <c r="B42" s="18">
        <f t="shared" si="6"/>
        <v>47</v>
      </c>
      <c r="C42" s="18">
        <f t="shared" si="6"/>
        <v>47</v>
      </c>
      <c r="D42" s="18"/>
    </row>
    <row r="43" spans="1:4" x14ac:dyDescent="0.3">
      <c r="A43" s="18">
        <v>43</v>
      </c>
      <c r="B43" s="18">
        <f>B44</f>
        <v>47</v>
      </c>
      <c r="C43" s="18">
        <f>C44</f>
        <v>47</v>
      </c>
      <c r="D43" s="18"/>
    </row>
    <row r="44" spans="1:4" x14ac:dyDescent="0.3">
      <c r="A44" s="18">
        <v>47</v>
      </c>
      <c r="B44" s="18">
        <v>47</v>
      </c>
      <c r="C44" s="18">
        <v>47</v>
      </c>
      <c r="D44" s="18"/>
    </row>
    <row r="45" spans="1:4" x14ac:dyDescent="0.3">
      <c r="A45" s="18">
        <v>51</v>
      </c>
      <c r="B45" s="18">
        <f t="shared" ref="B45:C46" si="7">B46</f>
        <v>68</v>
      </c>
      <c r="C45" s="18">
        <f t="shared" si="7"/>
        <v>68</v>
      </c>
      <c r="D45" s="18"/>
    </row>
    <row r="46" spans="1:4" x14ac:dyDescent="0.3">
      <c r="A46" s="18">
        <v>56</v>
      </c>
      <c r="B46" s="18">
        <f t="shared" si="7"/>
        <v>68</v>
      </c>
      <c r="C46" s="18">
        <f t="shared" si="7"/>
        <v>68</v>
      </c>
      <c r="D46" s="18"/>
    </row>
    <row r="47" spans="1:4" x14ac:dyDescent="0.3">
      <c r="A47" s="18">
        <v>62</v>
      </c>
      <c r="B47" s="18">
        <f>B48</f>
        <v>68</v>
      </c>
      <c r="C47" s="18">
        <f>C48</f>
        <v>68</v>
      </c>
      <c r="D47" s="18"/>
    </row>
    <row r="48" spans="1:4" x14ac:dyDescent="0.3">
      <c r="A48" s="18">
        <v>68</v>
      </c>
      <c r="B48" s="18">
        <v>68</v>
      </c>
      <c r="C48" s="18">
        <v>68</v>
      </c>
      <c r="D48" s="18"/>
    </row>
    <row r="49" spans="1:4" x14ac:dyDescent="0.3">
      <c r="A49" s="18">
        <v>75</v>
      </c>
      <c r="B49" s="18">
        <f t="shared" ref="B49:C50" si="8">B50</f>
        <v>100</v>
      </c>
      <c r="C49" s="18">
        <f t="shared" si="8"/>
        <v>100</v>
      </c>
      <c r="D49" s="18"/>
    </row>
    <row r="50" spans="1:4" x14ac:dyDescent="0.3">
      <c r="A50" s="18">
        <v>82</v>
      </c>
      <c r="B50" s="18">
        <f t="shared" si="8"/>
        <v>100</v>
      </c>
      <c r="C50" s="18">
        <f t="shared" si="8"/>
        <v>100</v>
      </c>
      <c r="D50" s="18"/>
    </row>
    <row r="51" spans="1:4" x14ac:dyDescent="0.3">
      <c r="A51" s="18">
        <v>91</v>
      </c>
      <c r="B51" s="18">
        <f>B52</f>
        <v>100</v>
      </c>
      <c r="C51" s="18">
        <f>C52</f>
        <v>100</v>
      </c>
      <c r="D51" s="18"/>
    </row>
    <row r="52" spans="1:4" x14ac:dyDescent="0.3">
      <c r="A52" s="18">
        <v>100</v>
      </c>
      <c r="B52" s="18">
        <v>100</v>
      </c>
      <c r="C52" s="18">
        <v>100</v>
      </c>
    </row>
    <row r="53" spans="1:4" x14ac:dyDescent="0.3">
      <c r="A53" s="18">
        <v>110</v>
      </c>
      <c r="B53" s="18">
        <f t="shared" ref="B53:C54" si="9">B54</f>
        <v>150</v>
      </c>
      <c r="C53" s="18">
        <f t="shared" si="9"/>
        <v>150</v>
      </c>
    </row>
    <row r="54" spans="1:4" x14ac:dyDescent="0.3">
      <c r="A54" s="18">
        <v>120</v>
      </c>
      <c r="B54" s="18">
        <f t="shared" si="9"/>
        <v>150</v>
      </c>
      <c r="C54" s="18">
        <f t="shared" si="9"/>
        <v>150</v>
      </c>
    </row>
    <row r="55" spans="1:4" x14ac:dyDescent="0.3">
      <c r="A55" s="18">
        <v>130</v>
      </c>
      <c r="B55" s="18">
        <f>B56</f>
        <v>150</v>
      </c>
      <c r="C55" s="18">
        <f>C56</f>
        <v>150</v>
      </c>
    </row>
    <row r="56" spans="1:4" x14ac:dyDescent="0.3">
      <c r="A56" s="18">
        <v>150</v>
      </c>
      <c r="B56" s="18">
        <v>150</v>
      </c>
      <c r="C56" s="18">
        <v>150</v>
      </c>
    </row>
    <row r="57" spans="1:4" x14ac:dyDescent="0.3">
      <c r="A57" s="18">
        <v>160</v>
      </c>
      <c r="B57" s="18">
        <f t="shared" ref="B57:C58" si="10">B58</f>
        <v>220</v>
      </c>
      <c r="C57" s="18">
        <f t="shared" si="10"/>
        <v>220</v>
      </c>
    </row>
    <row r="58" spans="1:4" x14ac:dyDescent="0.3">
      <c r="A58" s="18">
        <v>180</v>
      </c>
      <c r="B58" s="18">
        <f t="shared" si="10"/>
        <v>220</v>
      </c>
      <c r="C58" s="18">
        <f t="shared" si="10"/>
        <v>220</v>
      </c>
    </row>
    <row r="59" spans="1:4" x14ac:dyDescent="0.3">
      <c r="A59" s="18">
        <v>200</v>
      </c>
      <c r="B59" s="18">
        <f>B60</f>
        <v>220</v>
      </c>
      <c r="C59" s="18">
        <f>C60</f>
        <v>220</v>
      </c>
    </row>
    <row r="60" spans="1:4" x14ac:dyDescent="0.3">
      <c r="A60" s="18">
        <v>220</v>
      </c>
      <c r="B60" s="18">
        <v>220</v>
      </c>
      <c r="C60" s="18">
        <v>220</v>
      </c>
    </row>
    <row r="61" spans="1:4" x14ac:dyDescent="0.3">
      <c r="A61" s="18">
        <v>240</v>
      </c>
      <c r="B61" s="18">
        <f t="shared" ref="B61:C62" si="11">B62</f>
        <v>330</v>
      </c>
      <c r="C61" s="18">
        <f t="shared" si="11"/>
        <v>330</v>
      </c>
    </row>
    <row r="62" spans="1:4" x14ac:dyDescent="0.3">
      <c r="A62" s="18">
        <v>270</v>
      </c>
      <c r="B62" s="18">
        <f t="shared" si="11"/>
        <v>330</v>
      </c>
      <c r="C62" s="18">
        <f t="shared" si="11"/>
        <v>330</v>
      </c>
    </row>
    <row r="63" spans="1:4" x14ac:dyDescent="0.3">
      <c r="A63" s="18">
        <v>300</v>
      </c>
      <c r="B63" s="18">
        <f>B64</f>
        <v>330</v>
      </c>
      <c r="C63" s="18">
        <f>C64</f>
        <v>330</v>
      </c>
    </row>
    <row r="64" spans="1:4" x14ac:dyDescent="0.3">
      <c r="A64" s="18">
        <v>330</v>
      </c>
      <c r="B64" s="18">
        <v>330</v>
      </c>
      <c r="C64" s="18">
        <v>330</v>
      </c>
    </row>
    <row r="65" spans="1:3" x14ac:dyDescent="0.3">
      <c r="A65" s="18">
        <v>360</v>
      </c>
      <c r="B65" s="18">
        <f t="shared" ref="B65:C66" si="12">B66</f>
        <v>470</v>
      </c>
      <c r="C65" s="18">
        <f t="shared" si="12"/>
        <v>470</v>
      </c>
    </row>
    <row r="66" spans="1:3" x14ac:dyDescent="0.3">
      <c r="A66" s="18">
        <v>390</v>
      </c>
      <c r="B66" s="18">
        <f t="shared" si="12"/>
        <v>470</v>
      </c>
      <c r="C66" s="18">
        <f t="shared" si="12"/>
        <v>470</v>
      </c>
    </row>
    <row r="67" spans="1:3" x14ac:dyDescent="0.3">
      <c r="A67" s="18">
        <v>430</v>
      </c>
      <c r="B67" s="18">
        <f>B68</f>
        <v>470</v>
      </c>
      <c r="C67" s="18">
        <f>C68</f>
        <v>470</v>
      </c>
    </row>
    <row r="68" spans="1:3" x14ac:dyDescent="0.3">
      <c r="A68" s="18">
        <v>470</v>
      </c>
      <c r="B68" s="18">
        <v>470</v>
      </c>
      <c r="C68" s="18">
        <v>470</v>
      </c>
    </row>
    <row r="69" spans="1:3" x14ac:dyDescent="0.3">
      <c r="A69" s="18">
        <v>510</v>
      </c>
      <c r="B69" s="18">
        <f t="shared" ref="B69:C70" si="13">B70</f>
        <v>680</v>
      </c>
      <c r="C69" s="18">
        <f t="shared" si="13"/>
        <v>680</v>
      </c>
    </row>
    <row r="70" spans="1:3" x14ac:dyDescent="0.3">
      <c r="A70" s="18">
        <v>560</v>
      </c>
      <c r="B70" s="18">
        <f t="shared" si="13"/>
        <v>680</v>
      </c>
      <c r="C70" s="18">
        <f t="shared" si="13"/>
        <v>680</v>
      </c>
    </row>
    <row r="71" spans="1:3" x14ac:dyDescent="0.3">
      <c r="A71" s="18">
        <v>620</v>
      </c>
      <c r="B71" s="18">
        <f>B72</f>
        <v>680</v>
      </c>
      <c r="C71" s="18">
        <f>C72</f>
        <v>680</v>
      </c>
    </row>
    <row r="72" spans="1:3" x14ac:dyDescent="0.3">
      <c r="A72" s="18">
        <v>680</v>
      </c>
      <c r="B72" s="18">
        <v>680</v>
      </c>
      <c r="C72" s="18">
        <v>680</v>
      </c>
    </row>
    <row r="73" spans="1:3" x14ac:dyDescent="0.3">
      <c r="A73" s="18">
        <v>750</v>
      </c>
      <c r="B73" s="18">
        <f>B74</f>
        <v>1000</v>
      </c>
      <c r="C73" s="18">
        <f>C74</f>
        <v>1000</v>
      </c>
    </row>
    <row r="74" spans="1:3" x14ac:dyDescent="0.3">
      <c r="A74" s="18">
        <v>820</v>
      </c>
      <c r="B74" s="18">
        <f>B75</f>
        <v>1000</v>
      </c>
      <c r="C74" s="18">
        <f>C75</f>
        <v>1000</v>
      </c>
    </row>
    <row r="75" spans="1:3" x14ac:dyDescent="0.3">
      <c r="A75" s="18">
        <v>910</v>
      </c>
      <c r="B75" s="18">
        <v>1000</v>
      </c>
      <c r="C75" s="18">
        <v>1000</v>
      </c>
    </row>
  </sheetData>
  <hyperlinks>
    <hyperlink ref="A1:B1" r:id="rId1" display="Standard Capacitor Values" xr:uid="{00000000-0004-0000-04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024"/>
  <sheetViews>
    <sheetView zoomScale="85" zoomScaleNormal="85" workbookViewId="0">
      <selection activeCell="F5" sqref="F5"/>
    </sheetView>
  </sheetViews>
  <sheetFormatPr defaultRowHeight="14.4" x14ac:dyDescent="0.3"/>
  <cols>
    <col min="6" max="6" width="12.88671875" customWidth="1"/>
  </cols>
  <sheetData>
    <row r="1" spans="1:7" x14ac:dyDescent="0.3">
      <c r="A1">
        <v>0</v>
      </c>
      <c r="B1">
        <v>4</v>
      </c>
    </row>
    <row r="2" spans="1:7" x14ac:dyDescent="0.3">
      <c r="A2">
        <v>1</v>
      </c>
      <c r="B2">
        <v>4</v>
      </c>
      <c r="E2" s="2"/>
      <c r="G2" s="154"/>
    </row>
    <row r="3" spans="1:7" x14ac:dyDescent="0.3">
      <c r="A3">
        <v>2</v>
      </c>
      <c r="B3">
        <v>4</v>
      </c>
      <c r="E3" s="154"/>
      <c r="G3" s="2"/>
    </row>
    <row r="4" spans="1:7" x14ac:dyDescent="0.3">
      <c r="A4">
        <v>3</v>
      </c>
      <c r="B4">
        <v>4</v>
      </c>
      <c r="E4" s="154"/>
    </row>
    <row r="5" spans="1:7" x14ac:dyDescent="0.3">
      <c r="A5">
        <v>4</v>
      </c>
      <c r="B5">
        <v>16</v>
      </c>
      <c r="D5" s="261" t="s">
        <v>211</v>
      </c>
      <c r="E5" s="261"/>
      <c r="F5" s="155">
        <f>IF('Calculation Sheet'!G90="Infinite", "Infinite", VLOOKUP('Calculation Sheet'!G90,A1:B1024,2,TRUE))</f>
        <v>4</v>
      </c>
    </row>
    <row r="6" spans="1:7" x14ac:dyDescent="0.3">
      <c r="A6">
        <v>5</v>
      </c>
      <c r="B6">
        <v>16</v>
      </c>
    </row>
    <row r="7" spans="1:7" x14ac:dyDescent="0.3">
      <c r="A7">
        <v>6</v>
      </c>
      <c r="B7">
        <v>16</v>
      </c>
    </row>
    <row r="8" spans="1:7" x14ac:dyDescent="0.3">
      <c r="A8">
        <v>7</v>
      </c>
      <c r="B8">
        <v>16</v>
      </c>
    </row>
    <row r="9" spans="1:7" x14ac:dyDescent="0.3">
      <c r="A9">
        <v>8</v>
      </c>
      <c r="B9">
        <v>16</v>
      </c>
    </row>
    <row r="10" spans="1:7" x14ac:dyDescent="0.3">
      <c r="A10">
        <v>9</v>
      </c>
      <c r="B10">
        <v>16</v>
      </c>
    </row>
    <row r="11" spans="1:7" x14ac:dyDescent="0.3">
      <c r="A11">
        <v>10</v>
      </c>
      <c r="B11">
        <v>16</v>
      </c>
    </row>
    <row r="12" spans="1:7" x14ac:dyDescent="0.3">
      <c r="A12">
        <v>11</v>
      </c>
      <c r="B12">
        <v>16</v>
      </c>
    </row>
    <row r="13" spans="1:7" x14ac:dyDescent="0.3">
      <c r="A13">
        <v>12</v>
      </c>
      <c r="B13">
        <v>16</v>
      </c>
    </row>
    <row r="14" spans="1:7" x14ac:dyDescent="0.3">
      <c r="A14">
        <v>13</v>
      </c>
      <c r="B14">
        <v>16</v>
      </c>
    </row>
    <row r="15" spans="1:7" x14ac:dyDescent="0.3">
      <c r="A15">
        <v>14</v>
      </c>
      <c r="B15">
        <v>16</v>
      </c>
    </row>
    <row r="16" spans="1:7" x14ac:dyDescent="0.3">
      <c r="A16">
        <v>15</v>
      </c>
      <c r="B16">
        <v>16</v>
      </c>
    </row>
    <row r="17" spans="1:2" x14ac:dyDescent="0.3">
      <c r="A17">
        <v>16</v>
      </c>
      <c r="B17">
        <v>64</v>
      </c>
    </row>
    <row r="18" spans="1:2" x14ac:dyDescent="0.3">
      <c r="A18">
        <v>17</v>
      </c>
      <c r="B18">
        <v>64</v>
      </c>
    </row>
    <row r="19" spans="1:2" x14ac:dyDescent="0.3">
      <c r="A19">
        <v>18</v>
      </c>
      <c r="B19">
        <v>64</v>
      </c>
    </row>
    <row r="20" spans="1:2" x14ac:dyDescent="0.3">
      <c r="A20">
        <v>19</v>
      </c>
      <c r="B20">
        <v>64</v>
      </c>
    </row>
    <row r="21" spans="1:2" x14ac:dyDescent="0.3">
      <c r="A21">
        <v>20</v>
      </c>
      <c r="B21">
        <v>64</v>
      </c>
    </row>
    <row r="22" spans="1:2" x14ac:dyDescent="0.3">
      <c r="A22">
        <v>21</v>
      </c>
      <c r="B22">
        <v>64</v>
      </c>
    </row>
    <row r="23" spans="1:2" x14ac:dyDescent="0.3">
      <c r="A23">
        <v>22</v>
      </c>
      <c r="B23">
        <v>64</v>
      </c>
    </row>
    <row r="24" spans="1:2" x14ac:dyDescent="0.3">
      <c r="A24">
        <v>23</v>
      </c>
      <c r="B24">
        <v>64</v>
      </c>
    </row>
    <row r="25" spans="1:2" x14ac:dyDescent="0.3">
      <c r="A25">
        <v>24</v>
      </c>
      <c r="B25">
        <v>64</v>
      </c>
    </row>
    <row r="26" spans="1:2" x14ac:dyDescent="0.3">
      <c r="A26">
        <v>25</v>
      </c>
      <c r="B26">
        <v>64</v>
      </c>
    </row>
    <row r="27" spans="1:2" x14ac:dyDescent="0.3">
      <c r="A27">
        <v>26</v>
      </c>
      <c r="B27">
        <v>64</v>
      </c>
    </row>
    <row r="28" spans="1:2" x14ac:dyDescent="0.3">
      <c r="A28">
        <v>27</v>
      </c>
      <c r="B28">
        <v>64</v>
      </c>
    </row>
    <row r="29" spans="1:2" x14ac:dyDescent="0.3">
      <c r="A29">
        <v>28</v>
      </c>
      <c r="B29">
        <v>64</v>
      </c>
    </row>
    <row r="30" spans="1:2" x14ac:dyDescent="0.3">
      <c r="A30">
        <v>29</v>
      </c>
      <c r="B30">
        <v>64</v>
      </c>
    </row>
    <row r="31" spans="1:2" x14ac:dyDescent="0.3">
      <c r="A31">
        <v>30</v>
      </c>
      <c r="B31">
        <v>64</v>
      </c>
    </row>
    <row r="32" spans="1:2" x14ac:dyDescent="0.3">
      <c r="A32">
        <v>31</v>
      </c>
      <c r="B32">
        <v>64</v>
      </c>
    </row>
    <row r="33" spans="1:2" x14ac:dyDescent="0.3">
      <c r="A33">
        <v>32</v>
      </c>
      <c r="B33">
        <v>64</v>
      </c>
    </row>
    <row r="34" spans="1:2" x14ac:dyDescent="0.3">
      <c r="A34">
        <v>33</v>
      </c>
      <c r="B34">
        <v>64</v>
      </c>
    </row>
    <row r="35" spans="1:2" x14ac:dyDescent="0.3">
      <c r="A35">
        <v>34</v>
      </c>
      <c r="B35">
        <v>64</v>
      </c>
    </row>
    <row r="36" spans="1:2" x14ac:dyDescent="0.3">
      <c r="A36">
        <v>35</v>
      </c>
      <c r="B36">
        <v>64</v>
      </c>
    </row>
    <row r="37" spans="1:2" x14ac:dyDescent="0.3">
      <c r="A37">
        <v>36</v>
      </c>
      <c r="B37">
        <v>64</v>
      </c>
    </row>
    <row r="38" spans="1:2" x14ac:dyDescent="0.3">
      <c r="A38">
        <v>37</v>
      </c>
      <c r="B38">
        <v>64</v>
      </c>
    </row>
    <row r="39" spans="1:2" x14ac:dyDescent="0.3">
      <c r="A39">
        <v>38</v>
      </c>
      <c r="B39">
        <v>64</v>
      </c>
    </row>
    <row r="40" spans="1:2" x14ac:dyDescent="0.3">
      <c r="A40">
        <v>39</v>
      </c>
      <c r="B40">
        <v>64</v>
      </c>
    </row>
    <row r="41" spans="1:2" x14ac:dyDescent="0.3">
      <c r="A41">
        <v>40</v>
      </c>
      <c r="B41">
        <v>64</v>
      </c>
    </row>
    <row r="42" spans="1:2" x14ac:dyDescent="0.3">
      <c r="A42">
        <v>41</v>
      </c>
      <c r="B42">
        <v>64</v>
      </c>
    </row>
    <row r="43" spans="1:2" x14ac:dyDescent="0.3">
      <c r="A43">
        <v>42</v>
      </c>
      <c r="B43">
        <v>64</v>
      </c>
    </row>
    <row r="44" spans="1:2" x14ac:dyDescent="0.3">
      <c r="A44">
        <v>43</v>
      </c>
      <c r="B44">
        <v>64</v>
      </c>
    </row>
    <row r="45" spans="1:2" x14ac:dyDescent="0.3">
      <c r="A45">
        <v>44</v>
      </c>
      <c r="B45">
        <v>64</v>
      </c>
    </row>
    <row r="46" spans="1:2" x14ac:dyDescent="0.3">
      <c r="A46">
        <v>45</v>
      </c>
      <c r="B46">
        <v>64</v>
      </c>
    </row>
    <row r="47" spans="1:2" x14ac:dyDescent="0.3">
      <c r="A47">
        <v>46</v>
      </c>
      <c r="B47">
        <v>64</v>
      </c>
    </row>
    <row r="48" spans="1:2" x14ac:dyDescent="0.3">
      <c r="A48">
        <v>47</v>
      </c>
      <c r="B48">
        <v>64</v>
      </c>
    </row>
    <row r="49" spans="1:2" x14ac:dyDescent="0.3">
      <c r="A49">
        <v>48</v>
      </c>
      <c r="B49">
        <v>64</v>
      </c>
    </row>
    <row r="50" spans="1:2" x14ac:dyDescent="0.3">
      <c r="A50">
        <v>49</v>
      </c>
      <c r="B50">
        <v>64</v>
      </c>
    </row>
    <row r="51" spans="1:2" x14ac:dyDescent="0.3">
      <c r="A51">
        <v>50</v>
      </c>
      <c r="B51">
        <v>64</v>
      </c>
    </row>
    <row r="52" spans="1:2" x14ac:dyDescent="0.3">
      <c r="A52">
        <v>51</v>
      </c>
      <c r="B52">
        <v>64</v>
      </c>
    </row>
    <row r="53" spans="1:2" x14ac:dyDescent="0.3">
      <c r="A53">
        <v>52</v>
      </c>
      <c r="B53">
        <v>64</v>
      </c>
    </row>
    <row r="54" spans="1:2" x14ac:dyDescent="0.3">
      <c r="A54">
        <v>53</v>
      </c>
      <c r="B54">
        <v>64</v>
      </c>
    </row>
    <row r="55" spans="1:2" x14ac:dyDescent="0.3">
      <c r="A55">
        <v>54</v>
      </c>
      <c r="B55">
        <v>64</v>
      </c>
    </row>
    <row r="56" spans="1:2" x14ac:dyDescent="0.3">
      <c r="A56">
        <v>55</v>
      </c>
      <c r="B56">
        <v>64</v>
      </c>
    </row>
    <row r="57" spans="1:2" x14ac:dyDescent="0.3">
      <c r="A57">
        <v>56</v>
      </c>
      <c r="B57">
        <v>64</v>
      </c>
    </row>
    <row r="58" spans="1:2" x14ac:dyDescent="0.3">
      <c r="A58">
        <v>57</v>
      </c>
      <c r="B58">
        <v>64</v>
      </c>
    </row>
    <row r="59" spans="1:2" x14ac:dyDescent="0.3">
      <c r="A59">
        <v>58</v>
      </c>
      <c r="B59">
        <v>64</v>
      </c>
    </row>
    <row r="60" spans="1:2" x14ac:dyDescent="0.3">
      <c r="A60">
        <v>59</v>
      </c>
      <c r="B60">
        <v>64</v>
      </c>
    </row>
    <row r="61" spans="1:2" x14ac:dyDescent="0.3">
      <c r="A61">
        <v>60</v>
      </c>
      <c r="B61">
        <v>64</v>
      </c>
    </row>
    <row r="62" spans="1:2" x14ac:dyDescent="0.3">
      <c r="A62">
        <v>61</v>
      </c>
      <c r="B62">
        <v>64</v>
      </c>
    </row>
    <row r="63" spans="1:2" x14ac:dyDescent="0.3">
      <c r="A63">
        <v>62</v>
      </c>
      <c r="B63">
        <v>64</v>
      </c>
    </row>
    <row r="64" spans="1:2" x14ac:dyDescent="0.3">
      <c r="A64">
        <v>63</v>
      </c>
      <c r="B64">
        <v>64</v>
      </c>
    </row>
    <row r="65" spans="1:2" x14ac:dyDescent="0.3">
      <c r="A65">
        <v>64</v>
      </c>
      <c r="B65">
        <v>256</v>
      </c>
    </row>
    <row r="66" spans="1:2" x14ac:dyDescent="0.3">
      <c r="A66">
        <v>65</v>
      </c>
      <c r="B66">
        <v>256</v>
      </c>
    </row>
    <row r="67" spans="1:2" x14ac:dyDescent="0.3">
      <c r="A67">
        <v>66</v>
      </c>
      <c r="B67">
        <v>256</v>
      </c>
    </row>
    <row r="68" spans="1:2" x14ac:dyDescent="0.3">
      <c r="A68">
        <v>67</v>
      </c>
      <c r="B68">
        <v>256</v>
      </c>
    </row>
    <row r="69" spans="1:2" x14ac:dyDescent="0.3">
      <c r="A69">
        <v>68</v>
      </c>
      <c r="B69">
        <v>256</v>
      </c>
    </row>
    <row r="70" spans="1:2" x14ac:dyDescent="0.3">
      <c r="A70">
        <v>69</v>
      </c>
      <c r="B70">
        <v>256</v>
      </c>
    </row>
    <row r="71" spans="1:2" x14ac:dyDescent="0.3">
      <c r="A71">
        <v>70</v>
      </c>
      <c r="B71">
        <v>256</v>
      </c>
    </row>
    <row r="72" spans="1:2" x14ac:dyDescent="0.3">
      <c r="A72">
        <v>71</v>
      </c>
      <c r="B72">
        <v>256</v>
      </c>
    </row>
    <row r="73" spans="1:2" x14ac:dyDescent="0.3">
      <c r="A73">
        <v>72</v>
      </c>
      <c r="B73">
        <v>256</v>
      </c>
    </row>
    <row r="74" spans="1:2" x14ac:dyDescent="0.3">
      <c r="A74">
        <v>73</v>
      </c>
      <c r="B74">
        <v>256</v>
      </c>
    </row>
    <row r="75" spans="1:2" x14ac:dyDescent="0.3">
      <c r="A75">
        <v>74</v>
      </c>
      <c r="B75">
        <v>256</v>
      </c>
    </row>
    <row r="76" spans="1:2" x14ac:dyDescent="0.3">
      <c r="A76">
        <v>75</v>
      </c>
      <c r="B76">
        <v>256</v>
      </c>
    </row>
    <row r="77" spans="1:2" x14ac:dyDescent="0.3">
      <c r="A77">
        <v>76</v>
      </c>
      <c r="B77">
        <v>256</v>
      </c>
    </row>
    <row r="78" spans="1:2" x14ac:dyDescent="0.3">
      <c r="A78">
        <v>77</v>
      </c>
      <c r="B78">
        <v>256</v>
      </c>
    </row>
    <row r="79" spans="1:2" x14ac:dyDescent="0.3">
      <c r="A79">
        <v>78</v>
      </c>
      <c r="B79">
        <v>256</v>
      </c>
    </row>
    <row r="80" spans="1:2" x14ac:dyDescent="0.3">
      <c r="A80">
        <v>79</v>
      </c>
      <c r="B80">
        <v>256</v>
      </c>
    </row>
    <row r="81" spans="1:2" x14ac:dyDescent="0.3">
      <c r="A81">
        <v>80</v>
      </c>
      <c r="B81">
        <v>256</v>
      </c>
    </row>
    <row r="82" spans="1:2" x14ac:dyDescent="0.3">
      <c r="A82">
        <v>81</v>
      </c>
      <c r="B82">
        <v>256</v>
      </c>
    </row>
    <row r="83" spans="1:2" x14ac:dyDescent="0.3">
      <c r="A83">
        <v>82</v>
      </c>
      <c r="B83">
        <v>256</v>
      </c>
    </row>
    <row r="84" spans="1:2" x14ac:dyDescent="0.3">
      <c r="A84">
        <v>83</v>
      </c>
      <c r="B84">
        <v>256</v>
      </c>
    </row>
    <row r="85" spans="1:2" x14ac:dyDescent="0.3">
      <c r="A85">
        <v>84</v>
      </c>
      <c r="B85">
        <v>256</v>
      </c>
    </row>
    <row r="86" spans="1:2" x14ac:dyDescent="0.3">
      <c r="A86">
        <v>85</v>
      </c>
      <c r="B86">
        <v>256</v>
      </c>
    </row>
    <row r="87" spans="1:2" x14ac:dyDescent="0.3">
      <c r="A87">
        <v>86</v>
      </c>
      <c r="B87">
        <v>256</v>
      </c>
    </row>
    <row r="88" spans="1:2" x14ac:dyDescent="0.3">
      <c r="A88">
        <v>87</v>
      </c>
      <c r="B88">
        <v>256</v>
      </c>
    </row>
    <row r="89" spans="1:2" x14ac:dyDescent="0.3">
      <c r="A89">
        <v>88</v>
      </c>
      <c r="B89">
        <v>256</v>
      </c>
    </row>
    <row r="90" spans="1:2" x14ac:dyDescent="0.3">
      <c r="A90">
        <v>89</v>
      </c>
      <c r="B90">
        <v>256</v>
      </c>
    </row>
    <row r="91" spans="1:2" x14ac:dyDescent="0.3">
      <c r="A91">
        <v>90</v>
      </c>
      <c r="B91">
        <v>256</v>
      </c>
    </row>
    <row r="92" spans="1:2" x14ac:dyDescent="0.3">
      <c r="A92">
        <v>91</v>
      </c>
      <c r="B92">
        <v>256</v>
      </c>
    </row>
    <row r="93" spans="1:2" x14ac:dyDescent="0.3">
      <c r="A93">
        <v>92</v>
      </c>
      <c r="B93">
        <v>256</v>
      </c>
    </row>
    <row r="94" spans="1:2" x14ac:dyDescent="0.3">
      <c r="A94">
        <v>93</v>
      </c>
      <c r="B94">
        <v>256</v>
      </c>
    </row>
    <row r="95" spans="1:2" x14ac:dyDescent="0.3">
      <c r="A95">
        <v>94</v>
      </c>
      <c r="B95">
        <v>256</v>
      </c>
    </row>
    <row r="96" spans="1:2" x14ac:dyDescent="0.3">
      <c r="A96">
        <v>95</v>
      </c>
      <c r="B96">
        <v>256</v>
      </c>
    </row>
    <row r="97" spans="1:2" x14ac:dyDescent="0.3">
      <c r="A97">
        <v>96</v>
      </c>
      <c r="B97">
        <v>256</v>
      </c>
    </row>
    <row r="98" spans="1:2" x14ac:dyDescent="0.3">
      <c r="A98">
        <v>97</v>
      </c>
      <c r="B98">
        <v>256</v>
      </c>
    </row>
    <row r="99" spans="1:2" x14ac:dyDescent="0.3">
      <c r="A99">
        <v>98</v>
      </c>
      <c r="B99">
        <v>256</v>
      </c>
    </row>
    <row r="100" spans="1:2" x14ac:dyDescent="0.3">
      <c r="A100">
        <v>99</v>
      </c>
      <c r="B100">
        <v>256</v>
      </c>
    </row>
    <row r="101" spans="1:2" x14ac:dyDescent="0.3">
      <c r="A101">
        <v>100</v>
      </c>
      <c r="B101">
        <v>256</v>
      </c>
    </row>
    <row r="102" spans="1:2" x14ac:dyDescent="0.3">
      <c r="A102">
        <v>101</v>
      </c>
      <c r="B102">
        <v>256</v>
      </c>
    </row>
    <row r="103" spans="1:2" x14ac:dyDescent="0.3">
      <c r="A103">
        <v>102</v>
      </c>
      <c r="B103">
        <v>256</v>
      </c>
    </row>
    <row r="104" spans="1:2" x14ac:dyDescent="0.3">
      <c r="A104">
        <v>103</v>
      </c>
      <c r="B104">
        <v>256</v>
      </c>
    </row>
    <row r="105" spans="1:2" x14ac:dyDescent="0.3">
      <c r="A105">
        <v>104</v>
      </c>
      <c r="B105">
        <v>256</v>
      </c>
    </row>
    <row r="106" spans="1:2" x14ac:dyDescent="0.3">
      <c r="A106">
        <v>105</v>
      </c>
      <c r="B106">
        <v>256</v>
      </c>
    </row>
    <row r="107" spans="1:2" x14ac:dyDescent="0.3">
      <c r="A107">
        <v>106</v>
      </c>
      <c r="B107">
        <v>256</v>
      </c>
    </row>
    <row r="108" spans="1:2" x14ac:dyDescent="0.3">
      <c r="A108">
        <v>107</v>
      </c>
      <c r="B108">
        <v>256</v>
      </c>
    </row>
    <row r="109" spans="1:2" x14ac:dyDescent="0.3">
      <c r="A109">
        <v>108</v>
      </c>
      <c r="B109">
        <v>256</v>
      </c>
    </row>
    <row r="110" spans="1:2" x14ac:dyDescent="0.3">
      <c r="A110">
        <v>109</v>
      </c>
      <c r="B110">
        <v>256</v>
      </c>
    </row>
    <row r="111" spans="1:2" x14ac:dyDescent="0.3">
      <c r="A111">
        <v>110</v>
      </c>
      <c r="B111">
        <v>256</v>
      </c>
    </row>
    <row r="112" spans="1:2" x14ac:dyDescent="0.3">
      <c r="A112">
        <v>111</v>
      </c>
      <c r="B112">
        <v>256</v>
      </c>
    </row>
    <row r="113" spans="1:2" x14ac:dyDescent="0.3">
      <c r="A113">
        <v>112</v>
      </c>
      <c r="B113">
        <v>256</v>
      </c>
    </row>
    <row r="114" spans="1:2" x14ac:dyDescent="0.3">
      <c r="A114">
        <v>113</v>
      </c>
      <c r="B114">
        <v>256</v>
      </c>
    </row>
    <row r="115" spans="1:2" x14ac:dyDescent="0.3">
      <c r="A115">
        <v>114</v>
      </c>
      <c r="B115">
        <v>256</v>
      </c>
    </row>
    <row r="116" spans="1:2" x14ac:dyDescent="0.3">
      <c r="A116">
        <v>115</v>
      </c>
      <c r="B116">
        <v>256</v>
      </c>
    </row>
    <row r="117" spans="1:2" x14ac:dyDescent="0.3">
      <c r="A117">
        <v>116</v>
      </c>
      <c r="B117">
        <v>256</v>
      </c>
    </row>
    <row r="118" spans="1:2" x14ac:dyDescent="0.3">
      <c r="A118">
        <v>117</v>
      </c>
      <c r="B118">
        <v>256</v>
      </c>
    </row>
    <row r="119" spans="1:2" x14ac:dyDescent="0.3">
      <c r="A119">
        <v>118</v>
      </c>
      <c r="B119">
        <v>256</v>
      </c>
    </row>
    <row r="120" spans="1:2" x14ac:dyDescent="0.3">
      <c r="A120">
        <v>119</v>
      </c>
      <c r="B120">
        <v>256</v>
      </c>
    </row>
    <row r="121" spans="1:2" x14ac:dyDescent="0.3">
      <c r="A121">
        <v>120</v>
      </c>
      <c r="B121">
        <v>256</v>
      </c>
    </row>
    <row r="122" spans="1:2" x14ac:dyDescent="0.3">
      <c r="A122">
        <v>121</v>
      </c>
      <c r="B122">
        <v>256</v>
      </c>
    </row>
    <row r="123" spans="1:2" x14ac:dyDescent="0.3">
      <c r="A123">
        <v>122</v>
      </c>
      <c r="B123">
        <v>256</v>
      </c>
    </row>
    <row r="124" spans="1:2" x14ac:dyDescent="0.3">
      <c r="A124">
        <v>123</v>
      </c>
      <c r="B124">
        <v>256</v>
      </c>
    </row>
    <row r="125" spans="1:2" x14ac:dyDescent="0.3">
      <c r="A125">
        <v>124</v>
      </c>
      <c r="B125">
        <v>256</v>
      </c>
    </row>
    <row r="126" spans="1:2" x14ac:dyDescent="0.3">
      <c r="A126">
        <v>125</v>
      </c>
      <c r="B126">
        <v>256</v>
      </c>
    </row>
    <row r="127" spans="1:2" x14ac:dyDescent="0.3">
      <c r="A127">
        <v>126</v>
      </c>
      <c r="B127">
        <v>256</v>
      </c>
    </row>
    <row r="128" spans="1:2" x14ac:dyDescent="0.3">
      <c r="A128">
        <v>127</v>
      </c>
      <c r="B128">
        <v>256</v>
      </c>
    </row>
    <row r="129" spans="1:2" x14ac:dyDescent="0.3">
      <c r="A129">
        <v>128</v>
      </c>
      <c r="B129">
        <v>256</v>
      </c>
    </row>
    <row r="130" spans="1:2" x14ac:dyDescent="0.3">
      <c r="A130">
        <v>129</v>
      </c>
      <c r="B130">
        <v>256</v>
      </c>
    </row>
    <row r="131" spans="1:2" x14ac:dyDescent="0.3">
      <c r="A131">
        <v>130</v>
      </c>
      <c r="B131">
        <v>256</v>
      </c>
    </row>
    <row r="132" spans="1:2" x14ac:dyDescent="0.3">
      <c r="A132">
        <v>131</v>
      </c>
      <c r="B132">
        <v>256</v>
      </c>
    </row>
    <row r="133" spans="1:2" x14ac:dyDescent="0.3">
      <c r="A133">
        <v>132</v>
      </c>
      <c r="B133">
        <v>256</v>
      </c>
    </row>
    <row r="134" spans="1:2" x14ac:dyDescent="0.3">
      <c r="A134">
        <v>133</v>
      </c>
      <c r="B134">
        <v>256</v>
      </c>
    </row>
    <row r="135" spans="1:2" x14ac:dyDescent="0.3">
      <c r="A135">
        <v>134</v>
      </c>
      <c r="B135">
        <v>256</v>
      </c>
    </row>
    <row r="136" spans="1:2" x14ac:dyDescent="0.3">
      <c r="A136">
        <v>135</v>
      </c>
      <c r="B136">
        <v>256</v>
      </c>
    </row>
    <row r="137" spans="1:2" x14ac:dyDescent="0.3">
      <c r="A137">
        <v>136</v>
      </c>
      <c r="B137">
        <v>256</v>
      </c>
    </row>
    <row r="138" spans="1:2" x14ac:dyDescent="0.3">
      <c r="A138">
        <v>137</v>
      </c>
      <c r="B138">
        <v>256</v>
      </c>
    </row>
    <row r="139" spans="1:2" x14ac:dyDescent="0.3">
      <c r="A139">
        <v>138</v>
      </c>
      <c r="B139">
        <v>256</v>
      </c>
    </row>
    <row r="140" spans="1:2" x14ac:dyDescent="0.3">
      <c r="A140">
        <v>139</v>
      </c>
      <c r="B140">
        <v>256</v>
      </c>
    </row>
    <row r="141" spans="1:2" x14ac:dyDescent="0.3">
      <c r="A141">
        <v>140</v>
      </c>
      <c r="B141">
        <v>256</v>
      </c>
    </row>
    <row r="142" spans="1:2" x14ac:dyDescent="0.3">
      <c r="A142">
        <v>141</v>
      </c>
      <c r="B142">
        <v>256</v>
      </c>
    </row>
    <row r="143" spans="1:2" x14ac:dyDescent="0.3">
      <c r="A143">
        <v>142</v>
      </c>
      <c r="B143">
        <v>256</v>
      </c>
    </row>
    <row r="144" spans="1:2" x14ac:dyDescent="0.3">
      <c r="A144">
        <v>143</v>
      </c>
      <c r="B144">
        <v>256</v>
      </c>
    </row>
    <row r="145" spans="1:2" x14ac:dyDescent="0.3">
      <c r="A145">
        <v>144</v>
      </c>
      <c r="B145">
        <v>256</v>
      </c>
    </row>
    <row r="146" spans="1:2" x14ac:dyDescent="0.3">
      <c r="A146">
        <v>145</v>
      </c>
      <c r="B146">
        <v>256</v>
      </c>
    </row>
    <row r="147" spans="1:2" x14ac:dyDescent="0.3">
      <c r="A147">
        <v>146</v>
      </c>
      <c r="B147">
        <v>256</v>
      </c>
    </row>
    <row r="148" spans="1:2" x14ac:dyDescent="0.3">
      <c r="A148">
        <v>147</v>
      </c>
      <c r="B148">
        <v>256</v>
      </c>
    </row>
    <row r="149" spans="1:2" x14ac:dyDescent="0.3">
      <c r="A149">
        <v>148</v>
      </c>
      <c r="B149">
        <v>256</v>
      </c>
    </row>
    <row r="150" spans="1:2" x14ac:dyDescent="0.3">
      <c r="A150">
        <v>149</v>
      </c>
      <c r="B150">
        <v>256</v>
      </c>
    </row>
    <row r="151" spans="1:2" x14ac:dyDescent="0.3">
      <c r="A151">
        <v>150</v>
      </c>
      <c r="B151">
        <v>256</v>
      </c>
    </row>
    <row r="152" spans="1:2" x14ac:dyDescent="0.3">
      <c r="A152">
        <v>151</v>
      </c>
      <c r="B152">
        <v>256</v>
      </c>
    </row>
    <row r="153" spans="1:2" x14ac:dyDescent="0.3">
      <c r="A153">
        <v>152</v>
      </c>
      <c r="B153">
        <v>256</v>
      </c>
    </row>
    <row r="154" spans="1:2" x14ac:dyDescent="0.3">
      <c r="A154">
        <v>153</v>
      </c>
      <c r="B154">
        <v>256</v>
      </c>
    </row>
    <row r="155" spans="1:2" x14ac:dyDescent="0.3">
      <c r="A155">
        <v>154</v>
      </c>
      <c r="B155">
        <v>256</v>
      </c>
    </row>
    <row r="156" spans="1:2" x14ac:dyDescent="0.3">
      <c r="A156">
        <v>155</v>
      </c>
      <c r="B156">
        <v>256</v>
      </c>
    </row>
    <row r="157" spans="1:2" x14ac:dyDescent="0.3">
      <c r="A157">
        <v>156</v>
      </c>
      <c r="B157">
        <v>256</v>
      </c>
    </row>
    <row r="158" spans="1:2" x14ac:dyDescent="0.3">
      <c r="A158">
        <v>157</v>
      </c>
      <c r="B158">
        <v>256</v>
      </c>
    </row>
    <row r="159" spans="1:2" x14ac:dyDescent="0.3">
      <c r="A159">
        <v>158</v>
      </c>
      <c r="B159">
        <v>256</v>
      </c>
    </row>
    <row r="160" spans="1:2" x14ac:dyDescent="0.3">
      <c r="A160">
        <v>159</v>
      </c>
      <c r="B160">
        <v>256</v>
      </c>
    </row>
    <row r="161" spans="1:2" x14ac:dyDescent="0.3">
      <c r="A161">
        <v>160</v>
      </c>
      <c r="B161">
        <v>256</v>
      </c>
    </row>
    <row r="162" spans="1:2" x14ac:dyDescent="0.3">
      <c r="A162">
        <v>161</v>
      </c>
      <c r="B162">
        <v>256</v>
      </c>
    </row>
    <row r="163" spans="1:2" x14ac:dyDescent="0.3">
      <c r="A163">
        <v>162</v>
      </c>
      <c r="B163">
        <v>256</v>
      </c>
    </row>
    <row r="164" spans="1:2" x14ac:dyDescent="0.3">
      <c r="A164">
        <v>163</v>
      </c>
      <c r="B164">
        <v>256</v>
      </c>
    </row>
    <row r="165" spans="1:2" x14ac:dyDescent="0.3">
      <c r="A165">
        <v>164</v>
      </c>
      <c r="B165">
        <v>256</v>
      </c>
    </row>
    <row r="166" spans="1:2" x14ac:dyDescent="0.3">
      <c r="A166">
        <v>165</v>
      </c>
      <c r="B166">
        <v>256</v>
      </c>
    </row>
    <row r="167" spans="1:2" x14ac:dyDescent="0.3">
      <c r="A167">
        <v>166</v>
      </c>
      <c r="B167">
        <v>256</v>
      </c>
    </row>
    <row r="168" spans="1:2" x14ac:dyDescent="0.3">
      <c r="A168">
        <v>167</v>
      </c>
      <c r="B168">
        <v>256</v>
      </c>
    </row>
    <row r="169" spans="1:2" x14ac:dyDescent="0.3">
      <c r="A169">
        <v>168</v>
      </c>
      <c r="B169">
        <v>256</v>
      </c>
    </row>
    <row r="170" spans="1:2" x14ac:dyDescent="0.3">
      <c r="A170">
        <v>169</v>
      </c>
      <c r="B170">
        <v>256</v>
      </c>
    </row>
    <row r="171" spans="1:2" x14ac:dyDescent="0.3">
      <c r="A171">
        <v>170</v>
      </c>
      <c r="B171">
        <v>256</v>
      </c>
    </row>
    <row r="172" spans="1:2" x14ac:dyDescent="0.3">
      <c r="A172">
        <v>171</v>
      </c>
      <c r="B172">
        <v>256</v>
      </c>
    </row>
    <row r="173" spans="1:2" x14ac:dyDescent="0.3">
      <c r="A173">
        <v>172</v>
      </c>
      <c r="B173">
        <v>256</v>
      </c>
    </row>
    <row r="174" spans="1:2" x14ac:dyDescent="0.3">
      <c r="A174">
        <v>173</v>
      </c>
      <c r="B174">
        <v>256</v>
      </c>
    </row>
    <row r="175" spans="1:2" x14ac:dyDescent="0.3">
      <c r="A175">
        <v>174</v>
      </c>
      <c r="B175">
        <v>256</v>
      </c>
    </row>
    <row r="176" spans="1:2" x14ac:dyDescent="0.3">
      <c r="A176">
        <v>175</v>
      </c>
      <c r="B176">
        <v>256</v>
      </c>
    </row>
    <row r="177" spans="1:2" x14ac:dyDescent="0.3">
      <c r="A177">
        <v>176</v>
      </c>
      <c r="B177">
        <v>256</v>
      </c>
    </row>
    <row r="178" spans="1:2" x14ac:dyDescent="0.3">
      <c r="A178">
        <v>177</v>
      </c>
      <c r="B178">
        <v>256</v>
      </c>
    </row>
    <row r="179" spans="1:2" x14ac:dyDescent="0.3">
      <c r="A179">
        <v>178</v>
      </c>
      <c r="B179">
        <v>256</v>
      </c>
    </row>
    <row r="180" spans="1:2" x14ac:dyDescent="0.3">
      <c r="A180">
        <v>179</v>
      </c>
      <c r="B180">
        <v>256</v>
      </c>
    </row>
    <row r="181" spans="1:2" x14ac:dyDescent="0.3">
      <c r="A181">
        <v>180</v>
      </c>
      <c r="B181">
        <v>256</v>
      </c>
    </row>
    <row r="182" spans="1:2" x14ac:dyDescent="0.3">
      <c r="A182">
        <v>181</v>
      </c>
      <c r="B182">
        <v>256</v>
      </c>
    </row>
    <row r="183" spans="1:2" x14ac:dyDescent="0.3">
      <c r="A183">
        <v>182</v>
      </c>
      <c r="B183">
        <v>256</v>
      </c>
    </row>
    <row r="184" spans="1:2" x14ac:dyDescent="0.3">
      <c r="A184">
        <v>183</v>
      </c>
      <c r="B184">
        <v>256</v>
      </c>
    </row>
    <row r="185" spans="1:2" x14ac:dyDescent="0.3">
      <c r="A185">
        <v>184</v>
      </c>
      <c r="B185">
        <v>256</v>
      </c>
    </row>
    <row r="186" spans="1:2" x14ac:dyDescent="0.3">
      <c r="A186">
        <v>185</v>
      </c>
      <c r="B186">
        <v>256</v>
      </c>
    </row>
    <row r="187" spans="1:2" x14ac:dyDescent="0.3">
      <c r="A187">
        <v>186</v>
      </c>
      <c r="B187">
        <v>256</v>
      </c>
    </row>
    <row r="188" spans="1:2" x14ac:dyDescent="0.3">
      <c r="A188">
        <v>187</v>
      </c>
      <c r="B188">
        <v>256</v>
      </c>
    </row>
    <row r="189" spans="1:2" x14ac:dyDescent="0.3">
      <c r="A189">
        <v>188</v>
      </c>
      <c r="B189">
        <v>256</v>
      </c>
    </row>
    <row r="190" spans="1:2" x14ac:dyDescent="0.3">
      <c r="A190">
        <v>189</v>
      </c>
      <c r="B190">
        <v>256</v>
      </c>
    </row>
    <row r="191" spans="1:2" x14ac:dyDescent="0.3">
      <c r="A191">
        <v>190</v>
      </c>
      <c r="B191">
        <v>256</v>
      </c>
    </row>
    <row r="192" spans="1:2" x14ac:dyDescent="0.3">
      <c r="A192">
        <v>191</v>
      </c>
      <c r="B192">
        <v>256</v>
      </c>
    </row>
    <row r="193" spans="1:2" x14ac:dyDescent="0.3">
      <c r="A193">
        <v>192</v>
      </c>
      <c r="B193">
        <v>256</v>
      </c>
    </row>
    <row r="194" spans="1:2" x14ac:dyDescent="0.3">
      <c r="A194">
        <v>193</v>
      </c>
      <c r="B194">
        <v>256</v>
      </c>
    </row>
    <row r="195" spans="1:2" x14ac:dyDescent="0.3">
      <c r="A195">
        <v>194</v>
      </c>
      <c r="B195">
        <v>256</v>
      </c>
    </row>
    <row r="196" spans="1:2" x14ac:dyDescent="0.3">
      <c r="A196">
        <v>195</v>
      </c>
      <c r="B196">
        <v>256</v>
      </c>
    </row>
    <row r="197" spans="1:2" x14ac:dyDescent="0.3">
      <c r="A197">
        <v>196</v>
      </c>
      <c r="B197">
        <v>256</v>
      </c>
    </row>
    <row r="198" spans="1:2" x14ac:dyDescent="0.3">
      <c r="A198">
        <v>197</v>
      </c>
      <c r="B198">
        <v>256</v>
      </c>
    </row>
    <row r="199" spans="1:2" x14ac:dyDescent="0.3">
      <c r="A199">
        <v>198</v>
      </c>
      <c r="B199">
        <v>256</v>
      </c>
    </row>
    <row r="200" spans="1:2" x14ac:dyDescent="0.3">
      <c r="A200">
        <v>199</v>
      </c>
      <c r="B200">
        <v>256</v>
      </c>
    </row>
    <row r="201" spans="1:2" x14ac:dyDescent="0.3">
      <c r="A201">
        <v>200</v>
      </c>
      <c r="B201">
        <v>256</v>
      </c>
    </row>
    <row r="202" spans="1:2" x14ac:dyDescent="0.3">
      <c r="A202">
        <v>201</v>
      </c>
      <c r="B202">
        <v>256</v>
      </c>
    </row>
    <row r="203" spans="1:2" x14ac:dyDescent="0.3">
      <c r="A203">
        <v>202</v>
      </c>
      <c r="B203">
        <v>256</v>
      </c>
    </row>
    <row r="204" spans="1:2" x14ac:dyDescent="0.3">
      <c r="A204">
        <v>203</v>
      </c>
      <c r="B204">
        <v>256</v>
      </c>
    </row>
    <row r="205" spans="1:2" x14ac:dyDescent="0.3">
      <c r="A205">
        <v>204</v>
      </c>
      <c r="B205">
        <v>256</v>
      </c>
    </row>
    <row r="206" spans="1:2" x14ac:dyDescent="0.3">
      <c r="A206">
        <v>205</v>
      </c>
      <c r="B206">
        <v>256</v>
      </c>
    </row>
    <row r="207" spans="1:2" x14ac:dyDescent="0.3">
      <c r="A207">
        <v>206</v>
      </c>
      <c r="B207">
        <v>256</v>
      </c>
    </row>
    <row r="208" spans="1:2" x14ac:dyDescent="0.3">
      <c r="A208">
        <v>207</v>
      </c>
      <c r="B208">
        <v>256</v>
      </c>
    </row>
    <row r="209" spans="1:2" x14ac:dyDescent="0.3">
      <c r="A209">
        <v>208</v>
      </c>
      <c r="B209">
        <v>256</v>
      </c>
    </row>
    <row r="210" spans="1:2" x14ac:dyDescent="0.3">
      <c r="A210">
        <v>209</v>
      </c>
      <c r="B210">
        <v>256</v>
      </c>
    </row>
    <row r="211" spans="1:2" x14ac:dyDescent="0.3">
      <c r="A211">
        <v>210</v>
      </c>
      <c r="B211">
        <v>256</v>
      </c>
    </row>
    <row r="212" spans="1:2" x14ac:dyDescent="0.3">
      <c r="A212">
        <v>211</v>
      </c>
      <c r="B212">
        <v>256</v>
      </c>
    </row>
    <row r="213" spans="1:2" x14ac:dyDescent="0.3">
      <c r="A213">
        <v>212</v>
      </c>
      <c r="B213">
        <v>256</v>
      </c>
    </row>
    <row r="214" spans="1:2" x14ac:dyDescent="0.3">
      <c r="A214">
        <v>213</v>
      </c>
      <c r="B214">
        <v>256</v>
      </c>
    </row>
    <row r="215" spans="1:2" x14ac:dyDescent="0.3">
      <c r="A215">
        <v>214</v>
      </c>
      <c r="B215">
        <v>256</v>
      </c>
    </row>
    <row r="216" spans="1:2" x14ac:dyDescent="0.3">
      <c r="A216">
        <v>215</v>
      </c>
      <c r="B216">
        <v>256</v>
      </c>
    </row>
    <row r="217" spans="1:2" x14ac:dyDescent="0.3">
      <c r="A217">
        <v>216</v>
      </c>
      <c r="B217">
        <v>256</v>
      </c>
    </row>
    <row r="218" spans="1:2" x14ac:dyDescent="0.3">
      <c r="A218">
        <v>217</v>
      </c>
      <c r="B218">
        <v>256</v>
      </c>
    </row>
    <row r="219" spans="1:2" x14ac:dyDescent="0.3">
      <c r="A219">
        <v>218</v>
      </c>
      <c r="B219">
        <v>256</v>
      </c>
    </row>
    <row r="220" spans="1:2" x14ac:dyDescent="0.3">
      <c r="A220">
        <v>219</v>
      </c>
      <c r="B220">
        <v>256</v>
      </c>
    </row>
    <row r="221" spans="1:2" x14ac:dyDescent="0.3">
      <c r="A221">
        <v>220</v>
      </c>
      <c r="B221">
        <v>256</v>
      </c>
    </row>
    <row r="222" spans="1:2" x14ac:dyDescent="0.3">
      <c r="A222">
        <v>221</v>
      </c>
      <c r="B222">
        <v>256</v>
      </c>
    </row>
    <row r="223" spans="1:2" x14ac:dyDescent="0.3">
      <c r="A223">
        <v>222</v>
      </c>
      <c r="B223">
        <v>256</v>
      </c>
    </row>
    <row r="224" spans="1:2" x14ac:dyDescent="0.3">
      <c r="A224">
        <v>223</v>
      </c>
      <c r="B224">
        <v>256</v>
      </c>
    </row>
    <row r="225" spans="1:2" x14ac:dyDescent="0.3">
      <c r="A225">
        <v>224</v>
      </c>
      <c r="B225">
        <v>256</v>
      </c>
    </row>
    <row r="226" spans="1:2" x14ac:dyDescent="0.3">
      <c r="A226">
        <v>225</v>
      </c>
      <c r="B226">
        <v>256</v>
      </c>
    </row>
    <row r="227" spans="1:2" x14ac:dyDescent="0.3">
      <c r="A227">
        <v>226</v>
      </c>
      <c r="B227">
        <v>256</v>
      </c>
    </row>
    <row r="228" spans="1:2" x14ac:dyDescent="0.3">
      <c r="A228">
        <v>227</v>
      </c>
      <c r="B228">
        <v>256</v>
      </c>
    </row>
    <row r="229" spans="1:2" x14ac:dyDescent="0.3">
      <c r="A229">
        <v>228</v>
      </c>
      <c r="B229">
        <v>256</v>
      </c>
    </row>
    <row r="230" spans="1:2" x14ac:dyDescent="0.3">
      <c r="A230">
        <v>229</v>
      </c>
      <c r="B230">
        <v>256</v>
      </c>
    </row>
    <row r="231" spans="1:2" x14ac:dyDescent="0.3">
      <c r="A231">
        <v>230</v>
      </c>
      <c r="B231">
        <v>256</v>
      </c>
    </row>
    <row r="232" spans="1:2" x14ac:dyDescent="0.3">
      <c r="A232">
        <v>231</v>
      </c>
      <c r="B232">
        <v>256</v>
      </c>
    </row>
    <row r="233" spans="1:2" x14ac:dyDescent="0.3">
      <c r="A233">
        <v>232</v>
      </c>
      <c r="B233">
        <v>256</v>
      </c>
    </row>
    <row r="234" spans="1:2" x14ac:dyDescent="0.3">
      <c r="A234">
        <v>233</v>
      </c>
      <c r="B234">
        <v>256</v>
      </c>
    </row>
    <row r="235" spans="1:2" x14ac:dyDescent="0.3">
      <c r="A235">
        <v>234</v>
      </c>
      <c r="B235">
        <v>256</v>
      </c>
    </row>
    <row r="236" spans="1:2" x14ac:dyDescent="0.3">
      <c r="A236">
        <v>235</v>
      </c>
      <c r="B236">
        <v>256</v>
      </c>
    </row>
    <row r="237" spans="1:2" x14ac:dyDescent="0.3">
      <c r="A237">
        <v>236</v>
      </c>
      <c r="B237">
        <v>256</v>
      </c>
    </row>
    <row r="238" spans="1:2" x14ac:dyDescent="0.3">
      <c r="A238">
        <v>237</v>
      </c>
      <c r="B238">
        <v>256</v>
      </c>
    </row>
    <row r="239" spans="1:2" x14ac:dyDescent="0.3">
      <c r="A239">
        <v>238</v>
      </c>
      <c r="B239">
        <v>256</v>
      </c>
    </row>
    <row r="240" spans="1:2" x14ac:dyDescent="0.3">
      <c r="A240">
        <v>239</v>
      </c>
      <c r="B240">
        <v>256</v>
      </c>
    </row>
    <row r="241" spans="1:2" x14ac:dyDescent="0.3">
      <c r="A241">
        <v>240</v>
      </c>
      <c r="B241">
        <v>256</v>
      </c>
    </row>
    <row r="242" spans="1:2" x14ac:dyDescent="0.3">
      <c r="A242">
        <v>241</v>
      </c>
      <c r="B242">
        <v>256</v>
      </c>
    </row>
    <row r="243" spans="1:2" x14ac:dyDescent="0.3">
      <c r="A243">
        <v>242</v>
      </c>
      <c r="B243">
        <v>256</v>
      </c>
    </row>
    <row r="244" spans="1:2" x14ac:dyDescent="0.3">
      <c r="A244">
        <v>243</v>
      </c>
      <c r="B244">
        <v>256</v>
      </c>
    </row>
    <row r="245" spans="1:2" x14ac:dyDescent="0.3">
      <c r="A245">
        <v>244</v>
      </c>
      <c r="B245">
        <v>256</v>
      </c>
    </row>
    <row r="246" spans="1:2" x14ac:dyDescent="0.3">
      <c r="A246">
        <v>245</v>
      </c>
      <c r="B246">
        <v>256</v>
      </c>
    </row>
    <row r="247" spans="1:2" x14ac:dyDescent="0.3">
      <c r="A247">
        <v>246</v>
      </c>
      <c r="B247">
        <v>256</v>
      </c>
    </row>
    <row r="248" spans="1:2" x14ac:dyDescent="0.3">
      <c r="A248">
        <v>247</v>
      </c>
      <c r="B248">
        <v>256</v>
      </c>
    </row>
    <row r="249" spans="1:2" x14ac:dyDescent="0.3">
      <c r="A249">
        <v>248</v>
      </c>
      <c r="B249">
        <v>256</v>
      </c>
    </row>
    <row r="250" spans="1:2" x14ac:dyDescent="0.3">
      <c r="A250">
        <v>249</v>
      </c>
      <c r="B250">
        <v>256</v>
      </c>
    </row>
    <row r="251" spans="1:2" x14ac:dyDescent="0.3">
      <c r="A251">
        <v>250</v>
      </c>
      <c r="B251">
        <v>256</v>
      </c>
    </row>
    <row r="252" spans="1:2" x14ac:dyDescent="0.3">
      <c r="A252">
        <v>251</v>
      </c>
      <c r="B252">
        <v>256</v>
      </c>
    </row>
    <row r="253" spans="1:2" x14ac:dyDescent="0.3">
      <c r="A253">
        <v>252</v>
      </c>
      <c r="B253">
        <v>256</v>
      </c>
    </row>
    <row r="254" spans="1:2" x14ac:dyDescent="0.3">
      <c r="A254">
        <v>253</v>
      </c>
      <c r="B254">
        <v>256</v>
      </c>
    </row>
    <row r="255" spans="1:2" x14ac:dyDescent="0.3">
      <c r="A255">
        <v>254</v>
      </c>
      <c r="B255">
        <v>256</v>
      </c>
    </row>
    <row r="256" spans="1:2" x14ac:dyDescent="0.3">
      <c r="A256">
        <v>255</v>
      </c>
      <c r="B256">
        <v>1024</v>
      </c>
    </row>
    <row r="257" spans="1:2" x14ac:dyDescent="0.3">
      <c r="A257">
        <v>256</v>
      </c>
      <c r="B257">
        <v>1024</v>
      </c>
    </row>
    <row r="258" spans="1:2" x14ac:dyDescent="0.3">
      <c r="A258">
        <v>257</v>
      </c>
      <c r="B258">
        <v>1024</v>
      </c>
    </row>
    <row r="259" spans="1:2" x14ac:dyDescent="0.3">
      <c r="A259">
        <v>258</v>
      </c>
      <c r="B259">
        <v>1024</v>
      </c>
    </row>
    <row r="260" spans="1:2" x14ac:dyDescent="0.3">
      <c r="A260">
        <v>259</v>
      </c>
      <c r="B260">
        <v>1024</v>
      </c>
    </row>
    <row r="261" spans="1:2" x14ac:dyDescent="0.3">
      <c r="A261">
        <v>260</v>
      </c>
      <c r="B261">
        <v>1024</v>
      </c>
    </row>
    <row r="262" spans="1:2" x14ac:dyDescent="0.3">
      <c r="A262">
        <v>261</v>
      </c>
      <c r="B262">
        <v>1024</v>
      </c>
    </row>
    <row r="263" spans="1:2" x14ac:dyDescent="0.3">
      <c r="A263">
        <v>262</v>
      </c>
      <c r="B263">
        <v>1024</v>
      </c>
    </row>
    <row r="264" spans="1:2" x14ac:dyDescent="0.3">
      <c r="A264">
        <v>263</v>
      </c>
      <c r="B264">
        <v>1024</v>
      </c>
    </row>
    <row r="265" spans="1:2" x14ac:dyDescent="0.3">
      <c r="A265">
        <v>264</v>
      </c>
      <c r="B265">
        <v>1024</v>
      </c>
    </row>
    <row r="266" spans="1:2" x14ac:dyDescent="0.3">
      <c r="A266">
        <v>265</v>
      </c>
      <c r="B266">
        <v>1024</v>
      </c>
    </row>
    <row r="267" spans="1:2" x14ac:dyDescent="0.3">
      <c r="A267">
        <v>266</v>
      </c>
      <c r="B267">
        <v>1024</v>
      </c>
    </row>
    <row r="268" spans="1:2" x14ac:dyDescent="0.3">
      <c r="A268">
        <v>267</v>
      </c>
      <c r="B268">
        <v>1024</v>
      </c>
    </row>
    <row r="269" spans="1:2" x14ac:dyDescent="0.3">
      <c r="A269">
        <v>268</v>
      </c>
      <c r="B269">
        <v>1024</v>
      </c>
    </row>
    <row r="270" spans="1:2" x14ac:dyDescent="0.3">
      <c r="A270">
        <v>269</v>
      </c>
      <c r="B270">
        <v>1024</v>
      </c>
    </row>
    <row r="271" spans="1:2" x14ac:dyDescent="0.3">
      <c r="A271">
        <v>270</v>
      </c>
      <c r="B271">
        <v>1024</v>
      </c>
    </row>
    <row r="272" spans="1:2" x14ac:dyDescent="0.3">
      <c r="A272">
        <v>271</v>
      </c>
      <c r="B272">
        <v>1024</v>
      </c>
    </row>
    <row r="273" spans="1:2" x14ac:dyDescent="0.3">
      <c r="A273">
        <v>272</v>
      </c>
      <c r="B273">
        <v>1024</v>
      </c>
    </row>
    <row r="274" spans="1:2" x14ac:dyDescent="0.3">
      <c r="A274">
        <v>273</v>
      </c>
      <c r="B274">
        <v>1024</v>
      </c>
    </row>
    <row r="275" spans="1:2" x14ac:dyDescent="0.3">
      <c r="A275">
        <v>274</v>
      </c>
      <c r="B275">
        <v>1024</v>
      </c>
    </row>
    <row r="276" spans="1:2" x14ac:dyDescent="0.3">
      <c r="A276">
        <v>275</v>
      </c>
      <c r="B276">
        <v>1024</v>
      </c>
    </row>
    <row r="277" spans="1:2" x14ac:dyDescent="0.3">
      <c r="A277">
        <v>276</v>
      </c>
      <c r="B277">
        <v>1024</v>
      </c>
    </row>
    <row r="278" spans="1:2" x14ac:dyDescent="0.3">
      <c r="A278">
        <v>277</v>
      </c>
      <c r="B278">
        <v>1024</v>
      </c>
    </row>
    <row r="279" spans="1:2" x14ac:dyDescent="0.3">
      <c r="A279">
        <v>278</v>
      </c>
      <c r="B279">
        <v>1024</v>
      </c>
    </row>
    <row r="280" spans="1:2" x14ac:dyDescent="0.3">
      <c r="A280">
        <v>279</v>
      </c>
      <c r="B280">
        <v>1024</v>
      </c>
    </row>
    <row r="281" spans="1:2" x14ac:dyDescent="0.3">
      <c r="A281">
        <v>280</v>
      </c>
      <c r="B281">
        <v>1024</v>
      </c>
    </row>
    <row r="282" spans="1:2" x14ac:dyDescent="0.3">
      <c r="A282">
        <v>281</v>
      </c>
      <c r="B282">
        <v>1024</v>
      </c>
    </row>
    <row r="283" spans="1:2" x14ac:dyDescent="0.3">
      <c r="A283">
        <v>282</v>
      </c>
      <c r="B283">
        <v>1024</v>
      </c>
    </row>
    <row r="284" spans="1:2" x14ac:dyDescent="0.3">
      <c r="A284">
        <v>283</v>
      </c>
      <c r="B284">
        <v>1024</v>
      </c>
    </row>
    <row r="285" spans="1:2" x14ac:dyDescent="0.3">
      <c r="A285">
        <v>284</v>
      </c>
      <c r="B285">
        <v>1024</v>
      </c>
    </row>
    <row r="286" spans="1:2" x14ac:dyDescent="0.3">
      <c r="A286">
        <v>285</v>
      </c>
      <c r="B286">
        <v>1024</v>
      </c>
    </row>
    <row r="287" spans="1:2" x14ac:dyDescent="0.3">
      <c r="A287">
        <v>286</v>
      </c>
      <c r="B287">
        <v>1024</v>
      </c>
    </row>
    <row r="288" spans="1:2" x14ac:dyDescent="0.3">
      <c r="A288">
        <v>287</v>
      </c>
      <c r="B288">
        <v>1024</v>
      </c>
    </row>
    <row r="289" spans="1:2" x14ac:dyDescent="0.3">
      <c r="A289">
        <v>288</v>
      </c>
      <c r="B289">
        <v>1024</v>
      </c>
    </row>
    <row r="290" spans="1:2" x14ac:dyDescent="0.3">
      <c r="A290">
        <v>289</v>
      </c>
      <c r="B290">
        <v>1024</v>
      </c>
    </row>
    <row r="291" spans="1:2" x14ac:dyDescent="0.3">
      <c r="A291">
        <v>290</v>
      </c>
      <c r="B291">
        <v>1024</v>
      </c>
    </row>
    <row r="292" spans="1:2" x14ac:dyDescent="0.3">
      <c r="A292">
        <v>291</v>
      </c>
      <c r="B292">
        <v>1024</v>
      </c>
    </row>
    <row r="293" spans="1:2" x14ac:dyDescent="0.3">
      <c r="A293">
        <v>292</v>
      </c>
      <c r="B293">
        <v>1024</v>
      </c>
    </row>
    <row r="294" spans="1:2" x14ac:dyDescent="0.3">
      <c r="A294">
        <v>293</v>
      </c>
      <c r="B294">
        <v>1024</v>
      </c>
    </row>
    <row r="295" spans="1:2" x14ac:dyDescent="0.3">
      <c r="A295">
        <v>294</v>
      </c>
      <c r="B295">
        <v>1024</v>
      </c>
    </row>
    <row r="296" spans="1:2" x14ac:dyDescent="0.3">
      <c r="A296">
        <v>295</v>
      </c>
      <c r="B296">
        <v>1024</v>
      </c>
    </row>
    <row r="297" spans="1:2" x14ac:dyDescent="0.3">
      <c r="A297">
        <v>296</v>
      </c>
      <c r="B297">
        <v>1024</v>
      </c>
    </row>
    <row r="298" spans="1:2" x14ac:dyDescent="0.3">
      <c r="A298">
        <v>297</v>
      </c>
      <c r="B298">
        <v>1024</v>
      </c>
    </row>
    <row r="299" spans="1:2" x14ac:dyDescent="0.3">
      <c r="A299">
        <v>298</v>
      </c>
      <c r="B299">
        <v>1024</v>
      </c>
    </row>
    <row r="300" spans="1:2" x14ac:dyDescent="0.3">
      <c r="A300">
        <v>299</v>
      </c>
      <c r="B300">
        <v>1024</v>
      </c>
    </row>
    <row r="301" spans="1:2" x14ac:dyDescent="0.3">
      <c r="A301">
        <v>300</v>
      </c>
      <c r="B301">
        <v>1024</v>
      </c>
    </row>
    <row r="302" spans="1:2" x14ac:dyDescent="0.3">
      <c r="A302">
        <v>301</v>
      </c>
      <c r="B302">
        <v>1024</v>
      </c>
    </row>
    <row r="303" spans="1:2" x14ac:dyDescent="0.3">
      <c r="A303">
        <v>302</v>
      </c>
      <c r="B303">
        <v>1024</v>
      </c>
    </row>
    <row r="304" spans="1:2" x14ac:dyDescent="0.3">
      <c r="A304">
        <v>303</v>
      </c>
      <c r="B304">
        <v>1024</v>
      </c>
    </row>
    <row r="305" spans="1:2" x14ac:dyDescent="0.3">
      <c r="A305">
        <v>304</v>
      </c>
      <c r="B305">
        <v>1024</v>
      </c>
    </row>
    <row r="306" spans="1:2" x14ac:dyDescent="0.3">
      <c r="A306">
        <v>305</v>
      </c>
      <c r="B306">
        <v>1024</v>
      </c>
    </row>
    <row r="307" spans="1:2" x14ac:dyDescent="0.3">
      <c r="A307">
        <v>306</v>
      </c>
      <c r="B307">
        <v>1024</v>
      </c>
    </row>
    <row r="308" spans="1:2" x14ac:dyDescent="0.3">
      <c r="A308">
        <v>307</v>
      </c>
      <c r="B308">
        <v>1024</v>
      </c>
    </row>
    <row r="309" spans="1:2" x14ac:dyDescent="0.3">
      <c r="A309">
        <v>308</v>
      </c>
      <c r="B309">
        <v>1024</v>
      </c>
    </row>
    <row r="310" spans="1:2" x14ac:dyDescent="0.3">
      <c r="A310">
        <v>309</v>
      </c>
      <c r="B310">
        <v>1024</v>
      </c>
    </row>
    <row r="311" spans="1:2" x14ac:dyDescent="0.3">
      <c r="A311">
        <v>310</v>
      </c>
      <c r="B311">
        <v>1024</v>
      </c>
    </row>
    <row r="312" spans="1:2" x14ac:dyDescent="0.3">
      <c r="A312">
        <v>311</v>
      </c>
      <c r="B312">
        <v>1024</v>
      </c>
    </row>
    <row r="313" spans="1:2" x14ac:dyDescent="0.3">
      <c r="A313">
        <v>312</v>
      </c>
      <c r="B313">
        <v>1024</v>
      </c>
    </row>
    <row r="314" spans="1:2" x14ac:dyDescent="0.3">
      <c r="A314">
        <v>313</v>
      </c>
      <c r="B314">
        <v>1024</v>
      </c>
    </row>
    <row r="315" spans="1:2" x14ac:dyDescent="0.3">
      <c r="A315">
        <v>314</v>
      </c>
      <c r="B315">
        <v>1024</v>
      </c>
    </row>
    <row r="316" spans="1:2" x14ac:dyDescent="0.3">
      <c r="A316">
        <v>315</v>
      </c>
      <c r="B316">
        <v>1024</v>
      </c>
    </row>
    <row r="317" spans="1:2" x14ac:dyDescent="0.3">
      <c r="A317">
        <v>316</v>
      </c>
      <c r="B317">
        <v>1024</v>
      </c>
    </row>
    <row r="318" spans="1:2" x14ac:dyDescent="0.3">
      <c r="A318">
        <v>317</v>
      </c>
      <c r="B318">
        <v>1024</v>
      </c>
    </row>
    <row r="319" spans="1:2" x14ac:dyDescent="0.3">
      <c r="A319">
        <v>318</v>
      </c>
      <c r="B319">
        <v>1024</v>
      </c>
    </row>
    <row r="320" spans="1:2" x14ac:dyDescent="0.3">
      <c r="A320">
        <v>319</v>
      </c>
      <c r="B320">
        <v>1024</v>
      </c>
    </row>
    <row r="321" spans="1:2" x14ac:dyDescent="0.3">
      <c r="A321">
        <v>320</v>
      </c>
      <c r="B321">
        <v>1024</v>
      </c>
    </row>
    <row r="322" spans="1:2" x14ac:dyDescent="0.3">
      <c r="A322">
        <v>321</v>
      </c>
      <c r="B322">
        <v>1024</v>
      </c>
    </row>
    <row r="323" spans="1:2" x14ac:dyDescent="0.3">
      <c r="A323">
        <v>322</v>
      </c>
      <c r="B323">
        <v>1024</v>
      </c>
    </row>
    <row r="324" spans="1:2" x14ac:dyDescent="0.3">
      <c r="A324">
        <v>323</v>
      </c>
      <c r="B324">
        <v>1024</v>
      </c>
    </row>
    <row r="325" spans="1:2" x14ac:dyDescent="0.3">
      <c r="A325">
        <v>324</v>
      </c>
      <c r="B325">
        <v>1024</v>
      </c>
    </row>
    <row r="326" spans="1:2" x14ac:dyDescent="0.3">
      <c r="A326">
        <v>325</v>
      </c>
      <c r="B326">
        <v>1024</v>
      </c>
    </row>
    <row r="327" spans="1:2" x14ac:dyDescent="0.3">
      <c r="A327">
        <v>326</v>
      </c>
      <c r="B327">
        <v>1024</v>
      </c>
    </row>
    <row r="328" spans="1:2" x14ac:dyDescent="0.3">
      <c r="A328">
        <v>327</v>
      </c>
      <c r="B328">
        <v>1024</v>
      </c>
    </row>
    <row r="329" spans="1:2" x14ac:dyDescent="0.3">
      <c r="A329">
        <v>328</v>
      </c>
      <c r="B329">
        <v>1024</v>
      </c>
    </row>
    <row r="330" spans="1:2" x14ac:dyDescent="0.3">
      <c r="A330">
        <v>329</v>
      </c>
      <c r="B330">
        <v>1024</v>
      </c>
    </row>
    <row r="331" spans="1:2" x14ac:dyDescent="0.3">
      <c r="A331">
        <v>330</v>
      </c>
      <c r="B331">
        <v>1024</v>
      </c>
    </row>
    <row r="332" spans="1:2" x14ac:dyDescent="0.3">
      <c r="A332">
        <v>331</v>
      </c>
      <c r="B332">
        <v>1024</v>
      </c>
    </row>
    <row r="333" spans="1:2" x14ac:dyDescent="0.3">
      <c r="A333">
        <v>332</v>
      </c>
      <c r="B333">
        <v>1024</v>
      </c>
    </row>
    <row r="334" spans="1:2" x14ac:dyDescent="0.3">
      <c r="A334">
        <v>333</v>
      </c>
      <c r="B334">
        <v>1024</v>
      </c>
    </row>
    <row r="335" spans="1:2" x14ac:dyDescent="0.3">
      <c r="A335">
        <v>334</v>
      </c>
      <c r="B335">
        <v>1024</v>
      </c>
    </row>
    <row r="336" spans="1:2" x14ac:dyDescent="0.3">
      <c r="A336">
        <v>335</v>
      </c>
      <c r="B336">
        <v>1024</v>
      </c>
    </row>
    <row r="337" spans="1:2" x14ac:dyDescent="0.3">
      <c r="A337">
        <v>336</v>
      </c>
      <c r="B337">
        <v>1024</v>
      </c>
    </row>
    <row r="338" spans="1:2" x14ac:dyDescent="0.3">
      <c r="A338">
        <v>337</v>
      </c>
      <c r="B338">
        <v>1024</v>
      </c>
    </row>
    <row r="339" spans="1:2" x14ac:dyDescent="0.3">
      <c r="A339">
        <v>338</v>
      </c>
      <c r="B339">
        <v>1024</v>
      </c>
    </row>
    <row r="340" spans="1:2" x14ac:dyDescent="0.3">
      <c r="A340">
        <v>339</v>
      </c>
      <c r="B340">
        <v>1024</v>
      </c>
    </row>
    <row r="341" spans="1:2" x14ac:dyDescent="0.3">
      <c r="A341">
        <v>340</v>
      </c>
      <c r="B341">
        <v>1024</v>
      </c>
    </row>
    <row r="342" spans="1:2" x14ac:dyDescent="0.3">
      <c r="A342">
        <v>341</v>
      </c>
      <c r="B342">
        <v>1024</v>
      </c>
    </row>
    <row r="343" spans="1:2" x14ac:dyDescent="0.3">
      <c r="A343">
        <v>342</v>
      </c>
      <c r="B343">
        <v>1024</v>
      </c>
    </row>
    <row r="344" spans="1:2" x14ac:dyDescent="0.3">
      <c r="A344">
        <v>343</v>
      </c>
      <c r="B344">
        <v>1024</v>
      </c>
    </row>
    <row r="345" spans="1:2" x14ac:dyDescent="0.3">
      <c r="A345">
        <v>344</v>
      </c>
      <c r="B345">
        <v>1024</v>
      </c>
    </row>
    <row r="346" spans="1:2" x14ac:dyDescent="0.3">
      <c r="A346">
        <v>345</v>
      </c>
      <c r="B346">
        <v>1024</v>
      </c>
    </row>
    <row r="347" spans="1:2" x14ac:dyDescent="0.3">
      <c r="A347">
        <v>346</v>
      </c>
      <c r="B347">
        <v>1024</v>
      </c>
    </row>
    <row r="348" spans="1:2" x14ac:dyDescent="0.3">
      <c r="A348">
        <v>347</v>
      </c>
      <c r="B348">
        <v>1024</v>
      </c>
    </row>
    <row r="349" spans="1:2" x14ac:dyDescent="0.3">
      <c r="A349">
        <v>348</v>
      </c>
      <c r="B349">
        <v>1024</v>
      </c>
    </row>
    <row r="350" spans="1:2" x14ac:dyDescent="0.3">
      <c r="A350">
        <v>349</v>
      </c>
      <c r="B350">
        <v>1024</v>
      </c>
    </row>
    <row r="351" spans="1:2" x14ac:dyDescent="0.3">
      <c r="A351">
        <v>350</v>
      </c>
      <c r="B351">
        <v>1024</v>
      </c>
    </row>
    <row r="352" spans="1:2" x14ac:dyDescent="0.3">
      <c r="A352">
        <v>351</v>
      </c>
      <c r="B352">
        <v>1024</v>
      </c>
    </row>
    <row r="353" spans="1:2" x14ac:dyDescent="0.3">
      <c r="A353">
        <v>352</v>
      </c>
      <c r="B353">
        <v>1024</v>
      </c>
    </row>
    <row r="354" spans="1:2" x14ac:dyDescent="0.3">
      <c r="A354">
        <v>353</v>
      </c>
      <c r="B354">
        <v>1024</v>
      </c>
    </row>
    <row r="355" spans="1:2" x14ac:dyDescent="0.3">
      <c r="A355">
        <v>354</v>
      </c>
      <c r="B355">
        <v>1024</v>
      </c>
    </row>
    <row r="356" spans="1:2" x14ac:dyDescent="0.3">
      <c r="A356">
        <v>355</v>
      </c>
      <c r="B356">
        <v>1024</v>
      </c>
    </row>
    <row r="357" spans="1:2" x14ac:dyDescent="0.3">
      <c r="A357">
        <v>356</v>
      </c>
      <c r="B357">
        <v>1024</v>
      </c>
    </row>
    <row r="358" spans="1:2" x14ac:dyDescent="0.3">
      <c r="A358">
        <v>357</v>
      </c>
      <c r="B358">
        <v>1024</v>
      </c>
    </row>
    <row r="359" spans="1:2" x14ac:dyDescent="0.3">
      <c r="A359">
        <v>358</v>
      </c>
      <c r="B359">
        <v>1024</v>
      </c>
    </row>
    <row r="360" spans="1:2" x14ac:dyDescent="0.3">
      <c r="A360">
        <v>359</v>
      </c>
      <c r="B360">
        <v>1024</v>
      </c>
    </row>
    <row r="361" spans="1:2" x14ac:dyDescent="0.3">
      <c r="A361">
        <v>360</v>
      </c>
      <c r="B361">
        <v>1024</v>
      </c>
    </row>
    <row r="362" spans="1:2" x14ac:dyDescent="0.3">
      <c r="A362">
        <v>361</v>
      </c>
      <c r="B362">
        <v>1024</v>
      </c>
    </row>
    <row r="363" spans="1:2" x14ac:dyDescent="0.3">
      <c r="A363">
        <v>362</v>
      </c>
      <c r="B363">
        <v>1024</v>
      </c>
    </row>
    <row r="364" spans="1:2" x14ac:dyDescent="0.3">
      <c r="A364">
        <v>363</v>
      </c>
      <c r="B364">
        <v>1024</v>
      </c>
    </row>
    <row r="365" spans="1:2" x14ac:dyDescent="0.3">
      <c r="A365">
        <v>364</v>
      </c>
      <c r="B365">
        <v>1024</v>
      </c>
    </row>
    <row r="366" spans="1:2" x14ac:dyDescent="0.3">
      <c r="A366">
        <v>365</v>
      </c>
      <c r="B366">
        <v>1024</v>
      </c>
    </row>
    <row r="367" spans="1:2" x14ac:dyDescent="0.3">
      <c r="A367">
        <v>366</v>
      </c>
      <c r="B367">
        <v>1024</v>
      </c>
    </row>
    <row r="368" spans="1:2" x14ac:dyDescent="0.3">
      <c r="A368">
        <v>367</v>
      </c>
      <c r="B368">
        <v>1024</v>
      </c>
    </row>
    <row r="369" spans="1:2" x14ac:dyDescent="0.3">
      <c r="A369">
        <v>368</v>
      </c>
      <c r="B369">
        <v>1024</v>
      </c>
    </row>
    <row r="370" spans="1:2" x14ac:dyDescent="0.3">
      <c r="A370">
        <v>369</v>
      </c>
      <c r="B370">
        <v>1024</v>
      </c>
    </row>
    <row r="371" spans="1:2" x14ac:dyDescent="0.3">
      <c r="A371">
        <v>370</v>
      </c>
      <c r="B371">
        <v>1024</v>
      </c>
    </row>
    <row r="372" spans="1:2" x14ac:dyDescent="0.3">
      <c r="A372">
        <v>371</v>
      </c>
      <c r="B372">
        <v>1024</v>
      </c>
    </row>
    <row r="373" spans="1:2" x14ac:dyDescent="0.3">
      <c r="A373">
        <v>372</v>
      </c>
      <c r="B373">
        <v>1024</v>
      </c>
    </row>
    <row r="374" spans="1:2" x14ac:dyDescent="0.3">
      <c r="A374">
        <v>373</v>
      </c>
      <c r="B374">
        <v>1024</v>
      </c>
    </row>
    <row r="375" spans="1:2" x14ac:dyDescent="0.3">
      <c r="A375">
        <v>374</v>
      </c>
      <c r="B375">
        <v>1024</v>
      </c>
    </row>
    <row r="376" spans="1:2" x14ac:dyDescent="0.3">
      <c r="A376">
        <v>375</v>
      </c>
      <c r="B376">
        <v>1024</v>
      </c>
    </row>
    <row r="377" spans="1:2" x14ac:dyDescent="0.3">
      <c r="A377">
        <v>376</v>
      </c>
      <c r="B377">
        <v>1024</v>
      </c>
    </row>
    <row r="378" spans="1:2" x14ac:dyDescent="0.3">
      <c r="A378">
        <v>377</v>
      </c>
      <c r="B378">
        <v>1024</v>
      </c>
    </row>
    <row r="379" spans="1:2" x14ac:dyDescent="0.3">
      <c r="A379">
        <v>378</v>
      </c>
      <c r="B379">
        <v>1024</v>
      </c>
    </row>
    <row r="380" spans="1:2" x14ac:dyDescent="0.3">
      <c r="A380">
        <v>379</v>
      </c>
      <c r="B380">
        <v>1024</v>
      </c>
    </row>
    <row r="381" spans="1:2" x14ac:dyDescent="0.3">
      <c r="A381">
        <v>380</v>
      </c>
      <c r="B381">
        <v>1024</v>
      </c>
    </row>
    <row r="382" spans="1:2" x14ac:dyDescent="0.3">
      <c r="A382">
        <v>381</v>
      </c>
      <c r="B382">
        <v>1024</v>
      </c>
    </row>
    <row r="383" spans="1:2" x14ac:dyDescent="0.3">
      <c r="A383">
        <v>382</v>
      </c>
      <c r="B383">
        <v>1024</v>
      </c>
    </row>
    <row r="384" spans="1:2" x14ac:dyDescent="0.3">
      <c r="A384">
        <v>383</v>
      </c>
      <c r="B384">
        <v>1024</v>
      </c>
    </row>
    <row r="385" spans="1:2" x14ac:dyDescent="0.3">
      <c r="A385">
        <v>384</v>
      </c>
      <c r="B385">
        <v>1024</v>
      </c>
    </row>
    <row r="386" spans="1:2" x14ac:dyDescent="0.3">
      <c r="A386">
        <v>385</v>
      </c>
      <c r="B386">
        <v>1024</v>
      </c>
    </row>
    <row r="387" spans="1:2" x14ac:dyDescent="0.3">
      <c r="A387">
        <v>386</v>
      </c>
      <c r="B387">
        <v>1024</v>
      </c>
    </row>
    <row r="388" spans="1:2" x14ac:dyDescent="0.3">
      <c r="A388">
        <v>387</v>
      </c>
      <c r="B388">
        <v>1024</v>
      </c>
    </row>
    <row r="389" spans="1:2" x14ac:dyDescent="0.3">
      <c r="A389">
        <v>388</v>
      </c>
      <c r="B389">
        <v>1024</v>
      </c>
    </row>
    <row r="390" spans="1:2" x14ac:dyDescent="0.3">
      <c r="A390">
        <v>389</v>
      </c>
      <c r="B390">
        <v>1024</v>
      </c>
    </row>
    <row r="391" spans="1:2" x14ac:dyDescent="0.3">
      <c r="A391">
        <v>390</v>
      </c>
      <c r="B391">
        <v>1024</v>
      </c>
    </row>
    <row r="392" spans="1:2" x14ac:dyDescent="0.3">
      <c r="A392">
        <v>391</v>
      </c>
      <c r="B392">
        <v>1024</v>
      </c>
    </row>
    <row r="393" spans="1:2" x14ac:dyDescent="0.3">
      <c r="A393">
        <v>392</v>
      </c>
      <c r="B393">
        <v>1024</v>
      </c>
    </row>
    <row r="394" spans="1:2" x14ac:dyDescent="0.3">
      <c r="A394">
        <v>393</v>
      </c>
      <c r="B394">
        <v>1024</v>
      </c>
    </row>
    <row r="395" spans="1:2" x14ac:dyDescent="0.3">
      <c r="A395">
        <v>394</v>
      </c>
      <c r="B395">
        <v>1024</v>
      </c>
    </row>
    <row r="396" spans="1:2" x14ac:dyDescent="0.3">
      <c r="A396">
        <v>395</v>
      </c>
      <c r="B396">
        <v>1024</v>
      </c>
    </row>
    <row r="397" spans="1:2" x14ac:dyDescent="0.3">
      <c r="A397">
        <v>396</v>
      </c>
      <c r="B397">
        <v>1024</v>
      </c>
    </row>
    <row r="398" spans="1:2" x14ac:dyDescent="0.3">
      <c r="A398">
        <v>397</v>
      </c>
      <c r="B398">
        <v>1024</v>
      </c>
    </row>
    <row r="399" spans="1:2" x14ac:dyDescent="0.3">
      <c r="A399">
        <v>398</v>
      </c>
      <c r="B399">
        <v>1024</v>
      </c>
    </row>
    <row r="400" spans="1:2" x14ac:dyDescent="0.3">
      <c r="A400">
        <v>399</v>
      </c>
      <c r="B400">
        <v>1024</v>
      </c>
    </row>
    <row r="401" spans="1:2" x14ac:dyDescent="0.3">
      <c r="A401">
        <v>400</v>
      </c>
      <c r="B401">
        <v>1024</v>
      </c>
    </row>
    <row r="402" spans="1:2" x14ac:dyDescent="0.3">
      <c r="A402">
        <v>401</v>
      </c>
      <c r="B402">
        <v>1024</v>
      </c>
    </row>
    <row r="403" spans="1:2" x14ac:dyDescent="0.3">
      <c r="A403">
        <v>402</v>
      </c>
      <c r="B403">
        <v>1024</v>
      </c>
    </row>
    <row r="404" spans="1:2" x14ac:dyDescent="0.3">
      <c r="A404">
        <v>403</v>
      </c>
      <c r="B404">
        <v>1024</v>
      </c>
    </row>
    <row r="405" spans="1:2" x14ac:dyDescent="0.3">
      <c r="A405">
        <v>404</v>
      </c>
      <c r="B405">
        <v>1024</v>
      </c>
    </row>
    <row r="406" spans="1:2" x14ac:dyDescent="0.3">
      <c r="A406">
        <v>405</v>
      </c>
      <c r="B406">
        <v>1024</v>
      </c>
    </row>
    <row r="407" spans="1:2" x14ac:dyDescent="0.3">
      <c r="A407">
        <v>406</v>
      </c>
      <c r="B407">
        <v>1024</v>
      </c>
    </row>
    <row r="408" spans="1:2" x14ac:dyDescent="0.3">
      <c r="A408">
        <v>407</v>
      </c>
      <c r="B408">
        <v>1024</v>
      </c>
    </row>
    <row r="409" spans="1:2" x14ac:dyDescent="0.3">
      <c r="A409">
        <v>408</v>
      </c>
      <c r="B409">
        <v>1024</v>
      </c>
    </row>
    <row r="410" spans="1:2" x14ac:dyDescent="0.3">
      <c r="A410">
        <v>409</v>
      </c>
      <c r="B410">
        <v>1024</v>
      </c>
    </row>
    <row r="411" spans="1:2" x14ac:dyDescent="0.3">
      <c r="A411">
        <v>410</v>
      </c>
      <c r="B411">
        <v>1024</v>
      </c>
    </row>
    <row r="412" spans="1:2" x14ac:dyDescent="0.3">
      <c r="A412">
        <v>411</v>
      </c>
      <c r="B412">
        <v>1024</v>
      </c>
    </row>
    <row r="413" spans="1:2" x14ac:dyDescent="0.3">
      <c r="A413">
        <v>412</v>
      </c>
      <c r="B413">
        <v>1024</v>
      </c>
    </row>
    <row r="414" spans="1:2" x14ac:dyDescent="0.3">
      <c r="A414">
        <v>413</v>
      </c>
      <c r="B414">
        <v>1024</v>
      </c>
    </row>
    <row r="415" spans="1:2" x14ac:dyDescent="0.3">
      <c r="A415">
        <v>414</v>
      </c>
      <c r="B415">
        <v>1024</v>
      </c>
    </row>
    <row r="416" spans="1:2" x14ac:dyDescent="0.3">
      <c r="A416">
        <v>415</v>
      </c>
      <c r="B416">
        <v>1024</v>
      </c>
    </row>
    <row r="417" spans="1:2" x14ac:dyDescent="0.3">
      <c r="A417">
        <v>416</v>
      </c>
      <c r="B417">
        <v>1024</v>
      </c>
    </row>
    <row r="418" spans="1:2" x14ac:dyDescent="0.3">
      <c r="A418">
        <v>417</v>
      </c>
      <c r="B418">
        <v>1024</v>
      </c>
    </row>
    <row r="419" spans="1:2" x14ac:dyDescent="0.3">
      <c r="A419">
        <v>418</v>
      </c>
      <c r="B419">
        <v>1024</v>
      </c>
    </row>
    <row r="420" spans="1:2" x14ac:dyDescent="0.3">
      <c r="A420">
        <v>419</v>
      </c>
      <c r="B420">
        <v>1024</v>
      </c>
    </row>
    <row r="421" spans="1:2" x14ac:dyDescent="0.3">
      <c r="A421">
        <v>420</v>
      </c>
      <c r="B421">
        <v>1024</v>
      </c>
    </row>
    <row r="422" spans="1:2" x14ac:dyDescent="0.3">
      <c r="A422">
        <v>421</v>
      </c>
      <c r="B422">
        <v>1024</v>
      </c>
    </row>
    <row r="423" spans="1:2" x14ac:dyDescent="0.3">
      <c r="A423">
        <v>422</v>
      </c>
      <c r="B423">
        <v>1024</v>
      </c>
    </row>
    <row r="424" spans="1:2" x14ac:dyDescent="0.3">
      <c r="A424">
        <v>423</v>
      </c>
      <c r="B424">
        <v>1024</v>
      </c>
    </row>
    <row r="425" spans="1:2" x14ac:dyDescent="0.3">
      <c r="A425">
        <v>424</v>
      </c>
      <c r="B425">
        <v>1024</v>
      </c>
    </row>
    <row r="426" spans="1:2" x14ac:dyDescent="0.3">
      <c r="A426">
        <v>425</v>
      </c>
      <c r="B426">
        <v>1024</v>
      </c>
    </row>
    <row r="427" spans="1:2" x14ac:dyDescent="0.3">
      <c r="A427">
        <v>426</v>
      </c>
      <c r="B427">
        <v>1024</v>
      </c>
    </row>
    <row r="428" spans="1:2" x14ac:dyDescent="0.3">
      <c r="A428">
        <v>427</v>
      </c>
      <c r="B428">
        <v>1024</v>
      </c>
    </row>
    <row r="429" spans="1:2" x14ac:dyDescent="0.3">
      <c r="A429">
        <v>428</v>
      </c>
      <c r="B429">
        <v>1024</v>
      </c>
    </row>
    <row r="430" spans="1:2" x14ac:dyDescent="0.3">
      <c r="A430">
        <v>429</v>
      </c>
      <c r="B430">
        <v>1024</v>
      </c>
    </row>
    <row r="431" spans="1:2" x14ac:dyDescent="0.3">
      <c r="A431">
        <v>430</v>
      </c>
      <c r="B431">
        <v>1024</v>
      </c>
    </row>
    <row r="432" spans="1:2" x14ac:dyDescent="0.3">
      <c r="A432">
        <v>431</v>
      </c>
      <c r="B432">
        <v>1024</v>
      </c>
    </row>
    <row r="433" spans="1:2" x14ac:dyDescent="0.3">
      <c r="A433">
        <v>432</v>
      </c>
      <c r="B433">
        <v>1024</v>
      </c>
    </row>
    <row r="434" spans="1:2" x14ac:dyDescent="0.3">
      <c r="A434">
        <v>433</v>
      </c>
      <c r="B434">
        <v>1024</v>
      </c>
    </row>
    <row r="435" spans="1:2" x14ac:dyDescent="0.3">
      <c r="A435">
        <v>434</v>
      </c>
      <c r="B435">
        <v>1024</v>
      </c>
    </row>
    <row r="436" spans="1:2" x14ac:dyDescent="0.3">
      <c r="A436">
        <v>435</v>
      </c>
      <c r="B436">
        <v>1024</v>
      </c>
    </row>
    <row r="437" spans="1:2" x14ac:dyDescent="0.3">
      <c r="A437">
        <v>436</v>
      </c>
      <c r="B437">
        <v>1024</v>
      </c>
    </row>
    <row r="438" spans="1:2" x14ac:dyDescent="0.3">
      <c r="A438">
        <v>437</v>
      </c>
      <c r="B438">
        <v>1024</v>
      </c>
    </row>
    <row r="439" spans="1:2" x14ac:dyDescent="0.3">
      <c r="A439">
        <v>438</v>
      </c>
      <c r="B439">
        <v>1024</v>
      </c>
    </row>
    <row r="440" spans="1:2" x14ac:dyDescent="0.3">
      <c r="A440">
        <v>439</v>
      </c>
      <c r="B440">
        <v>1024</v>
      </c>
    </row>
    <row r="441" spans="1:2" x14ac:dyDescent="0.3">
      <c r="A441">
        <v>440</v>
      </c>
      <c r="B441">
        <v>1024</v>
      </c>
    </row>
    <row r="442" spans="1:2" x14ac:dyDescent="0.3">
      <c r="A442">
        <v>441</v>
      </c>
      <c r="B442">
        <v>1024</v>
      </c>
    </row>
    <row r="443" spans="1:2" x14ac:dyDescent="0.3">
      <c r="A443">
        <v>442</v>
      </c>
      <c r="B443">
        <v>1024</v>
      </c>
    </row>
    <row r="444" spans="1:2" x14ac:dyDescent="0.3">
      <c r="A444">
        <v>443</v>
      </c>
      <c r="B444">
        <v>1024</v>
      </c>
    </row>
    <row r="445" spans="1:2" x14ac:dyDescent="0.3">
      <c r="A445">
        <v>444</v>
      </c>
      <c r="B445">
        <v>1024</v>
      </c>
    </row>
    <row r="446" spans="1:2" x14ac:dyDescent="0.3">
      <c r="A446">
        <v>445</v>
      </c>
      <c r="B446">
        <v>1024</v>
      </c>
    </row>
    <row r="447" spans="1:2" x14ac:dyDescent="0.3">
      <c r="A447">
        <v>446</v>
      </c>
      <c r="B447">
        <v>1024</v>
      </c>
    </row>
    <row r="448" spans="1:2" x14ac:dyDescent="0.3">
      <c r="A448">
        <v>447</v>
      </c>
      <c r="B448">
        <v>1024</v>
      </c>
    </row>
    <row r="449" spans="1:2" x14ac:dyDescent="0.3">
      <c r="A449">
        <v>448</v>
      </c>
      <c r="B449">
        <v>1024</v>
      </c>
    </row>
    <row r="450" spans="1:2" x14ac:dyDescent="0.3">
      <c r="A450">
        <v>449</v>
      </c>
      <c r="B450">
        <v>1024</v>
      </c>
    </row>
    <row r="451" spans="1:2" x14ac:dyDescent="0.3">
      <c r="A451">
        <v>450</v>
      </c>
      <c r="B451">
        <v>1024</v>
      </c>
    </row>
    <row r="452" spans="1:2" x14ac:dyDescent="0.3">
      <c r="A452">
        <v>451</v>
      </c>
      <c r="B452">
        <v>1024</v>
      </c>
    </row>
    <row r="453" spans="1:2" x14ac:dyDescent="0.3">
      <c r="A453">
        <v>452</v>
      </c>
      <c r="B453">
        <v>1024</v>
      </c>
    </row>
    <row r="454" spans="1:2" x14ac:dyDescent="0.3">
      <c r="A454">
        <v>453</v>
      </c>
      <c r="B454">
        <v>1024</v>
      </c>
    </row>
    <row r="455" spans="1:2" x14ac:dyDescent="0.3">
      <c r="A455">
        <v>454</v>
      </c>
      <c r="B455">
        <v>1024</v>
      </c>
    </row>
    <row r="456" spans="1:2" x14ac:dyDescent="0.3">
      <c r="A456">
        <v>455</v>
      </c>
      <c r="B456">
        <v>1024</v>
      </c>
    </row>
    <row r="457" spans="1:2" x14ac:dyDescent="0.3">
      <c r="A457">
        <v>456</v>
      </c>
      <c r="B457">
        <v>1024</v>
      </c>
    </row>
    <row r="458" spans="1:2" x14ac:dyDescent="0.3">
      <c r="A458">
        <v>457</v>
      </c>
      <c r="B458">
        <v>1024</v>
      </c>
    </row>
    <row r="459" spans="1:2" x14ac:dyDescent="0.3">
      <c r="A459">
        <v>458</v>
      </c>
      <c r="B459">
        <v>1024</v>
      </c>
    </row>
    <row r="460" spans="1:2" x14ac:dyDescent="0.3">
      <c r="A460">
        <v>459</v>
      </c>
      <c r="B460">
        <v>1024</v>
      </c>
    </row>
    <row r="461" spans="1:2" x14ac:dyDescent="0.3">
      <c r="A461">
        <v>460</v>
      </c>
      <c r="B461">
        <v>1024</v>
      </c>
    </row>
    <row r="462" spans="1:2" x14ac:dyDescent="0.3">
      <c r="A462">
        <v>461</v>
      </c>
      <c r="B462">
        <v>1024</v>
      </c>
    </row>
    <row r="463" spans="1:2" x14ac:dyDescent="0.3">
      <c r="A463">
        <v>462</v>
      </c>
      <c r="B463">
        <v>1024</v>
      </c>
    </row>
    <row r="464" spans="1:2" x14ac:dyDescent="0.3">
      <c r="A464">
        <v>463</v>
      </c>
      <c r="B464">
        <v>1024</v>
      </c>
    </row>
    <row r="465" spans="1:2" x14ac:dyDescent="0.3">
      <c r="A465">
        <v>464</v>
      </c>
      <c r="B465">
        <v>1024</v>
      </c>
    </row>
    <row r="466" spans="1:2" x14ac:dyDescent="0.3">
      <c r="A466">
        <v>465</v>
      </c>
      <c r="B466">
        <v>1024</v>
      </c>
    </row>
    <row r="467" spans="1:2" x14ac:dyDescent="0.3">
      <c r="A467">
        <v>466</v>
      </c>
      <c r="B467">
        <v>1024</v>
      </c>
    </row>
    <row r="468" spans="1:2" x14ac:dyDescent="0.3">
      <c r="A468">
        <v>467</v>
      </c>
      <c r="B468">
        <v>1024</v>
      </c>
    </row>
    <row r="469" spans="1:2" x14ac:dyDescent="0.3">
      <c r="A469">
        <v>468</v>
      </c>
      <c r="B469">
        <v>1024</v>
      </c>
    </row>
    <row r="470" spans="1:2" x14ac:dyDescent="0.3">
      <c r="A470">
        <v>469</v>
      </c>
      <c r="B470">
        <v>1024</v>
      </c>
    </row>
    <row r="471" spans="1:2" x14ac:dyDescent="0.3">
      <c r="A471">
        <v>470</v>
      </c>
      <c r="B471">
        <v>1024</v>
      </c>
    </row>
    <row r="472" spans="1:2" x14ac:dyDescent="0.3">
      <c r="A472">
        <v>471</v>
      </c>
      <c r="B472">
        <v>1024</v>
      </c>
    </row>
    <row r="473" spans="1:2" x14ac:dyDescent="0.3">
      <c r="A473">
        <v>472</v>
      </c>
      <c r="B473">
        <v>1024</v>
      </c>
    </row>
    <row r="474" spans="1:2" x14ac:dyDescent="0.3">
      <c r="A474">
        <v>473</v>
      </c>
      <c r="B474">
        <v>1024</v>
      </c>
    </row>
    <row r="475" spans="1:2" x14ac:dyDescent="0.3">
      <c r="A475">
        <v>474</v>
      </c>
      <c r="B475">
        <v>1024</v>
      </c>
    </row>
    <row r="476" spans="1:2" x14ac:dyDescent="0.3">
      <c r="A476">
        <v>475</v>
      </c>
      <c r="B476">
        <v>1024</v>
      </c>
    </row>
    <row r="477" spans="1:2" x14ac:dyDescent="0.3">
      <c r="A477">
        <v>476</v>
      </c>
      <c r="B477">
        <v>1024</v>
      </c>
    </row>
    <row r="478" spans="1:2" x14ac:dyDescent="0.3">
      <c r="A478">
        <v>477</v>
      </c>
      <c r="B478">
        <v>1024</v>
      </c>
    </row>
    <row r="479" spans="1:2" x14ac:dyDescent="0.3">
      <c r="A479">
        <v>478</v>
      </c>
      <c r="B479">
        <v>1024</v>
      </c>
    </row>
    <row r="480" spans="1:2" x14ac:dyDescent="0.3">
      <c r="A480">
        <v>479</v>
      </c>
      <c r="B480">
        <v>1024</v>
      </c>
    </row>
    <row r="481" spans="1:2" x14ac:dyDescent="0.3">
      <c r="A481">
        <v>480</v>
      </c>
      <c r="B481">
        <v>1024</v>
      </c>
    </row>
    <row r="482" spans="1:2" x14ac:dyDescent="0.3">
      <c r="A482">
        <v>481</v>
      </c>
      <c r="B482">
        <v>1024</v>
      </c>
    </row>
    <row r="483" spans="1:2" x14ac:dyDescent="0.3">
      <c r="A483">
        <v>482</v>
      </c>
      <c r="B483">
        <v>1024</v>
      </c>
    </row>
    <row r="484" spans="1:2" x14ac:dyDescent="0.3">
      <c r="A484">
        <v>483</v>
      </c>
      <c r="B484">
        <v>1024</v>
      </c>
    </row>
    <row r="485" spans="1:2" x14ac:dyDescent="0.3">
      <c r="A485">
        <v>484</v>
      </c>
      <c r="B485">
        <v>1024</v>
      </c>
    </row>
    <row r="486" spans="1:2" x14ac:dyDescent="0.3">
      <c r="A486">
        <v>485</v>
      </c>
      <c r="B486">
        <v>1024</v>
      </c>
    </row>
    <row r="487" spans="1:2" x14ac:dyDescent="0.3">
      <c r="A487">
        <v>486</v>
      </c>
      <c r="B487">
        <v>1024</v>
      </c>
    </row>
    <row r="488" spans="1:2" x14ac:dyDescent="0.3">
      <c r="A488">
        <v>487</v>
      </c>
      <c r="B488">
        <v>1024</v>
      </c>
    </row>
    <row r="489" spans="1:2" x14ac:dyDescent="0.3">
      <c r="A489">
        <v>488</v>
      </c>
      <c r="B489">
        <v>1024</v>
      </c>
    </row>
    <row r="490" spans="1:2" x14ac:dyDescent="0.3">
      <c r="A490">
        <v>489</v>
      </c>
      <c r="B490">
        <v>1024</v>
      </c>
    </row>
    <row r="491" spans="1:2" x14ac:dyDescent="0.3">
      <c r="A491">
        <v>490</v>
      </c>
      <c r="B491">
        <v>1024</v>
      </c>
    </row>
    <row r="492" spans="1:2" x14ac:dyDescent="0.3">
      <c r="A492">
        <v>491</v>
      </c>
      <c r="B492">
        <v>1024</v>
      </c>
    </row>
    <row r="493" spans="1:2" x14ac:dyDescent="0.3">
      <c r="A493">
        <v>492</v>
      </c>
      <c r="B493">
        <v>1024</v>
      </c>
    </row>
    <row r="494" spans="1:2" x14ac:dyDescent="0.3">
      <c r="A494">
        <v>493</v>
      </c>
      <c r="B494">
        <v>1024</v>
      </c>
    </row>
    <row r="495" spans="1:2" x14ac:dyDescent="0.3">
      <c r="A495">
        <v>494</v>
      </c>
      <c r="B495">
        <v>1024</v>
      </c>
    </row>
    <row r="496" spans="1:2" x14ac:dyDescent="0.3">
      <c r="A496">
        <v>495</v>
      </c>
      <c r="B496">
        <v>1024</v>
      </c>
    </row>
    <row r="497" spans="1:2" x14ac:dyDescent="0.3">
      <c r="A497">
        <v>496</v>
      </c>
      <c r="B497">
        <v>1024</v>
      </c>
    </row>
    <row r="498" spans="1:2" x14ac:dyDescent="0.3">
      <c r="A498">
        <v>497</v>
      </c>
      <c r="B498">
        <v>1024</v>
      </c>
    </row>
    <row r="499" spans="1:2" x14ac:dyDescent="0.3">
      <c r="A499">
        <v>498</v>
      </c>
      <c r="B499">
        <v>1024</v>
      </c>
    </row>
    <row r="500" spans="1:2" x14ac:dyDescent="0.3">
      <c r="A500">
        <v>499</v>
      </c>
      <c r="B500">
        <v>1024</v>
      </c>
    </row>
    <row r="501" spans="1:2" x14ac:dyDescent="0.3">
      <c r="A501">
        <v>500</v>
      </c>
      <c r="B501">
        <v>1024</v>
      </c>
    </row>
    <row r="502" spans="1:2" x14ac:dyDescent="0.3">
      <c r="A502">
        <v>501</v>
      </c>
      <c r="B502">
        <v>1024</v>
      </c>
    </row>
    <row r="503" spans="1:2" x14ac:dyDescent="0.3">
      <c r="A503">
        <v>502</v>
      </c>
      <c r="B503">
        <v>1024</v>
      </c>
    </row>
    <row r="504" spans="1:2" x14ac:dyDescent="0.3">
      <c r="A504">
        <v>503</v>
      </c>
      <c r="B504">
        <v>1024</v>
      </c>
    </row>
    <row r="505" spans="1:2" x14ac:dyDescent="0.3">
      <c r="A505">
        <v>504</v>
      </c>
      <c r="B505">
        <v>1024</v>
      </c>
    </row>
    <row r="506" spans="1:2" x14ac:dyDescent="0.3">
      <c r="A506">
        <v>505</v>
      </c>
      <c r="B506">
        <v>1024</v>
      </c>
    </row>
    <row r="507" spans="1:2" x14ac:dyDescent="0.3">
      <c r="A507">
        <v>506</v>
      </c>
      <c r="B507">
        <v>1024</v>
      </c>
    </row>
    <row r="508" spans="1:2" x14ac:dyDescent="0.3">
      <c r="A508">
        <v>507</v>
      </c>
      <c r="B508">
        <v>1024</v>
      </c>
    </row>
    <row r="509" spans="1:2" x14ac:dyDescent="0.3">
      <c r="A509">
        <v>508</v>
      </c>
      <c r="B509">
        <v>1024</v>
      </c>
    </row>
    <row r="510" spans="1:2" x14ac:dyDescent="0.3">
      <c r="A510">
        <v>509</v>
      </c>
      <c r="B510">
        <v>1024</v>
      </c>
    </row>
    <row r="511" spans="1:2" x14ac:dyDescent="0.3">
      <c r="A511">
        <v>510</v>
      </c>
      <c r="B511">
        <v>1024</v>
      </c>
    </row>
    <row r="512" spans="1:2" x14ac:dyDescent="0.3">
      <c r="A512">
        <v>511</v>
      </c>
      <c r="B512">
        <v>1024</v>
      </c>
    </row>
    <row r="513" spans="1:2" x14ac:dyDescent="0.3">
      <c r="A513">
        <v>512</v>
      </c>
      <c r="B513">
        <v>1024</v>
      </c>
    </row>
    <row r="514" spans="1:2" x14ac:dyDescent="0.3">
      <c r="A514">
        <v>513</v>
      </c>
      <c r="B514">
        <v>1024</v>
      </c>
    </row>
    <row r="515" spans="1:2" x14ac:dyDescent="0.3">
      <c r="A515">
        <v>514</v>
      </c>
      <c r="B515">
        <v>1024</v>
      </c>
    </row>
    <row r="516" spans="1:2" x14ac:dyDescent="0.3">
      <c r="A516">
        <v>515</v>
      </c>
      <c r="B516">
        <v>1024</v>
      </c>
    </row>
    <row r="517" spans="1:2" x14ac:dyDescent="0.3">
      <c r="A517">
        <v>516</v>
      </c>
      <c r="B517">
        <v>1024</v>
      </c>
    </row>
    <row r="518" spans="1:2" x14ac:dyDescent="0.3">
      <c r="A518">
        <v>517</v>
      </c>
      <c r="B518">
        <v>1024</v>
      </c>
    </row>
    <row r="519" spans="1:2" x14ac:dyDescent="0.3">
      <c r="A519">
        <v>518</v>
      </c>
      <c r="B519">
        <v>1024</v>
      </c>
    </row>
    <row r="520" spans="1:2" x14ac:dyDescent="0.3">
      <c r="A520">
        <v>519</v>
      </c>
      <c r="B520">
        <v>1024</v>
      </c>
    </row>
    <row r="521" spans="1:2" x14ac:dyDescent="0.3">
      <c r="A521">
        <v>520</v>
      </c>
      <c r="B521">
        <v>1024</v>
      </c>
    </row>
    <row r="522" spans="1:2" x14ac:dyDescent="0.3">
      <c r="A522">
        <v>521</v>
      </c>
      <c r="B522">
        <v>1024</v>
      </c>
    </row>
    <row r="523" spans="1:2" x14ac:dyDescent="0.3">
      <c r="A523">
        <v>522</v>
      </c>
      <c r="B523">
        <v>1024</v>
      </c>
    </row>
    <row r="524" spans="1:2" x14ac:dyDescent="0.3">
      <c r="A524">
        <v>523</v>
      </c>
      <c r="B524">
        <v>1024</v>
      </c>
    </row>
    <row r="525" spans="1:2" x14ac:dyDescent="0.3">
      <c r="A525">
        <v>524</v>
      </c>
      <c r="B525">
        <v>1024</v>
      </c>
    </row>
    <row r="526" spans="1:2" x14ac:dyDescent="0.3">
      <c r="A526">
        <v>525</v>
      </c>
      <c r="B526">
        <v>1024</v>
      </c>
    </row>
    <row r="527" spans="1:2" x14ac:dyDescent="0.3">
      <c r="A527">
        <v>526</v>
      </c>
      <c r="B527">
        <v>1024</v>
      </c>
    </row>
    <row r="528" spans="1:2" x14ac:dyDescent="0.3">
      <c r="A528">
        <v>527</v>
      </c>
      <c r="B528">
        <v>1024</v>
      </c>
    </row>
    <row r="529" spans="1:2" x14ac:dyDescent="0.3">
      <c r="A529">
        <v>528</v>
      </c>
      <c r="B529">
        <v>1024</v>
      </c>
    </row>
    <row r="530" spans="1:2" x14ac:dyDescent="0.3">
      <c r="A530">
        <v>529</v>
      </c>
      <c r="B530">
        <v>1024</v>
      </c>
    </row>
    <row r="531" spans="1:2" x14ac:dyDescent="0.3">
      <c r="A531">
        <v>530</v>
      </c>
      <c r="B531">
        <v>1024</v>
      </c>
    </row>
    <row r="532" spans="1:2" x14ac:dyDescent="0.3">
      <c r="A532">
        <v>531</v>
      </c>
      <c r="B532">
        <v>1024</v>
      </c>
    </row>
    <row r="533" spans="1:2" x14ac:dyDescent="0.3">
      <c r="A533">
        <v>532</v>
      </c>
      <c r="B533">
        <v>1024</v>
      </c>
    </row>
    <row r="534" spans="1:2" x14ac:dyDescent="0.3">
      <c r="A534">
        <v>533</v>
      </c>
      <c r="B534">
        <v>1024</v>
      </c>
    </row>
    <row r="535" spans="1:2" x14ac:dyDescent="0.3">
      <c r="A535">
        <v>534</v>
      </c>
      <c r="B535">
        <v>1024</v>
      </c>
    </row>
    <row r="536" spans="1:2" x14ac:dyDescent="0.3">
      <c r="A536">
        <v>535</v>
      </c>
      <c r="B536">
        <v>1024</v>
      </c>
    </row>
    <row r="537" spans="1:2" x14ac:dyDescent="0.3">
      <c r="A537">
        <v>536</v>
      </c>
      <c r="B537">
        <v>1024</v>
      </c>
    </row>
    <row r="538" spans="1:2" x14ac:dyDescent="0.3">
      <c r="A538">
        <v>537</v>
      </c>
      <c r="B538">
        <v>1024</v>
      </c>
    </row>
    <row r="539" spans="1:2" x14ac:dyDescent="0.3">
      <c r="A539">
        <v>538</v>
      </c>
      <c r="B539">
        <v>1024</v>
      </c>
    </row>
    <row r="540" spans="1:2" x14ac:dyDescent="0.3">
      <c r="A540">
        <v>539</v>
      </c>
      <c r="B540">
        <v>1024</v>
      </c>
    </row>
    <row r="541" spans="1:2" x14ac:dyDescent="0.3">
      <c r="A541">
        <v>540</v>
      </c>
      <c r="B541">
        <v>1024</v>
      </c>
    </row>
    <row r="542" spans="1:2" x14ac:dyDescent="0.3">
      <c r="A542">
        <v>541</v>
      </c>
      <c r="B542">
        <v>1024</v>
      </c>
    </row>
    <row r="543" spans="1:2" x14ac:dyDescent="0.3">
      <c r="A543">
        <v>542</v>
      </c>
      <c r="B543">
        <v>1024</v>
      </c>
    </row>
    <row r="544" spans="1:2" x14ac:dyDescent="0.3">
      <c r="A544">
        <v>543</v>
      </c>
      <c r="B544">
        <v>1024</v>
      </c>
    </row>
    <row r="545" spans="1:2" x14ac:dyDescent="0.3">
      <c r="A545">
        <v>544</v>
      </c>
      <c r="B545">
        <v>1024</v>
      </c>
    </row>
    <row r="546" spans="1:2" x14ac:dyDescent="0.3">
      <c r="A546">
        <v>545</v>
      </c>
      <c r="B546">
        <v>1024</v>
      </c>
    </row>
    <row r="547" spans="1:2" x14ac:dyDescent="0.3">
      <c r="A547">
        <v>546</v>
      </c>
      <c r="B547">
        <v>1024</v>
      </c>
    </row>
    <row r="548" spans="1:2" x14ac:dyDescent="0.3">
      <c r="A548">
        <v>547</v>
      </c>
      <c r="B548">
        <v>1024</v>
      </c>
    </row>
    <row r="549" spans="1:2" x14ac:dyDescent="0.3">
      <c r="A549">
        <v>548</v>
      </c>
      <c r="B549">
        <v>1024</v>
      </c>
    </row>
    <row r="550" spans="1:2" x14ac:dyDescent="0.3">
      <c r="A550">
        <v>549</v>
      </c>
      <c r="B550">
        <v>1024</v>
      </c>
    </row>
    <row r="551" spans="1:2" x14ac:dyDescent="0.3">
      <c r="A551">
        <v>550</v>
      </c>
      <c r="B551">
        <v>1024</v>
      </c>
    </row>
    <row r="552" spans="1:2" x14ac:dyDescent="0.3">
      <c r="A552">
        <v>551</v>
      </c>
      <c r="B552">
        <v>1024</v>
      </c>
    </row>
    <row r="553" spans="1:2" x14ac:dyDescent="0.3">
      <c r="A553">
        <v>552</v>
      </c>
      <c r="B553">
        <v>1024</v>
      </c>
    </row>
    <row r="554" spans="1:2" x14ac:dyDescent="0.3">
      <c r="A554">
        <v>553</v>
      </c>
      <c r="B554">
        <v>1024</v>
      </c>
    </row>
    <row r="555" spans="1:2" x14ac:dyDescent="0.3">
      <c r="A555">
        <v>554</v>
      </c>
      <c r="B555">
        <v>1024</v>
      </c>
    </row>
    <row r="556" spans="1:2" x14ac:dyDescent="0.3">
      <c r="A556">
        <v>555</v>
      </c>
      <c r="B556">
        <v>1024</v>
      </c>
    </row>
    <row r="557" spans="1:2" x14ac:dyDescent="0.3">
      <c r="A557">
        <v>556</v>
      </c>
      <c r="B557">
        <v>1024</v>
      </c>
    </row>
    <row r="558" spans="1:2" x14ac:dyDescent="0.3">
      <c r="A558">
        <v>557</v>
      </c>
      <c r="B558">
        <v>1024</v>
      </c>
    </row>
    <row r="559" spans="1:2" x14ac:dyDescent="0.3">
      <c r="A559">
        <v>558</v>
      </c>
      <c r="B559">
        <v>1024</v>
      </c>
    </row>
    <row r="560" spans="1:2" x14ac:dyDescent="0.3">
      <c r="A560">
        <v>559</v>
      </c>
      <c r="B560">
        <v>1024</v>
      </c>
    </row>
    <row r="561" spans="1:2" x14ac:dyDescent="0.3">
      <c r="A561">
        <v>560</v>
      </c>
      <c r="B561">
        <v>1024</v>
      </c>
    </row>
    <row r="562" spans="1:2" x14ac:dyDescent="0.3">
      <c r="A562">
        <v>561</v>
      </c>
      <c r="B562">
        <v>1024</v>
      </c>
    </row>
    <row r="563" spans="1:2" x14ac:dyDescent="0.3">
      <c r="A563">
        <v>562</v>
      </c>
      <c r="B563">
        <v>1024</v>
      </c>
    </row>
    <row r="564" spans="1:2" x14ac:dyDescent="0.3">
      <c r="A564">
        <v>563</v>
      </c>
      <c r="B564">
        <v>1024</v>
      </c>
    </row>
    <row r="565" spans="1:2" x14ac:dyDescent="0.3">
      <c r="A565">
        <v>564</v>
      </c>
      <c r="B565">
        <v>1024</v>
      </c>
    </row>
    <row r="566" spans="1:2" x14ac:dyDescent="0.3">
      <c r="A566">
        <v>565</v>
      </c>
      <c r="B566">
        <v>1024</v>
      </c>
    </row>
    <row r="567" spans="1:2" x14ac:dyDescent="0.3">
      <c r="A567">
        <v>566</v>
      </c>
      <c r="B567">
        <v>1024</v>
      </c>
    </row>
    <row r="568" spans="1:2" x14ac:dyDescent="0.3">
      <c r="A568">
        <v>567</v>
      </c>
      <c r="B568">
        <v>1024</v>
      </c>
    </row>
    <row r="569" spans="1:2" x14ac:dyDescent="0.3">
      <c r="A569">
        <v>568</v>
      </c>
      <c r="B569">
        <v>1024</v>
      </c>
    </row>
    <row r="570" spans="1:2" x14ac:dyDescent="0.3">
      <c r="A570">
        <v>569</v>
      </c>
      <c r="B570">
        <v>1024</v>
      </c>
    </row>
    <row r="571" spans="1:2" x14ac:dyDescent="0.3">
      <c r="A571">
        <v>570</v>
      </c>
      <c r="B571">
        <v>1024</v>
      </c>
    </row>
    <row r="572" spans="1:2" x14ac:dyDescent="0.3">
      <c r="A572">
        <v>571</v>
      </c>
      <c r="B572">
        <v>1024</v>
      </c>
    </row>
    <row r="573" spans="1:2" x14ac:dyDescent="0.3">
      <c r="A573">
        <v>572</v>
      </c>
      <c r="B573">
        <v>1024</v>
      </c>
    </row>
    <row r="574" spans="1:2" x14ac:dyDescent="0.3">
      <c r="A574">
        <v>573</v>
      </c>
      <c r="B574">
        <v>1024</v>
      </c>
    </row>
    <row r="575" spans="1:2" x14ac:dyDescent="0.3">
      <c r="A575">
        <v>574</v>
      </c>
      <c r="B575">
        <v>1024</v>
      </c>
    </row>
    <row r="576" spans="1:2" x14ac:dyDescent="0.3">
      <c r="A576">
        <v>575</v>
      </c>
      <c r="B576">
        <v>1024</v>
      </c>
    </row>
    <row r="577" spans="1:2" x14ac:dyDescent="0.3">
      <c r="A577">
        <v>576</v>
      </c>
      <c r="B577">
        <v>1024</v>
      </c>
    </row>
    <row r="578" spans="1:2" x14ac:dyDescent="0.3">
      <c r="A578">
        <v>577</v>
      </c>
      <c r="B578">
        <v>1024</v>
      </c>
    </row>
    <row r="579" spans="1:2" x14ac:dyDescent="0.3">
      <c r="A579">
        <v>578</v>
      </c>
      <c r="B579">
        <v>1024</v>
      </c>
    </row>
    <row r="580" spans="1:2" x14ac:dyDescent="0.3">
      <c r="A580">
        <v>579</v>
      </c>
      <c r="B580">
        <v>1024</v>
      </c>
    </row>
    <row r="581" spans="1:2" x14ac:dyDescent="0.3">
      <c r="A581">
        <v>580</v>
      </c>
      <c r="B581">
        <v>1024</v>
      </c>
    </row>
    <row r="582" spans="1:2" x14ac:dyDescent="0.3">
      <c r="A582">
        <v>581</v>
      </c>
      <c r="B582">
        <v>1024</v>
      </c>
    </row>
    <row r="583" spans="1:2" x14ac:dyDescent="0.3">
      <c r="A583">
        <v>582</v>
      </c>
      <c r="B583">
        <v>1024</v>
      </c>
    </row>
    <row r="584" spans="1:2" x14ac:dyDescent="0.3">
      <c r="A584">
        <v>583</v>
      </c>
      <c r="B584">
        <v>1024</v>
      </c>
    </row>
    <row r="585" spans="1:2" x14ac:dyDescent="0.3">
      <c r="A585">
        <v>584</v>
      </c>
      <c r="B585">
        <v>1024</v>
      </c>
    </row>
    <row r="586" spans="1:2" x14ac:dyDescent="0.3">
      <c r="A586">
        <v>585</v>
      </c>
      <c r="B586">
        <v>1024</v>
      </c>
    </row>
    <row r="587" spans="1:2" x14ac:dyDescent="0.3">
      <c r="A587">
        <v>586</v>
      </c>
      <c r="B587">
        <v>1024</v>
      </c>
    </row>
    <row r="588" spans="1:2" x14ac:dyDescent="0.3">
      <c r="A588">
        <v>587</v>
      </c>
      <c r="B588">
        <v>1024</v>
      </c>
    </row>
    <row r="589" spans="1:2" x14ac:dyDescent="0.3">
      <c r="A589">
        <v>588</v>
      </c>
      <c r="B589">
        <v>1024</v>
      </c>
    </row>
    <row r="590" spans="1:2" x14ac:dyDescent="0.3">
      <c r="A590">
        <v>589</v>
      </c>
      <c r="B590">
        <v>1024</v>
      </c>
    </row>
    <row r="591" spans="1:2" x14ac:dyDescent="0.3">
      <c r="A591">
        <v>590</v>
      </c>
      <c r="B591">
        <v>1024</v>
      </c>
    </row>
    <row r="592" spans="1:2" x14ac:dyDescent="0.3">
      <c r="A592">
        <v>591</v>
      </c>
      <c r="B592">
        <v>1024</v>
      </c>
    </row>
    <row r="593" spans="1:2" x14ac:dyDescent="0.3">
      <c r="A593">
        <v>592</v>
      </c>
      <c r="B593">
        <v>1024</v>
      </c>
    </row>
    <row r="594" spans="1:2" x14ac:dyDescent="0.3">
      <c r="A594">
        <v>593</v>
      </c>
      <c r="B594">
        <v>1024</v>
      </c>
    </row>
    <row r="595" spans="1:2" x14ac:dyDescent="0.3">
      <c r="A595">
        <v>594</v>
      </c>
      <c r="B595">
        <v>1024</v>
      </c>
    </row>
    <row r="596" spans="1:2" x14ac:dyDescent="0.3">
      <c r="A596">
        <v>595</v>
      </c>
      <c r="B596">
        <v>1024</v>
      </c>
    </row>
    <row r="597" spans="1:2" x14ac:dyDescent="0.3">
      <c r="A597">
        <v>596</v>
      </c>
      <c r="B597">
        <v>1024</v>
      </c>
    </row>
    <row r="598" spans="1:2" x14ac:dyDescent="0.3">
      <c r="A598">
        <v>597</v>
      </c>
      <c r="B598">
        <v>1024</v>
      </c>
    </row>
    <row r="599" spans="1:2" x14ac:dyDescent="0.3">
      <c r="A599">
        <v>598</v>
      </c>
      <c r="B599">
        <v>1024</v>
      </c>
    </row>
    <row r="600" spans="1:2" x14ac:dyDescent="0.3">
      <c r="A600">
        <v>599</v>
      </c>
      <c r="B600">
        <v>1024</v>
      </c>
    </row>
    <row r="601" spans="1:2" x14ac:dyDescent="0.3">
      <c r="A601">
        <v>600</v>
      </c>
      <c r="B601">
        <v>1024</v>
      </c>
    </row>
    <row r="602" spans="1:2" x14ac:dyDescent="0.3">
      <c r="A602">
        <v>601</v>
      </c>
      <c r="B602">
        <v>1024</v>
      </c>
    </row>
    <row r="603" spans="1:2" x14ac:dyDescent="0.3">
      <c r="A603">
        <v>602</v>
      </c>
      <c r="B603">
        <v>1024</v>
      </c>
    </row>
    <row r="604" spans="1:2" x14ac:dyDescent="0.3">
      <c r="A604">
        <v>603</v>
      </c>
      <c r="B604">
        <v>1024</v>
      </c>
    </row>
    <row r="605" spans="1:2" x14ac:dyDescent="0.3">
      <c r="A605">
        <v>604</v>
      </c>
      <c r="B605">
        <v>1024</v>
      </c>
    </row>
    <row r="606" spans="1:2" x14ac:dyDescent="0.3">
      <c r="A606">
        <v>605</v>
      </c>
      <c r="B606">
        <v>1024</v>
      </c>
    </row>
    <row r="607" spans="1:2" x14ac:dyDescent="0.3">
      <c r="A607">
        <v>606</v>
      </c>
      <c r="B607">
        <v>1024</v>
      </c>
    </row>
    <row r="608" spans="1:2" x14ac:dyDescent="0.3">
      <c r="A608">
        <v>607</v>
      </c>
      <c r="B608">
        <v>1024</v>
      </c>
    </row>
    <row r="609" spans="1:2" x14ac:dyDescent="0.3">
      <c r="A609">
        <v>608</v>
      </c>
      <c r="B609">
        <v>1024</v>
      </c>
    </row>
    <row r="610" spans="1:2" x14ac:dyDescent="0.3">
      <c r="A610">
        <v>609</v>
      </c>
      <c r="B610">
        <v>1024</v>
      </c>
    </row>
    <row r="611" spans="1:2" x14ac:dyDescent="0.3">
      <c r="A611">
        <v>610</v>
      </c>
      <c r="B611">
        <v>1024</v>
      </c>
    </row>
    <row r="612" spans="1:2" x14ac:dyDescent="0.3">
      <c r="A612">
        <v>611</v>
      </c>
      <c r="B612">
        <v>1024</v>
      </c>
    </row>
    <row r="613" spans="1:2" x14ac:dyDescent="0.3">
      <c r="A613">
        <v>612</v>
      </c>
      <c r="B613">
        <v>1024</v>
      </c>
    </row>
    <row r="614" spans="1:2" x14ac:dyDescent="0.3">
      <c r="A614">
        <v>613</v>
      </c>
      <c r="B614">
        <v>1024</v>
      </c>
    </row>
    <row r="615" spans="1:2" x14ac:dyDescent="0.3">
      <c r="A615">
        <v>614</v>
      </c>
      <c r="B615">
        <v>1024</v>
      </c>
    </row>
    <row r="616" spans="1:2" x14ac:dyDescent="0.3">
      <c r="A616">
        <v>615</v>
      </c>
      <c r="B616">
        <v>1024</v>
      </c>
    </row>
    <row r="617" spans="1:2" x14ac:dyDescent="0.3">
      <c r="A617">
        <v>616</v>
      </c>
      <c r="B617">
        <v>1024</v>
      </c>
    </row>
    <row r="618" spans="1:2" x14ac:dyDescent="0.3">
      <c r="A618">
        <v>617</v>
      </c>
      <c r="B618">
        <v>1024</v>
      </c>
    </row>
    <row r="619" spans="1:2" x14ac:dyDescent="0.3">
      <c r="A619">
        <v>618</v>
      </c>
      <c r="B619">
        <v>1024</v>
      </c>
    </row>
    <row r="620" spans="1:2" x14ac:dyDescent="0.3">
      <c r="A620">
        <v>619</v>
      </c>
      <c r="B620">
        <v>1024</v>
      </c>
    </row>
    <row r="621" spans="1:2" x14ac:dyDescent="0.3">
      <c r="A621">
        <v>620</v>
      </c>
      <c r="B621">
        <v>1024</v>
      </c>
    </row>
    <row r="622" spans="1:2" x14ac:dyDescent="0.3">
      <c r="A622">
        <v>621</v>
      </c>
      <c r="B622">
        <v>1024</v>
      </c>
    </row>
    <row r="623" spans="1:2" x14ac:dyDescent="0.3">
      <c r="A623">
        <v>622</v>
      </c>
      <c r="B623">
        <v>1024</v>
      </c>
    </row>
    <row r="624" spans="1:2" x14ac:dyDescent="0.3">
      <c r="A624">
        <v>623</v>
      </c>
      <c r="B624">
        <v>1024</v>
      </c>
    </row>
    <row r="625" spans="1:2" x14ac:dyDescent="0.3">
      <c r="A625">
        <v>624</v>
      </c>
      <c r="B625">
        <v>1024</v>
      </c>
    </row>
    <row r="626" spans="1:2" x14ac:dyDescent="0.3">
      <c r="A626">
        <v>625</v>
      </c>
      <c r="B626">
        <v>1024</v>
      </c>
    </row>
    <row r="627" spans="1:2" x14ac:dyDescent="0.3">
      <c r="A627">
        <v>626</v>
      </c>
      <c r="B627">
        <v>1024</v>
      </c>
    </row>
    <row r="628" spans="1:2" x14ac:dyDescent="0.3">
      <c r="A628">
        <v>627</v>
      </c>
      <c r="B628">
        <v>1024</v>
      </c>
    </row>
    <row r="629" spans="1:2" x14ac:dyDescent="0.3">
      <c r="A629">
        <v>628</v>
      </c>
      <c r="B629">
        <v>1024</v>
      </c>
    </row>
    <row r="630" spans="1:2" x14ac:dyDescent="0.3">
      <c r="A630">
        <v>629</v>
      </c>
      <c r="B630">
        <v>1024</v>
      </c>
    </row>
    <row r="631" spans="1:2" x14ac:dyDescent="0.3">
      <c r="A631">
        <v>630</v>
      </c>
      <c r="B631">
        <v>1024</v>
      </c>
    </row>
    <row r="632" spans="1:2" x14ac:dyDescent="0.3">
      <c r="A632">
        <v>631</v>
      </c>
      <c r="B632">
        <v>1024</v>
      </c>
    </row>
    <row r="633" spans="1:2" x14ac:dyDescent="0.3">
      <c r="A633">
        <v>632</v>
      </c>
      <c r="B633">
        <v>1024</v>
      </c>
    </row>
    <row r="634" spans="1:2" x14ac:dyDescent="0.3">
      <c r="A634">
        <v>633</v>
      </c>
      <c r="B634">
        <v>1024</v>
      </c>
    </row>
    <row r="635" spans="1:2" x14ac:dyDescent="0.3">
      <c r="A635">
        <v>634</v>
      </c>
      <c r="B635">
        <v>1024</v>
      </c>
    </row>
    <row r="636" spans="1:2" x14ac:dyDescent="0.3">
      <c r="A636">
        <v>635</v>
      </c>
      <c r="B636">
        <v>1024</v>
      </c>
    </row>
    <row r="637" spans="1:2" x14ac:dyDescent="0.3">
      <c r="A637">
        <v>636</v>
      </c>
      <c r="B637">
        <v>1024</v>
      </c>
    </row>
    <row r="638" spans="1:2" x14ac:dyDescent="0.3">
      <c r="A638">
        <v>637</v>
      </c>
      <c r="B638">
        <v>1024</v>
      </c>
    </row>
    <row r="639" spans="1:2" x14ac:dyDescent="0.3">
      <c r="A639">
        <v>638</v>
      </c>
      <c r="B639">
        <v>1024</v>
      </c>
    </row>
    <row r="640" spans="1:2" x14ac:dyDescent="0.3">
      <c r="A640">
        <v>639</v>
      </c>
      <c r="B640">
        <v>1024</v>
      </c>
    </row>
    <row r="641" spans="1:2" x14ac:dyDescent="0.3">
      <c r="A641">
        <v>640</v>
      </c>
      <c r="B641">
        <v>1024</v>
      </c>
    </row>
    <row r="642" spans="1:2" x14ac:dyDescent="0.3">
      <c r="A642">
        <v>641</v>
      </c>
      <c r="B642">
        <v>1024</v>
      </c>
    </row>
    <row r="643" spans="1:2" x14ac:dyDescent="0.3">
      <c r="A643">
        <v>642</v>
      </c>
      <c r="B643">
        <v>1024</v>
      </c>
    </row>
    <row r="644" spans="1:2" x14ac:dyDescent="0.3">
      <c r="A644">
        <v>643</v>
      </c>
      <c r="B644">
        <v>1024</v>
      </c>
    </row>
    <row r="645" spans="1:2" x14ac:dyDescent="0.3">
      <c r="A645">
        <v>644</v>
      </c>
      <c r="B645">
        <v>1024</v>
      </c>
    </row>
    <row r="646" spans="1:2" x14ac:dyDescent="0.3">
      <c r="A646">
        <v>645</v>
      </c>
      <c r="B646">
        <v>1024</v>
      </c>
    </row>
    <row r="647" spans="1:2" x14ac:dyDescent="0.3">
      <c r="A647">
        <v>646</v>
      </c>
      <c r="B647">
        <v>1024</v>
      </c>
    </row>
    <row r="648" spans="1:2" x14ac:dyDescent="0.3">
      <c r="A648">
        <v>647</v>
      </c>
      <c r="B648">
        <v>1024</v>
      </c>
    </row>
    <row r="649" spans="1:2" x14ac:dyDescent="0.3">
      <c r="A649">
        <v>648</v>
      </c>
      <c r="B649">
        <v>1024</v>
      </c>
    </row>
    <row r="650" spans="1:2" x14ac:dyDescent="0.3">
      <c r="A650">
        <v>649</v>
      </c>
      <c r="B650">
        <v>1024</v>
      </c>
    </row>
    <row r="651" spans="1:2" x14ac:dyDescent="0.3">
      <c r="A651">
        <v>650</v>
      </c>
      <c r="B651">
        <v>1024</v>
      </c>
    </row>
    <row r="652" spans="1:2" x14ac:dyDescent="0.3">
      <c r="A652">
        <v>651</v>
      </c>
      <c r="B652">
        <v>1024</v>
      </c>
    </row>
    <row r="653" spans="1:2" x14ac:dyDescent="0.3">
      <c r="A653">
        <v>652</v>
      </c>
      <c r="B653">
        <v>1024</v>
      </c>
    </row>
    <row r="654" spans="1:2" x14ac:dyDescent="0.3">
      <c r="A654">
        <v>653</v>
      </c>
      <c r="B654">
        <v>1024</v>
      </c>
    </row>
    <row r="655" spans="1:2" x14ac:dyDescent="0.3">
      <c r="A655">
        <v>654</v>
      </c>
      <c r="B655">
        <v>1024</v>
      </c>
    </row>
    <row r="656" spans="1:2" x14ac:dyDescent="0.3">
      <c r="A656">
        <v>655</v>
      </c>
      <c r="B656">
        <v>1024</v>
      </c>
    </row>
    <row r="657" spans="1:2" x14ac:dyDescent="0.3">
      <c r="A657">
        <v>656</v>
      </c>
      <c r="B657">
        <v>1024</v>
      </c>
    </row>
    <row r="658" spans="1:2" x14ac:dyDescent="0.3">
      <c r="A658">
        <v>657</v>
      </c>
      <c r="B658">
        <v>1024</v>
      </c>
    </row>
    <row r="659" spans="1:2" x14ac:dyDescent="0.3">
      <c r="A659">
        <v>658</v>
      </c>
      <c r="B659">
        <v>1024</v>
      </c>
    </row>
    <row r="660" spans="1:2" x14ac:dyDescent="0.3">
      <c r="A660">
        <v>659</v>
      </c>
      <c r="B660">
        <v>1024</v>
      </c>
    </row>
    <row r="661" spans="1:2" x14ac:dyDescent="0.3">
      <c r="A661">
        <v>660</v>
      </c>
      <c r="B661">
        <v>1024</v>
      </c>
    </row>
    <row r="662" spans="1:2" x14ac:dyDescent="0.3">
      <c r="A662">
        <v>661</v>
      </c>
      <c r="B662">
        <v>1024</v>
      </c>
    </row>
    <row r="663" spans="1:2" x14ac:dyDescent="0.3">
      <c r="A663">
        <v>662</v>
      </c>
      <c r="B663">
        <v>1024</v>
      </c>
    </row>
    <row r="664" spans="1:2" x14ac:dyDescent="0.3">
      <c r="A664">
        <v>663</v>
      </c>
      <c r="B664">
        <v>1024</v>
      </c>
    </row>
    <row r="665" spans="1:2" x14ac:dyDescent="0.3">
      <c r="A665">
        <v>664</v>
      </c>
      <c r="B665">
        <v>1024</v>
      </c>
    </row>
    <row r="666" spans="1:2" x14ac:dyDescent="0.3">
      <c r="A666">
        <v>665</v>
      </c>
      <c r="B666">
        <v>1024</v>
      </c>
    </row>
    <row r="667" spans="1:2" x14ac:dyDescent="0.3">
      <c r="A667">
        <v>666</v>
      </c>
      <c r="B667">
        <v>1024</v>
      </c>
    </row>
    <row r="668" spans="1:2" x14ac:dyDescent="0.3">
      <c r="A668">
        <v>667</v>
      </c>
      <c r="B668">
        <v>1024</v>
      </c>
    </row>
    <row r="669" spans="1:2" x14ac:dyDescent="0.3">
      <c r="A669">
        <v>668</v>
      </c>
      <c r="B669">
        <v>1024</v>
      </c>
    </row>
    <row r="670" spans="1:2" x14ac:dyDescent="0.3">
      <c r="A670">
        <v>669</v>
      </c>
      <c r="B670">
        <v>1024</v>
      </c>
    </row>
    <row r="671" spans="1:2" x14ac:dyDescent="0.3">
      <c r="A671">
        <v>670</v>
      </c>
      <c r="B671">
        <v>1024</v>
      </c>
    </row>
    <row r="672" spans="1:2" x14ac:dyDescent="0.3">
      <c r="A672">
        <v>671</v>
      </c>
      <c r="B672">
        <v>1024</v>
      </c>
    </row>
    <row r="673" spans="1:2" x14ac:dyDescent="0.3">
      <c r="A673">
        <v>672</v>
      </c>
      <c r="B673">
        <v>1024</v>
      </c>
    </row>
    <row r="674" spans="1:2" x14ac:dyDescent="0.3">
      <c r="A674">
        <v>673</v>
      </c>
      <c r="B674">
        <v>1024</v>
      </c>
    </row>
    <row r="675" spans="1:2" x14ac:dyDescent="0.3">
      <c r="A675">
        <v>674</v>
      </c>
      <c r="B675">
        <v>1024</v>
      </c>
    </row>
    <row r="676" spans="1:2" x14ac:dyDescent="0.3">
      <c r="A676">
        <v>675</v>
      </c>
      <c r="B676">
        <v>1024</v>
      </c>
    </row>
    <row r="677" spans="1:2" x14ac:dyDescent="0.3">
      <c r="A677">
        <v>676</v>
      </c>
      <c r="B677">
        <v>1024</v>
      </c>
    </row>
    <row r="678" spans="1:2" x14ac:dyDescent="0.3">
      <c r="A678">
        <v>677</v>
      </c>
      <c r="B678">
        <v>1024</v>
      </c>
    </row>
    <row r="679" spans="1:2" x14ac:dyDescent="0.3">
      <c r="A679">
        <v>678</v>
      </c>
      <c r="B679">
        <v>1024</v>
      </c>
    </row>
    <row r="680" spans="1:2" x14ac:dyDescent="0.3">
      <c r="A680">
        <v>679</v>
      </c>
      <c r="B680">
        <v>1024</v>
      </c>
    </row>
    <row r="681" spans="1:2" x14ac:dyDescent="0.3">
      <c r="A681">
        <v>680</v>
      </c>
      <c r="B681">
        <v>1024</v>
      </c>
    </row>
    <row r="682" spans="1:2" x14ac:dyDescent="0.3">
      <c r="A682">
        <v>681</v>
      </c>
      <c r="B682">
        <v>1024</v>
      </c>
    </row>
    <row r="683" spans="1:2" x14ac:dyDescent="0.3">
      <c r="A683">
        <v>682</v>
      </c>
      <c r="B683">
        <v>1024</v>
      </c>
    </row>
    <row r="684" spans="1:2" x14ac:dyDescent="0.3">
      <c r="A684">
        <v>683</v>
      </c>
      <c r="B684">
        <v>1024</v>
      </c>
    </row>
    <row r="685" spans="1:2" x14ac:dyDescent="0.3">
      <c r="A685">
        <v>684</v>
      </c>
      <c r="B685">
        <v>1024</v>
      </c>
    </row>
    <row r="686" spans="1:2" x14ac:dyDescent="0.3">
      <c r="A686">
        <v>685</v>
      </c>
      <c r="B686">
        <v>1024</v>
      </c>
    </row>
    <row r="687" spans="1:2" x14ac:dyDescent="0.3">
      <c r="A687">
        <v>686</v>
      </c>
      <c r="B687">
        <v>1024</v>
      </c>
    </row>
    <row r="688" spans="1:2" x14ac:dyDescent="0.3">
      <c r="A688">
        <v>687</v>
      </c>
      <c r="B688">
        <v>1024</v>
      </c>
    </row>
    <row r="689" spans="1:2" x14ac:dyDescent="0.3">
      <c r="A689">
        <v>688</v>
      </c>
      <c r="B689">
        <v>1024</v>
      </c>
    </row>
    <row r="690" spans="1:2" x14ac:dyDescent="0.3">
      <c r="A690">
        <v>689</v>
      </c>
      <c r="B690">
        <v>1024</v>
      </c>
    </row>
    <row r="691" spans="1:2" x14ac:dyDescent="0.3">
      <c r="A691">
        <v>690</v>
      </c>
      <c r="B691">
        <v>1024</v>
      </c>
    </row>
    <row r="692" spans="1:2" x14ac:dyDescent="0.3">
      <c r="A692">
        <v>691</v>
      </c>
      <c r="B692">
        <v>1024</v>
      </c>
    </row>
    <row r="693" spans="1:2" x14ac:dyDescent="0.3">
      <c r="A693">
        <v>692</v>
      </c>
      <c r="B693">
        <v>1024</v>
      </c>
    </row>
    <row r="694" spans="1:2" x14ac:dyDescent="0.3">
      <c r="A694">
        <v>693</v>
      </c>
      <c r="B694">
        <v>1024</v>
      </c>
    </row>
    <row r="695" spans="1:2" x14ac:dyDescent="0.3">
      <c r="A695">
        <v>694</v>
      </c>
      <c r="B695">
        <v>1024</v>
      </c>
    </row>
    <row r="696" spans="1:2" x14ac:dyDescent="0.3">
      <c r="A696">
        <v>695</v>
      </c>
      <c r="B696">
        <v>1024</v>
      </c>
    </row>
    <row r="697" spans="1:2" x14ac:dyDescent="0.3">
      <c r="A697">
        <v>696</v>
      </c>
      <c r="B697">
        <v>1024</v>
      </c>
    </row>
    <row r="698" spans="1:2" x14ac:dyDescent="0.3">
      <c r="A698">
        <v>697</v>
      </c>
      <c r="B698">
        <v>1024</v>
      </c>
    </row>
    <row r="699" spans="1:2" x14ac:dyDescent="0.3">
      <c r="A699">
        <v>698</v>
      </c>
      <c r="B699">
        <v>1024</v>
      </c>
    </row>
    <row r="700" spans="1:2" x14ac:dyDescent="0.3">
      <c r="A700">
        <v>699</v>
      </c>
      <c r="B700">
        <v>1024</v>
      </c>
    </row>
    <row r="701" spans="1:2" x14ac:dyDescent="0.3">
      <c r="A701">
        <v>700</v>
      </c>
      <c r="B701">
        <v>1024</v>
      </c>
    </row>
    <row r="702" spans="1:2" x14ac:dyDescent="0.3">
      <c r="A702">
        <v>701</v>
      </c>
      <c r="B702">
        <v>1024</v>
      </c>
    </row>
    <row r="703" spans="1:2" x14ac:dyDescent="0.3">
      <c r="A703">
        <v>702</v>
      </c>
      <c r="B703">
        <v>1024</v>
      </c>
    </row>
    <row r="704" spans="1:2" x14ac:dyDescent="0.3">
      <c r="A704">
        <v>703</v>
      </c>
      <c r="B704">
        <v>1024</v>
      </c>
    </row>
    <row r="705" spans="1:2" x14ac:dyDescent="0.3">
      <c r="A705">
        <v>704</v>
      </c>
      <c r="B705">
        <v>1024</v>
      </c>
    </row>
    <row r="706" spans="1:2" x14ac:dyDescent="0.3">
      <c r="A706">
        <v>705</v>
      </c>
      <c r="B706">
        <v>1024</v>
      </c>
    </row>
    <row r="707" spans="1:2" x14ac:dyDescent="0.3">
      <c r="A707">
        <v>706</v>
      </c>
      <c r="B707">
        <v>1024</v>
      </c>
    </row>
    <row r="708" spans="1:2" x14ac:dyDescent="0.3">
      <c r="A708">
        <v>707</v>
      </c>
      <c r="B708">
        <v>1024</v>
      </c>
    </row>
    <row r="709" spans="1:2" x14ac:dyDescent="0.3">
      <c r="A709">
        <v>708</v>
      </c>
      <c r="B709">
        <v>1024</v>
      </c>
    </row>
    <row r="710" spans="1:2" x14ac:dyDescent="0.3">
      <c r="A710">
        <v>709</v>
      </c>
      <c r="B710">
        <v>1024</v>
      </c>
    </row>
    <row r="711" spans="1:2" x14ac:dyDescent="0.3">
      <c r="A711">
        <v>710</v>
      </c>
      <c r="B711">
        <v>1024</v>
      </c>
    </row>
    <row r="712" spans="1:2" x14ac:dyDescent="0.3">
      <c r="A712">
        <v>711</v>
      </c>
      <c r="B712">
        <v>1024</v>
      </c>
    </row>
    <row r="713" spans="1:2" x14ac:dyDescent="0.3">
      <c r="A713">
        <v>712</v>
      </c>
      <c r="B713">
        <v>1024</v>
      </c>
    </row>
    <row r="714" spans="1:2" x14ac:dyDescent="0.3">
      <c r="A714">
        <v>713</v>
      </c>
      <c r="B714">
        <v>1024</v>
      </c>
    </row>
    <row r="715" spans="1:2" x14ac:dyDescent="0.3">
      <c r="A715">
        <v>714</v>
      </c>
      <c r="B715">
        <v>1024</v>
      </c>
    </row>
    <row r="716" spans="1:2" x14ac:dyDescent="0.3">
      <c r="A716">
        <v>715</v>
      </c>
      <c r="B716">
        <v>1024</v>
      </c>
    </row>
    <row r="717" spans="1:2" x14ac:dyDescent="0.3">
      <c r="A717">
        <v>716</v>
      </c>
      <c r="B717">
        <v>1024</v>
      </c>
    </row>
    <row r="718" spans="1:2" x14ac:dyDescent="0.3">
      <c r="A718">
        <v>717</v>
      </c>
      <c r="B718">
        <v>1024</v>
      </c>
    </row>
    <row r="719" spans="1:2" x14ac:dyDescent="0.3">
      <c r="A719">
        <v>718</v>
      </c>
      <c r="B719">
        <v>1024</v>
      </c>
    </row>
    <row r="720" spans="1:2" x14ac:dyDescent="0.3">
      <c r="A720">
        <v>719</v>
      </c>
      <c r="B720">
        <v>1024</v>
      </c>
    </row>
    <row r="721" spans="1:2" x14ac:dyDescent="0.3">
      <c r="A721">
        <v>720</v>
      </c>
      <c r="B721">
        <v>1024</v>
      </c>
    </row>
    <row r="722" spans="1:2" x14ac:dyDescent="0.3">
      <c r="A722">
        <v>721</v>
      </c>
      <c r="B722">
        <v>1024</v>
      </c>
    </row>
    <row r="723" spans="1:2" x14ac:dyDescent="0.3">
      <c r="A723">
        <v>722</v>
      </c>
      <c r="B723">
        <v>1024</v>
      </c>
    </row>
    <row r="724" spans="1:2" x14ac:dyDescent="0.3">
      <c r="A724">
        <v>723</v>
      </c>
      <c r="B724">
        <v>1024</v>
      </c>
    </row>
    <row r="725" spans="1:2" x14ac:dyDescent="0.3">
      <c r="A725">
        <v>724</v>
      </c>
      <c r="B725">
        <v>1024</v>
      </c>
    </row>
    <row r="726" spans="1:2" x14ac:dyDescent="0.3">
      <c r="A726">
        <v>725</v>
      </c>
      <c r="B726">
        <v>1024</v>
      </c>
    </row>
    <row r="727" spans="1:2" x14ac:dyDescent="0.3">
      <c r="A727">
        <v>726</v>
      </c>
      <c r="B727">
        <v>1024</v>
      </c>
    </row>
    <row r="728" spans="1:2" x14ac:dyDescent="0.3">
      <c r="A728">
        <v>727</v>
      </c>
      <c r="B728">
        <v>1024</v>
      </c>
    </row>
    <row r="729" spans="1:2" x14ac:dyDescent="0.3">
      <c r="A729">
        <v>728</v>
      </c>
      <c r="B729">
        <v>1024</v>
      </c>
    </row>
    <row r="730" spans="1:2" x14ac:dyDescent="0.3">
      <c r="A730">
        <v>729</v>
      </c>
      <c r="B730">
        <v>1024</v>
      </c>
    </row>
    <row r="731" spans="1:2" x14ac:dyDescent="0.3">
      <c r="A731">
        <v>730</v>
      </c>
      <c r="B731">
        <v>1024</v>
      </c>
    </row>
    <row r="732" spans="1:2" x14ac:dyDescent="0.3">
      <c r="A732">
        <v>731</v>
      </c>
      <c r="B732">
        <v>1024</v>
      </c>
    </row>
    <row r="733" spans="1:2" x14ac:dyDescent="0.3">
      <c r="A733">
        <v>732</v>
      </c>
      <c r="B733">
        <v>1024</v>
      </c>
    </row>
    <row r="734" spans="1:2" x14ac:dyDescent="0.3">
      <c r="A734">
        <v>733</v>
      </c>
      <c r="B734">
        <v>1024</v>
      </c>
    </row>
    <row r="735" spans="1:2" x14ac:dyDescent="0.3">
      <c r="A735">
        <v>734</v>
      </c>
      <c r="B735">
        <v>1024</v>
      </c>
    </row>
    <row r="736" spans="1:2" x14ac:dyDescent="0.3">
      <c r="A736">
        <v>735</v>
      </c>
      <c r="B736">
        <v>1024</v>
      </c>
    </row>
    <row r="737" spans="1:2" x14ac:dyDescent="0.3">
      <c r="A737">
        <v>736</v>
      </c>
      <c r="B737">
        <v>1024</v>
      </c>
    </row>
    <row r="738" spans="1:2" x14ac:dyDescent="0.3">
      <c r="A738">
        <v>737</v>
      </c>
      <c r="B738">
        <v>1024</v>
      </c>
    </row>
    <row r="739" spans="1:2" x14ac:dyDescent="0.3">
      <c r="A739">
        <v>738</v>
      </c>
      <c r="B739">
        <v>1024</v>
      </c>
    </row>
    <row r="740" spans="1:2" x14ac:dyDescent="0.3">
      <c r="A740">
        <v>739</v>
      </c>
      <c r="B740">
        <v>1024</v>
      </c>
    </row>
    <row r="741" spans="1:2" x14ac:dyDescent="0.3">
      <c r="A741">
        <v>740</v>
      </c>
      <c r="B741">
        <v>1024</v>
      </c>
    </row>
    <row r="742" spans="1:2" x14ac:dyDescent="0.3">
      <c r="A742">
        <v>741</v>
      </c>
      <c r="B742">
        <v>1024</v>
      </c>
    </row>
    <row r="743" spans="1:2" x14ac:dyDescent="0.3">
      <c r="A743">
        <v>742</v>
      </c>
      <c r="B743">
        <v>1024</v>
      </c>
    </row>
    <row r="744" spans="1:2" x14ac:dyDescent="0.3">
      <c r="A744">
        <v>743</v>
      </c>
      <c r="B744">
        <v>1024</v>
      </c>
    </row>
    <row r="745" spans="1:2" x14ac:dyDescent="0.3">
      <c r="A745">
        <v>744</v>
      </c>
      <c r="B745">
        <v>1024</v>
      </c>
    </row>
    <row r="746" spans="1:2" x14ac:dyDescent="0.3">
      <c r="A746">
        <v>745</v>
      </c>
      <c r="B746">
        <v>1024</v>
      </c>
    </row>
    <row r="747" spans="1:2" x14ac:dyDescent="0.3">
      <c r="A747">
        <v>746</v>
      </c>
      <c r="B747">
        <v>1024</v>
      </c>
    </row>
    <row r="748" spans="1:2" x14ac:dyDescent="0.3">
      <c r="A748">
        <v>747</v>
      </c>
      <c r="B748">
        <v>1024</v>
      </c>
    </row>
    <row r="749" spans="1:2" x14ac:dyDescent="0.3">
      <c r="A749">
        <v>748</v>
      </c>
      <c r="B749">
        <v>1024</v>
      </c>
    </row>
    <row r="750" spans="1:2" x14ac:dyDescent="0.3">
      <c r="A750">
        <v>749</v>
      </c>
      <c r="B750">
        <v>1024</v>
      </c>
    </row>
    <row r="751" spans="1:2" x14ac:dyDescent="0.3">
      <c r="A751">
        <v>750</v>
      </c>
      <c r="B751">
        <v>1024</v>
      </c>
    </row>
    <row r="752" spans="1:2" x14ac:dyDescent="0.3">
      <c r="A752">
        <v>751</v>
      </c>
      <c r="B752">
        <v>1024</v>
      </c>
    </row>
    <row r="753" spans="1:2" x14ac:dyDescent="0.3">
      <c r="A753">
        <v>752</v>
      </c>
      <c r="B753">
        <v>1024</v>
      </c>
    </row>
    <row r="754" spans="1:2" x14ac:dyDescent="0.3">
      <c r="A754">
        <v>753</v>
      </c>
      <c r="B754">
        <v>1024</v>
      </c>
    </row>
    <row r="755" spans="1:2" x14ac:dyDescent="0.3">
      <c r="A755">
        <v>754</v>
      </c>
      <c r="B755">
        <v>1024</v>
      </c>
    </row>
    <row r="756" spans="1:2" x14ac:dyDescent="0.3">
      <c r="A756">
        <v>755</v>
      </c>
      <c r="B756">
        <v>1024</v>
      </c>
    </row>
    <row r="757" spans="1:2" x14ac:dyDescent="0.3">
      <c r="A757">
        <v>756</v>
      </c>
      <c r="B757">
        <v>1024</v>
      </c>
    </row>
    <row r="758" spans="1:2" x14ac:dyDescent="0.3">
      <c r="A758">
        <v>757</v>
      </c>
      <c r="B758">
        <v>1024</v>
      </c>
    </row>
    <row r="759" spans="1:2" x14ac:dyDescent="0.3">
      <c r="A759">
        <v>758</v>
      </c>
      <c r="B759">
        <v>1024</v>
      </c>
    </row>
    <row r="760" spans="1:2" x14ac:dyDescent="0.3">
      <c r="A760">
        <v>759</v>
      </c>
      <c r="B760">
        <v>1024</v>
      </c>
    </row>
    <row r="761" spans="1:2" x14ac:dyDescent="0.3">
      <c r="A761">
        <v>760</v>
      </c>
      <c r="B761">
        <v>1024</v>
      </c>
    </row>
    <row r="762" spans="1:2" x14ac:dyDescent="0.3">
      <c r="A762">
        <v>761</v>
      </c>
      <c r="B762">
        <v>1024</v>
      </c>
    </row>
    <row r="763" spans="1:2" x14ac:dyDescent="0.3">
      <c r="A763">
        <v>762</v>
      </c>
      <c r="B763">
        <v>1024</v>
      </c>
    </row>
    <row r="764" spans="1:2" x14ac:dyDescent="0.3">
      <c r="A764">
        <v>763</v>
      </c>
      <c r="B764">
        <v>1024</v>
      </c>
    </row>
    <row r="765" spans="1:2" x14ac:dyDescent="0.3">
      <c r="A765">
        <v>764</v>
      </c>
      <c r="B765">
        <v>1024</v>
      </c>
    </row>
    <row r="766" spans="1:2" x14ac:dyDescent="0.3">
      <c r="A766">
        <v>765</v>
      </c>
      <c r="B766">
        <v>1024</v>
      </c>
    </row>
    <row r="767" spans="1:2" x14ac:dyDescent="0.3">
      <c r="A767">
        <v>766</v>
      </c>
      <c r="B767">
        <v>1024</v>
      </c>
    </row>
    <row r="768" spans="1:2" x14ac:dyDescent="0.3">
      <c r="A768">
        <v>767</v>
      </c>
      <c r="B768">
        <v>1024</v>
      </c>
    </row>
    <row r="769" spans="1:2" x14ac:dyDescent="0.3">
      <c r="A769">
        <v>768</v>
      </c>
      <c r="B769">
        <v>1024</v>
      </c>
    </row>
    <row r="770" spans="1:2" x14ac:dyDescent="0.3">
      <c r="A770">
        <v>769</v>
      </c>
      <c r="B770">
        <v>1024</v>
      </c>
    </row>
    <row r="771" spans="1:2" x14ac:dyDescent="0.3">
      <c r="A771">
        <v>770</v>
      </c>
      <c r="B771">
        <v>1024</v>
      </c>
    </row>
    <row r="772" spans="1:2" x14ac:dyDescent="0.3">
      <c r="A772">
        <v>771</v>
      </c>
      <c r="B772">
        <v>1024</v>
      </c>
    </row>
    <row r="773" spans="1:2" x14ac:dyDescent="0.3">
      <c r="A773">
        <v>772</v>
      </c>
      <c r="B773">
        <v>1024</v>
      </c>
    </row>
    <row r="774" spans="1:2" x14ac:dyDescent="0.3">
      <c r="A774">
        <v>773</v>
      </c>
      <c r="B774">
        <v>1024</v>
      </c>
    </row>
    <row r="775" spans="1:2" x14ac:dyDescent="0.3">
      <c r="A775">
        <v>774</v>
      </c>
      <c r="B775">
        <v>1024</v>
      </c>
    </row>
    <row r="776" spans="1:2" x14ac:dyDescent="0.3">
      <c r="A776">
        <v>775</v>
      </c>
      <c r="B776">
        <v>1024</v>
      </c>
    </row>
    <row r="777" spans="1:2" x14ac:dyDescent="0.3">
      <c r="A777">
        <v>776</v>
      </c>
      <c r="B777">
        <v>1024</v>
      </c>
    </row>
    <row r="778" spans="1:2" x14ac:dyDescent="0.3">
      <c r="A778">
        <v>777</v>
      </c>
      <c r="B778">
        <v>1024</v>
      </c>
    </row>
    <row r="779" spans="1:2" x14ac:dyDescent="0.3">
      <c r="A779">
        <v>778</v>
      </c>
      <c r="B779">
        <v>1024</v>
      </c>
    </row>
    <row r="780" spans="1:2" x14ac:dyDescent="0.3">
      <c r="A780">
        <v>779</v>
      </c>
      <c r="B780">
        <v>1024</v>
      </c>
    </row>
    <row r="781" spans="1:2" x14ac:dyDescent="0.3">
      <c r="A781">
        <v>780</v>
      </c>
      <c r="B781">
        <v>1024</v>
      </c>
    </row>
    <row r="782" spans="1:2" x14ac:dyDescent="0.3">
      <c r="A782">
        <v>781</v>
      </c>
      <c r="B782">
        <v>1024</v>
      </c>
    </row>
    <row r="783" spans="1:2" x14ac:dyDescent="0.3">
      <c r="A783">
        <v>782</v>
      </c>
      <c r="B783">
        <v>1024</v>
      </c>
    </row>
    <row r="784" spans="1:2" x14ac:dyDescent="0.3">
      <c r="A784">
        <v>783</v>
      </c>
      <c r="B784">
        <v>1024</v>
      </c>
    </row>
    <row r="785" spans="1:2" x14ac:dyDescent="0.3">
      <c r="A785">
        <v>784</v>
      </c>
      <c r="B785">
        <v>1024</v>
      </c>
    </row>
    <row r="786" spans="1:2" x14ac:dyDescent="0.3">
      <c r="A786">
        <v>785</v>
      </c>
      <c r="B786">
        <v>1024</v>
      </c>
    </row>
    <row r="787" spans="1:2" x14ac:dyDescent="0.3">
      <c r="A787">
        <v>786</v>
      </c>
      <c r="B787">
        <v>1024</v>
      </c>
    </row>
    <row r="788" spans="1:2" x14ac:dyDescent="0.3">
      <c r="A788">
        <v>787</v>
      </c>
      <c r="B788">
        <v>1024</v>
      </c>
    </row>
    <row r="789" spans="1:2" x14ac:dyDescent="0.3">
      <c r="A789">
        <v>788</v>
      </c>
      <c r="B789">
        <v>1024</v>
      </c>
    </row>
    <row r="790" spans="1:2" x14ac:dyDescent="0.3">
      <c r="A790">
        <v>789</v>
      </c>
      <c r="B790">
        <v>1024</v>
      </c>
    </row>
    <row r="791" spans="1:2" x14ac:dyDescent="0.3">
      <c r="A791">
        <v>790</v>
      </c>
      <c r="B791">
        <v>1024</v>
      </c>
    </row>
    <row r="792" spans="1:2" x14ac:dyDescent="0.3">
      <c r="A792">
        <v>791</v>
      </c>
      <c r="B792">
        <v>1024</v>
      </c>
    </row>
    <row r="793" spans="1:2" x14ac:dyDescent="0.3">
      <c r="A793">
        <v>792</v>
      </c>
      <c r="B793">
        <v>1024</v>
      </c>
    </row>
    <row r="794" spans="1:2" x14ac:dyDescent="0.3">
      <c r="A794">
        <v>793</v>
      </c>
      <c r="B794">
        <v>1024</v>
      </c>
    </row>
    <row r="795" spans="1:2" x14ac:dyDescent="0.3">
      <c r="A795">
        <v>794</v>
      </c>
      <c r="B795">
        <v>1024</v>
      </c>
    </row>
    <row r="796" spans="1:2" x14ac:dyDescent="0.3">
      <c r="A796">
        <v>795</v>
      </c>
      <c r="B796">
        <v>1024</v>
      </c>
    </row>
    <row r="797" spans="1:2" x14ac:dyDescent="0.3">
      <c r="A797">
        <v>796</v>
      </c>
      <c r="B797">
        <v>1024</v>
      </c>
    </row>
    <row r="798" spans="1:2" x14ac:dyDescent="0.3">
      <c r="A798">
        <v>797</v>
      </c>
      <c r="B798">
        <v>1024</v>
      </c>
    </row>
    <row r="799" spans="1:2" x14ac:dyDescent="0.3">
      <c r="A799">
        <v>798</v>
      </c>
      <c r="B799">
        <v>1024</v>
      </c>
    </row>
    <row r="800" spans="1:2" x14ac:dyDescent="0.3">
      <c r="A800">
        <v>799</v>
      </c>
      <c r="B800">
        <v>1024</v>
      </c>
    </row>
    <row r="801" spans="1:2" x14ac:dyDescent="0.3">
      <c r="A801">
        <v>800</v>
      </c>
      <c r="B801">
        <v>1024</v>
      </c>
    </row>
    <row r="802" spans="1:2" x14ac:dyDescent="0.3">
      <c r="A802">
        <v>801</v>
      </c>
      <c r="B802">
        <v>1024</v>
      </c>
    </row>
    <row r="803" spans="1:2" x14ac:dyDescent="0.3">
      <c r="A803">
        <v>802</v>
      </c>
      <c r="B803">
        <v>1024</v>
      </c>
    </row>
    <row r="804" spans="1:2" x14ac:dyDescent="0.3">
      <c r="A804">
        <v>803</v>
      </c>
      <c r="B804">
        <v>1024</v>
      </c>
    </row>
    <row r="805" spans="1:2" x14ac:dyDescent="0.3">
      <c r="A805">
        <v>804</v>
      </c>
      <c r="B805">
        <v>1024</v>
      </c>
    </row>
    <row r="806" spans="1:2" x14ac:dyDescent="0.3">
      <c r="A806">
        <v>805</v>
      </c>
      <c r="B806">
        <v>1024</v>
      </c>
    </row>
    <row r="807" spans="1:2" x14ac:dyDescent="0.3">
      <c r="A807">
        <v>806</v>
      </c>
      <c r="B807">
        <v>1024</v>
      </c>
    </row>
    <row r="808" spans="1:2" x14ac:dyDescent="0.3">
      <c r="A808">
        <v>807</v>
      </c>
      <c r="B808">
        <v>1024</v>
      </c>
    </row>
    <row r="809" spans="1:2" x14ac:dyDescent="0.3">
      <c r="A809">
        <v>808</v>
      </c>
      <c r="B809">
        <v>1024</v>
      </c>
    </row>
    <row r="810" spans="1:2" x14ac:dyDescent="0.3">
      <c r="A810">
        <v>809</v>
      </c>
      <c r="B810">
        <v>1024</v>
      </c>
    </row>
    <row r="811" spans="1:2" x14ac:dyDescent="0.3">
      <c r="A811">
        <v>810</v>
      </c>
      <c r="B811">
        <v>1024</v>
      </c>
    </row>
    <row r="812" spans="1:2" x14ac:dyDescent="0.3">
      <c r="A812">
        <v>811</v>
      </c>
      <c r="B812">
        <v>1024</v>
      </c>
    </row>
    <row r="813" spans="1:2" x14ac:dyDescent="0.3">
      <c r="A813">
        <v>812</v>
      </c>
      <c r="B813">
        <v>1024</v>
      </c>
    </row>
    <row r="814" spans="1:2" x14ac:dyDescent="0.3">
      <c r="A814">
        <v>813</v>
      </c>
      <c r="B814">
        <v>1024</v>
      </c>
    </row>
    <row r="815" spans="1:2" x14ac:dyDescent="0.3">
      <c r="A815">
        <v>814</v>
      </c>
      <c r="B815">
        <v>1024</v>
      </c>
    </row>
    <row r="816" spans="1:2" x14ac:dyDescent="0.3">
      <c r="A816">
        <v>815</v>
      </c>
      <c r="B816">
        <v>1024</v>
      </c>
    </row>
    <row r="817" spans="1:2" x14ac:dyDescent="0.3">
      <c r="A817">
        <v>816</v>
      </c>
      <c r="B817">
        <v>1024</v>
      </c>
    </row>
    <row r="818" spans="1:2" x14ac:dyDescent="0.3">
      <c r="A818">
        <v>817</v>
      </c>
      <c r="B818">
        <v>1024</v>
      </c>
    </row>
    <row r="819" spans="1:2" x14ac:dyDescent="0.3">
      <c r="A819">
        <v>818</v>
      </c>
      <c r="B819">
        <v>1024</v>
      </c>
    </row>
    <row r="820" spans="1:2" x14ac:dyDescent="0.3">
      <c r="A820">
        <v>819</v>
      </c>
      <c r="B820">
        <v>1024</v>
      </c>
    </row>
    <row r="821" spans="1:2" x14ac:dyDescent="0.3">
      <c r="A821">
        <v>820</v>
      </c>
      <c r="B821">
        <v>1024</v>
      </c>
    </row>
    <row r="822" spans="1:2" x14ac:dyDescent="0.3">
      <c r="A822">
        <v>821</v>
      </c>
      <c r="B822">
        <v>1024</v>
      </c>
    </row>
    <row r="823" spans="1:2" x14ac:dyDescent="0.3">
      <c r="A823">
        <v>822</v>
      </c>
      <c r="B823">
        <v>1024</v>
      </c>
    </row>
    <row r="824" spans="1:2" x14ac:dyDescent="0.3">
      <c r="A824">
        <v>823</v>
      </c>
      <c r="B824">
        <v>1024</v>
      </c>
    </row>
    <row r="825" spans="1:2" x14ac:dyDescent="0.3">
      <c r="A825">
        <v>824</v>
      </c>
      <c r="B825">
        <v>1024</v>
      </c>
    </row>
    <row r="826" spans="1:2" x14ac:dyDescent="0.3">
      <c r="A826">
        <v>825</v>
      </c>
      <c r="B826">
        <v>1024</v>
      </c>
    </row>
    <row r="827" spans="1:2" x14ac:dyDescent="0.3">
      <c r="A827">
        <v>826</v>
      </c>
      <c r="B827">
        <v>1024</v>
      </c>
    </row>
    <row r="828" spans="1:2" x14ac:dyDescent="0.3">
      <c r="A828">
        <v>827</v>
      </c>
      <c r="B828">
        <v>1024</v>
      </c>
    </row>
    <row r="829" spans="1:2" x14ac:dyDescent="0.3">
      <c r="A829">
        <v>828</v>
      </c>
      <c r="B829">
        <v>1024</v>
      </c>
    </row>
    <row r="830" spans="1:2" x14ac:dyDescent="0.3">
      <c r="A830">
        <v>829</v>
      </c>
      <c r="B830">
        <v>1024</v>
      </c>
    </row>
    <row r="831" spans="1:2" x14ac:dyDescent="0.3">
      <c r="A831">
        <v>830</v>
      </c>
      <c r="B831">
        <v>1024</v>
      </c>
    </row>
    <row r="832" spans="1:2" x14ac:dyDescent="0.3">
      <c r="A832">
        <v>831</v>
      </c>
      <c r="B832">
        <v>1024</v>
      </c>
    </row>
    <row r="833" spans="1:2" x14ac:dyDescent="0.3">
      <c r="A833">
        <v>832</v>
      </c>
      <c r="B833">
        <v>1024</v>
      </c>
    </row>
    <row r="834" spans="1:2" x14ac:dyDescent="0.3">
      <c r="A834">
        <v>833</v>
      </c>
      <c r="B834">
        <v>1024</v>
      </c>
    </row>
    <row r="835" spans="1:2" x14ac:dyDescent="0.3">
      <c r="A835">
        <v>834</v>
      </c>
      <c r="B835">
        <v>1024</v>
      </c>
    </row>
    <row r="836" spans="1:2" x14ac:dyDescent="0.3">
      <c r="A836">
        <v>835</v>
      </c>
      <c r="B836">
        <v>1024</v>
      </c>
    </row>
    <row r="837" spans="1:2" x14ac:dyDescent="0.3">
      <c r="A837">
        <v>836</v>
      </c>
      <c r="B837">
        <v>1024</v>
      </c>
    </row>
    <row r="838" spans="1:2" x14ac:dyDescent="0.3">
      <c r="A838">
        <v>837</v>
      </c>
      <c r="B838">
        <v>1024</v>
      </c>
    </row>
    <row r="839" spans="1:2" x14ac:dyDescent="0.3">
      <c r="A839">
        <v>838</v>
      </c>
      <c r="B839">
        <v>1024</v>
      </c>
    </row>
    <row r="840" spans="1:2" x14ac:dyDescent="0.3">
      <c r="A840">
        <v>839</v>
      </c>
      <c r="B840">
        <v>1024</v>
      </c>
    </row>
    <row r="841" spans="1:2" x14ac:dyDescent="0.3">
      <c r="A841">
        <v>840</v>
      </c>
      <c r="B841">
        <v>1024</v>
      </c>
    </row>
    <row r="842" spans="1:2" x14ac:dyDescent="0.3">
      <c r="A842">
        <v>841</v>
      </c>
      <c r="B842">
        <v>1024</v>
      </c>
    </row>
    <row r="843" spans="1:2" x14ac:dyDescent="0.3">
      <c r="A843">
        <v>842</v>
      </c>
      <c r="B843">
        <v>1024</v>
      </c>
    </row>
    <row r="844" spans="1:2" x14ac:dyDescent="0.3">
      <c r="A844">
        <v>843</v>
      </c>
      <c r="B844">
        <v>1024</v>
      </c>
    </row>
    <row r="845" spans="1:2" x14ac:dyDescent="0.3">
      <c r="A845">
        <v>844</v>
      </c>
      <c r="B845">
        <v>1024</v>
      </c>
    </row>
    <row r="846" spans="1:2" x14ac:dyDescent="0.3">
      <c r="A846">
        <v>845</v>
      </c>
      <c r="B846">
        <v>1024</v>
      </c>
    </row>
    <row r="847" spans="1:2" x14ac:dyDescent="0.3">
      <c r="A847">
        <v>846</v>
      </c>
      <c r="B847">
        <v>1024</v>
      </c>
    </row>
    <row r="848" spans="1:2" x14ac:dyDescent="0.3">
      <c r="A848">
        <v>847</v>
      </c>
      <c r="B848">
        <v>1024</v>
      </c>
    </row>
    <row r="849" spans="1:2" x14ac:dyDescent="0.3">
      <c r="A849">
        <v>848</v>
      </c>
      <c r="B849">
        <v>1024</v>
      </c>
    </row>
    <row r="850" spans="1:2" x14ac:dyDescent="0.3">
      <c r="A850">
        <v>849</v>
      </c>
      <c r="B850">
        <v>1024</v>
      </c>
    </row>
    <row r="851" spans="1:2" x14ac:dyDescent="0.3">
      <c r="A851">
        <v>850</v>
      </c>
      <c r="B851">
        <v>1024</v>
      </c>
    </row>
    <row r="852" spans="1:2" x14ac:dyDescent="0.3">
      <c r="A852">
        <v>851</v>
      </c>
      <c r="B852">
        <v>1024</v>
      </c>
    </row>
    <row r="853" spans="1:2" x14ac:dyDescent="0.3">
      <c r="A853">
        <v>852</v>
      </c>
      <c r="B853">
        <v>1024</v>
      </c>
    </row>
    <row r="854" spans="1:2" x14ac:dyDescent="0.3">
      <c r="A854">
        <v>853</v>
      </c>
      <c r="B854">
        <v>1024</v>
      </c>
    </row>
    <row r="855" spans="1:2" x14ac:dyDescent="0.3">
      <c r="A855">
        <v>854</v>
      </c>
      <c r="B855">
        <v>1024</v>
      </c>
    </row>
    <row r="856" spans="1:2" x14ac:dyDescent="0.3">
      <c r="A856">
        <v>855</v>
      </c>
      <c r="B856">
        <v>1024</v>
      </c>
    </row>
    <row r="857" spans="1:2" x14ac:dyDescent="0.3">
      <c r="A857">
        <v>856</v>
      </c>
      <c r="B857">
        <v>1024</v>
      </c>
    </row>
    <row r="858" spans="1:2" x14ac:dyDescent="0.3">
      <c r="A858">
        <v>857</v>
      </c>
      <c r="B858">
        <v>1024</v>
      </c>
    </row>
    <row r="859" spans="1:2" x14ac:dyDescent="0.3">
      <c r="A859">
        <v>858</v>
      </c>
      <c r="B859">
        <v>1024</v>
      </c>
    </row>
    <row r="860" spans="1:2" x14ac:dyDescent="0.3">
      <c r="A860">
        <v>859</v>
      </c>
      <c r="B860">
        <v>1024</v>
      </c>
    </row>
    <row r="861" spans="1:2" x14ac:dyDescent="0.3">
      <c r="A861">
        <v>860</v>
      </c>
      <c r="B861">
        <v>1024</v>
      </c>
    </row>
    <row r="862" spans="1:2" x14ac:dyDescent="0.3">
      <c r="A862">
        <v>861</v>
      </c>
      <c r="B862">
        <v>1024</v>
      </c>
    </row>
    <row r="863" spans="1:2" x14ac:dyDescent="0.3">
      <c r="A863">
        <v>862</v>
      </c>
      <c r="B863">
        <v>1024</v>
      </c>
    </row>
    <row r="864" spans="1:2" x14ac:dyDescent="0.3">
      <c r="A864">
        <v>863</v>
      </c>
      <c r="B864">
        <v>1024</v>
      </c>
    </row>
    <row r="865" spans="1:2" x14ac:dyDescent="0.3">
      <c r="A865">
        <v>864</v>
      </c>
      <c r="B865">
        <v>1024</v>
      </c>
    </row>
    <row r="866" spans="1:2" x14ac:dyDescent="0.3">
      <c r="A866">
        <v>865</v>
      </c>
      <c r="B866">
        <v>1024</v>
      </c>
    </row>
    <row r="867" spans="1:2" x14ac:dyDescent="0.3">
      <c r="A867">
        <v>866</v>
      </c>
      <c r="B867">
        <v>1024</v>
      </c>
    </row>
    <row r="868" spans="1:2" x14ac:dyDescent="0.3">
      <c r="A868">
        <v>867</v>
      </c>
      <c r="B868">
        <v>1024</v>
      </c>
    </row>
    <row r="869" spans="1:2" x14ac:dyDescent="0.3">
      <c r="A869">
        <v>868</v>
      </c>
      <c r="B869">
        <v>1024</v>
      </c>
    </row>
    <row r="870" spans="1:2" x14ac:dyDescent="0.3">
      <c r="A870">
        <v>869</v>
      </c>
      <c r="B870">
        <v>1024</v>
      </c>
    </row>
    <row r="871" spans="1:2" x14ac:dyDescent="0.3">
      <c r="A871">
        <v>870</v>
      </c>
      <c r="B871">
        <v>1024</v>
      </c>
    </row>
    <row r="872" spans="1:2" x14ac:dyDescent="0.3">
      <c r="A872">
        <v>871</v>
      </c>
      <c r="B872">
        <v>1024</v>
      </c>
    </row>
    <row r="873" spans="1:2" x14ac:dyDescent="0.3">
      <c r="A873">
        <v>872</v>
      </c>
      <c r="B873">
        <v>1024</v>
      </c>
    </row>
    <row r="874" spans="1:2" x14ac:dyDescent="0.3">
      <c r="A874">
        <v>873</v>
      </c>
      <c r="B874">
        <v>1024</v>
      </c>
    </row>
    <row r="875" spans="1:2" x14ac:dyDescent="0.3">
      <c r="A875">
        <v>874</v>
      </c>
      <c r="B875">
        <v>1024</v>
      </c>
    </row>
    <row r="876" spans="1:2" x14ac:dyDescent="0.3">
      <c r="A876">
        <v>875</v>
      </c>
      <c r="B876">
        <v>1024</v>
      </c>
    </row>
    <row r="877" spans="1:2" x14ac:dyDescent="0.3">
      <c r="A877">
        <v>876</v>
      </c>
      <c r="B877">
        <v>1024</v>
      </c>
    </row>
    <row r="878" spans="1:2" x14ac:dyDescent="0.3">
      <c r="A878">
        <v>877</v>
      </c>
      <c r="B878">
        <v>1024</v>
      </c>
    </row>
    <row r="879" spans="1:2" x14ac:dyDescent="0.3">
      <c r="A879">
        <v>878</v>
      </c>
      <c r="B879">
        <v>1024</v>
      </c>
    </row>
    <row r="880" spans="1:2" x14ac:dyDescent="0.3">
      <c r="A880">
        <v>879</v>
      </c>
      <c r="B880">
        <v>1024</v>
      </c>
    </row>
    <row r="881" spans="1:2" x14ac:dyDescent="0.3">
      <c r="A881">
        <v>880</v>
      </c>
      <c r="B881">
        <v>1024</v>
      </c>
    </row>
    <row r="882" spans="1:2" x14ac:dyDescent="0.3">
      <c r="A882">
        <v>881</v>
      </c>
      <c r="B882">
        <v>1024</v>
      </c>
    </row>
    <row r="883" spans="1:2" x14ac:dyDescent="0.3">
      <c r="A883">
        <v>882</v>
      </c>
      <c r="B883">
        <v>1024</v>
      </c>
    </row>
    <row r="884" spans="1:2" x14ac:dyDescent="0.3">
      <c r="A884">
        <v>883</v>
      </c>
      <c r="B884">
        <v>1024</v>
      </c>
    </row>
    <row r="885" spans="1:2" x14ac:dyDescent="0.3">
      <c r="A885">
        <v>884</v>
      </c>
      <c r="B885">
        <v>1024</v>
      </c>
    </row>
    <row r="886" spans="1:2" x14ac:dyDescent="0.3">
      <c r="A886">
        <v>885</v>
      </c>
      <c r="B886">
        <v>1024</v>
      </c>
    </row>
    <row r="887" spans="1:2" x14ac:dyDescent="0.3">
      <c r="A887">
        <v>886</v>
      </c>
      <c r="B887">
        <v>1024</v>
      </c>
    </row>
    <row r="888" spans="1:2" x14ac:dyDescent="0.3">
      <c r="A888">
        <v>887</v>
      </c>
      <c r="B888">
        <v>1024</v>
      </c>
    </row>
    <row r="889" spans="1:2" x14ac:dyDescent="0.3">
      <c r="A889">
        <v>888</v>
      </c>
      <c r="B889">
        <v>1024</v>
      </c>
    </row>
    <row r="890" spans="1:2" x14ac:dyDescent="0.3">
      <c r="A890">
        <v>889</v>
      </c>
      <c r="B890">
        <v>1024</v>
      </c>
    </row>
    <row r="891" spans="1:2" x14ac:dyDescent="0.3">
      <c r="A891">
        <v>890</v>
      </c>
      <c r="B891">
        <v>1024</v>
      </c>
    </row>
    <row r="892" spans="1:2" x14ac:dyDescent="0.3">
      <c r="A892">
        <v>891</v>
      </c>
      <c r="B892">
        <v>1024</v>
      </c>
    </row>
    <row r="893" spans="1:2" x14ac:dyDescent="0.3">
      <c r="A893">
        <v>892</v>
      </c>
      <c r="B893">
        <v>1024</v>
      </c>
    </row>
    <row r="894" spans="1:2" x14ac:dyDescent="0.3">
      <c r="A894">
        <v>893</v>
      </c>
      <c r="B894">
        <v>1024</v>
      </c>
    </row>
    <row r="895" spans="1:2" x14ac:dyDescent="0.3">
      <c r="A895">
        <v>894</v>
      </c>
      <c r="B895">
        <v>1024</v>
      </c>
    </row>
    <row r="896" spans="1:2" x14ac:dyDescent="0.3">
      <c r="A896">
        <v>895</v>
      </c>
      <c r="B896">
        <v>1024</v>
      </c>
    </row>
    <row r="897" spans="1:2" x14ac:dyDescent="0.3">
      <c r="A897">
        <v>896</v>
      </c>
      <c r="B897">
        <v>1024</v>
      </c>
    </row>
    <row r="898" spans="1:2" x14ac:dyDescent="0.3">
      <c r="A898">
        <v>897</v>
      </c>
      <c r="B898">
        <v>1024</v>
      </c>
    </row>
    <row r="899" spans="1:2" x14ac:dyDescent="0.3">
      <c r="A899">
        <v>898</v>
      </c>
      <c r="B899">
        <v>1024</v>
      </c>
    </row>
    <row r="900" spans="1:2" x14ac:dyDescent="0.3">
      <c r="A900">
        <v>899</v>
      </c>
      <c r="B900">
        <v>1024</v>
      </c>
    </row>
    <row r="901" spans="1:2" x14ac:dyDescent="0.3">
      <c r="A901">
        <v>900</v>
      </c>
      <c r="B901">
        <v>1024</v>
      </c>
    </row>
    <row r="902" spans="1:2" x14ac:dyDescent="0.3">
      <c r="A902">
        <v>901</v>
      </c>
      <c r="B902">
        <v>1024</v>
      </c>
    </row>
    <row r="903" spans="1:2" x14ac:dyDescent="0.3">
      <c r="A903">
        <v>902</v>
      </c>
      <c r="B903">
        <v>1024</v>
      </c>
    </row>
    <row r="904" spans="1:2" x14ac:dyDescent="0.3">
      <c r="A904">
        <v>903</v>
      </c>
      <c r="B904">
        <v>1024</v>
      </c>
    </row>
    <row r="905" spans="1:2" x14ac:dyDescent="0.3">
      <c r="A905">
        <v>904</v>
      </c>
      <c r="B905">
        <v>1024</v>
      </c>
    </row>
    <row r="906" spans="1:2" x14ac:dyDescent="0.3">
      <c r="A906">
        <v>905</v>
      </c>
      <c r="B906">
        <v>1024</v>
      </c>
    </row>
    <row r="907" spans="1:2" x14ac:dyDescent="0.3">
      <c r="A907">
        <v>906</v>
      </c>
      <c r="B907">
        <v>1024</v>
      </c>
    </row>
    <row r="908" spans="1:2" x14ac:dyDescent="0.3">
      <c r="A908">
        <v>907</v>
      </c>
      <c r="B908">
        <v>1024</v>
      </c>
    </row>
    <row r="909" spans="1:2" x14ac:dyDescent="0.3">
      <c r="A909">
        <v>908</v>
      </c>
      <c r="B909">
        <v>1024</v>
      </c>
    </row>
    <row r="910" spans="1:2" x14ac:dyDescent="0.3">
      <c r="A910">
        <v>909</v>
      </c>
      <c r="B910">
        <v>1024</v>
      </c>
    </row>
    <row r="911" spans="1:2" x14ac:dyDescent="0.3">
      <c r="A911">
        <v>910</v>
      </c>
      <c r="B911">
        <v>1024</v>
      </c>
    </row>
    <row r="912" spans="1:2" x14ac:dyDescent="0.3">
      <c r="A912">
        <v>911</v>
      </c>
      <c r="B912">
        <v>1024</v>
      </c>
    </row>
    <row r="913" spans="1:2" x14ac:dyDescent="0.3">
      <c r="A913">
        <v>912</v>
      </c>
      <c r="B913">
        <v>1024</v>
      </c>
    </row>
    <row r="914" spans="1:2" x14ac:dyDescent="0.3">
      <c r="A914">
        <v>913</v>
      </c>
      <c r="B914">
        <v>1024</v>
      </c>
    </row>
    <row r="915" spans="1:2" x14ac:dyDescent="0.3">
      <c r="A915">
        <v>914</v>
      </c>
      <c r="B915">
        <v>1024</v>
      </c>
    </row>
    <row r="916" spans="1:2" x14ac:dyDescent="0.3">
      <c r="A916">
        <v>915</v>
      </c>
      <c r="B916">
        <v>1024</v>
      </c>
    </row>
    <row r="917" spans="1:2" x14ac:dyDescent="0.3">
      <c r="A917">
        <v>916</v>
      </c>
      <c r="B917">
        <v>1024</v>
      </c>
    </row>
    <row r="918" spans="1:2" x14ac:dyDescent="0.3">
      <c r="A918">
        <v>917</v>
      </c>
      <c r="B918">
        <v>1024</v>
      </c>
    </row>
    <row r="919" spans="1:2" x14ac:dyDescent="0.3">
      <c r="A919">
        <v>918</v>
      </c>
      <c r="B919">
        <v>1024</v>
      </c>
    </row>
    <row r="920" spans="1:2" x14ac:dyDescent="0.3">
      <c r="A920">
        <v>919</v>
      </c>
      <c r="B920">
        <v>1024</v>
      </c>
    </row>
    <row r="921" spans="1:2" x14ac:dyDescent="0.3">
      <c r="A921">
        <v>920</v>
      </c>
      <c r="B921">
        <v>1024</v>
      </c>
    </row>
    <row r="922" spans="1:2" x14ac:dyDescent="0.3">
      <c r="A922">
        <v>921</v>
      </c>
      <c r="B922">
        <v>1024</v>
      </c>
    </row>
    <row r="923" spans="1:2" x14ac:dyDescent="0.3">
      <c r="A923">
        <v>922</v>
      </c>
      <c r="B923">
        <v>1024</v>
      </c>
    </row>
    <row r="924" spans="1:2" x14ac:dyDescent="0.3">
      <c r="A924">
        <v>923</v>
      </c>
      <c r="B924">
        <v>1024</v>
      </c>
    </row>
    <row r="925" spans="1:2" x14ac:dyDescent="0.3">
      <c r="A925">
        <v>924</v>
      </c>
      <c r="B925">
        <v>1024</v>
      </c>
    </row>
    <row r="926" spans="1:2" x14ac:dyDescent="0.3">
      <c r="A926">
        <v>925</v>
      </c>
      <c r="B926">
        <v>1024</v>
      </c>
    </row>
    <row r="927" spans="1:2" x14ac:dyDescent="0.3">
      <c r="A927">
        <v>926</v>
      </c>
      <c r="B927">
        <v>1024</v>
      </c>
    </row>
    <row r="928" spans="1:2" x14ac:dyDescent="0.3">
      <c r="A928">
        <v>927</v>
      </c>
      <c r="B928">
        <v>1024</v>
      </c>
    </row>
    <row r="929" spans="1:2" x14ac:dyDescent="0.3">
      <c r="A929">
        <v>928</v>
      </c>
      <c r="B929">
        <v>1024</v>
      </c>
    </row>
    <row r="930" spans="1:2" x14ac:dyDescent="0.3">
      <c r="A930">
        <v>929</v>
      </c>
      <c r="B930">
        <v>1024</v>
      </c>
    </row>
    <row r="931" spans="1:2" x14ac:dyDescent="0.3">
      <c r="A931">
        <v>930</v>
      </c>
      <c r="B931">
        <v>1024</v>
      </c>
    </row>
    <row r="932" spans="1:2" x14ac:dyDescent="0.3">
      <c r="A932">
        <v>931</v>
      </c>
      <c r="B932">
        <v>1024</v>
      </c>
    </row>
    <row r="933" spans="1:2" x14ac:dyDescent="0.3">
      <c r="A933">
        <v>932</v>
      </c>
      <c r="B933">
        <v>1024</v>
      </c>
    </row>
    <row r="934" spans="1:2" x14ac:dyDescent="0.3">
      <c r="A934">
        <v>933</v>
      </c>
      <c r="B934">
        <v>1024</v>
      </c>
    </row>
    <row r="935" spans="1:2" x14ac:dyDescent="0.3">
      <c r="A935">
        <v>934</v>
      </c>
      <c r="B935">
        <v>1024</v>
      </c>
    </row>
    <row r="936" spans="1:2" x14ac:dyDescent="0.3">
      <c r="A936">
        <v>935</v>
      </c>
      <c r="B936">
        <v>1024</v>
      </c>
    </row>
    <row r="937" spans="1:2" x14ac:dyDescent="0.3">
      <c r="A937">
        <v>936</v>
      </c>
      <c r="B937">
        <v>1024</v>
      </c>
    </row>
    <row r="938" spans="1:2" x14ac:dyDescent="0.3">
      <c r="A938">
        <v>937</v>
      </c>
      <c r="B938">
        <v>1024</v>
      </c>
    </row>
    <row r="939" spans="1:2" x14ac:dyDescent="0.3">
      <c r="A939">
        <v>938</v>
      </c>
      <c r="B939">
        <v>1024</v>
      </c>
    </row>
    <row r="940" spans="1:2" x14ac:dyDescent="0.3">
      <c r="A940">
        <v>939</v>
      </c>
      <c r="B940">
        <v>1024</v>
      </c>
    </row>
    <row r="941" spans="1:2" x14ac:dyDescent="0.3">
      <c r="A941">
        <v>940</v>
      </c>
      <c r="B941">
        <v>1024</v>
      </c>
    </row>
    <row r="942" spans="1:2" x14ac:dyDescent="0.3">
      <c r="A942">
        <v>941</v>
      </c>
      <c r="B942">
        <v>1024</v>
      </c>
    </row>
    <row r="943" spans="1:2" x14ac:dyDescent="0.3">
      <c r="A943">
        <v>942</v>
      </c>
      <c r="B943">
        <v>1024</v>
      </c>
    </row>
    <row r="944" spans="1:2" x14ac:dyDescent="0.3">
      <c r="A944">
        <v>943</v>
      </c>
      <c r="B944">
        <v>1024</v>
      </c>
    </row>
    <row r="945" spans="1:2" x14ac:dyDescent="0.3">
      <c r="A945">
        <v>944</v>
      </c>
      <c r="B945">
        <v>1024</v>
      </c>
    </row>
    <row r="946" spans="1:2" x14ac:dyDescent="0.3">
      <c r="A946">
        <v>945</v>
      </c>
      <c r="B946">
        <v>1024</v>
      </c>
    </row>
    <row r="947" spans="1:2" x14ac:dyDescent="0.3">
      <c r="A947">
        <v>946</v>
      </c>
      <c r="B947">
        <v>1024</v>
      </c>
    </row>
    <row r="948" spans="1:2" x14ac:dyDescent="0.3">
      <c r="A948">
        <v>947</v>
      </c>
      <c r="B948">
        <v>1024</v>
      </c>
    </row>
    <row r="949" spans="1:2" x14ac:dyDescent="0.3">
      <c r="A949">
        <v>948</v>
      </c>
      <c r="B949">
        <v>1024</v>
      </c>
    </row>
    <row r="950" spans="1:2" x14ac:dyDescent="0.3">
      <c r="A950">
        <v>949</v>
      </c>
      <c r="B950">
        <v>1024</v>
      </c>
    </row>
    <row r="951" spans="1:2" x14ac:dyDescent="0.3">
      <c r="A951">
        <v>950</v>
      </c>
      <c r="B951">
        <v>1024</v>
      </c>
    </row>
    <row r="952" spans="1:2" x14ac:dyDescent="0.3">
      <c r="A952">
        <v>951</v>
      </c>
      <c r="B952">
        <v>1024</v>
      </c>
    </row>
    <row r="953" spans="1:2" x14ac:dyDescent="0.3">
      <c r="A953">
        <v>952</v>
      </c>
      <c r="B953">
        <v>1024</v>
      </c>
    </row>
    <row r="954" spans="1:2" x14ac:dyDescent="0.3">
      <c r="A954">
        <v>953</v>
      </c>
      <c r="B954">
        <v>1024</v>
      </c>
    </row>
    <row r="955" spans="1:2" x14ac:dyDescent="0.3">
      <c r="A955">
        <v>954</v>
      </c>
      <c r="B955">
        <v>1024</v>
      </c>
    </row>
    <row r="956" spans="1:2" x14ac:dyDescent="0.3">
      <c r="A956">
        <v>955</v>
      </c>
      <c r="B956">
        <v>1024</v>
      </c>
    </row>
    <row r="957" spans="1:2" x14ac:dyDescent="0.3">
      <c r="A957">
        <v>956</v>
      </c>
      <c r="B957">
        <v>1024</v>
      </c>
    </row>
    <row r="958" spans="1:2" x14ac:dyDescent="0.3">
      <c r="A958">
        <v>957</v>
      </c>
      <c r="B958">
        <v>1024</v>
      </c>
    </row>
    <row r="959" spans="1:2" x14ac:dyDescent="0.3">
      <c r="A959">
        <v>958</v>
      </c>
      <c r="B959">
        <v>1024</v>
      </c>
    </row>
    <row r="960" spans="1:2" x14ac:dyDescent="0.3">
      <c r="A960">
        <v>959</v>
      </c>
      <c r="B960">
        <v>1024</v>
      </c>
    </row>
    <row r="961" spans="1:2" x14ac:dyDescent="0.3">
      <c r="A961">
        <v>960</v>
      </c>
      <c r="B961">
        <v>1024</v>
      </c>
    </row>
    <row r="962" spans="1:2" x14ac:dyDescent="0.3">
      <c r="A962">
        <v>961</v>
      </c>
      <c r="B962">
        <v>1024</v>
      </c>
    </row>
    <row r="963" spans="1:2" x14ac:dyDescent="0.3">
      <c r="A963">
        <v>962</v>
      </c>
      <c r="B963">
        <v>1024</v>
      </c>
    </row>
    <row r="964" spans="1:2" x14ac:dyDescent="0.3">
      <c r="A964">
        <v>963</v>
      </c>
      <c r="B964">
        <v>1024</v>
      </c>
    </row>
    <row r="965" spans="1:2" x14ac:dyDescent="0.3">
      <c r="A965">
        <v>964</v>
      </c>
      <c r="B965">
        <v>1024</v>
      </c>
    </row>
    <row r="966" spans="1:2" x14ac:dyDescent="0.3">
      <c r="A966">
        <v>965</v>
      </c>
      <c r="B966">
        <v>1024</v>
      </c>
    </row>
    <row r="967" spans="1:2" x14ac:dyDescent="0.3">
      <c r="A967">
        <v>966</v>
      </c>
      <c r="B967">
        <v>1024</v>
      </c>
    </row>
    <row r="968" spans="1:2" x14ac:dyDescent="0.3">
      <c r="A968">
        <v>967</v>
      </c>
      <c r="B968">
        <v>1024</v>
      </c>
    </row>
    <row r="969" spans="1:2" x14ac:dyDescent="0.3">
      <c r="A969">
        <v>968</v>
      </c>
      <c r="B969">
        <v>1024</v>
      </c>
    </row>
    <row r="970" spans="1:2" x14ac:dyDescent="0.3">
      <c r="A970">
        <v>969</v>
      </c>
      <c r="B970">
        <v>1024</v>
      </c>
    </row>
    <row r="971" spans="1:2" x14ac:dyDescent="0.3">
      <c r="A971">
        <v>970</v>
      </c>
      <c r="B971">
        <v>1024</v>
      </c>
    </row>
    <row r="972" spans="1:2" x14ac:dyDescent="0.3">
      <c r="A972">
        <v>971</v>
      </c>
      <c r="B972">
        <v>1024</v>
      </c>
    </row>
    <row r="973" spans="1:2" x14ac:dyDescent="0.3">
      <c r="A973">
        <v>972</v>
      </c>
      <c r="B973">
        <v>1024</v>
      </c>
    </row>
    <row r="974" spans="1:2" x14ac:dyDescent="0.3">
      <c r="A974">
        <v>973</v>
      </c>
      <c r="B974">
        <v>1024</v>
      </c>
    </row>
    <row r="975" spans="1:2" x14ac:dyDescent="0.3">
      <c r="A975">
        <v>974</v>
      </c>
      <c r="B975">
        <v>1024</v>
      </c>
    </row>
    <row r="976" spans="1:2" x14ac:dyDescent="0.3">
      <c r="A976">
        <v>975</v>
      </c>
      <c r="B976">
        <v>1024</v>
      </c>
    </row>
    <row r="977" spans="1:2" x14ac:dyDescent="0.3">
      <c r="A977">
        <v>976</v>
      </c>
      <c r="B977">
        <v>1024</v>
      </c>
    </row>
    <row r="978" spans="1:2" x14ac:dyDescent="0.3">
      <c r="A978">
        <v>977</v>
      </c>
      <c r="B978">
        <v>1024</v>
      </c>
    </row>
    <row r="979" spans="1:2" x14ac:dyDescent="0.3">
      <c r="A979">
        <v>978</v>
      </c>
      <c r="B979">
        <v>1024</v>
      </c>
    </row>
    <row r="980" spans="1:2" x14ac:dyDescent="0.3">
      <c r="A980">
        <v>979</v>
      </c>
      <c r="B980">
        <v>1024</v>
      </c>
    </row>
    <row r="981" spans="1:2" x14ac:dyDescent="0.3">
      <c r="A981">
        <v>980</v>
      </c>
      <c r="B981">
        <v>1024</v>
      </c>
    </row>
    <row r="982" spans="1:2" x14ac:dyDescent="0.3">
      <c r="A982">
        <v>981</v>
      </c>
      <c r="B982">
        <v>1024</v>
      </c>
    </row>
    <row r="983" spans="1:2" x14ac:dyDescent="0.3">
      <c r="A983">
        <v>982</v>
      </c>
      <c r="B983">
        <v>1024</v>
      </c>
    </row>
    <row r="984" spans="1:2" x14ac:dyDescent="0.3">
      <c r="A984">
        <v>983</v>
      </c>
      <c r="B984">
        <v>1024</v>
      </c>
    </row>
    <row r="985" spans="1:2" x14ac:dyDescent="0.3">
      <c r="A985">
        <v>984</v>
      </c>
      <c r="B985">
        <v>1024</v>
      </c>
    </row>
    <row r="986" spans="1:2" x14ac:dyDescent="0.3">
      <c r="A986">
        <v>985</v>
      </c>
      <c r="B986">
        <v>1024</v>
      </c>
    </row>
    <row r="987" spans="1:2" x14ac:dyDescent="0.3">
      <c r="A987">
        <v>986</v>
      </c>
      <c r="B987">
        <v>1024</v>
      </c>
    </row>
    <row r="988" spans="1:2" x14ac:dyDescent="0.3">
      <c r="A988">
        <v>987</v>
      </c>
      <c r="B988">
        <v>1024</v>
      </c>
    </row>
    <row r="989" spans="1:2" x14ac:dyDescent="0.3">
      <c r="A989">
        <v>988</v>
      </c>
      <c r="B989">
        <v>1024</v>
      </c>
    </row>
    <row r="990" spans="1:2" x14ac:dyDescent="0.3">
      <c r="A990">
        <v>989</v>
      </c>
      <c r="B990">
        <v>1024</v>
      </c>
    </row>
    <row r="991" spans="1:2" x14ac:dyDescent="0.3">
      <c r="A991">
        <v>990</v>
      </c>
      <c r="B991">
        <v>1024</v>
      </c>
    </row>
    <row r="992" spans="1:2" x14ac:dyDescent="0.3">
      <c r="A992">
        <v>991</v>
      </c>
      <c r="B992">
        <v>1024</v>
      </c>
    </row>
    <row r="993" spans="1:2" x14ac:dyDescent="0.3">
      <c r="A993">
        <v>992</v>
      </c>
      <c r="B993">
        <v>1024</v>
      </c>
    </row>
    <row r="994" spans="1:2" x14ac:dyDescent="0.3">
      <c r="A994">
        <v>993</v>
      </c>
      <c r="B994">
        <v>1024</v>
      </c>
    </row>
    <row r="995" spans="1:2" x14ac:dyDescent="0.3">
      <c r="A995">
        <v>994</v>
      </c>
      <c r="B995">
        <v>1024</v>
      </c>
    </row>
    <row r="996" spans="1:2" x14ac:dyDescent="0.3">
      <c r="A996">
        <v>995</v>
      </c>
      <c r="B996">
        <v>1024</v>
      </c>
    </row>
    <row r="997" spans="1:2" x14ac:dyDescent="0.3">
      <c r="A997">
        <v>996</v>
      </c>
      <c r="B997">
        <v>1024</v>
      </c>
    </row>
    <row r="998" spans="1:2" x14ac:dyDescent="0.3">
      <c r="A998">
        <v>997</v>
      </c>
      <c r="B998">
        <v>1024</v>
      </c>
    </row>
    <row r="999" spans="1:2" x14ac:dyDescent="0.3">
      <c r="A999">
        <v>998</v>
      </c>
      <c r="B999">
        <v>1024</v>
      </c>
    </row>
    <row r="1000" spans="1:2" x14ac:dyDescent="0.3">
      <c r="A1000">
        <v>999</v>
      </c>
      <c r="B1000">
        <v>1024</v>
      </c>
    </row>
    <row r="1001" spans="1:2" x14ac:dyDescent="0.3">
      <c r="A1001">
        <v>1000</v>
      </c>
      <c r="B1001">
        <v>1024</v>
      </c>
    </row>
    <row r="1002" spans="1:2" x14ac:dyDescent="0.3">
      <c r="A1002">
        <v>1001</v>
      </c>
      <c r="B1002">
        <v>1024</v>
      </c>
    </row>
    <row r="1003" spans="1:2" x14ac:dyDescent="0.3">
      <c r="A1003">
        <v>1002</v>
      </c>
      <c r="B1003">
        <v>1024</v>
      </c>
    </row>
    <row r="1004" spans="1:2" x14ac:dyDescent="0.3">
      <c r="A1004">
        <v>1003</v>
      </c>
      <c r="B1004">
        <v>1024</v>
      </c>
    </row>
    <row r="1005" spans="1:2" x14ac:dyDescent="0.3">
      <c r="A1005">
        <v>1004</v>
      </c>
      <c r="B1005">
        <v>1024</v>
      </c>
    </row>
    <row r="1006" spans="1:2" x14ac:dyDescent="0.3">
      <c r="A1006">
        <v>1005</v>
      </c>
      <c r="B1006">
        <v>1024</v>
      </c>
    </row>
    <row r="1007" spans="1:2" x14ac:dyDescent="0.3">
      <c r="A1007">
        <v>1006</v>
      </c>
      <c r="B1007">
        <v>1024</v>
      </c>
    </row>
    <row r="1008" spans="1:2" x14ac:dyDescent="0.3">
      <c r="A1008">
        <v>1007</v>
      </c>
      <c r="B1008">
        <v>1024</v>
      </c>
    </row>
    <row r="1009" spans="1:2" x14ac:dyDescent="0.3">
      <c r="A1009">
        <v>1008</v>
      </c>
      <c r="B1009">
        <v>1024</v>
      </c>
    </row>
    <row r="1010" spans="1:2" x14ac:dyDescent="0.3">
      <c r="A1010">
        <v>1009</v>
      </c>
      <c r="B1010">
        <v>1024</v>
      </c>
    </row>
    <row r="1011" spans="1:2" x14ac:dyDescent="0.3">
      <c r="A1011">
        <v>1010</v>
      </c>
      <c r="B1011">
        <v>1024</v>
      </c>
    </row>
    <row r="1012" spans="1:2" x14ac:dyDescent="0.3">
      <c r="A1012">
        <v>1011</v>
      </c>
      <c r="B1012">
        <v>1024</v>
      </c>
    </row>
    <row r="1013" spans="1:2" x14ac:dyDescent="0.3">
      <c r="A1013">
        <v>1012</v>
      </c>
      <c r="B1013">
        <v>1024</v>
      </c>
    </row>
    <row r="1014" spans="1:2" x14ac:dyDescent="0.3">
      <c r="A1014">
        <v>1013</v>
      </c>
      <c r="B1014">
        <v>1024</v>
      </c>
    </row>
    <row r="1015" spans="1:2" x14ac:dyDescent="0.3">
      <c r="A1015">
        <v>1014</v>
      </c>
      <c r="B1015">
        <v>1024</v>
      </c>
    </row>
    <row r="1016" spans="1:2" x14ac:dyDescent="0.3">
      <c r="A1016">
        <v>1015</v>
      </c>
      <c r="B1016">
        <v>1024</v>
      </c>
    </row>
    <row r="1017" spans="1:2" x14ac:dyDescent="0.3">
      <c r="A1017">
        <v>1016</v>
      </c>
      <c r="B1017">
        <v>1024</v>
      </c>
    </row>
    <row r="1018" spans="1:2" x14ac:dyDescent="0.3">
      <c r="A1018">
        <v>1017</v>
      </c>
      <c r="B1018">
        <v>1024</v>
      </c>
    </row>
    <row r="1019" spans="1:2" x14ac:dyDescent="0.3">
      <c r="A1019">
        <v>1018</v>
      </c>
      <c r="B1019">
        <v>1024</v>
      </c>
    </row>
    <row r="1020" spans="1:2" x14ac:dyDescent="0.3">
      <c r="A1020">
        <v>1019</v>
      </c>
      <c r="B1020">
        <v>1024</v>
      </c>
    </row>
    <row r="1021" spans="1:2" x14ac:dyDescent="0.3">
      <c r="A1021">
        <v>1020</v>
      </c>
      <c r="B1021">
        <v>1024</v>
      </c>
    </row>
    <row r="1022" spans="1:2" x14ac:dyDescent="0.3">
      <c r="A1022">
        <v>1021</v>
      </c>
      <c r="B1022">
        <v>1024</v>
      </c>
    </row>
    <row r="1023" spans="1:2" x14ac:dyDescent="0.3">
      <c r="A1023">
        <v>1022</v>
      </c>
      <c r="B1023">
        <v>1024</v>
      </c>
    </row>
    <row r="1024" spans="1:2" x14ac:dyDescent="0.3">
      <c r="A1024">
        <v>1023</v>
      </c>
      <c r="B1024">
        <v>1024</v>
      </c>
    </row>
  </sheetData>
  <mergeCells count="1">
    <mergeCell ref="D5:E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37</vt:i4>
      </vt:variant>
    </vt:vector>
  </HeadingPairs>
  <TitlesOfParts>
    <vt:vector size="42" baseType="lpstr">
      <vt:lpstr>Calculation Sheet</vt:lpstr>
      <vt:lpstr>LUT "TSD vs PD start-up"</vt:lpstr>
      <vt:lpstr>Res EIA Tables</vt:lpstr>
      <vt:lpstr>Cap Tables</vt:lpstr>
      <vt:lpstr>Nretry</vt:lpstr>
      <vt:lpstr>Cdvdt_ext</vt:lpstr>
      <vt:lpstr>Cdvdt_ext_cal1</vt:lpstr>
      <vt:lpstr>Cext_dvdt_cal2</vt:lpstr>
      <vt:lpstr>Cout</vt:lpstr>
      <vt:lpstr>GainIMON</vt:lpstr>
      <vt:lpstr>Icharge</vt:lpstr>
      <vt:lpstr>Icharge_req</vt:lpstr>
      <vt:lpstr>Ilimit</vt:lpstr>
      <vt:lpstr>Ilimit_final</vt:lpstr>
      <vt:lpstr>Imax</vt:lpstr>
      <vt:lpstr>Max_Citimer</vt:lpstr>
      <vt:lpstr>Min_Ilim</vt:lpstr>
      <vt:lpstr>Ncalc</vt:lpstr>
      <vt:lpstr>NRETRY</vt:lpstr>
      <vt:lpstr>Nretry_cal</vt:lpstr>
      <vt:lpstr>OVref</vt:lpstr>
      <vt:lpstr>OVset</vt:lpstr>
      <vt:lpstr>Rdson_125deg</vt:lpstr>
      <vt:lpstr>Rdson_25deg</vt:lpstr>
      <vt:lpstr>Rec_VIMONMax</vt:lpstr>
      <vt:lpstr>RILIM</vt:lpstr>
      <vt:lpstr>Rlimit</vt:lpstr>
      <vt:lpstr>Rlstart</vt:lpstr>
      <vt:lpstr>RMON_sel</vt:lpstr>
      <vt:lpstr>RpUVLO</vt:lpstr>
      <vt:lpstr>Tchg_dvdt</vt:lpstr>
      <vt:lpstr>Tchg_fastest</vt:lpstr>
      <vt:lpstr>Tchg_req</vt:lpstr>
      <vt:lpstr>tITIMER</vt:lpstr>
      <vt:lpstr>tRETRY_DLY</vt:lpstr>
      <vt:lpstr>Uvref_fall</vt:lpstr>
      <vt:lpstr>Uvref_rise</vt:lpstr>
      <vt:lpstr>UVset</vt:lpstr>
      <vt:lpstr>Vcc_max</vt:lpstr>
      <vt:lpstr>Vcc_nom</vt:lpstr>
      <vt:lpstr>Vimon_max</vt:lpstr>
      <vt:lpstr>VUVP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Gupta, Arush</cp:lastModifiedBy>
  <cp:lastPrinted>2013-06-05T10:58:25Z</cp:lastPrinted>
  <dcterms:created xsi:type="dcterms:W3CDTF">2013-05-30T14:28:05Z</dcterms:created>
  <dcterms:modified xsi:type="dcterms:W3CDTF">2024-01-16T06:04:06Z</dcterms:modified>
</cp:coreProperties>
</file>