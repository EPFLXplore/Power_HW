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_rels/workbook.xml.rels" ContentType="application/vnd.openxmlformats-package.relationships+xml"/>
  <Override PartName="/xl/media/image1.wmf" ContentType="image/x-wmf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esign Worksheet" sheetId="1" state="visible" r:id="rId3"/>
    <sheet name="SOA Calculations" sheetId="2" state="hidden" r:id="rId4"/>
    <sheet name="Design Calculations" sheetId="3" state="hidden" r:id="rId5"/>
    <sheet name="Datasheet Parameters" sheetId="4" state="hidden" r:id="rId6"/>
    <sheet name="Variables" sheetId="5" state="hidden" r:id="rId7"/>
    <sheet name="Resistor Table" sheetId="6" state="hidden" r:id="rId8"/>
    <sheet name="Sheet1" sheetId="7" state="hidden" r:id="rId9"/>
  </sheets>
  <definedNames>
    <definedName function="false" hidden="false" name="ActR1" vbProcedure="false">'Design Calculations'!$H$8</definedName>
    <definedName function="false" hidden="false" name="ActR2" vbProcedure="false">'Design Calculations'!$H$7</definedName>
    <definedName function="false" hidden="false" name="ActR4" vbProcedure="false">'Design Calculations'!$H$24</definedName>
    <definedName function="false" hidden="false" name="ActR7" vbProcedure="false">'Design Calculations'!$H$37</definedName>
    <definedName function="false" hidden="false" name="ActR7_sw" vbProcedure="false">'Design Calculations'!$Q$38</definedName>
    <definedName function="false" hidden="false" name="ActR8" vbProcedure="false">'Design Calculations'!$H$38</definedName>
    <definedName function="false" hidden="false" name="ActR9_sw" vbProcedure="false">'Design Calculations'!$Q$37</definedName>
    <definedName function="false" hidden="false" name="CapTol" vbProcedure="false">'Design Worksheet'!$B$64</definedName>
    <definedName function="false" hidden="false" name="CSTol" vbProcedure="false">'Design Worksheet'!$C$2</definedName>
    <definedName function="false" hidden="false" name="FB" vbProcedure="false">Variables!$D$39</definedName>
    <definedName function="false" hidden="false" name="Fbinact" vbProcedure="false">Variables!$D$38</definedName>
    <definedName function="false" hidden="false" name="Fbinactmax" vbProcedure="false">Variables!$F$38</definedName>
    <definedName function="false" hidden="false" name="Fbinactmin" vbProcedure="false">Variables!$B$38</definedName>
    <definedName function="false" hidden="false" name="Fbmax" vbProcedure="false">Variables!$F$39</definedName>
    <definedName function="false" hidden="false" name="Fbmin" vbProcedure="false">Variables!$B$39</definedName>
    <definedName function="false" hidden="false" name="Gain" vbProcedure="false">Variables!$D$20</definedName>
    <definedName function="false" hidden="false" name="IGATEDN" vbProcedure="false">Variables!$D$28</definedName>
    <definedName function="false" hidden="false" name="IGATEDNmax" vbProcedure="false">Variables!$F$28</definedName>
    <definedName function="false" hidden="false" name="IGATEDNmin" vbProcedure="false">Variables!$B$28</definedName>
    <definedName function="false" hidden="false" name="IGATEUP" vbProcedure="false">Variables!$D$30</definedName>
    <definedName function="false" hidden="false" name="IGATEUPFLT" vbProcedure="false">Variables!$D$31</definedName>
    <definedName function="false" hidden="false" name="IGATEUPFLTmax" vbProcedure="false">Variables!$F$31</definedName>
    <definedName function="false" hidden="false" name="IGATEUPFLTmin" vbProcedure="false">Variables!$B$31</definedName>
    <definedName function="false" hidden="false" name="IGATEUPmax" vbProcedure="false">Variables!$F$30</definedName>
    <definedName function="false" hidden="false" name="IGATEUPmin" vbProcedure="false">Variables!$B$30</definedName>
    <definedName function="false" hidden="false" name="IPOR" vbProcedure="false">Variables!$D$53</definedName>
    <definedName function="false" hidden="false" name="IPORmax" vbProcedure="false">Variables!$F$53</definedName>
    <definedName function="false" hidden="false" name="IPORmin" vbProcedure="false">Variables!$B$53</definedName>
    <definedName function="false" hidden="false" name="IRPFG" vbProcedure="false">Variables!$D$24</definedName>
    <definedName function="false" hidden="false" name="IRPFGmax" vbProcedure="false">Variables!$F$24</definedName>
    <definedName function="false" hidden="false" name="IRPFGmin" vbProcedure="false">Variables!$B$24</definedName>
    <definedName function="false" hidden="false" name="Isense" vbProcedure="false">Variables!$D$9</definedName>
    <definedName function="false" hidden="false" name="Isensemax" vbProcedure="false">Variables!$F$9</definedName>
    <definedName function="false" hidden="false" name="Isensemin" vbProcedure="false">Variables!$B$9</definedName>
    <definedName function="false" hidden="false" name="Ov" vbProcedure="false">Variables!$D$5</definedName>
    <definedName function="false" hidden="false" name="Ovhyst" vbProcedure="false">Variables!$D$6</definedName>
    <definedName function="false" hidden="false" name="Ovhystmax" vbProcedure="false">Variables!$F$6</definedName>
    <definedName function="false" hidden="false" name="Ovhystmin" vbProcedure="false">Variables!$B$6</definedName>
    <definedName function="false" hidden="false" name="Ovmax" vbProcedure="false">Variables!$F$5</definedName>
    <definedName function="false" hidden="false" name="Ovmin" vbProcedure="false">Variables!$B$5</definedName>
    <definedName function="false" hidden="false" name="PGHyst" vbProcedure="false">Variables!$D$59</definedName>
    <definedName function="false" hidden="false" name="PGHystmax" vbProcedure="false">Variables!$F$59</definedName>
    <definedName function="false" hidden="false" name="PGHystmin" vbProcedure="false">Variables!$B$59</definedName>
    <definedName function="false" hidden="false" name="ResTol" vbProcedure="false">'Design Worksheet'!$C$3</definedName>
    <definedName function="false" hidden="false" name="revLink" vbProcedure="false">Variables!$F$61</definedName>
    <definedName function="false" hidden="false" name="revName" vbProcedure="false">Variables!$D$61</definedName>
    <definedName function="false" hidden="false" name="revText" vbProcedure="false">Variables!$B$62</definedName>
    <definedName function="false" hidden="false" name="revTool" vbProcedure="false">Variables!$B$61</definedName>
    <definedName function="false" hidden="false" name="Set_OC" vbProcedure="false">'Design Calculations'!$B$19</definedName>
    <definedName function="false" hidden="false" name="Set_OV" vbProcedure="false">'Design Calculations'!$B$3</definedName>
    <definedName function="false" hidden="false" name="Set_R3" vbProcedure="false">'Design Calculations'!$B$4</definedName>
    <definedName function="false" hidden="false" name="Set_R5" vbProcedure="false">'Design Calculations'!$B$23</definedName>
    <definedName function="false" hidden="false" name="Set_R8" vbProcedure="false">'Design Calculations'!$K$34</definedName>
    <definedName function="false" hidden="false" name="Set_R9" vbProcedure="false">'Design Calculations'!$B$34</definedName>
    <definedName function="false" hidden="false" name="Set_Rs" vbProcedure="false">'Design Calculations'!$B$20</definedName>
    <definedName function="false" hidden="false" name="Set_TimerOff" vbProcedure="false">'Design Calculations'!$B$53</definedName>
    <definedName function="false" hidden="false" name="Set_UV" vbProcedure="false">'Design Calculations'!$B$2</definedName>
    <definedName function="false" hidden="false" name="SOC" vbProcedure="false">Variables!$D$44</definedName>
    <definedName function="false" hidden="false" name="SOCmax" vbProcedure="false">Variables!$F$44</definedName>
    <definedName function="false" hidden="false" name="SOCmin" vbProcedure="false">Variables!$B$44</definedName>
    <definedName function="false" hidden="false" name="Tamb" vbProcedure="false">'Design Worksheet'!$B$101</definedName>
    <definedName function="false" hidden="false" name="ThetaJA" vbProcedure="false">'Design Worksheet'!$B$102</definedName>
    <definedName function="false" hidden="false" name="TimeOffmax" vbProcedure="false">Variables!$F$54</definedName>
    <definedName function="false" hidden="false" name="TimerOff" vbProcedure="false">Variables!$D$54</definedName>
    <definedName function="false" hidden="false" name="TimerOffH" vbProcedure="false">Variables!$D$55</definedName>
    <definedName function="false" hidden="false" name="TimerOffHmax" vbProcedure="false">Variables!$F$55</definedName>
    <definedName function="false" hidden="false" name="TimerOffHmin" vbProcedure="false">Variables!$B$55</definedName>
    <definedName function="false" hidden="false" name="TimerOffmin" vbProcedure="false">Variables!$B$54</definedName>
    <definedName function="false" hidden="false" name="TimerUp" vbProcedure="false">Variables!$D$48</definedName>
    <definedName function="false" hidden="false" name="TimerUpmax" vbProcedure="false">Variables!$F$48</definedName>
    <definedName function="false" hidden="false" name="TimerUpmin" vbProcedure="false">Variables!$B$48</definedName>
    <definedName function="false" hidden="false" name="Tinit" vbProcedure="false">'Design Calculations'!$B$47</definedName>
    <definedName function="false" hidden="false" name="TJmax" vbProcedure="false">'Design Worksheet'!$B$100</definedName>
    <definedName function="false" hidden="false" name="UV" vbProcedure="false">Variables!$D$1</definedName>
    <definedName function="false" hidden="false" name="Uvhyst" vbProcedure="false">Variables!$D$2</definedName>
    <definedName function="false" hidden="false" name="Uvhystmax" vbProcedure="false">Variables!$F$2</definedName>
    <definedName function="false" hidden="false" name="Uvhystmin" vbProcedure="false">Variables!$B$2</definedName>
    <definedName function="false" hidden="false" name="UVLOfall" vbProcedure="false">Variables!$B$14</definedName>
    <definedName function="false" hidden="false" name="UVLOhyst" vbProcedure="false">Variables!$D$15</definedName>
    <definedName function="false" hidden="false" name="UVLOrise" vbProcedure="false">Variables!$F$13</definedName>
    <definedName function="false" hidden="false" name="Uvmax" vbProcedure="false">Variables!$F$1</definedName>
    <definedName function="false" hidden="false" name="Uvmin" vbProcedure="false">Variables!$B$1</definedName>
    <definedName function="false" hidden="false" name="Vcap" vbProcedure="false">Variables!$D$12</definedName>
    <definedName function="false" hidden="false" name="Vcapmax" vbProcedure="false">Variables!$F$12</definedName>
    <definedName function="false" hidden="false" name="Vcapmin" vbProcedure="false">Variables!$B$12</definedName>
    <definedName function="false" hidden="false" name="VCBOS" vbProcedure="false">Variables!$D$41</definedName>
    <definedName function="false" hidden="false" name="VCBOSmax" vbProcedure="false">Variables!$F$41</definedName>
    <definedName function="false" hidden="false" name="VCBOSmin" vbProcedure="false">Variables!$B$41</definedName>
    <definedName function="false" hidden="false" name="VCLref" vbProcedure="false">Variables!$D$19</definedName>
    <definedName function="false" hidden="false" name="Vgate" vbProcedure="false">Variables!$D$27</definedName>
    <definedName function="false" hidden="false" name="Vgatemax" vbProcedure="false">Variables!$F$27</definedName>
    <definedName function="false" hidden="false" name="Vgatemin" vbProcedure="false">Variables!$B$27</definedName>
    <definedName function="false" hidden="false" name="VI" vbProcedure="false">'Design Calculations'!$B$22</definedName>
    <definedName function="false" hidden="false" name="VISET" vbProcedure="false">Variables!$D$18</definedName>
    <definedName function="false" hidden="false" name="VISETmax" vbProcedure="false">Variables!$F$18</definedName>
    <definedName function="false" hidden="false" name="VISETmin" vbProcedure="false">Variables!$B$18</definedName>
    <definedName function="false" hidden="false" name="VOFLB" vbProcedure="false">'Design Calculations'!$B$36</definedName>
    <definedName function="false" hidden="false" name="VOPG" vbProcedure="false">'Design Calculations'!$B$33</definedName>
    <definedName function="false" hidden="false" name="Vout" vbProcedure="false">'Design Calculations'!$B$32</definedName>
    <definedName function="false" hidden="false" name="VPG" vbProcedure="false">Variables!$D$58</definedName>
    <definedName function="false" hidden="false" name="VPGmax" vbProcedure="false">Variables!$F$58</definedName>
    <definedName function="false" hidden="false" name="VPGmin" vbProcedure="false">Variables!$B$58</definedName>
    <definedName function="false" hidden="false" name="VRPFG" vbProcedure="false">Variables!$D$23</definedName>
    <definedName function="false" hidden="false" name="VRPFGmax" vbProcedure="false">Variables!$F$23</definedName>
    <definedName function="false" hidden="false" name="VRPFGmin" vbProcedure="false">Variables!$B$23</definedName>
    <definedName function="false" hidden="false" name="VsenseCL" vbProcedure="false">Variables!$D$34</definedName>
    <definedName function="false" hidden="false" name="VsenseCLmax" vbProcedure="false">Variables!$F$34</definedName>
    <definedName function="false" hidden="false" name="VsenseCLmin" vbProcedure="false">Variables!$B$34</definedName>
    <definedName function="false" hidden="false" name="VtimeH" vbProcedure="false">Variables!$D$49</definedName>
    <definedName function="false" hidden="false" name="VtimeHmax" vbProcedure="false">Variables!$F$49</definedName>
    <definedName function="false" hidden="false" name="VtimeHmin" vbProcedure="false">Variables!$B$49</definedName>
    <definedName function="false" hidden="false" name="VtimeL" vbProcedure="false">Variables!$D$50</definedName>
    <definedName function="false" hidden="false" name="VtimeLmax" vbProcedure="false">Variables!$F$50</definedName>
    <definedName function="false" hidden="false" name="VtimeLmin" vbProcedure="false">Variables!$B$50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<sst xmlns="http://schemas.openxmlformats.org/spreadsheetml/2006/main" count="429" uniqueCount="285">
  <si>
    <t xml:space="preserve">Set Resistor Tolerances</t>
  </si>
  <si>
    <t xml:space="preserve">Sense Resistor Tolerance (%/100)</t>
  </si>
  <si>
    <t xml:space="preserve">Other Resistor Tolerance (%/100)</t>
  </si>
  <si>
    <t xml:space="preserve">Section 1</t>
  </si>
  <si>
    <t xml:space="preserve">Volts</t>
  </si>
  <si>
    <t xml:space="preserve">Kohm</t>
  </si>
  <si>
    <t xml:space="preserve">R1, closest Std 1% value</t>
  </si>
  <si>
    <t xml:space="preserve">R2, closest Std 1% value</t>
  </si>
  <si>
    <t xml:space="preserve">Actual UV Threshold</t>
  </si>
  <si>
    <t xml:space="preserve">Actual OV Threshold</t>
  </si>
  <si>
    <t xml:space="preserve">Worst Case UV High</t>
  </si>
  <si>
    <t xml:space="preserve">Worst Case UV Low</t>
  </si>
  <si>
    <t xml:space="preserve">Worst Case OV High</t>
  </si>
  <si>
    <t xml:space="preserve">Worst Case OV Low</t>
  </si>
  <si>
    <t xml:space="preserve">Section 2</t>
  </si>
  <si>
    <t xml:space="preserve">Amps</t>
  </si>
  <si>
    <t xml:space="preserve">Ohms</t>
  </si>
  <si>
    <t xml:space="preserve">Kohms</t>
  </si>
  <si>
    <t xml:space="preserve">R4, closest Std 1% value</t>
  </si>
  <si>
    <t xml:space="preserve">Calc VISET</t>
  </si>
  <si>
    <t xml:space="preserve">Worst Case OC High</t>
  </si>
  <si>
    <t xml:space="preserve">Worst Case OC Low</t>
  </si>
  <si>
    <t xml:space="preserve">Section 3</t>
  </si>
  <si>
    <t xml:space="preserve">R7, closest Std 1% value</t>
  </si>
  <si>
    <t xml:space="preserve">R8, closest Std 1% value</t>
  </si>
  <si>
    <t xml:space="preserve">Worst Case PG High</t>
  </si>
  <si>
    <t xml:space="preserve">Worst Case PG Low</t>
  </si>
  <si>
    <t xml:space="preserve">R9, closest Std 1% value</t>
  </si>
  <si>
    <t xml:space="preserve">Section 4</t>
  </si>
  <si>
    <t xml:space="preserve">Set Capacitor Tolerance (%/100)</t>
  </si>
  <si>
    <t xml:space="preserve">mS</t>
  </si>
  <si>
    <t xml:space="preserve">nF</t>
  </si>
  <si>
    <t xml:space="preserve">Wost Case Timer Max</t>
  </si>
  <si>
    <t xml:space="preserve">Wost Case Timer Min</t>
  </si>
  <si>
    <t xml:space="preserve">Wost Case TimerOff Max</t>
  </si>
  <si>
    <t xml:space="preserve">Wost Case TimerOff Min</t>
  </si>
  <si>
    <t xml:space="preserve">Start Up Time from Internal UVLO (set by CtimerOff)</t>
  </si>
  <si>
    <t xml:space="preserve">Wost Case Max</t>
  </si>
  <si>
    <t xml:space="preserve">Wost Case Min</t>
  </si>
  <si>
    <t xml:space="preserve">Section 5</t>
  </si>
  <si>
    <t xml:space="preserve">Load Capacitance</t>
  </si>
  <si>
    <t xml:space="preserve">uF</t>
  </si>
  <si>
    <t xml:space="preserve">Start up time</t>
  </si>
  <si>
    <t xml:space="preserve">Seconds</t>
  </si>
  <si>
    <t xml:space="preserve">Time</t>
  </si>
  <si>
    <t xml:space="preserve">Start Up</t>
  </si>
  <si>
    <t xml:space="preserve">Section 6</t>
  </si>
  <si>
    <t xml:space="preserve">FET Selection</t>
  </si>
  <si>
    <t xml:space="preserve">Max Junction Temperature</t>
  </si>
  <si>
    <t xml:space="preserve">C</t>
  </si>
  <si>
    <t xml:space="preserve">Ambient Temperature</t>
  </si>
  <si>
    <t xml:space="preserve">Mosfet thermal resistance from datasheet</t>
  </si>
  <si>
    <t xml:space="preserve">C/W</t>
  </si>
  <si>
    <t xml:space="preserve">Max permissible FET power dissipation</t>
  </si>
  <si>
    <t xml:space="preserve">W</t>
  </si>
  <si>
    <t xml:space="preserve">Permissible FET on resistance</t>
  </si>
  <si>
    <t xml:space="preserve">ohms</t>
  </si>
  <si>
    <t xml:space="preserve">Derating Factor from FET datasheet</t>
  </si>
  <si>
    <t xml:space="preserve">Max permissible FET on resistance</t>
  </si>
  <si>
    <t xml:space="preserve">Actual FET on resistance @ 25C</t>
  </si>
  <si>
    <t xml:space="preserve">Max FET on resistance at max Junc. Temp.</t>
  </si>
  <si>
    <t xml:space="preserve">Actual FET power dissipation</t>
  </si>
  <si>
    <t xml:space="preserve">Actual junction temperature rise</t>
  </si>
  <si>
    <t xml:space="preserve">Maximum junction temperature</t>
  </si>
  <si>
    <t xml:space="preserve">Calculated FET Power Derating Factor (DF)</t>
  </si>
  <si>
    <t xml:space="preserve">Vds</t>
  </si>
  <si>
    <t xml:space="preserve">100uS</t>
  </si>
  <si>
    <t xml:space="preserve">1mS</t>
  </si>
  <si>
    <t xml:space="preserve">10mS</t>
  </si>
  <si>
    <t xml:space="preserve">100mS</t>
  </si>
  <si>
    <t xml:space="preserve">1000mS</t>
  </si>
  <si>
    <t xml:space="preserve">DC</t>
  </si>
  <si>
    <t xml:space="preserve">Max Power</t>
  </si>
  <si>
    <t xml:space="preserve">Peak Power</t>
  </si>
  <si>
    <t xml:space="preserve">Avg Power</t>
  </si>
  <si>
    <t xml:space="preserve">Avg Current</t>
  </si>
  <si>
    <t xml:space="preserve">SOA Current</t>
  </si>
  <si>
    <t xml:space="preserve">Timer PW</t>
  </si>
  <si>
    <t xml:space="preserve">55V</t>
  </si>
  <si>
    <t xml:space="preserve">40V</t>
  </si>
  <si>
    <t xml:space="preserve">30V</t>
  </si>
  <si>
    <t xml:space="preserve">20V</t>
  </si>
  <si>
    <t xml:space="preserve">10V</t>
  </si>
  <si>
    <t xml:space="preserve">5V</t>
  </si>
  <si>
    <t xml:space="preserve">3V</t>
  </si>
  <si>
    <t xml:space="preserve">2V</t>
  </si>
  <si>
    <t xml:space="preserve">UV and OV</t>
  </si>
  <si>
    <t xml:space="preserve">Set UV threshold</t>
  </si>
  <si>
    <t xml:space="preserve">Set OV threshold</t>
  </si>
  <si>
    <t xml:space="preserve">Set R3 in Kohms</t>
  </si>
  <si>
    <t xml:space="preserve">Calc R1 + R2</t>
  </si>
  <si>
    <t xml:space="preserve">Std 1% Low</t>
  </si>
  <si>
    <t xml:space="preserve">Std 1% High</t>
  </si>
  <si>
    <t xml:space="preserve">Error low</t>
  </si>
  <si>
    <t xml:space="preserve">Error high</t>
  </si>
  <si>
    <t xml:space="preserve">Closest Std 1% value</t>
  </si>
  <si>
    <t xml:space="preserve">Calc R2</t>
  </si>
  <si>
    <t xml:space="preserve">Ideal</t>
  </si>
  <si>
    <t xml:space="preserve">Calc R1</t>
  </si>
  <si>
    <t xml:space="preserve">Calc actual UV</t>
  </si>
  <si>
    <t xml:space="preserve">Calc actual OV</t>
  </si>
  <si>
    <t xml:space="preserve">CURRENT LIMIT</t>
  </si>
  <si>
    <t xml:space="preserve">Desired Current Limit</t>
  </si>
  <si>
    <t xml:space="preserve">Set Rsense</t>
  </si>
  <si>
    <t xml:space="preserve">Vsense Low</t>
  </si>
  <si>
    <t xml:space="preserve">Vsense High</t>
  </si>
  <si>
    <t xml:space="preserve">Calc Vsense</t>
  </si>
  <si>
    <t xml:space="preserve">Set R5 in Kohms</t>
  </si>
  <si>
    <t xml:space="preserve">Calc R4</t>
  </si>
  <si>
    <t xml:space="preserve">Calc actual OC</t>
  </si>
  <si>
    <t xml:space="preserve">FOLDBACK and PG</t>
  </si>
  <si>
    <t xml:space="preserve">Set PG Threshold</t>
  </si>
  <si>
    <t xml:space="preserve">eg. 90% of 12V</t>
  </si>
  <si>
    <t xml:space="preserve">Set R9 in Kohms</t>
  </si>
  <si>
    <t xml:space="preserve">Set R8 in Kohms</t>
  </si>
  <si>
    <t xml:space="preserve">Calc R7 + R8</t>
  </si>
  <si>
    <t xml:space="preserve">Cal R7 + R9</t>
  </si>
  <si>
    <t xml:space="preserve">Set FLB Threshold</t>
  </si>
  <si>
    <t xml:space="preserve">eg. 75% of 12V</t>
  </si>
  <si>
    <t xml:space="preserve">PG Threshold</t>
  </si>
  <si>
    <t xml:space="preserve">Calc R7</t>
  </si>
  <si>
    <t xml:space="preserve">Calc R9</t>
  </si>
  <si>
    <t xml:space="preserve">Calc R8</t>
  </si>
  <si>
    <t xml:space="preserve">Calc actual PG</t>
  </si>
  <si>
    <t xml:space="preserve">Calc OC @ VoFLB/4</t>
  </si>
  <si>
    <t xml:space="preserve">TIMER</t>
  </si>
  <si>
    <t xml:space="preserve">Set Timer in milliseconds</t>
  </si>
  <si>
    <t xml:space="preserve">Calc Ctimer</t>
  </si>
  <si>
    <t xml:space="preserve">Worst Case Timer high</t>
  </si>
  <si>
    <t xml:space="preserve">Worst Case Timer low</t>
  </si>
  <si>
    <t xml:space="preserve">Set TimerOff in milliseconds</t>
  </si>
  <si>
    <t xml:space="preserve">Cal CtimerOff</t>
  </si>
  <si>
    <t xml:space="preserve">Worst Case TimerOff high</t>
  </si>
  <si>
    <t xml:space="preserve">Worst Case TimerOff low</t>
  </si>
  <si>
    <t xml:space="preserve">Vout Factor</t>
  </si>
  <si>
    <t xml:space="preserve">Vout</t>
  </si>
  <si>
    <t xml:space="preserve">VFLB</t>
  </si>
  <si>
    <t xml:space="preserve">OC</t>
  </si>
  <si>
    <t xml:space="preserve">FLB OC</t>
  </si>
  <si>
    <t xml:space="preserve">Power</t>
  </si>
  <si>
    <t xml:space="preserve">UV pin</t>
  </si>
  <si>
    <t xml:space="preserve">Min</t>
  </si>
  <si>
    <t xml:space="preserve">Typ</t>
  </si>
  <si>
    <t xml:space="preserve">Max</t>
  </si>
  <si>
    <t xml:space="preserve">Units</t>
  </si>
  <si>
    <t xml:space="preserve">UVTH</t>
  </si>
  <si>
    <t xml:space="preserve">V</t>
  </si>
  <si>
    <t xml:space="preserve">UVHYST</t>
  </si>
  <si>
    <t xml:space="preserve">OV pin</t>
  </si>
  <si>
    <t xml:space="preserve">OVTH</t>
  </si>
  <si>
    <t xml:space="preserve">OVHYST</t>
  </si>
  <si>
    <t xml:space="preserve">SENSE- pin</t>
  </si>
  <si>
    <t xml:space="preserve">IsenseNeg</t>
  </si>
  <si>
    <t xml:space="preserve">uA</t>
  </si>
  <si>
    <t xml:space="preserve">VCAP pin</t>
  </si>
  <si>
    <t xml:space="preserve">VCAP</t>
  </si>
  <si>
    <t xml:space="preserve">UVLOrise</t>
  </si>
  <si>
    <t xml:space="preserve">UVLOfall</t>
  </si>
  <si>
    <t xml:space="preserve">UVLOhyst</t>
  </si>
  <si>
    <t xml:space="preserve">ISET pin</t>
  </si>
  <si>
    <t xml:space="preserve">V_ISETRSTH</t>
  </si>
  <si>
    <t xml:space="preserve">V_CLREF</t>
  </si>
  <si>
    <t xml:space="preserve">AV_CSAMP</t>
  </si>
  <si>
    <t xml:space="preserve">V/V</t>
  </si>
  <si>
    <t xml:space="preserve">RPFG pin</t>
  </si>
  <si>
    <t xml:space="preserve">VRPFG</t>
  </si>
  <si>
    <t xml:space="preserve">I_RPFGDN</t>
  </si>
  <si>
    <t xml:space="preserve">GATE pin</t>
  </si>
  <si>
    <t xml:space="preserve">VGATE</t>
  </si>
  <si>
    <t xml:space="preserve">I_GATEDN</t>
  </si>
  <si>
    <t xml:space="preserve">I_GATEUP</t>
  </si>
  <si>
    <t xml:space="preserve">I_GATEUP_REG</t>
  </si>
  <si>
    <t xml:space="preserve">I_GATEUP_FLT</t>
  </si>
  <si>
    <t xml:space="preserve">mA</t>
  </si>
  <si>
    <t xml:space="preserve">CURRENT SENSE VOLTAGE</t>
  </si>
  <si>
    <t xml:space="preserve">VsenseCL</t>
  </si>
  <si>
    <t xml:space="preserve">FB_Inact</t>
  </si>
  <si>
    <t xml:space="preserve">VSET = 2.5V, VFLB &gt; 1.35V</t>
  </si>
  <si>
    <t xml:space="preserve">VSET = 2V, VFLB &gt; 1.1V</t>
  </si>
  <si>
    <t xml:space="preserve">VSET = 1V, VFLB &gt; 0.57V</t>
  </si>
  <si>
    <t xml:space="preserve">VSET =0.5V, VFLB &gt; 0.3V</t>
  </si>
  <si>
    <t xml:space="preserve">FB_Act</t>
  </si>
  <si>
    <t xml:space="preserve">VFLB = 0V, DVGATE=3V, IGATE=0uA</t>
  </si>
  <si>
    <t xml:space="preserve">VISET&gt;2V, VFLB=0.5V, DVGATE=3V, IGATE=0uA</t>
  </si>
  <si>
    <t xml:space="preserve">VCBOS</t>
  </si>
  <si>
    <t xml:space="preserve">SEVERE OVERCURRENT</t>
  </si>
  <si>
    <t xml:space="preserve">VsenseOC</t>
  </si>
  <si>
    <t xml:space="preserve">V_ISET&gt;2.65V</t>
  </si>
  <si>
    <t xml:space="preserve">V_ISET = 0.5V</t>
  </si>
  <si>
    <t xml:space="preserve">TIMER pin</t>
  </si>
  <si>
    <t xml:space="preserve">I_TimerUP</t>
  </si>
  <si>
    <t xml:space="preserve">V_TimerH</t>
  </si>
  <si>
    <t xml:space="preserve">V_TimerL</t>
  </si>
  <si>
    <t xml:space="preserve">TIMER OFF pin</t>
  </si>
  <si>
    <t xml:space="preserve">I_POR</t>
  </si>
  <si>
    <t xml:space="preserve">I_TimerOFF</t>
  </si>
  <si>
    <t xml:space="preserve">V_TimerOFFH</t>
  </si>
  <si>
    <t xml:space="preserve">FEEDBK_PG pin</t>
  </si>
  <si>
    <t xml:space="preserve">VPGTH</t>
  </si>
  <si>
    <t xml:space="preserve">PGHYST</t>
  </si>
  <si>
    <t xml:space="preserve">Uvmin</t>
  </si>
  <si>
    <t xml:space="preserve">UV</t>
  </si>
  <si>
    <t xml:space="preserve">Uvmax</t>
  </si>
  <si>
    <t xml:space="preserve">Uvhystmin</t>
  </si>
  <si>
    <t xml:space="preserve">Uvhyst</t>
  </si>
  <si>
    <t xml:space="preserve">Uvhystmax</t>
  </si>
  <si>
    <t xml:space="preserve">Ovmin</t>
  </si>
  <si>
    <t xml:space="preserve">Ov</t>
  </si>
  <si>
    <t xml:space="preserve">Ovmax</t>
  </si>
  <si>
    <t xml:space="preserve">Ovhystmin</t>
  </si>
  <si>
    <t xml:space="preserve">Ovhyst</t>
  </si>
  <si>
    <t xml:space="preserve">Ovhystmax</t>
  </si>
  <si>
    <t xml:space="preserve">Isensemin</t>
  </si>
  <si>
    <t xml:space="preserve">Isense</t>
  </si>
  <si>
    <t xml:space="preserve">Isensemax</t>
  </si>
  <si>
    <t xml:space="preserve">Vcapmin</t>
  </si>
  <si>
    <t xml:space="preserve">Vcap</t>
  </si>
  <si>
    <t xml:space="preserve">Vcapmax</t>
  </si>
  <si>
    <t xml:space="preserve">VISETmin</t>
  </si>
  <si>
    <t xml:space="preserve">VISET</t>
  </si>
  <si>
    <t xml:space="preserve">VISETmax</t>
  </si>
  <si>
    <t xml:space="preserve">VCLref</t>
  </si>
  <si>
    <t xml:space="preserve">Gainmin</t>
  </si>
  <si>
    <t xml:space="preserve">Gain</t>
  </si>
  <si>
    <t xml:space="preserve">Gainmax</t>
  </si>
  <si>
    <t xml:space="preserve">VRPFGmin</t>
  </si>
  <si>
    <t xml:space="preserve">VRPFGmax</t>
  </si>
  <si>
    <t xml:space="preserve">IRPFGmin</t>
  </si>
  <si>
    <t xml:space="preserve">IRPFG</t>
  </si>
  <si>
    <t xml:space="preserve">IRPFGmax</t>
  </si>
  <si>
    <t xml:space="preserve">Vgatemin</t>
  </si>
  <si>
    <t xml:space="preserve">Vgate</t>
  </si>
  <si>
    <t xml:space="preserve">Vgatemax</t>
  </si>
  <si>
    <t xml:space="preserve">IGATEDNmin</t>
  </si>
  <si>
    <t xml:space="preserve">IGATEDN</t>
  </si>
  <si>
    <t xml:space="preserve">IGATEDNmax</t>
  </si>
  <si>
    <t xml:space="preserve">IGATEUPmin</t>
  </si>
  <si>
    <t xml:space="preserve">IGATEUP</t>
  </si>
  <si>
    <t xml:space="preserve">IGATEUPmax</t>
  </si>
  <si>
    <t xml:space="preserve">IGATEUPFLTmin</t>
  </si>
  <si>
    <t xml:space="preserve">IGATEUPFLT</t>
  </si>
  <si>
    <t xml:space="preserve">IGATEUPFLTmax</t>
  </si>
  <si>
    <t xml:space="preserve">VsenseCLmin</t>
  </si>
  <si>
    <t xml:space="preserve">VsenseCLmax</t>
  </si>
  <si>
    <t xml:space="preserve">Fbinactmin</t>
  </si>
  <si>
    <t xml:space="preserve">Fbinact</t>
  </si>
  <si>
    <t xml:space="preserve">Fbinactmax</t>
  </si>
  <si>
    <t xml:space="preserve">Fbmin</t>
  </si>
  <si>
    <t xml:space="preserve">FB</t>
  </si>
  <si>
    <t xml:space="preserve">Fbmax</t>
  </si>
  <si>
    <t xml:space="preserve">VCBOSmin</t>
  </si>
  <si>
    <t xml:space="preserve">VCBOSmax</t>
  </si>
  <si>
    <t xml:space="preserve">SOCmin</t>
  </si>
  <si>
    <t xml:space="preserve">SOC</t>
  </si>
  <si>
    <t xml:space="preserve">SOCmax</t>
  </si>
  <si>
    <t xml:space="preserve">TimerUpmin</t>
  </si>
  <si>
    <t xml:space="preserve">TimerUp</t>
  </si>
  <si>
    <t xml:space="preserve">TimerUpmax</t>
  </si>
  <si>
    <t xml:space="preserve">VtimeHmin</t>
  </si>
  <si>
    <t xml:space="preserve">VtimeH</t>
  </si>
  <si>
    <t xml:space="preserve">VtimeHmax</t>
  </si>
  <si>
    <t xml:space="preserve">VtimeLmin</t>
  </si>
  <si>
    <t xml:space="preserve">VtimeL</t>
  </si>
  <si>
    <t xml:space="preserve">VtimeLmax</t>
  </si>
  <si>
    <t xml:space="preserve">IPORmin</t>
  </si>
  <si>
    <t xml:space="preserve">IPOR</t>
  </si>
  <si>
    <t xml:space="preserve">IPORmax</t>
  </si>
  <si>
    <t xml:space="preserve">TimerOffmin</t>
  </si>
  <si>
    <t xml:space="preserve">TimerOff</t>
  </si>
  <si>
    <t xml:space="preserve">TimeOffmax</t>
  </si>
  <si>
    <t xml:space="preserve">TimerOffHmin</t>
  </si>
  <si>
    <t xml:space="preserve">TimerOffH</t>
  </si>
  <si>
    <t xml:space="preserve">TimerOffHmax</t>
  </si>
  <si>
    <t xml:space="preserve">VPGmin</t>
  </si>
  <si>
    <t xml:space="preserve">VPG</t>
  </si>
  <si>
    <t xml:space="preserve">VPGmax</t>
  </si>
  <si>
    <t xml:space="preserve">PGHystmin</t>
  </si>
  <si>
    <t xml:space="preserve">PGHyst</t>
  </si>
  <si>
    <t xml:space="preserve">PGHystmax</t>
  </si>
  <si>
    <t xml:space="preserve">revTool</t>
  </si>
  <si>
    <t xml:space="preserve">revName</t>
  </si>
  <si>
    <t xml:space="preserve">ADM1270 Design Spreadsheet tool</t>
  </si>
  <si>
    <t xml:space="preserve">revLink</t>
  </si>
  <si>
    <t xml:space="preserve">revText</t>
  </si>
  <si>
    <t xml:space="preserve">ADM1270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</si>
</sst>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"/>
    <numFmt numFmtId="169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2"/>
      <color rgb="FF000000"/>
      <name val="Arial"/>
      <family val="2"/>
    </font>
    <font>
      <sz val="10"/>
      <color rgb="FF000000"/>
      <name val="Arial"/>
      <family val="2"/>
    </font>
    <font>
      <b val="true"/>
      <sz val="11"/>
      <color rgb="FF000000"/>
      <name val="Arial"/>
      <family val="2"/>
    </font>
    <font>
      <sz val="8.45"/>
      <color rgb="FF000000"/>
      <name val="Arial"/>
      <family val="2"/>
    </font>
    <font>
      <b val="true"/>
      <sz val="10"/>
      <color rgb="FF000000"/>
      <name val="Arial"/>
      <family val="2"/>
    </font>
    <font>
      <b val="true"/>
      <sz val="9"/>
      <color rgb="FF000000"/>
      <name val="Arial"/>
      <family val="2"/>
    </font>
    <font>
      <sz val="8.75"/>
      <color rgb="FF000000"/>
      <name val="Arial"/>
      <family val="2"/>
    </font>
    <font>
      <b val="true"/>
      <sz val="8"/>
      <color rgb="FF000000"/>
      <name val="Arial"/>
      <family val="2"/>
    </font>
    <font>
      <sz val="7.4"/>
      <color rgb="FF000000"/>
      <name val="Arial"/>
      <family val="2"/>
    </font>
    <font>
      <sz val="11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99"/>
        <bgColor rgb="FFFFFFCC"/>
      </patternFill>
    </fill>
    <fill>
      <patternFill patternType="solid">
        <fgColor rgb="FFCCFFFF"/>
        <bgColor rgb="FFCCFFFF"/>
      </patternFill>
    </fill>
    <fill>
      <patternFill patternType="solid">
        <fgColor rgb="FF00FF00"/>
        <bgColor rgb="FF33CCCC"/>
      </patternFill>
    </fill>
    <fill>
      <patternFill patternType="solid">
        <fgColor rgb="FFFF99CC"/>
        <bgColor rgb="FFFF8080"/>
      </patternFill>
    </fill>
    <fill>
      <patternFill patternType="solid">
        <fgColor rgb="FFFFCC99"/>
        <bgColor rgb="FFC0C0C0"/>
      </patternFill>
    </fill>
    <fill>
      <patternFill patternType="solid">
        <fgColor rgb="FFCCFFCC"/>
        <bgColor rgb="FFCCFFFF"/>
      </patternFill>
    </fill>
    <fill>
      <patternFill patternType="solid">
        <fgColor rgb="FFCCCCFF"/>
        <bgColor rgb="FFC0C0C0"/>
      </patternFill>
    </fill>
    <fill>
      <patternFill patternType="solid">
        <fgColor rgb="FF99CCFF"/>
        <bgColor rgb="FFCCCCFF"/>
      </patternFill>
    </fill>
    <fill>
      <patternFill patternType="solid">
        <fgColor rgb="FFCC99FF"/>
        <bgColor rgb="FF9999FF"/>
      </patternFill>
    </fill>
    <fill>
      <patternFill patternType="solid">
        <fgColor rgb="FFFFFF00"/>
        <bgColor rgb="FFFFFF00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2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3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false" hidden="true"/>
    </xf>
    <xf numFmtId="164" fontId="0" fillId="2" borderId="6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7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8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2" borderId="9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2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3" borderId="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4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3" borderId="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6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3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4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5" fontId="0" fillId="4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5" fontId="0" fillId="5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5" fontId="0" fillId="3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7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8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9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2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6" borderId="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3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6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6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4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6" borderId="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6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4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6" fillId="6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5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7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8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9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1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2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7" borderId="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3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7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6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4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7" borderId="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6" fillId="7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7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5" fontId="0" fillId="7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7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7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8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9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1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2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8" borderId="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3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6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8" borderId="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7" fontId="0" fillId="5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7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8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8" borderId="9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6" borderId="5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6" borderId="5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5" fontId="0" fillId="6" borderId="5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1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2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4" fillId="9" borderId="2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3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6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9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0" borderId="5" xfId="0" applyFont="false" applyBorder="true" applyAlignment="true" applyProtection="true">
      <alignment horizontal="general" vertical="bottom" textRotation="0" wrapText="false" indent="0" shrinkToFit="false"/>
      <protection locked="false" hidden="true"/>
    </xf>
    <xf numFmtId="165" fontId="0" fillId="9" borderId="0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7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8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0" fillId="9" borderId="9" xfId="0" applyFont="false" applyBorder="true" applyAlignment="true" applyProtection="true">
      <alignment horizontal="general" vertical="bottom" textRotation="0" wrapText="false" indent="0" shrinkToFit="false"/>
      <protection locked="true" hidden="tru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5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5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5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6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4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4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tru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tru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0" fillId="11" borderId="0" xfId="0" applyFont="false" applyBorder="false" applyAlignment="true" applyProtection="true">
      <alignment horizontal="general" vertical="bottom" textRotation="0" wrapText="false" indent="0" shrinkToFit="false"/>
      <protection locked="true" hidden="tru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Overcurrent vs Output Voltage in Foldback</a:t>
            </a:r>
          </a:p>
        </c:rich>
      </c:tx>
      <c:layout>
        <c:manualLayout>
          <c:xMode val="edge"/>
          <c:yMode val="edge"/>
          <c:x val="0.29149139043132"/>
          <c:y val="0.065554231227652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33473554321611"/>
          <c:y val="0.152324195470799"/>
          <c:w val="0.88064389477817"/>
          <c:h val="0.724116011124354"/>
        </c:manualLayout>
      </c:layout>
      <c:scatterChart>
        <c:scatterStyle val="line"/>
        <c:varyColors val="0"/>
        <c:ser>
          <c:idx val="0"/>
          <c:order val="0"/>
          <c:tx>
            <c:strRef>
              <c:f>'Design Calculations'!$F$59</c:f>
              <c:strCache>
                <c:ptCount val="1"/>
                <c:pt idx="0">
                  <c:v>FLB OC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Calculations'!$C$60:$C$279</c:f>
              <c:numCache>
                <c:formatCode>General</c:formatCode>
                <c:ptCount val="220"/>
                <c:pt idx="0">
                  <c:v>28.6</c:v>
                </c:pt>
                <c:pt idx="1">
                  <c:v>28.47</c:v>
                </c:pt>
                <c:pt idx="2">
                  <c:v>28.34</c:v>
                </c:pt>
                <c:pt idx="3">
                  <c:v>28.21</c:v>
                </c:pt>
                <c:pt idx="4">
                  <c:v>28.08</c:v>
                </c:pt>
                <c:pt idx="5">
                  <c:v>27.95</c:v>
                </c:pt>
                <c:pt idx="6">
                  <c:v>27.82</c:v>
                </c:pt>
                <c:pt idx="7">
                  <c:v>27.69</c:v>
                </c:pt>
                <c:pt idx="8">
                  <c:v>27.56</c:v>
                </c:pt>
                <c:pt idx="9">
                  <c:v>27.43</c:v>
                </c:pt>
                <c:pt idx="10">
                  <c:v>27.3</c:v>
                </c:pt>
                <c:pt idx="11">
                  <c:v>27.17</c:v>
                </c:pt>
                <c:pt idx="12">
                  <c:v>27.04</c:v>
                </c:pt>
                <c:pt idx="13">
                  <c:v>26.91</c:v>
                </c:pt>
                <c:pt idx="14">
                  <c:v>26.78</c:v>
                </c:pt>
                <c:pt idx="15">
                  <c:v>26.65</c:v>
                </c:pt>
                <c:pt idx="16">
                  <c:v>26.52</c:v>
                </c:pt>
                <c:pt idx="17">
                  <c:v>26.39</c:v>
                </c:pt>
                <c:pt idx="18">
                  <c:v>26.26</c:v>
                </c:pt>
                <c:pt idx="19">
                  <c:v>26.13</c:v>
                </c:pt>
                <c:pt idx="20">
                  <c:v>26</c:v>
                </c:pt>
                <c:pt idx="21">
                  <c:v>25.87</c:v>
                </c:pt>
                <c:pt idx="22">
                  <c:v>25.74</c:v>
                </c:pt>
                <c:pt idx="23">
                  <c:v>25.61</c:v>
                </c:pt>
                <c:pt idx="24">
                  <c:v>25.48</c:v>
                </c:pt>
                <c:pt idx="25">
                  <c:v>25.35</c:v>
                </c:pt>
                <c:pt idx="26">
                  <c:v>25.22</c:v>
                </c:pt>
                <c:pt idx="27">
                  <c:v>25.09</c:v>
                </c:pt>
                <c:pt idx="28">
                  <c:v>24.96</c:v>
                </c:pt>
                <c:pt idx="29">
                  <c:v>24.83</c:v>
                </c:pt>
                <c:pt idx="30">
                  <c:v>24.7</c:v>
                </c:pt>
                <c:pt idx="31">
                  <c:v>24.57</c:v>
                </c:pt>
                <c:pt idx="32">
                  <c:v>24.44</c:v>
                </c:pt>
                <c:pt idx="33">
                  <c:v>24.31</c:v>
                </c:pt>
                <c:pt idx="34">
                  <c:v>24.18</c:v>
                </c:pt>
                <c:pt idx="35">
                  <c:v>24.05</c:v>
                </c:pt>
                <c:pt idx="36">
                  <c:v>23.92</c:v>
                </c:pt>
                <c:pt idx="37">
                  <c:v>23.79</c:v>
                </c:pt>
                <c:pt idx="38">
                  <c:v>23.66</c:v>
                </c:pt>
                <c:pt idx="39">
                  <c:v>23.53</c:v>
                </c:pt>
                <c:pt idx="40">
                  <c:v>23.4</c:v>
                </c:pt>
                <c:pt idx="41">
                  <c:v>23.27</c:v>
                </c:pt>
                <c:pt idx="42">
                  <c:v>23.14</c:v>
                </c:pt>
                <c:pt idx="43">
                  <c:v>23.01</c:v>
                </c:pt>
                <c:pt idx="44">
                  <c:v>22.88</c:v>
                </c:pt>
                <c:pt idx="45">
                  <c:v>22.75</c:v>
                </c:pt>
                <c:pt idx="46">
                  <c:v>22.62</c:v>
                </c:pt>
                <c:pt idx="47">
                  <c:v>22.49</c:v>
                </c:pt>
                <c:pt idx="48">
                  <c:v>22.36</c:v>
                </c:pt>
                <c:pt idx="49">
                  <c:v>22.23</c:v>
                </c:pt>
                <c:pt idx="50">
                  <c:v>22.1</c:v>
                </c:pt>
                <c:pt idx="51">
                  <c:v>21.97</c:v>
                </c:pt>
                <c:pt idx="52">
                  <c:v>21.84</c:v>
                </c:pt>
                <c:pt idx="53">
                  <c:v>21.71</c:v>
                </c:pt>
                <c:pt idx="54">
                  <c:v>21.58</c:v>
                </c:pt>
                <c:pt idx="55">
                  <c:v>21.45</c:v>
                </c:pt>
                <c:pt idx="56">
                  <c:v>21.32</c:v>
                </c:pt>
                <c:pt idx="57">
                  <c:v>21.19</c:v>
                </c:pt>
                <c:pt idx="58">
                  <c:v>21.06</c:v>
                </c:pt>
                <c:pt idx="59">
                  <c:v>20.93</c:v>
                </c:pt>
                <c:pt idx="60">
                  <c:v>20.8</c:v>
                </c:pt>
                <c:pt idx="61">
                  <c:v>20.67</c:v>
                </c:pt>
                <c:pt idx="62">
                  <c:v>20.54</c:v>
                </c:pt>
                <c:pt idx="63">
                  <c:v>20.41</c:v>
                </c:pt>
                <c:pt idx="64">
                  <c:v>20.28</c:v>
                </c:pt>
                <c:pt idx="65">
                  <c:v>20.15</c:v>
                </c:pt>
                <c:pt idx="66">
                  <c:v>20.02</c:v>
                </c:pt>
                <c:pt idx="67">
                  <c:v>19.89</c:v>
                </c:pt>
                <c:pt idx="68">
                  <c:v>19.76</c:v>
                </c:pt>
                <c:pt idx="69">
                  <c:v>19.63</c:v>
                </c:pt>
                <c:pt idx="70">
                  <c:v>19.5</c:v>
                </c:pt>
                <c:pt idx="71">
                  <c:v>19.37</c:v>
                </c:pt>
                <c:pt idx="72">
                  <c:v>19.24</c:v>
                </c:pt>
                <c:pt idx="73">
                  <c:v>19.11</c:v>
                </c:pt>
                <c:pt idx="74">
                  <c:v>18.98</c:v>
                </c:pt>
                <c:pt idx="75">
                  <c:v>18.85</c:v>
                </c:pt>
                <c:pt idx="76">
                  <c:v>18.72</c:v>
                </c:pt>
                <c:pt idx="77">
                  <c:v>18.59</c:v>
                </c:pt>
                <c:pt idx="78">
                  <c:v>18.46</c:v>
                </c:pt>
                <c:pt idx="79">
                  <c:v>18.33</c:v>
                </c:pt>
                <c:pt idx="80">
                  <c:v>18.2</c:v>
                </c:pt>
                <c:pt idx="81">
                  <c:v>18.07</c:v>
                </c:pt>
                <c:pt idx="82">
                  <c:v>17.94</c:v>
                </c:pt>
                <c:pt idx="83">
                  <c:v>17.81</c:v>
                </c:pt>
                <c:pt idx="84">
                  <c:v>17.68</c:v>
                </c:pt>
                <c:pt idx="85">
                  <c:v>17.55</c:v>
                </c:pt>
                <c:pt idx="86">
                  <c:v>17.42</c:v>
                </c:pt>
                <c:pt idx="87">
                  <c:v>17.29</c:v>
                </c:pt>
                <c:pt idx="88">
                  <c:v>17.16</c:v>
                </c:pt>
                <c:pt idx="89">
                  <c:v>17.03</c:v>
                </c:pt>
                <c:pt idx="90">
                  <c:v>16.9</c:v>
                </c:pt>
                <c:pt idx="91">
                  <c:v>16.77</c:v>
                </c:pt>
                <c:pt idx="92">
                  <c:v>16.64</c:v>
                </c:pt>
                <c:pt idx="93">
                  <c:v>16.51</c:v>
                </c:pt>
                <c:pt idx="94">
                  <c:v>16.38</c:v>
                </c:pt>
                <c:pt idx="95">
                  <c:v>16.25</c:v>
                </c:pt>
                <c:pt idx="96">
                  <c:v>16.12</c:v>
                </c:pt>
                <c:pt idx="97">
                  <c:v>15.99</c:v>
                </c:pt>
                <c:pt idx="98">
                  <c:v>15.86</c:v>
                </c:pt>
                <c:pt idx="99">
                  <c:v>15.73</c:v>
                </c:pt>
                <c:pt idx="100">
                  <c:v>15.6</c:v>
                </c:pt>
                <c:pt idx="101">
                  <c:v>15.47</c:v>
                </c:pt>
                <c:pt idx="102">
                  <c:v>15.34</c:v>
                </c:pt>
                <c:pt idx="103">
                  <c:v>15.21</c:v>
                </c:pt>
                <c:pt idx="104">
                  <c:v>15.08</c:v>
                </c:pt>
                <c:pt idx="105">
                  <c:v>14.95</c:v>
                </c:pt>
                <c:pt idx="106">
                  <c:v>14.82</c:v>
                </c:pt>
                <c:pt idx="107">
                  <c:v>14.69</c:v>
                </c:pt>
                <c:pt idx="108">
                  <c:v>14.56</c:v>
                </c:pt>
                <c:pt idx="109">
                  <c:v>14.43</c:v>
                </c:pt>
                <c:pt idx="110">
                  <c:v>14.3</c:v>
                </c:pt>
                <c:pt idx="111">
                  <c:v>14.17</c:v>
                </c:pt>
                <c:pt idx="112">
                  <c:v>14.04</c:v>
                </c:pt>
                <c:pt idx="113">
                  <c:v>13.91</c:v>
                </c:pt>
                <c:pt idx="114">
                  <c:v>13.78</c:v>
                </c:pt>
                <c:pt idx="115">
                  <c:v>13.65</c:v>
                </c:pt>
                <c:pt idx="116">
                  <c:v>13.52</c:v>
                </c:pt>
                <c:pt idx="117">
                  <c:v>13.39</c:v>
                </c:pt>
                <c:pt idx="118">
                  <c:v>13.26</c:v>
                </c:pt>
                <c:pt idx="119">
                  <c:v>13.13</c:v>
                </c:pt>
                <c:pt idx="120">
                  <c:v>13</c:v>
                </c:pt>
                <c:pt idx="121">
                  <c:v>12.87</c:v>
                </c:pt>
                <c:pt idx="122">
                  <c:v>12.74</c:v>
                </c:pt>
                <c:pt idx="123">
                  <c:v>12.61</c:v>
                </c:pt>
                <c:pt idx="124">
                  <c:v>12.48</c:v>
                </c:pt>
                <c:pt idx="125">
                  <c:v>12.35</c:v>
                </c:pt>
                <c:pt idx="126">
                  <c:v>12.22</c:v>
                </c:pt>
                <c:pt idx="127">
                  <c:v>12.09</c:v>
                </c:pt>
                <c:pt idx="128">
                  <c:v>11.96</c:v>
                </c:pt>
                <c:pt idx="129">
                  <c:v>11.83</c:v>
                </c:pt>
                <c:pt idx="130">
                  <c:v>11.7</c:v>
                </c:pt>
                <c:pt idx="131">
                  <c:v>11.57</c:v>
                </c:pt>
                <c:pt idx="132">
                  <c:v>11.44</c:v>
                </c:pt>
                <c:pt idx="133">
                  <c:v>11.31</c:v>
                </c:pt>
                <c:pt idx="134">
                  <c:v>11.18</c:v>
                </c:pt>
                <c:pt idx="135">
                  <c:v>11.05</c:v>
                </c:pt>
                <c:pt idx="136">
                  <c:v>10.92</c:v>
                </c:pt>
                <c:pt idx="137">
                  <c:v>10.79</c:v>
                </c:pt>
                <c:pt idx="138">
                  <c:v>10.66</c:v>
                </c:pt>
                <c:pt idx="139">
                  <c:v>10.53</c:v>
                </c:pt>
                <c:pt idx="140">
                  <c:v>10.4</c:v>
                </c:pt>
                <c:pt idx="141">
                  <c:v>10.27</c:v>
                </c:pt>
                <c:pt idx="142">
                  <c:v>10.14</c:v>
                </c:pt>
                <c:pt idx="143">
                  <c:v>10.01</c:v>
                </c:pt>
                <c:pt idx="144">
                  <c:v>9.87999999999997</c:v>
                </c:pt>
                <c:pt idx="145">
                  <c:v>9.74999999999997</c:v>
                </c:pt>
                <c:pt idx="146">
                  <c:v>9.61999999999997</c:v>
                </c:pt>
                <c:pt idx="147">
                  <c:v>9.48999999999997</c:v>
                </c:pt>
                <c:pt idx="148">
                  <c:v>9.35999999999998</c:v>
                </c:pt>
                <c:pt idx="149">
                  <c:v>9.22999999999997</c:v>
                </c:pt>
                <c:pt idx="150">
                  <c:v>9.09999999999997</c:v>
                </c:pt>
                <c:pt idx="151">
                  <c:v>8.96999999999997</c:v>
                </c:pt>
                <c:pt idx="152">
                  <c:v>8.83999999999998</c:v>
                </c:pt>
                <c:pt idx="153">
                  <c:v>8.70999999999997</c:v>
                </c:pt>
                <c:pt idx="154">
                  <c:v>8.57999999999998</c:v>
                </c:pt>
                <c:pt idx="155">
                  <c:v>8.44999999999997</c:v>
                </c:pt>
                <c:pt idx="156">
                  <c:v>8.31999999999997</c:v>
                </c:pt>
                <c:pt idx="157">
                  <c:v>8.18999999999998</c:v>
                </c:pt>
                <c:pt idx="158">
                  <c:v>8.05999999999997</c:v>
                </c:pt>
                <c:pt idx="159">
                  <c:v>7.92999999999997</c:v>
                </c:pt>
                <c:pt idx="160">
                  <c:v>7.79999999999997</c:v>
                </c:pt>
                <c:pt idx="161">
                  <c:v>7.66999999999997</c:v>
                </c:pt>
                <c:pt idx="162">
                  <c:v>7.53999999999997</c:v>
                </c:pt>
                <c:pt idx="163">
                  <c:v>7.40999999999997</c:v>
                </c:pt>
                <c:pt idx="164">
                  <c:v>7.27999999999997</c:v>
                </c:pt>
                <c:pt idx="165">
                  <c:v>7.14999999999998</c:v>
                </c:pt>
                <c:pt idx="166">
                  <c:v>7.01999999999998</c:v>
                </c:pt>
                <c:pt idx="167">
                  <c:v>6.88999999999997</c:v>
                </c:pt>
                <c:pt idx="168">
                  <c:v>6.75999999999997</c:v>
                </c:pt>
                <c:pt idx="169">
                  <c:v>6.62999999999997</c:v>
                </c:pt>
                <c:pt idx="170">
                  <c:v>6.49999999999997</c:v>
                </c:pt>
                <c:pt idx="171">
                  <c:v>6.36999999999997</c:v>
                </c:pt>
                <c:pt idx="172">
                  <c:v>6.23999999999997</c:v>
                </c:pt>
                <c:pt idx="173">
                  <c:v>6.10999999999997</c:v>
                </c:pt>
                <c:pt idx="174">
                  <c:v>5.97999999999998</c:v>
                </c:pt>
                <c:pt idx="175">
                  <c:v>5.84999999999997</c:v>
                </c:pt>
                <c:pt idx="176">
                  <c:v>5.71999999999997</c:v>
                </c:pt>
                <c:pt idx="177">
                  <c:v>5.58999999999997</c:v>
                </c:pt>
                <c:pt idx="178">
                  <c:v>5.45999999999997</c:v>
                </c:pt>
                <c:pt idx="179">
                  <c:v>5.32999999999997</c:v>
                </c:pt>
                <c:pt idx="180">
                  <c:v>5.19999999999997</c:v>
                </c:pt>
                <c:pt idx="181">
                  <c:v>5.06999999999997</c:v>
                </c:pt>
                <c:pt idx="182">
                  <c:v>4.93999999999997</c:v>
                </c:pt>
                <c:pt idx="183">
                  <c:v>4.80999999999997</c:v>
                </c:pt>
                <c:pt idx="184">
                  <c:v>4.67999999999997</c:v>
                </c:pt>
                <c:pt idx="185">
                  <c:v>4.54999999999997</c:v>
                </c:pt>
                <c:pt idx="186">
                  <c:v>4.41999999999997</c:v>
                </c:pt>
                <c:pt idx="187">
                  <c:v>4.28999999999997</c:v>
                </c:pt>
                <c:pt idx="188">
                  <c:v>4.15999999999997</c:v>
                </c:pt>
                <c:pt idx="189">
                  <c:v>4.02999999999997</c:v>
                </c:pt>
                <c:pt idx="190">
                  <c:v>3.89999999999997</c:v>
                </c:pt>
                <c:pt idx="191">
                  <c:v>3.76999999999997</c:v>
                </c:pt>
                <c:pt idx="192">
                  <c:v>3.63999999999997</c:v>
                </c:pt>
                <c:pt idx="193">
                  <c:v>3.50999999999997</c:v>
                </c:pt>
                <c:pt idx="194">
                  <c:v>3.37999999999997</c:v>
                </c:pt>
                <c:pt idx="195">
                  <c:v>3.24999999999997</c:v>
                </c:pt>
                <c:pt idx="196">
                  <c:v>3.11999999999997</c:v>
                </c:pt>
                <c:pt idx="197">
                  <c:v>2.98999999999997</c:v>
                </c:pt>
                <c:pt idx="198">
                  <c:v>2.85999999999997</c:v>
                </c:pt>
                <c:pt idx="199">
                  <c:v>2.72999999999997</c:v>
                </c:pt>
                <c:pt idx="200">
                  <c:v>2.59999999999997</c:v>
                </c:pt>
                <c:pt idx="201">
                  <c:v>2.46999999999997</c:v>
                </c:pt>
                <c:pt idx="202">
                  <c:v>2.33999999999997</c:v>
                </c:pt>
                <c:pt idx="203">
                  <c:v>2.20999999999997</c:v>
                </c:pt>
                <c:pt idx="204">
                  <c:v>2.07999999999997</c:v>
                </c:pt>
                <c:pt idx="205">
                  <c:v>1.94999999999997</c:v>
                </c:pt>
                <c:pt idx="206">
                  <c:v>1.81999999999997</c:v>
                </c:pt>
                <c:pt idx="207">
                  <c:v>1.68999999999997</c:v>
                </c:pt>
                <c:pt idx="208">
                  <c:v>1.55999999999998</c:v>
                </c:pt>
                <c:pt idx="209">
                  <c:v>1.42999999999997</c:v>
                </c:pt>
                <c:pt idx="210">
                  <c:v>1.29999999999997</c:v>
                </c:pt>
                <c:pt idx="211">
                  <c:v>1.16999999999997</c:v>
                </c:pt>
                <c:pt idx="212">
                  <c:v>1.03999999999997</c:v>
                </c:pt>
                <c:pt idx="213">
                  <c:v>0.909999999999974</c:v>
                </c:pt>
                <c:pt idx="214">
                  <c:v>0.779999999999974</c:v>
                </c:pt>
                <c:pt idx="215">
                  <c:v>0.649999999999974</c:v>
                </c:pt>
                <c:pt idx="216">
                  <c:v>0.519999999999974</c:v>
                </c:pt>
                <c:pt idx="217">
                  <c:v>0.389999999999974</c:v>
                </c:pt>
                <c:pt idx="218">
                  <c:v>0.259999999999974</c:v>
                </c:pt>
                <c:pt idx="219">
                  <c:v>0.129999999999974</c:v>
                </c:pt>
              </c:numCache>
            </c:numRef>
          </c:xVal>
          <c:yVal>
            <c:numRef>
              <c:f>'Design Calculations'!$F$60:$F$279</c:f>
              <c:numCache>
                <c:formatCode>0.000</c:formatCode>
                <c:ptCount val="220"/>
              </c:numCache>
            </c:numRef>
          </c:yVal>
          <c:smooth val="1"/>
        </c:ser>
        <c:ser>
          <c:idx val="1"/>
          <c:order val="1"/>
          <c:tx>
            <c:strRef>
              <c:f>'Design Calculations'!$L$59</c:f>
              <c:strCache>
                <c:ptCount val="1"/>
                <c:pt idx="0">
                  <c:v>FLB OC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Calculations'!$I$60:$I$279</c:f>
              <c:numCache>
                <c:formatCode>General</c:formatCode>
                <c:ptCount val="220"/>
                <c:pt idx="0">
                  <c:v>31.2</c:v>
                </c:pt>
                <c:pt idx="1">
                  <c:v>31.07</c:v>
                </c:pt>
                <c:pt idx="2">
                  <c:v>30.94</c:v>
                </c:pt>
                <c:pt idx="3">
                  <c:v>30.81</c:v>
                </c:pt>
                <c:pt idx="4">
                  <c:v>30.68</c:v>
                </c:pt>
                <c:pt idx="5">
                  <c:v>30.55</c:v>
                </c:pt>
                <c:pt idx="6">
                  <c:v>30.42</c:v>
                </c:pt>
                <c:pt idx="7">
                  <c:v>30.29</c:v>
                </c:pt>
                <c:pt idx="8">
                  <c:v>30.16</c:v>
                </c:pt>
                <c:pt idx="9">
                  <c:v>30.03</c:v>
                </c:pt>
                <c:pt idx="10">
                  <c:v>29.9</c:v>
                </c:pt>
                <c:pt idx="11">
                  <c:v>29.77</c:v>
                </c:pt>
                <c:pt idx="12">
                  <c:v>29.64</c:v>
                </c:pt>
                <c:pt idx="13">
                  <c:v>29.51</c:v>
                </c:pt>
                <c:pt idx="14">
                  <c:v>29.38</c:v>
                </c:pt>
                <c:pt idx="15">
                  <c:v>29.25</c:v>
                </c:pt>
                <c:pt idx="16">
                  <c:v>29.12</c:v>
                </c:pt>
                <c:pt idx="17">
                  <c:v>28.99</c:v>
                </c:pt>
                <c:pt idx="18">
                  <c:v>28.86</c:v>
                </c:pt>
                <c:pt idx="19">
                  <c:v>28.73</c:v>
                </c:pt>
                <c:pt idx="20">
                  <c:v>28.6</c:v>
                </c:pt>
                <c:pt idx="21">
                  <c:v>28.47</c:v>
                </c:pt>
                <c:pt idx="22">
                  <c:v>28.34</c:v>
                </c:pt>
                <c:pt idx="23">
                  <c:v>28.21</c:v>
                </c:pt>
                <c:pt idx="24">
                  <c:v>28.08</c:v>
                </c:pt>
                <c:pt idx="25">
                  <c:v>27.95</c:v>
                </c:pt>
                <c:pt idx="26">
                  <c:v>27.82</c:v>
                </c:pt>
                <c:pt idx="27">
                  <c:v>27.69</c:v>
                </c:pt>
                <c:pt idx="28">
                  <c:v>27.56</c:v>
                </c:pt>
                <c:pt idx="29">
                  <c:v>27.43</c:v>
                </c:pt>
                <c:pt idx="30">
                  <c:v>27.3</c:v>
                </c:pt>
                <c:pt idx="31">
                  <c:v>27.17</c:v>
                </c:pt>
                <c:pt idx="32">
                  <c:v>27.04</c:v>
                </c:pt>
                <c:pt idx="33">
                  <c:v>26.91</c:v>
                </c:pt>
                <c:pt idx="34">
                  <c:v>26.78</c:v>
                </c:pt>
                <c:pt idx="35">
                  <c:v>26.65</c:v>
                </c:pt>
                <c:pt idx="36">
                  <c:v>26.52</c:v>
                </c:pt>
                <c:pt idx="37">
                  <c:v>26.39</c:v>
                </c:pt>
                <c:pt idx="38">
                  <c:v>26.26</c:v>
                </c:pt>
                <c:pt idx="39">
                  <c:v>26.13</c:v>
                </c:pt>
                <c:pt idx="40">
                  <c:v>26</c:v>
                </c:pt>
                <c:pt idx="41">
                  <c:v>25.8700000000001</c:v>
                </c:pt>
                <c:pt idx="42">
                  <c:v>25.7400000000001</c:v>
                </c:pt>
                <c:pt idx="43">
                  <c:v>25.6100000000001</c:v>
                </c:pt>
                <c:pt idx="44">
                  <c:v>25.4800000000001</c:v>
                </c:pt>
                <c:pt idx="45">
                  <c:v>25.3500000000001</c:v>
                </c:pt>
                <c:pt idx="46">
                  <c:v>25.2200000000001</c:v>
                </c:pt>
                <c:pt idx="47">
                  <c:v>25.0900000000001</c:v>
                </c:pt>
                <c:pt idx="48">
                  <c:v>24.9600000000001</c:v>
                </c:pt>
                <c:pt idx="49">
                  <c:v>24.8300000000001</c:v>
                </c:pt>
                <c:pt idx="50">
                  <c:v>24.7000000000001</c:v>
                </c:pt>
                <c:pt idx="51">
                  <c:v>24.5700000000001</c:v>
                </c:pt>
                <c:pt idx="52">
                  <c:v>24.4400000000002</c:v>
                </c:pt>
                <c:pt idx="53">
                  <c:v>24.3100000000002</c:v>
                </c:pt>
                <c:pt idx="54">
                  <c:v>24.1800000000002</c:v>
                </c:pt>
                <c:pt idx="55">
                  <c:v>24.0500000000002</c:v>
                </c:pt>
                <c:pt idx="56">
                  <c:v>23.9200000000002</c:v>
                </c:pt>
                <c:pt idx="57">
                  <c:v>23.7900000000002</c:v>
                </c:pt>
                <c:pt idx="58">
                  <c:v>23.6600000000002</c:v>
                </c:pt>
                <c:pt idx="59">
                  <c:v>23.5300000000002</c:v>
                </c:pt>
                <c:pt idx="60">
                  <c:v>23.4000000000002</c:v>
                </c:pt>
                <c:pt idx="61">
                  <c:v>23.2700000000002</c:v>
                </c:pt>
                <c:pt idx="62">
                  <c:v>23.1400000000002</c:v>
                </c:pt>
                <c:pt idx="63">
                  <c:v>23.0100000000002</c:v>
                </c:pt>
                <c:pt idx="64">
                  <c:v>22.8800000000002</c:v>
                </c:pt>
                <c:pt idx="65">
                  <c:v>22.7500000000002</c:v>
                </c:pt>
                <c:pt idx="66">
                  <c:v>22.6200000000002</c:v>
                </c:pt>
                <c:pt idx="67">
                  <c:v>22.4900000000002</c:v>
                </c:pt>
                <c:pt idx="68">
                  <c:v>22.3600000000002</c:v>
                </c:pt>
                <c:pt idx="69">
                  <c:v>22.2300000000002</c:v>
                </c:pt>
                <c:pt idx="70">
                  <c:v>22.1000000000002</c:v>
                </c:pt>
                <c:pt idx="71">
                  <c:v>21.9700000000002</c:v>
                </c:pt>
                <c:pt idx="72">
                  <c:v>21.8400000000002</c:v>
                </c:pt>
                <c:pt idx="73">
                  <c:v>21.7100000000002</c:v>
                </c:pt>
                <c:pt idx="74">
                  <c:v>21.5800000000002</c:v>
                </c:pt>
                <c:pt idx="75">
                  <c:v>21.4500000000002</c:v>
                </c:pt>
                <c:pt idx="76">
                  <c:v>21.3200000000002</c:v>
                </c:pt>
                <c:pt idx="77">
                  <c:v>21.1900000000002</c:v>
                </c:pt>
                <c:pt idx="78">
                  <c:v>21.0600000000002</c:v>
                </c:pt>
                <c:pt idx="79">
                  <c:v>20.9300000000002</c:v>
                </c:pt>
                <c:pt idx="80">
                  <c:v>20.8000000000002</c:v>
                </c:pt>
                <c:pt idx="81">
                  <c:v>20.6700000000002</c:v>
                </c:pt>
                <c:pt idx="82">
                  <c:v>20.5400000000002</c:v>
                </c:pt>
                <c:pt idx="83">
                  <c:v>20.4100000000002</c:v>
                </c:pt>
                <c:pt idx="84">
                  <c:v>20.2800000000002</c:v>
                </c:pt>
                <c:pt idx="85">
                  <c:v>20.1500000000002</c:v>
                </c:pt>
                <c:pt idx="86">
                  <c:v>20.0200000000002</c:v>
                </c:pt>
                <c:pt idx="87">
                  <c:v>19.8900000000002</c:v>
                </c:pt>
                <c:pt idx="88">
                  <c:v>19.7600000000002</c:v>
                </c:pt>
                <c:pt idx="89">
                  <c:v>19.6300000000002</c:v>
                </c:pt>
                <c:pt idx="90">
                  <c:v>19.5000000000003</c:v>
                </c:pt>
                <c:pt idx="91">
                  <c:v>19.3700000000003</c:v>
                </c:pt>
                <c:pt idx="92">
                  <c:v>19.2400000000003</c:v>
                </c:pt>
                <c:pt idx="93">
                  <c:v>19.1100000000003</c:v>
                </c:pt>
                <c:pt idx="94">
                  <c:v>18.9800000000003</c:v>
                </c:pt>
                <c:pt idx="95">
                  <c:v>18.8500000000003</c:v>
                </c:pt>
                <c:pt idx="96">
                  <c:v>18.7200000000003</c:v>
                </c:pt>
                <c:pt idx="97">
                  <c:v>18.5900000000003</c:v>
                </c:pt>
                <c:pt idx="98">
                  <c:v>18.4600000000003</c:v>
                </c:pt>
                <c:pt idx="99">
                  <c:v>18.3300000000003</c:v>
                </c:pt>
                <c:pt idx="100">
                  <c:v>18.2000000000003</c:v>
                </c:pt>
                <c:pt idx="101">
                  <c:v>18.0700000000003</c:v>
                </c:pt>
                <c:pt idx="102">
                  <c:v>17.9400000000003</c:v>
                </c:pt>
                <c:pt idx="103">
                  <c:v>17.8100000000003</c:v>
                </c:pt>
                <c:pt idx="104">
                  <c:v>17.6800000000003</c:v>
                </c:pt>
                <c:pt idx="105">
                  <c:v>17.5500000000003</c:v>
                </c:pt>
                <c:pt idx="106">
                  <c:v>17.4200000000003</c:v>
                </c:pt>
                <c:pt idx="107">
                  <c:v>17.2900000000003</c:v>
                </c:pt>
                <c:pt idx="108">
                  <c:v>17.1600000000003</c:v>
                </c:pt>
                <c:pt idx="109">
                  <c:v>17.0300000000003</c:v>
                </c:pt>
                <c:pt idx="110">
                  <c:v>16.9000000000003</c:v>
                </c:pt>
                <c:pt idx="111">
                  <c:v>16.7700000000003</c:v>
                </c:pt>
                <c:pt idx="112">
                  <c:v>16.6400000000003</c:v>
                </c:pt>
                <c:pt idx="113">
                  <c:v>16.5100000000003</c:v>
                </c:pt>
                <c:pt idx="114">
                  <c:v>16.3800000000003</c:v>
                </c:pt>
                <c:pt idx="115">
                  <c:v>16.2500000000003</c:v>
                </c:pt>
                <c:pt idx="116">
                  <c:v>16.1200000000003</c:v>
                </c:pt>
                <c:pt idx="117">
                  <c:v>15.9900000000003</c:v>
                </c:pt>
                <c:pt idx="118">
                  <c:v>15.8600000000003</c:v>
                </c:pt>
                <c:pt idx="119">
                  <c:v>15.7300000000003</c:v>
                </c:pt>
                <c:pt idx="120">
                  <c:v>15.6000000000003</c:v>
                </c:pt>
                <c:pt idx="121">
                  <c:v>15.4700000000003</c:v>
                </c:pt>
                <c:pt idx="122">
                  <c:v>15.3400000000003</c:v>
                </c:pt>
                <c:pt idx="123">
                  <c:v>15.2100000000003</c:v>
                </c:pt>
                <c:pt idx="124">
                  <c:v>15.0800000000003</c:v>
                </c:pt>
                <c:pt idx="125">
                  <c:v>14.9500000000003</c:v>
                </c:pt>
                <c:pt idx="126">
                  <c:v>14.8200000000003</c:v>
                </c:pt>
                <c:pt idx="127">
                  <c:v>14.6900000000004</c:v>
                </c:pt>
                <c:pt idx="128">
                  <c:v>14.5600000000004</c:v>
                </c:pt>
                <c:pt idx="129">
                  <c:v>14.4300000000004</c:v>
                </c:pt>
                <c:pt idx="130">
                  <c:v>14.3000000000004</c:v>
                </c:pt>
                <c:pt idx="131">
                  <c:v>14.1700000000004</c:v>
                </c:pt>
                <c:pt idx="132">
                  <c:v>14.0400000000004</c:v>
                </c:pt>
                <c:pt idx="133">
                  <c:v>13.9100000000004</c:v>
                </c:pt>
                <c:pt idx="134">
                  <c:v>13.7800000000004</c:v>
                </c:pt>
                <c:pt idx="135">
                  <c:v>13.6500000000004</c:v>
                </c:pt>
                <c:pt idx="136">
                  <c:v>13.5200000000004</c:v>
                </c:pt>
                <c:pt idx="137">
                  <c:v>13.3900000000004</c:v>
                </c:pt>
                <c:pt idx="138">
                  <c:v>13.2600000000004</c:v>
                </c:pt>
                <c:pt idx="139">
                  <c:v>13.1300000000004</c:v>
                </c:pt>
                <c:pt idx="140">
                  <c:v>13.0000000000004</c:v>
                </c:pt>
                <c:pt idx="141">
                  <c:v>12.8700000000004</c:v>
                </c:pt>
                <c:pt idx="142">
                  <c:v>12.7400000000004</c:v>
                </c:pt>
                <c:pt idx="143">
                  <c:v>12.6100000000004</c:v>
                </c:pt>
                <c:pt idx="144">
                  <c:v>12.4800000000004</c:v>
                </c:pt>
                <c:pt idx="145">
                  <c:v>12.3500000000004</c:v>
                </c:pt>
                <c:pt idx="146">
                  <c:v>12.2200000000004</c:v>
                </c:pt>
                <c:pt idx="147">
                  <c:v>12.0900000000004</c:v>
                </c:pt>
                <c:pt idx="148">
                  <c:v>11.9600000000004</c:v>
                </c:pt>
                <c:pt idx="149">
                  <c:v>11.8300000000004</c:v>
                </c:pt>
                <c:pt idx="150">
                  <c:v>11.7000000000004</c:v>
                </c:pt>
                <c:pt idx="151">
                  <c:v>11.5700000000004</c:v>
                </c:pt>
                <c:pt idx="152">
                  <c:v>11.4400000000004</c:v>
                </c:pt>
                <c:pt idx="153">
                  <c:v>11.3100000000004</c:v>
                </c:pt>
                <c:pt idx="154">
                  <c:v>11.1800000000004</c:v>
                </c:pt>
                <c:pt idx="155">
                  <c:v>11.0500000000004</c:v>
                </c:pt>
                <c:pt idx="156">
                  <c:v>10.9200000000004</c:v>
                </c:pt>
                <c:pt idx="157">
                  <c:v>10.7900000000004</c:v>
                </c:pt>
                <c:pt idx="158">
                  <c:v>10.6600000000004</c:v>
                </c:pt>
                <c:pt idx="159">
                  <c:v>10.5300000000004</c:v>
                </c:pt>
                <c:pt idx="160">
                  <c:v>10.4000000000004</c:v>
                </c:pt>
                <c:pt idx="161">
                  <c:v>10.2700000000004</c:v>
                </c:pt>
                <c:pt idx="162">
                  <c:v>10.1400000000004</c:v>
                </c:pt>
                <c:pt idx="163">
                  <c:v>10.0100000000004</c:v>
                </c:pt>
                <c:pt idx="164">
                  <c:v>9.88000000000044</c:v>
                </c:pt>
                <c:pt idx="165">
                  <c:v>9.75000000000047</c:v>
                </c:pt>
                <c:pt idx="166">
                  <c:v>9.62000000000047</c:v>
                </c:pt>
                <c:pt idx="167">
                  <c:v>9.49000000000047</c:v>
                </c:pt>
                <c:pt idx="168">
                  <c:v>9.36000000000047</c:v>
                </c:pt>
                <c:pt idx="169">
                  <c:v>9.23000000000047</c:v>
                </c:pt>
                <c:pt idx="170">
                  <c:v>9.10000000000047</c:v>
                </c:pt>
                <c:pt idx="171">
                  <c:v>8.97000000000047</c:v>
                </c:pt>
                <c:pt idx="172">
                  <c:v>8.84000000000047</c:v>
                </c:pt>
                <c:pt idx="173">
                  <c:v>8.71000000000047</c:v>
                </c:pt>
                <c:pt idx="174">
                  <c:v>8.58000000000049</c:v>
                </c:pt>
                <c:pt idx="175">
                  <c:v>8.45000000000049</c:v>
                </c:pt>
                <c:pt idx="176">
                  <c:v>8.32000000000049</c:v>
                </c:pt>
                <c:pt idx="177">
                  <c:v>8.19000000000049</c:v>
                </c:pt>
                <c:pt idx="178">
                  <c:v>8.06000000000049</c:v>
                </c:pt>
                <c:pt idx="179">
                  <c:v>7.93000000000049</c:v>
                </c:pt>
                <c:pt idx="180">
                  <c:v>7.80000000000049</c:v>
                </c:pt>
                <c:pt idx="181">
                  <c:v>7.6700000000005</c:v>
                </c:pt>
                <c:pt idx="182">
                  <c:v>7.5400000000005</c:v>
                </c:pt>
                <c:pt idx="183">
                  <c:v>7.41000000000052</c:v>
                </c:pt>
                <c:pt idx="184">
                  <c:v>7.28000000000052</c:v>
                </c:pt>
                <c:pt idx="185">
                  <c:v>7.15000000000052</c:v>
                </c:pt>
                <c:pt idx="186">
                  <c:v>7.02000000000052</c:v>
                </c:pt>
                <c:pt idx="187">
                  <c:v>6.89000000000052</c:v>
                </c:pt>
                <c:pt idx="188">
                  <c:v>6.76000000000052</c:v>
                </c:pt>
                <c:pt idx="189">
                  <c:v>6.63000000000052</c:v>
                </c:pt>
                <c:pt idx="190">
                  <c:v>6.50000000000052</c:v>
                </c:pt>
                <c:pt idx="191">
                  <c:v>6.37000000000052</c:v>
                </c:pt>
                <c:pt idx="192">
                  <c:v>6.24000000000052</c:v>
                </c:pt>
                <c:pt idx="193">
                  <c:v>6.11000000000055</c:v>
                </c:pt>
                <c:pt idx="194">
                  <c:v>5.98000000000055</c:v>
                </c:pt>
                <c:pt idx="195">
                  <c:v>5.85000000000055</c:v>
                </c:pt>
                <c:pt idx="196">
                  <c:v>5.72000000000055</c:v>
                </c:pt>
                <c:pt idx="197">
                  <c:v>5.59000000000055</c:v>
                </c:pt>
                <c:pt idx="198">
                  <c:v>5.46000000000055</c:v>
                </c:pt>
                <c:pt idx="199">
                  <c:v>5.33000000000055</c:v>
                </c:pt>
                <c:pt idx="200">
                  <c:v>5.20000000000055</c:v>
                </c:pt>
                <c:pt idx="201">
                  <c:v>5.07000000000052</c:v>
                </c:pt>
                <c:pt idx="202">
                  <c:v>4.94000000000052</c:v>
                </c:pt>
                <c:pt idx="203">
                  <c:v>4.81000000000052</c:v>
                </c:pt>
                <c:pt idx="204">
                  <c:v>4.68000000000052</c:v>
                </c:pt>
                <c:pt idx="205">
                  <c:v>4.55000000000052</c:v>
                </c:pt>
                <c:pt idx="206">
                  <c:v>4.42000000000052</c:v>
                </c:pt>
                <c:pt idx="207">
                  <c:v>4.29000000000052</c:v>
                </c:pt>
                <c:pt idx="208">
                  <c:v>4.16000000000052</c:v>
                </c:pt>
                <c:pt idx="209">
                  <c:v>4.03000000000052</c:v>
                </c:pt>
                <c:pt idx="210">
                  <c:v>3.90000000000052</c:v>
                </c:pt>
                <c:pt idx="211">
                  <c:v>3.77000000000052</c:v>
                </c:pt>
                <c:pt idx="212">
                  <c:v>3.64000000000052</c:v>
                </c:pt>
                <c:pt idx="213">
                  <c:v>3.51000000000052</c:v>
                </c:pt>
                <c:pt idx="214">
                  <c:v>3.38000000000052</c:v>
                </c:pt>
                <c:pt idx="215">
                  <c:v>3.25000000000052</c:v>
                </c:pt>
                <c:pt idx="216">
                  <c:v>3.12000000000052</c:v>
                </c:pt>
                <c:pt idx="217">
                  <c:v>2.99000000000052</c:v>
                </c:pt>
                <c:pt idx="218">
                  <c:v>2.86000000000052</c:v>
                </c:pt>
                <c:pt idx="219">
                  <c:v>2.73000000000052</c:v>
                </c:pt>
              </c:numCache>
            </c:numRef>
          </c:xVal>
          <c:yVal>
            <c:numRef>
              <c:f>'Design Calculations'!$L$60:$L$279</c:f>
              <c:numCache>
                <c:formatCode>0.0000</c:formatCode>
                <c:ptCount val="220"/>
                <c:pt idx="0">
                  <c:v>9.96677740863787</c:v>
                </c:pt>
                <c:pt idx="1">
                  <c:v>9.96677740863787</c:v>
                </c:pt>
                <c:pt idx="2">
                  <c:v>9.96677740863787</c:v>
                </c:pt>
                <c:pt idx="3">
                  <c:v>9.96677740863787</c:v>
                </c:pt>
                <c:pt idx="4">
                  <c:v>9.96677740863787</c:v>
                </c:pt>
                <c:pt idx="5">
                  <c:v>9.96677740863787</c:v>
                </c:pt>
                <c:pt idx="6">
                  <c:v>9.96677740863787</c:v>
                </c:pt>
                <c:pt idx="7">
                  <c:v>9.96677740863787</c:v>
                </c:pt>
                <c:pt idx="8">
                  <c:v>9.96677740863787</c:v>
                </c:pt>
                <c:pt idx="9">
                  <c:v>9.96677740863787</c:v>
                </c:pt>
                <c:pt idx="10">
                  <c:v>9.96677740863787</c:v>
                </c:pt>
                <c:pt idx="11">
                  <c:v>9.96677740863787</c:v>
                </c:pt>
                <c:pt idx="12">
                  <c:v>9.96677740863787</c:v>
                </c:pt>
                <c:pt idx="13">
                  <c:v>9.96677740863787</c:v>
                </c:pt>
                <c:pt idx="14">
                  <c:v>9.96677740863787</c:v>
                </c:pt>
                <c:pt idx="15">
                  <c:v>9.96677740863787</c:v>
                </c:pt>
                <c:pt idx="16">
                  <c:v>9.96677740863787</c:v>
                </c:pt>
                <c:pt idx="17">
                  <c:v>9.96677740863787</c:v>
                </c:pt>
                <c:pt idx="18">
                  <c:v>9.96677740863787</c:v>
                </c:pt>
                <c:pt idx="19">
                  <c:v>9.96677740863787</c:v>
                </c:pt>
                <c:pt idx="20">
                  <c:v>9.96677740863787</c:v>
                </c:pt>
                <c:pt idx="21">
                  <c:v>9.96677740863787</c:v>
                </c:pt>
                <c:pt idx="22">
                  <c:v>9.96677740863787</c:v>
                </c:pt>
                <c:pt idx="23">
                  <c:v>9.96677740863787</c:v>
                </c:pt>
                <c:pt idx="24">
                  <c:v>9.96677740863787</c:v>
                </c:pt>
                <c:pt idx="25">
                  <c:v>9.96677740863787</c:v>
                </c:pt>
                <c:pt idx="26">
                  <c:v>9.96677740863787</c:v>
                </c:pt>
                <c:pt idx="27">
                  <c:v>9.96677740863787</c:v>
                </c:pt>
                <c:pt idx="28">
                  <c:v>9.96677740863787</c:v>
                </c:pt>
                <c:pt idx="29">
                  <c:v>9.96677740863787</c:v>
                </c:pt>
                <c:pt idx="30">
                  <c:v>9.96677740863787</c:v>
                </c:pt>
                <c:pt idx="31">
                  <c:v>9.96677740863787</c:v>
                </c:pt>
                <c:pt idx="32">
                  <c:v>9.96677740863787</c:v>
                </c:pt>
                <c:pt idx="33">
                  <c:v>9.96677740863787</c:v>
                </c:pt>
                <c:pt idx="34">
                  <c:v>9.96677740863787</c:v>
                </c:pt>
                <c:pt idx="35">
                  <c:v>9.96677740863787</c:v>
                </c:pt>
                <c:pt idx="36">
                  <c:v>9.96677740863787</c:v>
                </c:pt>
                <c:pt idx="37">
                  <c:v>9.96677740863787</c:v>
                </c:pt>
                <c:pt idx="38">
                  <c:v>9.96677740863787</c:v>
                </c:pt>
                <c:pt idx="39">
                  <c:v>9.96677740863787</c:v>
                </c:pt>
                <c:pt idx="40">
                  <c:v>9.96677740863787</c:v>
                </c:pt>
                <c:pt idx="41">
                  <c:v>9.96601885924567</c:v>
                </c:pt>
                <c:pt idx="42">
                  <c:v>9.91593836246554</c:v>
                </c:pt>
                <c:pt idx="43">
                  <c:v>9.86585786568541</c:v>
                </c:pt>
                <c:pt idx="44">
                  <c:v>9.81577736890528</c:v>
                </c:pt>
                <c:pt idx="45">
                  <c:v>9.76569687212515</c:v>
                </c:pt>
                <c:pt idx="46">
                  <c:v>9.71561637534502</c:v>
                </c:pt>
                <c:pt idx="47">
                  <c:v>9.66553587856489</c:v>
                </c:pt>
                <c:pt idx="48">
                  <c:v>9.61545538178477</c:v>
                </c:pt>
                <c:pt idx="49">
                  <c:v>9.56537488500464</c:v>
                </c:pt>
                <c:pt idx="50">
                  <c:v>9.51529438822451</c:v>
                </c:pt>
                <c:pt idx="51">
                  <c:v>9.46521389144438</c:v>
                </c:pt>
                <c:pt idx="52">
                  <c:v>9.41513339466429</c:v>
                </c:pt>
                <c:pt idx="53">
                  <c:v>9.36505289788416</c:v>
                </c:pt>
                <c:pt idx="54">
                  <c:v>9.31497240110403</c:v>
                </c:pt>
                <c:pt idx="55">
                  <c:v>9.2648919043239</c:v>
                </c:pt>
                <c:pt idx="56">
                  <c:v>9.21481140754378</c:v>
                </c:pt>
                <c:pt idx="57">
                  <c:v>9.16473091076365</c:v>
                </c:pt>
                <c:pt idx="58">
                  <c:v>9.11465041398352</c:v>
                </c:pt>
                <c:pt idx="59">
                  <c:v>9.06456991720339</c:v>
                </c:pt>
                <c:pt idx="60">
                  <c:v>9.01448942042326</c:v>
                </c:pt>
                <c:pt idx="61">
                  <c:v>8.96440892364313</c:v>
                </c:pt>
                <c:pt idx="62">
                  <c:v>8.914328426863</c:v>
                </c:pt>
                <c:pt idx="63">
                  <c:v>8.86424793008287</c:v>
                </c:pt>
                <c:pt idx="64">
                  <c:v>8.81416743330274</c:v>
                </c:pt>
                <c:pt idx="65">
                  <c:v>8.76408693652262</c:v>
                </c:pt>
                <c:pt idx="66">
                  <c:v>8.71400643974249</c:v>
                </c:pt>
                <c:pt idx="67">
                  <c:v>8.66392594296236</c:v>
                </c:pt>
                <c:pt idx="68">
                  <c:v>8.61384544618223</c:v>
                </c:pt>
                <c:pt idx="69">
                  <c:v>8.5637649494021</c:v>
                </c:pt>
                <c:pt idx="70">
                  <c:v>8.51368445262197</c:v>
                </c:pt>
                <c:pt idx="71">
                  <c:v>8.46360395584184</c:v>
                </c:pt>
                <c:pt idx="72">
                  <c:v>8.41352345906172</c:v>
                </c:pt>
                <c:pt idx="73">
                  <c:v>8.36344296228159</c:v>
                </c:pt>
                <c:pt idx="74">
                  <c:v>8.31336246550146</c:v>
                </c:pt>
                <c:pt idx="75">
                  <c:v>8.26328196872133</c:v>
                </c:pt>
                <c:pt idx="76">
                  <c:v>8.2132014719412</c:v>
                </c:pt>
                <c:pt idx="77">
                  <c:v>8.16312097516107</c:v>
                </c:pt>
                <c:pt idx="78">
                  <c:v>8.11304047838094</c:v>
                </c:pt>
                <c:pt idx="79">
                  <c:v>8.06295998160081</c:v>
                </c:pt>
                <c:pt idx="80">
                  <c:v>8.01287948482068</c:v>
                </c:pt>
                <c:pt idx="81">
                  <c:v>7.96279898804056</c:v>
                </c:pt>
                <c:pt idx="82">
                  <c:v>7.91271849126043</c:v>
                </c:pt>
                <c:pt idx="83">
                  <c:v>7.8626379944803</c:v>
                </c:pt>
                <c:pt idx="84">
                  <c:v>7.81255749770017</c:v>
                </c:pt>
                <c:pt idx="85">
                  <c:v>7.76247700092004</c:v>
                </c:pt>
                <c:pt idx="86">
                  <c:v>7.71239650413991</c:v>
                </c:pt>
                <c:pt idx="87">
                  <c:v>7.66231600735978</c:v>
                </c:pt>
                <c:pt idx="88">
                  <c:v>7.61223551057965</c:v>
                </c:pt>
                <c:pt idx="89">
                  <c:v>7.56215501379953</c:v>
                </c:pt>
                <c:pt idx="90">
                  <c:v>7.51207451701943</c:v>
                </c:pt>
                <c:pt idx="91">
                  <c:v>7.46199402023931</c:v>
                </c:pt>
                <c:pt idx="92">
                  <c:v>7.41191352345918</c:v>
                </c:pt>
                <c:pt idx="93">
                  <c:v>7.36183302667905</c:v>
                </c:pt>
                <c:pt idx="94">
                  <c:v>7.31175252989892</c:v>
                </c:pt>
                <c:pt idx="95">
                  <c:v>7.26167203311879</c:v>
                </c:pt>
                <c:pt idx="96">
                  <c:v>7.21159153633866</c:v>
                </c:pt>
                <c:pt idx="97">
                  <c:v>7.16151103955853</c:v>
                </c:pt>
                <c:pt idx="98">
                  <c:v>7.1114305427784</c:v>
                </c:pt>
                <c:pt idx="99">
                  <c:v>7.06135004599828</c:v>
                </c:pt>
                <c:pt idx="100">
                  <c:v>7.01126954921815</c:v>
                </c:pt>
                <c:pt idx="101">
                  <c:v>6.96118905243802</c:v>
                </c:pt>
                <c:pt idx="102">
                  <c:v>6.91110855565789</c:v>
                </c:pt>
                <c:pt idx="103">
                  <c:v>6.86102805887776</c:v>
                </c:pt>
                <c:pt idx="104">
                  <c:v>6.81094756209763</c:v>
                </c:pt>
                <c:pt idx="105">
                  <c:v>6.7608670653175</c:v>
                </c:pt>
                <c:pt idx="106">
                  <c:v>6.71078656853737</c:v>
                </c:pt>
                <c:pt idx="107">
                  <c:v>6.66070607175725</c:v>
                </c:pt>
                <c:pt idx="108">
                  <c:v>6.61062557497712</c:v>
                </c:pt>
                <c:pt idx="109">
                  <c:v>6.56054507819699</c:v>
                </c:pt>
                <c:pt idx="110">
                  <c:v>6.51046458141686</c:v>
                </c:pt>
                <c:pt idx="111">
                  <c:v>6.46038408463673</c:v>
                </c:pt>
                <c:pt idx="112">
                  <c:v>6.4103035878566</c:v>
                </c:pt>
                <c:pt idx="113">
                  <c:v>6.36022309107647</c:v>
                </c:pt>
                <c:pt idx="114">
                  <c:v>6.31014259429634</c:v>
                </c:pt>
                <c:pt idx="115">
                  <c:v>6.26006209751621</c:v>
                </c:pt>
                <c:pt idx="116">
                  <c:v>6.20998160073609</c:v>
                </c:pt>
                <c:pt idx="117">
                  <c:v>6.15990110395596</c:v>
                </c:pt>
                <c:pt idx="118">
                  <c:v>6.10982060717583</c:v>
                </c:pt>
                <c:pt idx="119">
                  <c:v>6.0597401103957</c:v>
                </c:pt>
                <c:pt idx="120">
                  <c:v>6.00965961361557</c:v>
                </c:pt>
                <c:pt idx="121">
                  <c:v>5.95957911683544</c:v>
                </c:pt>
                <c:pt idx="122">
                  <c:v>5.90949862005531</c:v>
                </c:pt>
                <c:pt idx="123">
                  <c:v>5.85941812327518</c:v>
                </c:pt>
                <c:pt idx="124">
                  <c:v>5.80933762649506</c:v>
                </c:pt>
                <c:pt idx="125">
                  <c:v>5.75925712971493</c:v>
                </c:pt>
                <c:pt idx="126">
                  <c:v>5.7091766329348</c:v>
                </c:pt>
                <c:pt idx="127">
                  <c:v>5.65909613615471</c:v>
                </c:pt>
                <c:pt idx="128">
                  <c:v>5.60901563937458</c:v>
                </c:pt>
                <c:pt idx="129">
                  <c:v>5.55893514259445</c:v>
                </c:pt>
                <c:pt idx="130">
                  <c:v>5.50885464581432</c:v>
                </c:pt>
                <c:pt idx="131">
                  <c:v>5.45877414903419</c:v>
                </c:pt>
                <c:pt idx="132">
                  <c:v>5.40869365225406</c:v>
                </c:pt>
                <c:pt idx="133">
                  <c:v>5.35861315547393</c:v>
                </c:pt>
                <c:pt idx="134">
                  <c:v>5.30853265869381</c:v>
                </c:pt>
                <c:pt idx="135">
                  <c:v>5.25845216191368</c:v>
                </c:pt>
                <c:pt idx="136">
                  <c:v>5.20837166513355</c:v>
                </c:pt>
                <c:pt idx="137">
                  <c:v>5.15829116835342</c:v>
                </c:pt>
                <c:pt idx="138">
                  <c:v>5.10821067157329</c:v>
                </c:pt>
                <c:pt idx="139">
                  <c:v>5.05813017479316</c:v>
                </c:pt>
                <c:pt idx="140">
                  <c:v>5.00804967801303</c:v>
                </c:pt>
                <c:pt idx="141">
                  <c:v>4.9579691812329</c:v>
                </c:pt>
                <c:pt idx="142">
                  <c:v>4.90788868445278</c:v>
                </c:pt>
                <c:pt idx="143">
                  <c:v>4.85780818767265</c:v>
                </c:pt>
                <c:pt idx="144">
                  <c:v>4.80772769089252</c:v>
                </c:pt>
                <c:pt idx="145">
                  <c:v>4.75764719411239</c:v>
                </c:pt>
                <c:pt idx="146">
                  <c:v>4.70756669733226</c:v>
                </c:pt>
                <c:pt idx="147">
                  <c:v>4.65748620055213</c:v>
                </c:pt>
                <c:pt idx="148">
                  <c:v>4.607405703772</c:v>
                </c:pt>
                <c:pt idx="149">
                  <c:v>4.55732520699187</c:v>
                </c:pt>
                <c:pt idx="150">
                  <c:v>4.50724471021175</c:v>
                </c:pt>
                <c:pt idx="151">
                  <c:v>4.45716421343162</c:v>
                </c:pt>
                <c:pt idx="152">
                  <c:v>4.40708371665149</c:v>
                </c:pt>
                <c:pt idx="153">
                  <c:v>4.35700321987136</c:v>
                </c:pt>
                <c:pt idx="154">
                  <c:v>4.30692272309123</c:v>
                </c:pt>
                <c:pt idx="155">
                  <c:v>4.2568422263111</c:v>
                </c:pt>
                <c:pt idx="156">
                  <c:v>4.20676172953097</c:v>
                </c:pt>
                <c:pt idx="157">
                  <c:v>4.15668123275084</c:v>
                </c:pt>
                <c:pt idx="158">
                  <c:v>4.10660073597072</c:v>
                </c:pt>
                <c:pt idx="159">
                  <c:v>4.05652023919059</c:v>
                </c:pt>
                <c:pt idx="160">
                  <c:v>4.00643974241046</c:v>
                </c:pt>
                <c:pt idx="161">
                  <c:v>3.95635924563033</c:v>
                </c:pt>
                <c:pt idx="162">
                  <c:v>3.9062787488502</c:v>
                </c:pt>
                <c:pt idx="163">
                  <c:v>3.85619825207007</c:v>
                </c:pt>
                <c:pt idx="164">
                  <c:v>3.80611775528996</c:v>
                </c:pt>
                <c:pt idx="165">
                  <c:v>3.75603725850984</c:v>
                </c:pt>
                <c:pt idx="166">
                  <c:v>3.70595676172971</c:v>
                </c:pt>
                <c:pt idx="167">
                  <c:v>3.65587626494958</c:v>
                </c:pt>
                <c:pt idx="168">
                  <c:v>3.60579576816945</c:v>
                </c:pt>
                <c:pt idx="169">
                  <c:v>3.55571527138933</c:v>
                </c:pt>
                <c:pt idx="170">
                  <c:v>3.5056347746092</c:v>
                </c:pt>
                <c:pt idx="171">
                  <c:v>3.45555427782907</c:v>
                </c:pt>
                <c:pt idx="172">
                  <c:v>3.40547378104894</c:v>
                </c:pt>
                <c:pt idx="173">
                  <c:v>3.35539328426881</c:v>
                </c:pt>
                <c:pt idx="174">
                  <c:v>3.30531278748869</c:v>
                </c:pt>
                <c:pt idx="175">
                  <c:v>3.25523229070856</c:v>
                </c:pt>
                <c:pt idx="176">
                  <c:v>3.20515179392843</c:v>
                </c:pt>
                <c:pt idx="177">
                  <c:v>3.1550712971483</c:v>
                </c:pt>
                <c:pt idx="178">
                  <c:v>3.10499080036817</c:v>
                </c:pt>
                <c:pt idx="179">
                  <c:v>3.05491030358805</c:v>
                </c:pt>
                <c:pt idx="180">
                  <c:v>3.00482980680792</c:v>
                </c:pt>
                <c:pt idx="181">
                  <c:v>2.95474931002779</c:v>
                </c:pt>
                <c:pt idx="182">
                  <c:v>2.90466881324766</c:v>
                </c:pt>
                <c:pt idx="183">
                  <c:v>2.85458831646754</c:v>
                </c:pt>
                <c:pt idx="184">
                  <c:v>2.80450781968741</c:v>
                </c:pt>
                <c:pt idx="185">
                  <c:v>2.75442732290728</c:v>
                </c:pt>
                <c:pt idx="186">
                  <c:v>2.70434682612716</c:v>
                </c:pt>
                <c:pt idx="187">
                  <c:v>2.65426632934703</c:v>
                </c:pt>
                <c:pt idx="188">
                  <c:v>2.6041858325669</c:v>
                </c:pt>
                <c:pt idx="189">
                  <c:v>2.55410533578677</c:v>
                </c:pt>
                <c:pt idx="190">
                  <c:v>2.50402483900664</c:v>
                </c:pt>
                <c:pt idx="191">
                  <c:v>2.45394434222651</c:v>
                </c:pt>
                <c:pt idx="192">
                  <c:v>2.40386384544638</c:v>
                </c:pt>
                <c:pt idx="193">
                  <c:v>2.35378334866627</c:v>
                </c:pt>
                <c:pt idx="194">
                  <c:v>2.30370285188614</c:v>
                </c:pt>
                <c:pt idx="195">
                  <c:v>2.25362235510601</c:v>
                </c:pt>
                <c:pt idx="196">
                  <c:v>2.20354185832588</c:v>
                </c:pt>
                <c:pt idx="197">
                  <c:v>2.15346136154575</c:v>
                </c:pt>
                <c:pt idx="198">
                  <c:v>2.10338086476562</c:v>
                </c:pt>
                <c:pt idx="199">
                  <c:v>2.05330036798549</c:v>
                </c:pt>
                <c:pt idx="200">
                  <c:v>2.00321987120536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</c:numCache>
            </c:numRef>
          </c:yVal>
          <c:smooth val="1"/>
        </c:ser>
        <c:axId val="9774220"/>
        <c:axId val="3000130"/>
      </c:scatterChart>
      <c:valAx>
        <c:axId val="9774220"/>
        <c:scaling>
          <c:orientation val="minMax"/>
          <c:min val="0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Output Voltage in Foldback</a:t>
                </a:r>
              </a:p>
            </c:rich>
          </c:tx>
          <c:layout>
            <c:manualLayout>
              <c:xMode val="edge"/>
              <c:yMode val="edge"/>
              <c:x val="0.379325817488362"/>
              <c:y val="0.93373063170441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3000130"/>
        <c:crosses val="autoZero"/>
        <c:crossBetween val="midCat"/>
      </c:valAx>
      <c:valAx>
        <c:axId val="3000130"/>
        <c:scaling>
          <c:orientation val="minMax"/>
          <c:min val="0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Current Limit</a:t>
                </a:r>
              </a:p>
            </c:rich>
          </c:tx>
          <c:layout>
            <c:manualLayout>
              <c:xMode val="edge"/>
              <c:yMode val="edge"/>
              <c:x val="0.0071793145998093"/>
              <c:y val="0.414938418752483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9774220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168115291874615"/>
          <c:y val="0.199548954039972"/>
          <c:w val="0.123485868102288"/>
          <c:h val="0.0905272981801213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SOA Plot</a:t>
            </a:r>
          </a:p>
        </c:rich>
      </c:tx>
      <c:layout>
        <c:manualLayout>
          <c:xMode val="edge"/>
          <c:yMode val="edge"/>
          <c:x val="0.460463996146745"/>
          <c:y val="0.0300435413642961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83840411013888"/>
          <c:y val="0.140711175616836"/>
          <c:w val="0.7590912739825"/>
          <c:h val="0.7296081277213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Calculations'!$J$3</c:f>
              <c:strCache>
                <c:ptCount val="1"/>
                <c:pt idx="0">
                  <c:v>Peak Power</c:v>
                </c:pt>
              </c:strCache>
            </c:strRef>
          </c:tx>
          <c:spPr>
            <a:solidFill>
              <a:srgbClr val="ff0000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Calculations'!$I$4</c:f>
              <c:numCache>
                <c:formatCode>General</c:formatCode>
                <c:ptCount val="1"/>
              </c:numCache>
            </c:numRef>
          </c:xVal>
          <c:yVal>
            <c:numRef>
              <c:f>'SOA Calculations'!$J$4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1"/>
          <c:order val="1"/>
          <c:tx>
            <c:strRef>
              <c:f>'SOA Calculations'!$P$1</c:f>
              <c:strCache>
                <c:ptCount val="1"/>
                <c:pt idx="0">
                  <c:v>1mS</c:v>
                </c:pt>
              </c:strCache>
            </c:strRef>
          </c:tx>
          <c:spPr>
            <a:solidFill>
              <a:srgbClr val="ffff00"/>
            </a:solidFill>
            <a:ln w="25560">
              <a:solidFill>
                <a:srgbClr val="ffff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Calculations'!$O$2:$O$6</c:f>
              <c:numCache>
                <c:formatCode>General</c:formatCode>
                <c:ptCount val="5"/>
                <c:pt idx="0">
                  <c:v>0.1</c:v>
                </c:pt>
                <c:pt idx="1">
                  <c:v>1.25</c:v>
                </c:pt>
                <c:pt idx="2">
                  <c:v>9</c:v>
                </c:pt>
                <c:pt idx="3">
                  <c:v>60</c:v>
                </c:pt>
              </c:numCache>
            </c:numRef>
          </c:xVal>
          <c:yVal>
            <c:numRef>
              <c:f>'SOA Calculations'!$P$2:$P$6</c:f>
              <c:numCache>
                <c:formatCode>General</c:formatCode>
                <c:ptCount val="5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1.9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'SOA Calculations'!$S$1</c:f>
              <c:strCache>
                <c:ptCount val="1"/>
                <c:pt idx="0">
                  <c:v>10mS</c:v>
                </c:pt>
              </c:strCache>
            </c:strRef>
          </c:tx>
          <c:spPr>
            <a:solidFill>
              <a:srgbClr val="00ffff"/>
            </a:solidFill>
            <a:ln w="25560">
              <a:solidFill>
                <a:srgbClr val="00ff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Calculations'!$R$2:$R$5</c:f>
              <c:numCache>
                <c:formatCode>General</c:formatCode>
                <c:ptCount val="4"/>
                <c:pt idx="0">
                  <c:v>0.1</c:v>
                </c:pt>
                <c:pt idx="1">
                  <c:v>1.25</c:v>
                </c:pt>
                <c:pt idx="2">
                  <c:v>3</c:v>
                </c:pt>
                <c:pt idx="3">
                  <c:v>60</c:v>
                </c:pt>
              </c:numCache>
            </c:numRef>
          </c:xVal>
          <c:yVal>
            <c:numRef>
              <c:f>'SOA Calculations'!$S$2:$S$5</c:f>
              <c:numCache>
                <c:formatCode>General</c:formatCode>
                <c:ptCount val="4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0.6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'SOA Calculations'!$V$1</c:f>
              <c:strCache>
                <c:ptCount val="1"/>
                <c:pt idx="0">
                  <c:v>100mS</c:v>
                </c:pt>
              </c:strCache>
            </c:strRef>
          </c:tx>
          <c:spPr>
            <a:solidFill>
              <a:srgbClr val="800080"/>
            </a:solidFill>
            <a:ln w="25560">
              <a:solidFill>
                <a:srgbClr val="8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Calculations'!$U$2:$U$6</c:f>
              <c:numCache>
                <c:formatCode>General</c:formatCode>
                <c:ptCount val="5"/>
                <c:pt idx="0">
                  <c:v>0.1</c:v>
                </c:pt>
                <c:pt idx="1">
                  <c:v>0.85</c:v>
                </c:pt>
                <c:pt idx="2">
                  <c:v>1.5</c:v>
                </c:pt>
                <c:pt idx="3">
                  <c:v>60</c:v>
                </c:pt>
              </c:numCache>
            </c:numRef>
          </c:xVal>
          <c:yVal>
            <c:numRef>
              <c:f>'SOA Calculations'!$V$2:$V$6</c:f>
              <c:numCache>
                <c:formatCode>General</c:formatCode>
                <c:ptCount val="5"/>
                <c:pt idx="0">
                  <c:v>1</c:v>
                </c:pt>
                <c:pt idx="1">
                  <c:v>8.2</c:v>
                </c:pt>
                <c:pt idx="2">
                  <c:v>8.2</c:v>
                </c:pt>
                <c:pt idx="3">
                  <c:v>0.2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'SOA Calculations'!$J$8</c:f>
              <c:strCache>
                <c:ptCount val="1"/>
                <c:pt idx="0">
                  <c:v>Peak Power</c:v>
                </c:pt>
              </c:strCache>
            </c:strRef>
          </c:tx>
          <c:spPr>
            <a:solidFill>
              <a:srgbClr val="ff0000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Calculations'!$I$9</c:f>
              <c:numCache>
                <c:formatCode>General</c:formatCode>
                <c:ptCount val="1"/>
                <c:pt idx="0">
                  <c:v>15.6000000000003</c:v>
                </c:pt>
              </c:numCache>
            </c:numRef>
          </c:xVal>
          <c:yVal>
            <c:numRef>
              <c:f>'SOA Calculations'!$J$9</c:f>
              <c:numCache>
                <c:formatCode>General</c:formatCode>
                <c:ptCount val="1"/>
                <c:pt idx="0">
                  <c:v>6.00965961361557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'SOA Calculations'!$J$12</c:f>
              <c:strCache>
                <c:ptCount val="1"/>
                <c:pt idx="0">
                  <c:v>Avg Current</c:v>
                </c:pt>
              </c:strCache>
            </c:strRef>
          </c:tx>
          <c:spPr>
            <a:solidFill>
              <a:srgbClr val="00ff00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00ff00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Calculations'!$I$13</c:f>
              <c:numCache>
                <c:formatCode>General</c:formatCode>
                <c:ptCount val="1"/>
              </c:numCache>
            </c:numRef>
          </c:xVal>
          <c:yVal>
            <c:numRef>
              <c:f>'SOA Calculations'!$J$13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6"/>
          <c:order val="6"/>
          <c:tx>
            <c:strRef>
              <c:f>'SOA Calculations'!$AB$1</c:f>
              <c:strCache>
                <c:ptCount val="1"/>
                <c:pt idx="0">
                  <c:v>DC</c:v>
                </c:pt>
              </c:strCache>
            </c:strRef>
          </c:tx>
          <c:spPr>
            <a:solidFill>
              <a:srgbClr val="ff00ff"/>
            </a:solidFill>
            <a:ln w="25560">
              <a:solidFill>
                <a:srgbClr val="ff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Calculations'!$AA$2:$AA$6</c:f>
              <c:numCache>
                <c:formatCode>General</c:formatCode>
                <c:ptCount val="5"/>
                <c:pt idx="0">
                  <c:v>0.1</c:v>
                </c:pt>
                <c:pt idx="1">
                  <c:v>0.23</c:v>
                </c:pt>
                <c:pt idx="2">
                  <c:v>0.4</c:v>
                </c:pt>
                <c:pt idx="3">
                  <c:v>60</c:v>
                </c:pt>
              </c:numCache>
            </c:numRef>
          </c:xVal>
          <c:yVal>
            <c:numRef>
              <c:f>'SOA Calculations'!$AB$2:$AB$6</c:f>
              <c:numCache>
                <c:formatCode>General</c:formatCode>
                <c:ptCount val="5"/>
                <c:pt idx="0">
                  <c:v>1</c:v>
                </c:pt>
                <c:pt idx="1">
                  <c:v>2.25</c:v>
                </c:pt>
                <c:pt idx="2">
                  <c:v>2.25</c:v>
                </c:pt>
                <c:pt idx="3">
                  <c:v>0.015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'Design Worksheet'!$C$93</c:f>
              <c:strCache>
                <c:ptCount val="1"/>
                <c:pt idx="0">
                  <c:v>Start Up</c:v>
                </c:pt>
              </c:strCache>
            </c:strRef>
          </c:tx>
          <c:spPr>
            <a:solidFill>
              <a:srgbClr val="0000ff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0000ff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Worksheet'!$B$94</c:f>
              <c:numCache>
                <c:formatCode>0.00</c:formatCode>
                <c:ptCount val="1"/>
                <c:pt idx="0">
                  <c:v>27.6438836363636</c:v>
                </c:pt>
              </c:numCache>
            </c:numRef>
          </c:xVal>
          <c:yVal>
            <c:numRef>
              <c:f>'Design Worksheet'!$C$94</c:f>
              <c:numCache>
                <c:formatCode>0.000</c:formatCode>
                <c:ptCount val="1"/>
                <c:pt idx="0">
                  <c:v>9.13817272218669</c:v>
                </c:pt>
              </c:numCache>
            </c:numRef>
          </c:yVal>
          <c:smooth val="0"/>
        </c:ser>
        <c:axId val="67820655"/>
        <c:axId val="75714380"/>
      </c:scatterChart>
      <c:valAx>
        <c:axId val="67820655"/>
        <c:scaling>
          <c:logBase val="10"/>
          <c:orientation val="minMax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Voltage</a:t>
                </a:r>
              </a:p>
            </c:rich>
          </c:tx>
          <c:layout>
            <c:manualLayout>
              <c:xMode val="edge"/>
              <c:yMode val="edge"/>
              <c:x val="0.439351368708357"/>
              <c:y val="0.923875181422351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75714380"/>
        <c:crossesAt val="0.0001"/>
        <c:crossBetween val="midCat"/>
      </c:valAx>
      <c:valAx>
        <c:axId val="75714380"/>
        <c:scaling>
          <c:logBase val="10"/>
          <c:orientation val="minMax"/>
          <c:min val="0.001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Current</a:t>
                </a:r>
              </a:p>
            </c:rich>
          </c:tx>
          <c:layout>
            <c:manualLayout>
              <c:xMode val="edge"/>
              <c:yMode val="edge"/>
              <c:x val="0.0171389580155736"/>
              <c:y val="0.454281567489115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67820655"/>
        <c:crossesAt val="0.001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77518259892447"/>
          <c:y val="0.37895333995178"/>
          <c:w val="0.118192398763896"/>
          <c:h val="0.24012481384299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9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Time vs Current</a:t>
            </a:r>
          </a:p>
        </c:rich>
      </c:tx>
      <c:layout>
        <c:manualLayout>
          <c:xMode val="edge"/>
          <c:yMode val="edge"/>
          <c:x val="0.44325501224712"/>
          <c:y val="0.0277955680799283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31443345731652"/>
          <c:y val="0.123286793902908"/>
          <c:w val="0.886510024494239"/>
          <c:h val="0.76360958114512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Calculations'!$J$16</c:f>
              <c:strCache>
                <c:ptCount val="1"/>
                <c:pt idx="0">
                  <c:v>Timer PW</c:v>
                </c:pt>
              </c:strCache>
            </c:strRef>
          </c:tx>
          <c:spPr>
            <a:solidFill>
              <a:srgbClr val="ff0000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</c:spPr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Calculations'!$J$17</c:f>
              <c:numCache>
                <c:formatCode>General</c:formatCode>
                <c:ptCount val="1"/>
                <c:pt idx="0">
                  <c:v>0.0585933333333333</c:v>
                </c:pt>
              </c:numCache>
            </c:numRef>
          </c:xVal>
          <c:yVal>
            <c:numRef>
              <c:f>'SOA Calculations'!$I$17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1"/>
          <c:order val="1"/>
          <c:tx>
            <c:strRef>
              <c:f>'SOA Calculations'!$Q$80</c:f>
              <c:strCache>
                <c:ptCount val="1"/>
                <c:pt idx="0">
                  <c:v>55V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Calculations'!$Q$81:$Q$84</c:f>
              <c:numCache>
                <c:formatCode>General</c:formatCode>
                <c:ptCount val="4"/>
                <c:pt idx="0">
                  <c:v>0.654545454545455</c:v>
                </c:pt>
                <c:pt idx="1">
                  <c:v>0.223636363636364</c:v>
                </c:pt>
                <c:pt idx="2">
                  <c:v>0.0695454545454546</c:v>
                </c:pt>
                <c:pt idx="3">
                  <c:v>0.0163636363636364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'SOA Calculations'!$R$80</c:f>
              <c:strCache>
                <c:ptCount val="1"/>
                <c:pt idx="0">
                  <c:v>40V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Calculations'!$R$81:$R$84</c:f>
              <c:numCache>
                <c:formatCode>General</c:formatCode>
                <c:ptCount val="4"/>
                <c:pt idx="0">
                  <c:v>0.9</c:v>
                </c:pt>
                <c:pt idx="1">
                  <c:v>0.3075</c:v>
                </c:pt>
                <c:pt idx="2">
                  <c:v>0.095625</c:v>
                </c:pt>
                <c:pt idx="3">
                  <c:v>0.0225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'SOA Calculations'!$S$80</c:f>
              <c:strCache>
                <c:ptCount val="1"/>
                <c:pt idx="0">
                  <c:v>30V</c:v>
                </c:pt>
              </c:strCache>
            </c:strRef>
          </c:tx>
          <c:spPr>
            <a:solidFill>
              <a:srgbClr val="00ff00"/>
            </a:solidFill>
            <a:ln w="25560">
              <a:solidFill>
                <a:srgbClr val="00ff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Calculations'!$S$81:$S$84</c:f>
              <c:numCache>
                <c:formatCode>General</c:formatCode>
                <c:ptCount val="4"/>
                <c:pt idx="0">
                  <c:v>1.2</c:v>
                </c:pt>
                <c:pt idx="1">
                  <c:v>0.41</c:v>
                </c:pt>
                <c:pt idx="2">
                  <c:v>0.1275</c:v>
                </c:pt>
                <c:pt idx="3">
                  <c:v>0.03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'SOA Calculations'!$T$80</c:f>
              <c:strCache>
                <c:ptCount val="1"/>
                <c:pt idx="0">
                  <c:v>20V</c:v>
                </c:pt>
              </c:strCache>
            </c:strRef>
          </c:tx>
          <c:spPr>
            <a:solidFill>
              <a:srgbClr val="ff6600"/>
            </a:solidFill>
            <a:ln w="25560">
              <a:solidFill>
                <a:srgbClr val="ff66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Calculations'!$T$81:$T$84</c:f>
              <c:numCache>
                <c:formatCode>General</c:formatCode>
                <c:ptCount val="4"/>
                <c:pt idx="0">
                  <c:v>1.8</c:v>
                </c:pt>
                <c:pt idx="1">
                  <c:v>0.615</c:v>
                </c:pt>
                <c:pt idx="2">
                  <c:v>0.19125</c:v>
                </c:pt>
                <c:pt idx="3">
                  <c:v>0.045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'SOA Calculations'!$U$80</c:f>
              <c:strCache>
                <c:ptCount val="1"/>
                <c:pt idx="0">
                  <c:v>10V</c:v>
                </c:pt>
              </c:strCache>
            </c:strRef>
          </c:tx>
          <c:spPr>
            <a:solidFill>
              <a:srgbClr val="000080"/>
            </a:solidFill>
            <a:ln w="25560">
              <a:solidFill>
                <a:srgbClr val="0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Calculations'!$U$81:$U$84</c:f>
              <c:numCache>
                <c:formatCode>General</c:formatCode>
                <c:ptCount val="4"/>
                <c:pt idx="0">
                  <c:v>3.6</c:v>
                </c:pt>
                <c:pt idx="1">
                  <c:v>1.23</c:v>
                </c:pt>
                <c:pt idx="2">
                  <c:v>0.3825</c:v>
                </c:pt>
                <c:pt idx="3">
                  <c:v>0.09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'SOA Calculations'!$V$80</c:f>
              <c:strCache>
                <c:ptCount val="1"/>
                <c:pt idx="0">
                  <c:v>5V</c:v>
                </c:pt>
              </c:strCache>
            </c:strRef>
          </c:tx>
          <c:spPr>
            <a:solidFill>
              <a:srgbClr val="800000"/>
            </a:solidFill>
            <a:ln w="25560">
              <a:solidFill>
                <a:srgbClr val="80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Calculations'!$V$81:$V$84</c:f>
              <c:numCache>
                <c:formatCode>General</c:formatCode>
                <c:ptCount val="4"/>
                <c:pt idx="0">
                  <c:v>7.2</c:v>
                </c:pt>
                <c:pt idx="1">
                  <c:v>2.46</c:v>
                </c:pt>
                <c:pt idx="2">
                  <c:v>0.765</c:v>
                </c:pt>
                <c:pt idx="3">
                  <c:v>0.18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'SOA Calculations'!$W$80</c:f>
              <c:strCache>
                <c:ptCount val="1"/>
                <c:pt idx="0">
                  <c:v>3V</c:v>
                </c:pt>
              </c:strCache>
            </c:strRef>
          </c:tx>
          <c:spPr>
            <a:solidFill>
              <a:srgbClr val="ffff00"/>
            </a:solidFill>
            <a:ln w="25560">
              <a:solidFill>
                <a:srgbClr val="ffff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Calculations'!$W$83:$W$84</c:f>
              <c:numCache>
                <c:formatCode>General</c:formatCode>
                <c:ptCount val="2"/>
                <c:pt idx="0">
                  <c:v>1.275</c:v>
                </c:pt>
                <c:pt idx="1">
                  <c:v>0.3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'SOA Calculations'!$X$80</c:f>
              <c:strCache>
                <c:ptCount val="1"/>
                <c:pt idx="0">
                  <c:v>2V</c:v>
                </c:pt>
              </c:strCache>
            </c:strRef>
          </c:tx>
          <c:spPr>
            <a:solidFill>
              <a:srgbClr val="00ffff"/>
            </a:solidFill>
            <a:ln w="25560">
              <a:solidFill>
                <a:srgbClr val="00ff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Calculations'!$X$83:$X$84</c:f>
              <c:numCache>
                <c:formatCode>General</c:formatCode>
                <c:ptCount val="2"/>
                <c:pt idx="0">
                  <c:v>1.9125</c:v>
                </c:pt>
                <c:pt idx="1">
                  <c:v>0.45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'Design Worksheet'!$C$90</c:f>
              <c:strCache>
                <c:ptCount val="1"/>
                <c:pt idx="0">
                  <c:v>Start Up</c:v>
                </c:pt>
              </c:strCache>
            </c:strRef>
          </c:tx>
          <c:spPr>
            <a:solidFill>
              <a:srgbClr val="00ff00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00ff00"/>
              </a:solidFill>
            </c:spPr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Worksheet'!$B$91</c:f>
              <c:numCache>
                <c:formatCode>General</c:formatCode>
                <c:ptCount val="1"/>
                <c:pt idx="0">
                  <c:v>0.0105878489790813</c:v>
                </c:pt>
              </c:numCache>
            </c:numRef>
          </c:xVal>
          <c:yVal>
            <c:numRef>
              <c:f>'Design Worksheet'!$C$91</c:f>
              <c:numCache>
                <c:formatCode>0.000</c:formatCode>
                <c:ptCount val="1"/>
                <c:pt idx="0">
                  <c:v>9.13817272218669</c:v>
                </c:pt>
              </c:numCache>
            </c:numRef>
          </c:yVal>
          <c:smooth val="0"/>
        </c:ser>
        <c:axId val="25255635"/>
        <c:axId val="60136614"/>
      </c:scatterChart>
      <c:valAx>
        <c:axId val="25255635"/>
        <c:scaling>
          <c:logBase val="10"/>
          <c:orientation val="minMax"/>
          <c:max val="1000"/>
          <c:min val="0.01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8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Time (Seconds)</a:t>
                </a:r>
              </a:p>
            </c:rich>
          </c:tx>
          <c:layout>
            <c:manualLayout>
              <c:xMode val="edge"/>
              <c:yMode val="edge"/>
              <c:x val="0.472194502404064"/>
              <c:y val="0.938900986294351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7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60136614"/>
        <c:crossesAt val="1E-005"/>
        <c:crossBetween val="midCat"/>
      </c:valAx>
      <c:valAx>
        <c:axId val="60136614"/>
        <c:scaling>
          <c:logBase val="10"/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8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Current</a:t>
                </a:r>
              </a:p>
            </c:rich>
          </c:tx>
          <c:layout>
            <c:manualLayout>
              <c:xMode val="edge"/>
              <c:yMode val="edge"/>
              <c:x val="0.0178263630590583"/>
              <c:y val="0.464775201742026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7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25255635"/>
        <c:crossesAt val="1E-005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707573696145125"/>
          <c:y val="0.0971131932134718"/>
          <c:w val="0.279150981903941"/>
          <c:h val="0.162456473567585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740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FET Power Dissipation in Foldback</a:t>
            </a:r>
          </a:p>
        </c:rich>
      </c:tx>
      <c:layout>
        <c:manualLayout>
          <c:xMode val="edge"/>
          <c:yMode val="edge"/>
          <c:x val="0.291933490619032"/>
          <c:y val="0.0543148393121158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34737669924728"/>
          <c:y val="0.143646408839779"/>
          <c:w val="0.868554095045501"/>
          <c:h val="0.73286125593339"/>
        </c:manualLayout>
      </c:layout>
      <c:scatterChart>
        <c:scatterStyle val="line"/>
        <c:varyColors val="0"/>
        <c:ser>
          <c:idx val="0"/>
          <c:order val="0"/>
          <c:tx>
            <c:strRef>
              <c:f>'Design Calculations'!$G$59</c:f>
              <c:strCache>
                <c:ptCount val="1"/>
                <c:pt idx="0">
                  <c:v>Power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Calculations'!$C$60:$C$279</c:f>
              <c:numCache>
                <c:formatCode>General</c:formatCode>
                <c:ptCount val="220"/>
                <c:pt idx="0">
                  <c:v>28.6</c:v>
                </c:pt>
                <c:pt idx="1">
                  <c:v>28.47</c:v>
                </c:pt>
                <c:pt idx="2">
                  <c:v>28.34</c:v>
                </c:pt>
                <c:pt idx="3">
                  <c:v>28.21</c:v>
                </c:pt>
                <c:pt idx="4">
                  <c:v>28.08</c:v>
                </c:pt>
                <c:pt idx="5">
                  <c:v>27.95</c:v>
                </c:pt>
                <c:pt idx="6">
                  <c:v>27.82</c:v>
                </c:pt>
                <c:pt idx="7">
                  <c:v>27.69</c:v>
                </c:pt>
                <c:pt idx="8">
                  <c:v>27.56</c:v>
                </c:pt>
                <c:pt idx="9">
                  <c:v>27.43</c:v>
                </c:pt>
                <c:pt idx="10">
                  <c:v>27.3</c:v>
                </c:pt>
                <c:pt idx="11">
                  <c:v>27.17</c:v>
                </c:pt>
                <c:pt idx="12">
                  <c:v>27.04</c:v>
                </c:pt>
                <c:pt idx="13">
                  <c:v>26.91</c:v>
                </c:pt>
                <c:pt idx="14">
                  <c:v>26.78</c:v>
                </c:pt>
                <c:pt idx="15">
                  <c:v>26.65</c:v>
                </c:pt>
                <c:pt idx="16">
                  <c:v>26.52</c:v>
                </c:pt>
                <c:pt idx="17">
                  <c:v>26.39</c:v>
                </c:pt>
                <c:pt idx="18">
                  <c:v>26.26</c:v>
                </c:pt>
                <c:pt idx="19">
                  <c:v>26.13</c:v>
                </c:pt>
                <c:pt idx="20">
                  <c:v>26</c:v>
                </c:pt>
                <c:pt idx="21">
                  <c:v>25.87</c:v>
                </c:pt>
                <c:pt idx="22">
                  <c:v>25.74</c:v>
                </c:pt>
                <c:pt idx="23">
                  <c:v>25.61</c:v>
                </c:pt>
                <c:pt idx="24">
                  <c:v>25.48</c:v>
                </c:pt>
                <c:pt idx="25">
                  <c:v>25.35</c:v>
                </c:pt>
                <c:pt idx="26">
                  <c:v>25.22</c:v>
                </c:pt>
                <c:pt idx="27">
                  <c:v>25.09</c:v>
                </c:pt>
                <c:pt idx="28">
                  <c:v>24.96</c:v>
                </c:pt>
                <c:pt idx="29">
                  <c:v>24.83</c:v>
                </c:pt>
                <c:pt idx="30">
                  <c:v>24.7</c:v>
                </c:pt>
                <c:pt idx="31">
                  <c:v>24.57</c:v>
                </c:pt>
                <c:pt idx="32">
                  <c:v>24.44</c:v>
                </c:pt>
                <c:pt idx="33">
                  <c:v>24.31</c:v>
                </c:pt>
                <c:pt idx="34">
                  <c:v>24.18</c:v>
                </c:pt>
                <c:pt idx="35">
                  <c:v>24.05</c:v>
                </c:pt>
                <c:pt idx="36">
                  <c:v>23.92</c:v>
                </c:pt>
                <c:pt idx="37">
                  <c:v>23.79</c:v>
                </c:pt>
                <c:pt idx="38">
                  <c:v>23.66</c:v>
                </c:pt>
                <c:pt idx="39">
                  <c:v>23.53</c:v>
                </c:pt>
                <c:pt idx="40">
                  <c:v>23.4</c:v>
                </c:pt>
                <c:pt idx="41">
                  <c:v>23.27</c:v>
                </c:pt>
                <c:pt idx="42">
                  <c:v>23.14</c:v>
                </c:pt>
                <c:pt idx="43">
                  <c:v>23.01</c:v>
                </c:pt>
                <c:pt idx="44">
                  <c:v>22.88</c:v>
                </c:pt>
                <c:pt idx="45">
                  <c:v>22.75</c:v>
                </c:pt>
                <c:pt idx="46">
                  <c:v>22.62</c:v>
                </c:pt>
                <c:pt idx="47">
                  <c:v>22.49</c:v>
                </c:pt>
                <c:pt idx="48">
                  <c:v>22.36</c:v>
                </c:pt>
                <c:pt idx="49">
                  <c:v>22.23</c:v>
                </c:pt>
                <c:pt idx="50">
                  <c:v>22.1</c:v>
                </c:pt>
                <c:pt idx="51">
                  <c:v>21.97</c:v>
                </c:pt>
                <c:pt idx="52">
                  <c:v>21.84</c:v>
                </c:pt>
                <c:pt idx="53">
                  <c:v>21.71</c:v>
                </c:pt>
                <c:pt idx="54">
                  <c:v>21.58</c:v>
                </c:pt>
                <c:pt idx="55">
                  <c:v>21.45</c:v>
                </c:pt>
                <c:pt idx="56">
                  <c:v>21.32</c:v>
                </c:pt>
                <c:pt idx="57">
                  <c:v>21.19</c:v>
                </c:pt>
                <c:pt idx="58">
                  <c:v>21.06</c:v>
                </c:pt>
                <c:pt idx="59">
                  <c:v>20.93</c:v>
                </c:pt>
                <c:pt idx="60">
                  <c:v>20.8</c:v>
                </c:pt>
                <c:pt idx="61">
                  <c:v>20.67</c:v>
                </c:pt>
                <c:pt idx="62">
                  <c:v>20.54</c:v>
                </c:pt>
                <c:pt idx="63">
                  <c:v>20.41</c:v>
                </c:pt>
                <c:pt idx="64">
                  <c:v>20.28</c:v>
                </c:pt>
                <c:pt idx="65">
                  <c:v>20.15</c:v>
                </c:pt>
                <c:pt idx="66">
                  <c:v>20.02</c:v>
                </c:pt>
                <c:pt idx="67">
                  <c:v>19.89</c:v>
                </c:pt>
                <c:pt idx="68">
                  <c:v>19.76</c:v>
                </c:pt>
                <c:pt idx="69">
                  <c:v>19.63</c:v>
                </c:pt>
                <c:pt idx="70">
                  <c:v>19.5</c:v>
                </c:pt>
                <c:pt idx="71">
                  <c:v>19.37</c:v>
                </c:pt>
                <c:pt idx="72">
                  <c:v>19.24</c:v>
                </c:pt>
                <c:pt idx="73">
                  <c:v>19.11</c:v>
                </c:pt>
                <c:pt idx="74">
                  <c:v>18.98</c:v>
                </c:pt>
                <c:pt idx="75">
                  <c:v>18.85</c:v>
                </c:pt>
                <c:pt idx="76">
                  <c:v>18.72</c:v>
                </c:pt>
                <c:pt idx="77">
                  <c:v>18.59</c:v>
                </c:pt>
                <c:pt idx="78">
                  <c:v>18.46</c:v>
                </c:pt>
                <c:pt idx="79">
                  <c:v>18.33</c:v>
                </c:pt>
                <c:pt idx="80">
                  <c:v>18.2</c:v>
                </c:pt>
                <c:pt idx="81">
                  <c:v>18.07</c:v>
                </c:pt>
                <c:pt idx="82">
                  <c:v>17.94</c:v>
                </c:pt>
                <c:pt idx="83">
                  <c:v>17.81</c:v>
                </c:pt>
                <c:pt idx="84">
                  <c:v>17.68</c:v>
                </c:pt>
                <c:pt idx="85">
                  <c:v>17.55</c:v>
                </c:pt>
                <c:pt idx="86">
                  <c:v>17.42</c:v>
                </c:pt>
                <c:pt idx="87">
                  <c:v>17.29</c:v>
                </c:pt>
                <c:pt idx="88">
                  <c:v>17.16</c:v>
                </c:pt>
                <c:pt idx="89">
                  <c:v>17.03</c:v>
                </c:pt>
                <c:pt idx="90">
                  <c:v>16.9</c:v>
                </c:pt>
                <c:pt idx="91">
                  <c:v>16.77</c:v>
                </c:pt>
                <c:pt idx="92">
                  <c:v>16.64</c:v>
                </c:pt>
                <c:pt idx="93">
                  <c:v>16.51</c:v>
                </c:pt>
                <c:pt idx="94">
                  <c:v>16.38</c:v>
                </c:pt>
                <c:pt idx="95">
                  <c:v>16.25</c:v>
                </c:pt>
                <c:pt idx="96">
                  <c:v>16.12</c:v>
                </c:pt>
                <c:pt idx="97">
                  <c:v>15.99</c:v>
                </c:pt>
                <c:pt idx="98">
                  <c:v>15.86</c:v>
                </c:pt>
                <c:pt idx="99">
                  <c:v>15.73</c:v>
                </c:pt>
                <c:pt idx="100">
                  <c:v>15.6</c:v>
                </c:pt>
                <c:pt idx="101">
                  <c:v>15.47</c:v>
                </c:pt>
                <c:pt idx="102">
                  <c:v>15.34</c:v>
                </c:pt>
                <c:pt idx="103">
                  <c:v>15.21</c:v>
                </c:pt>
                <c:pt idx="104">
                  <c:v>15.08</c:v>
                </c:pt>
                <c:pt idx="105">
                  <c:v>14.95</c:v>
                </c:pt>
                <c:pt idx="106">
                  <c:v>14.82</c:v>
                </c:pt>
                <c:pt idx="107">
                  <c:v>14.69</c:v>
                </c:pt>
                <c:pt idx="108">
                  <c:v>14.56</c:v>
                </c:pt>
                <c:pt idx="109">
                  <c:v>14.43</c:v>
                </c:pt>
                <c:pt idx="110">
                  <c:v>14.3</c:v>
                </c:pt>
                <c:pt idx="111">
                  <c:v>14.17</c:v>
                </c:pt>
                <c:pt idx="112">
                  <c:v>14.04</c:v>
                </c:pt>
                <c:pt idx="113">
                  <c:v>13.91</c:v>
                </c:pt>
                <c:pt idx="114">
                  <c:v>13.78</c:v>
                </c:pt>
                <c:pt idx="115">
                  <c:v>13.65</c:v>
                </c:pt>
                <c:pt idx="116">
                  <c:v>13.52</c:v>
                </c:pt>
                <c:pt idx="117">
                  <c:v>13.39</c:v>
                </c:pt>
                <c:pt idx="118">
                  <c:v>13.26</c:v>
                </c:pt>
                <c:pt idx="119">
                  <c:v>13.13</c:v>
                </c:pt>
                <c:pt idx="120">
                  <c:v>13</c:v>
                </c:pt>
                <c:pt idx="121">
                  <c:v>12.87</c:v>
                </c:pt>
                <c:pt idx="122">
                  <c:v>12.74</c:v>
                </c:pt>
                <c:pt idx="123">
                  <c:v>12.61</c:v>
                </c:pt>
                <c:pt idx="124">
                  <c:v>12.48</c:v>
                </c:pt>
                <c:pt idx="125">
                  <c:v>12.35</c:v>
                </c:pt>
                <c:pt idx="126">
                  <c:v>12.22</c:v>
                </c:pt>
                <c:pt idx="127">
                  <c:v>12.09</c:v>
                </c:pt>
                <c:pt idx="128">
                  <c:v>11.96</c:v>
                </c:pt>
                <c:pt idx="129">
                  <c:v>11.83</c:v>
                </c:pt>
                <c:pt idx="130">
                  <c:v>11.7</c:v>
                </c:pt>
                <c:pt idx="131">
                  <c:v>11.57</c:v>
                </c:pt>
                <c:pt idx="132">
                  <c:v>11.44</c:v>
                </c:pt>
                <c:pt idx="133">
                  <c:v>11.31</c:v>
                </c:pt>
                <c:pt idx="134">
                  <c:v>11.18</c:v>
                </c:pt>
                <c:pt idx="135">
                  <c:v>11.05</c:v>
                </c:pt>
                <c:pt idx="136">
                  <c:v>10.92</c:v>
                </c:pt>
                <c:pt idx="137">
                  <c:v>10.79</c:v>
                </c:pt>
                <c:pt idx="138">
                  <c:v>10.66</c:v>
                </c:pt>
                <c:pt idx="139">
                  <c:v>10.53</c:v>
                </c:pt>
                <c:pt idx="140">
                  <c:v>10.4</c:v>
                </c:pt>
                <c:pt idx="141">
                  <c:v>10.27</c:v>
                </c:pt>
                <c:pt idx="142">
                  <c:v>10.14</c:v>
                </c:pt>
                <c:pt idx="143">
                  <c:v>10.01</c:v>
                </c:pt>
                <c:pt idx="144">
                  <c:v>9.87999999999997</c:v>
                </c:pt>
                <c:pt idx="145">
                  <c:v>9.74999999999997</c:v>
                </c:pt>
                <c:pt idx="146">
                  <c:v>9.61999999999997</c:v>
                </c:pt>
                <c:pt idx="147">
                  <c:v>9.48999999999997</c:v>
                </c:pt>
                <c:pt idx="148">
                  <c:v>9.35999999999998</c:v>
                </c:pt>
                <c:pt idx="149">
                  <c:v>9.22999999999997</c:v>
                </c:pt>
                <c:pt idx="150">
                  <c:v>9.09999999999997</c:v>
                </c:pt>
                <c:pt idx="151">
                  <c:v>8.96999999999997</c:v>
                </c:pt>
                <c:pt idx="152">
                  <c:v>8.83999999999998</c:v>
                </c:pt>
                <c:pt idx="153">
                  <c:v>8.70999999999997</c:v>
                </c:pt>
                <c:pt idx="154">
                  <c:v>8.57999999999998</c:v>
                </c:pt>
                <c:pt idx="155">
                  <c:v>8.44999999999997</c:v>
                </c:pt>
                <c:pt idx="156">
                  <c:v>8.31999999999997</c:v>
                </c:pt>
                <c:pt idx="157">
                  <c:v>8.18999999999998</c:v>
                </c:pt>
                <c:pt idx="158">
                  <c:v>8.05999999999997</c:v>
                </c:pt>
                <c:pt idx="159">
                  <c:v>7.92999999999997</c:v>
                </c:pt>
                <c:pt idx="160">
                  <c:v>7.79999999999997</c:v>
                </c:pt>
                <c:pt idx="161">
                  <c:v>7.66999999999997</c:v>
                </c:pt>
                <c:pt idx="162">
                  <c:v>7.53999999999997</c:v>
                </c:pt>
                <c:pt idx="163">
                  <c:v>7.40999999999997</c:v>
                </c:pt>
                <c:pt idx="164">
                  <c:v>7.27999999999997</c:v>
                </c:pt>
                <c:pt idx="165">
                  <c:v>7.14999999999998</c:v>
                </c:pt>
                <c:pt idx="166">
                  <c:v>7.01999999999998</c:v>
                </c:pt>
                <c:pt idx="167">
                  <c:v>6.88999999999997</c:v>
                </c:pt>
                <c:pt idx="168">
                  <c:v>6.75999999999997</c:v>
                </c:pt>
                <c:pt idx="169">
                  <c:v>6.62999999999997</c:v>
                </c:pt>
                <c:pt idx="170">
                  <c:v>6.49999999999997</c:v>
                </c:pt>
                <c:pt idx="171">
                  <c:v>6.36999999999997</c:v>
                </c:pt>
                <c:pt idx="172">
                  <c:v>6.23999999999997</c:v>
                </c:pt>
                <c:pt idx="173">
                  <c:v>6.10999999999997</c:v>
                </c:pt>
                <c:pt idx="174">
                  <c:v>5.97999999999998</c:v>
                </c:pt>
                <c:pt idx="175">
                  <c:v>5.84999999999997</c:v>
                </c:pt>
                <c:pt idx="176">
                  <c:v>5.71999999999997</c:v>
                </c:pt>
                <c:pt idx="177">
                  <c:v>5.58999999999997</c:v>
                </c:pt>
                <c:pt idx="178">
                  <c:v>5.45999999999997</c:v>
                </c:pt>
                <c:pt idx="179">
                  <c:v>5.32999999999997</c:v>
                </c:pt>
                <c:pt idx="180">
                  <c:v>5.19999999999997</c:v>
                </c:pt>
                <c:pt idx="181">
                  <c:v>5.06999999999997</c:v>
                </c:pt>
                <c:pt idx="182">
                  <c:v>4.93999999999997</c:v>
                </c:pt>
                <c:pt idx="183">
                  <c:v>4.80999999999997</c:v>
                </c:pt>
                <c:pt idx="184">
                  <c:v>4.67999999999997</c:v>
                </c:pt>
                <c:pt idx="185">
                  <c:v>4.54999999999997</c:v>
                </c:pt>
                <c:pt idx="186">
                  <c:v>4.41999999999997</c:v>
                </c:pt>
                <c:pt idx="187">
                  <c:v>4.28999999999997</c:v>
                </c:pt>
                <c:pt idx="188">
                  <c:v>4.15999999999997</c:v>
                </c:pt>
                <c:pt idx="189">
                  <c:v>4.02999999999997</c:v>
                </c:pt>
                <c:pt idx="190">
                  <c:v>3.89999999999997</c:v>
                </c:pt>
                <c:pt idx="191">
                  <c:v>3.76999999999997</c:v>
                </c:pt>
                <c:pt idx="192">
                  <c:v>3.63999999999997</c:v>
                </c:pt>
                <c:pt idx="193">
                  <c:v>3.50999999999997</c:v>
                </c:pt>
                <c:pt idx="194">
                  <c:v>3.37999999999997</c:v>
                </c:pt>
                <c:pt idx="195">
                  <c:v>3.24999999999997</c:v>
                </c:pt>
                <c:pt idx="196">
                  <c:v>3.11999999999997</c:v>
                </c:pt>
                <c:pt idx="197">
                  <c:v>2.98999999999997</c:v>
                </c:pt>
                <c:pt idx="198">
                  <c:v>2.85999999999997</c:v>
                </c:pt>
                <c:pt idx="199">
                  <c:v>2.72999999999997</c:v>
                </c:pt>
                <c:pt idx="200">
                  <c:v>2.59999999999997</c:v>
                </c:pt>
                <c:pt idx="201">
                  <c:v>2.46999999999997</c:v>
                </c:pt>
                <c:pt idx="202">
                  <c:v>2.33999999999997</c:v>
                </c:pt>
                <c:pt idx="203">
                  <c:v>2.20999999999997</c:v>
                </c:pt>
                <c:pt idx="204">
                  <c:v>2.07999999999997</c:v>
                </c:pt>
                <c:pt idx="205">
                  <c:v>1.94999999999997</c:v>
                </c:pt>
                <c:pt idx="206">
                  <c:v>1.81999999999997</c:v>
                </c:pt>
                <c:pt idx="207">
                  <c:v>1.68999999999997</c:v>
                </c:pt>
                <c:pt idx="208">
                  <c:v>1.55999999999998</c:v>
                </c:pt>
                <c:pt idx="209">
                  <c:v>1.42999999999997</c:v>
                </c:pt>
                <c:pt idx="210">
                  <c:v>1.29999999999997</c:v>
                </c:pt>
                <c:pt idx="211">
                  <c:v>1.16999999999997</c:v>
                </c:pt>
                <c:pt idx="212">
                  <c:v>1.03999999999997</c:v>
                </c:pt>
                <c:pt idx="213">
                  <c:v>0.909999999999974</c:v>
                </c:pt>
                <c:pt idx="214">
                  <c:v>0.779999999999974</c:v>
                </c:pt>
                <c:pt idx="215">
                  <c:v>0.649999999999974</c:v>
                </c:pt>
                <c:pt idx="216">
                  <c:v>0.519999999999974</c:v>
                </c:pt>
                <c:pt idx="217">
                  <c:v>0.389999999999974</c:v>
                </c:pt>
                <c:pt idx="218">
                  <c:v>0.259999999999974</c:v>
                </c:pt>
                <c:pt idx="219">
                  <c:v>0.129999999999974</c:v>
                </c:pt>
              </c:numCache>
            </c:numRef>
          </c:xVal>
          <c:yVal>
            <c:numRef>
              <c:f>'Design Calculations'!$G$60:$G$279</c:f>
              <c:numCache>
                <c:formatCode>General</c:formatCode>
                <c:ptCount val="220"/>
              </c:numCache>
            </c:numRef>
          </c:yVal>
          <c:smooth val="1"/>
        </c:ser>
        <c:ser>
          <c:idx val="1"/>
          <c:order val="1"/>
          <c:tx>
            <c:strRef>
              <c:f>'Design Calculations'!$M$59</c:f>
              <c:strCache>
                <c:ptCount val="1"/>
                <c:pt idx="0">
                  <c:v>Power</c:v>
                </c:pt>
              </c:strCache>
            </c:strRef>
          </c:tx>
          <c:spPr>
            <a:solidFill>
              <a:srgbClr val="ff0000"/>
            </a:solidFill>
            <a:ln w="25560">
              <a:solidFill>
                <a:srgbClr val="ff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Calculations'!$I$60:$I$290</c:f>
              <c:numCache>
                <c:formatCode>General</c:formatCode>
                <c:ptCount val="231"/>
                <c:pt idx="0">
                  <c:v>31.2</c:v>
                </c:pt>
                <c:pt idx="1">
                  <c:v>31.07</c:v>
                </c:pt>
                <c:pt idx="2">
                  <c:v>30.94</c:v>
                </c:pt>
                <c:pt idx="3">
                  <c:v>30.81</c:v>
                </c:pt>
                <c:pt idx="4">
                  <c:v>30.68</c:v>
                </c:pt>
                <c:pt idx="5">
                  <c:v>30.55</c:v>
                </c:pt>
                <c:pt idx="6">
                  <c:v>30.42</c:v>
                </c:pt>
                <c:pt idx="7">
                  <c:v>30.29</c:v>
                </c:pt>
                <c:pt idx="8">
                  <c:v>30.16</c:v>
                </c:pt>
                <c:pt idx="9">
                  <c:v>30.03</c:v>
                </c:pt>
                <c:pt idx="10">
                  <c:v>29.9</c:v>
                </c:pt>
                <c:pt idx="11">
                  <c:v>29.77</c:v>
                </c:pt>
                <c:pt idx="12">
                  <c:v>29.64</c:v>
                </c:pt>
                <c:pt idx="13">
                  <c:v>29.51</c:v>
                </c:pt>
                <c:pt idx="14">
                  <c:v>29.38</c:v>
                </c:pt>
                <c:pt idx="15">
                  <c:v>29.25</c:v>
                </c:pt>
                <c:pt idx="16">
                  <c:v>29.12</c:v>
                </c:pt>
                <c:pt idx="17">
                  <c:v>28.99</c:v>
                </c:pt>
                <c:pt idx="18">
                  <c:v>28.86</c:v>
                </c:pt>
                <c:pt idx="19">
                  <c:v>28.73</c:v>
                </c:pt>
                <c:pt idx="20">
                  <c:v>28.6</c:v>
                </c:pt>
                <c:pt idx="21">
                  <c:v>28.47</c:v>
                </c:pt>
                <c:pt idx="22">
                  <c:v>28.34</c:v>
                </c:pt>
                <c:pt idx="23">
                  <c:v>28.21</c:v>
                </c:pt>
                <c:pt idx="24">
                  <c:v>28.08</c:v>
                </c:pt>
                <c:pt idx="25">
                  <c:v>27.95</c:v>
                </c:pt>
                <c:pt idx="26">
                  <c:v>27.82</c:v>
                </c:pt>
                <c:pt idx="27">
                  <c:v>27.69</c:v>
                </c:pt>
                <c:pt idx="28">
                  <c:v>27.56</c:v>
                </c:pt>
                <c:pt idx="29">
                  <c:v>27.43</c:v>
                </c:pt>
                <c:pt idx="30">
                  <c:v>27.3</c:v>
                </c:pt>
                <c:pt idx="31">
                  <c:v>27.17</c:v>
                </c:pt>
                <c:pt idx="32">
                  <c:v>27.04</c:v>
                </c:pt>
                <c:pt idx="33">
                  <c:v>26.91</c:v>
                </c:pt>
                <c:pt idx="34">
                  <c:v>26.78</c:v>
                </c:pt>
                <c:pt idx="35">
                  <c:v>26.65</c:v>
                </c:pt>
                <c:pt idx="36">
                  <c:v>26.52</c:v>
                </c:pt>
                <c:pt idx="37">
                  <c:v>26.39</c:v>
                </c:pt>
                <c:pt idx="38">
                  <c:v>26.26</c:v>
                </c:pt>
                <c:pt idx="39">
                  <c:v>26.13</c:v>
                </c:pt>
                <c:pt idx="40">
                  <c:v>26</c:v>
                </c:pt>
                <c:pt idx="41">
                  <c:v>25.8700000000001</c:v>
                </c:pt>
                <c:pt idx="42">
                  <c:v>25.7400000000001</c:v>
                </c:pt>
                <c:pt idx="43">
                  <c:v>25.6100000000001</c:v>
                </c:pt>
                <c:pt idx="44">
                  <c:v>25.4800000000001</c:v>
                </c:pt>
                <c:pt idx="45">
                  <c:v>25.3500000000001</c:v>
                </c:pt>
                <c:pt idx="46">
                  <c:v>25.2200000000001</c:v>
                </c:pt>
                <c:pt idx="47">
                  <c:v>25.0900000000001</c:v>
                </c:pt>
                <c:pt idx="48">
                  <c:v>24.9600000000001</c:v>
                </c:pt>
                <c:pt idx="49">
                  <c:v>24.8300000000001</c:v>
                </c:pt>
                <c:pt idx="50">
                  <c:v>24.7000000000001</c:v>
                </c:pt>
                <c:pt idx="51">
                  <c:v>24.5700000000001</c:v>
                </c:pt>
                <c:pt idx="52">
                  <c:v>24.4400000000002</c:v>
                </c:pt>
                <c:pt idx="53">
                  <c:v>24.3100000000002</c:v>
                </c:pt>
                <c:pt idx="54">
                  <c:v>24.1800000000002</c:v>
                </c:pt>
                <c:pt idx="55">
                  <c:v>24.0500000000002</c:v>
                </c:pt>
                <c:pt idx="56">
                  <c:v>23.9200000000002</c:v>
                </c:pt>
                <c:pt idx="57">
                  <c:v>23.7900000000002</c:v>
                </c:pt>
                <c:pt idx="58">
                  <c:v>23.6600000000002</c:v>
                </c:pt>
                <c:pt idx="59">
                  <c:v>23.5300000000002</c:v>
                </c:pt>
                <c:pt idx="60">
                  <c:v>23.4000000000002</c:v>
                </c:pt>
                <c:pt idx="61">
                  <c:v>23.2700000000002</c:v>
                </c:pt>
                <c:pt idx="62">
                  <c:v>23.1400000000002</c:v>
                </c:pt>
                <c:pt idx="63">
                  <c:v>23.0100000000002</c:v>
                </c:pt>
                <c:pt idx="64">
                  <c:v>22.8800000000002</c:v>
                </c:pt>
                <c:pt idx="65">
                  <c:v>22.7500000000002</c:v>
                </c:pt>
                <c:pt idx="66">
                  <c:v>22.6200000000002</c:v>
                </c:pt>
                <c:pt idx="67">
                  <c:v>22.4900000000002</c:v>
                </c:pt>
                <c:pt idx="68">
                  <c:v>22.3600000000002</c:v>
                </c:pt>
                <c:pt idx="69">
                  <c:v>22.2300000000002</c:v>
                </c:pt>
                <c:pt idx="70">
                  <c:v>22.1000000000002</c:v>
                </c:pt>
                <c:pt idx="71">
                  <c:v>21.9700000000002</c:v>
                </c:pt>
                <c:pt idx="72">
                  <c:v>21.8400000000002</c:v>
                </c:pt>
                <c:pt idx="73">
                  <c:v>21.7100000000002</c:v>
                </c:pt>
                <c:pt idx="74">
                  <c:v>21.5800000000002</c:v>
                </c:pt>
                <c:pt idx="75">
                  <c:v>21.4500000000002</c:v>
                </c:pt>
                <c:pt idx="76">
                  <c:v>21.3200000000002</c:v>
                </c:pt>
                <c:pt idx="77">
                  <c:v>21.1900000000002</c:v>
                </c:pt>
                <c:pt idx="78">
                  <c:v>21.0600000000002</c:v>
                </c:pt>
                <c:pt idx="79">
                  <c:v>20.9300000000002</c:v>
                </c:pt>
                <c:pt idx="80">
                  <c:v>20.8000000000002</c:v>
                </c:pt>
                <c:pt idx="81">
                  <c:v>20.6700000000002</c:v>
                </c:pt>
                <c:pt idx="82">
                  <c:v>20.5400000000002</c:v>
                </c:pt>
                <c:pt idx="83">
                  <c:v>20.4100000000002</c:v>
                </c:pt>
                <c:pt idx="84">
                  <c:v>20.2800000000002</c:v>
                </c:pt>
                <c:pt idx="85">
                  <c:v>20.1500000000002</c:v>
                </c:pt>
                <c:pt idx="86">
                  <c:v>20.0200000000002</c:v>
                </c:pt>
                <c:pt idx="87">
                  <c:v>19.8900000000002</c:v>
                </c:pt>
                <c:pt idx="88">
                  <c:v>19.7600000000002</c:v>
                </c:pt>
                <c:pt idx="89">
                  <c:v>19.6300000000002</c:v>
                </c:pt>
                <c:pt idx="90">
                  <c:v>19.5000000000003</c:v>
                </c:pt>
                <c:pt idx="91">
                  <c:v>19.3700000000003</c:v>
                </c:pt>
                <c:pt idx="92">
                  <c:v>19.2400000000003</c:v>
                </c:pt>
                <c:pt idx="93">
                  <c:v>19.1100000000003</c:v>
                </c:pt>
                <c:pt idx="94">
                  <c:v>18.9800000000003</c:v>
                </c:pt>
                <c:pt idx="95">
                  <c:v>18.8500000000003</c:v>
                </c:pt>
                <c:pt idx="96">
                  <c:v>18.7200000000003</c:v>
                </c:pt>
                <c:pt idx="97">
                  <c:v>18.5900000000003</c:v>
                </c:pt>
                <c:pt idx="98">
                  <c:v>18.4600000000003</c:v>
                </c:pt>
                <c:pt idx="99">
                  <c:v>18.3300000000003</c:v>
                </c:pt>
                <c:pt idx="100">
                  <c:v>18.2000000000003</c:v>
                </c:pt>
                <c:pt idx="101">
                  <c:v>18.0700000000003</c:v>
                </c:pt>
                <c:pt idx="102">
                  <c:v>17.9400000000003</c:v>
                </c:pt>
                <c:pt idx="103">
                  <c:v>17.8100000000003</c:v>
                </c:pt>
                <c:pt idx="104">
                  <c:v>17.6800000000003</c:v>
                </c:pt>
                <c:pt idx="105">
                  <c:v>17.5500000000003</c:v>
                </c:pt>
                <c:pt idx="106">
                  <c:v>17.4200000000003</c:v>
                </c:pt>
                <c:pt idx="107">
                  <c:v>17.2900000000003</c:v>
                </c:pt>
                <c:pt idx="108">
                  <c:v>17.1600000000003</c:v>
                </c:pt>
                <c:pt idx="109">
                  <c:v>17.0300000000003</c:v>
                </c:pt>
                <c:pt idx="110">
                  <c:v>16.9000000000003</c:v>
                </c:pt>
                <c:pt idx="111">
                  <c:v>16.7700000000003</c:v>
                </c:pt>
                <c:pt idx="112">
                  <c:v>16.6400000000003</c:v>
                </c:pt>
                <c:pt idx="113">
                  <c:v>16.5100000000003</c:v>
                </c:pt>
                <c:pt idx="114">
                  <c:v>16.3800000000003</c:v>
                </c:pt>
                <c:pt idx="115">
                  <c:v>16.2500000000003</c:v>
                </c:pt>
                <c:pt idx="116">
                  <c:v>16.1200000000003</c:v>
                </c:pt>
                <c:pt idx="117">
                  <c:v>15.9900000000003</c:v>
                </c:pt>
                <c:pt idx="118">
                  <c:v>15.8600000000003</c:v>
                </c:pt>
                <c:pt idx="119">
                  <c:v>15.7300000000003</c:v>
                </c:pt>
                <c:pt idx="120">
                  <c:v>15.6000000000003</c:v>
                </c:pt>
                <c:pt idx="121">
                  <c:v>15.4700000000003</c:v>
                </c:pt>
                <c:pt idx="122">
                  <c:v>15.3400000000003</c:v>
                </c:pt>
                <c:pt idx="123">
                  <c:v>15.2100000000003</c:v>
                </c:pt>
                <c:pt idx="124">
                  <c:v>15.0800000000003</c:v>
                </c:pt>
                <c:pt idx="125">
                  <c:v>14.9500000000003</c:v>
                </c:pt>
                <c:pt idx="126">
                  <c:v>14.8200000000003</c:v>
                </c:pt>
                <c:pt idx="127">
                  <c:v>14.6900000000004</c:v>
                </c:pt>
                <c:pt idx="128">
                  <c:v>14.5600000000004</c:v>
                </c:pt>
                <c:pt idx="129">
                  <c:v>14.4300000000004</c:v>
                </c:pt>
                <c:pt idx="130">
                  <c:v>14.3000000000004</c:v>
                </c:pt>
                <c:pt idx="131">
                  <c:v>14.1700000000004</c:v>
                </c:pt>
                <c:pt idx="132">
                  <c:v>14.0400000000004</c:v>
                </c:pt>
                <c:pt idx="133">
                  <c:v>13.9100000000004</c:v>
                </c:pt>
                <c:pt idx="134">
                  <c:v>13.7800000000004</c:v>
                </c:pt>
                <c:pt idx="135">
                  <c:v>13.6500000000004</c:v>
                </c:pt>
                <c:pt idx="136">
                  <c:v>13.5200000000004</c:v>
                </c:pt>
                <c:pt idx="137">
                  <c:v>13.3900000000004</c:v>
                </c:pt>
                <c:pt idx="138">
                  <c:v>13.2600000000004</c:v>
                </c:pt>
                <c:pt idx="139">
                  <c:v>13.1300000000004</c:v>
                </c:pt>
                <c:pt idx="140">
                  <c:v>13.0000000000004</c:v>
                </c:pt>
                <c:pt idx="141">
                  <c:v>12.8700000000004</c:v>
                </c:pt>
                <c:pt idx="142">
                  <c:v>12.7400000000004</c:v>
                </c:pt>
                <c:pt idx="143">
                  <c:v>12.6100000000004</c:v>
                </c:pt>
                <c:pt idx="144">
                  <c:v>12.4800000000004</c:v>
                </c:pt>
                <c:pt idx="145">
                  <c:v>12.3500000000004</c:v>
                </c:pt>
                <c:pt idx="146">
                  <c:v>12.2200000000004</c:v>
                </c:pt>
                <c:pt idx="147">
                  <c:v>12.0900000000004</c:v>
                </c:pt>
                <c:pt idx="148">
                  <c:v>11.9600000000004</c:v>
                </c:pt>
                <c:pt idx="149">
                  <c:v>11.8300000000004</c:v>
                </c:pt>
                <c:pt idx="150">
                  <c:v>11.7000000000004</c:v>
                </c:pt>
                <c:pt idx="151">
                  <c:v>11.5700000000004</c:v>
                </c:pt>
                <c:pt idx="152">
                  <c:v>11.4400000000004</c:v>
                </c:pt>
                <c:pt idx="153">
                  <c:v>11.3100000000004</c:v>
                </c:pt>
                <c:pt idx="154">
                  <c:v>11.1800000000004</c:v>
                </c:pt>
                <c:pt idx="155">
                  <c:v>11.0500000000004</c:v>
                </c:pt>
                <c:pt idx="156">
                  <c:v>10.9200000000004</c:v>
                </c:pt>
                <c:pt idx="157">
                  <c:v>10.7900000000004</c:v>
                </c:pt>
                <c:pt idx="158">
                  <c:v>10.6600000000004</c:v>
                </c:pt>
                <c:pt idx="159">
                  <c:v>10.5300000000004</c:v>
                </c:pt>
                <c:pt idx="160">
                  <c:v>10.4000000000004</c:v>
                </c:pt>
                <c:pt idx="161">
                  <c:v>10.2700000000004</c:v>
                </c:pt>
                <c:pt idx="162">
                  <c:v>10.1400000000004</c:v>
                </c:pt>
                <c:pt idx="163">
                  <c:v>10.0100000000004</c:v>
                </c:pt>
                <c:pt idx="164">
                  <c:v>9.88000000000044</c:v>
                </c:pt>
                <c:pt idx="165">
                  <c:v>9.75000000000047</c:v>
                </c:pt>
                <c:pt idx="166">
                  <c:v>9.62000000000047</c:v>
                </c:pt>
                <c:pt idx="167">
                  <c:v>9.49000000000047</c:v>
                </c:pt>
                <c:pt idx="168">
                  <c:v>9.36000000000047</c:v>
                </c:pt>
                <c:pt idx="169">
                  <c:v>9.23000000000047</c:v>
                </c:pt>
                <c:pt idx="170">
                  <c:v>9.10000000000047</c:v>
                </c:pt>
                <c:pt idx="171">
                  <c:v>8.97000000000047</c:v>
                </c:pt>
                <c:pt idx="172">
                  <c:v>8.84000000000047</c:v>
                </c:pt>
                <c:pt idx="173">
                  <c:v>8.71000000000047</c:v>
                </c:pt>
                <c:pt idx="174">
                  <c:v>8.58000000000049</c:v>
                </c:pt>
                <c:pt idx="175">
                  <c:v>8.45000000000049</c:v>
                </c:pt>
                <c:pt idx="176">
                  <c:v>8.32000000000049</c:v>
                </c:pt>
                <c:pt idx="177">
                  <c:v>8.19000000000049</c:v>
                </c:pt>
                <c:pt idx="178">
                  <c:v>8.06000000000049</c:v>
                </c:pt>
                <c:pt idx="179">
                  <c:v>7.93000000000049</c:v>
                </c:pt>
                <c:pt idx="180">
                  <c:v>7.80000000000049</c:v>
                </c:pt>
                <c:pt idx="181">
                  <c:v>7.6700000000005</c:v>
                </c:pt>
                <c:pt idx="182">
                  <c:v>7.5400000000005</c:v>
                </c:pt>
                <c:pt idx="183">
                  <c:v>7.41000000000052</c:v>
                </c:pt>
                <c:pt idx="184">
                  <c:v>7.28000000000052</c:v>
                </c:pt>
                <c:pt idx="185">
                  <c:v>7.15000000000052</c:v>
                </c:pt>
                <c:pt idx="186">
                  <c:v>7.02000000000052</c:v>
                </c:pt>
                <c:pt idx="187">
                  <c:v>6.89000000000052</c:v>
                </c:pt>
                <c:pt idx="188">
                  <c:v>6.76000000000052</c:v>
                </c:pt>
                <c:pt idx="189">
                  <c:v>6.63000000000052</c:v>
                </c:pt>
                <c:pt idx="190">
                  <c:v>6.50000000000052</c:v>
                </c:pt>
                <c:pt idx="191">
                  <c:v>6.37000000000052</c:v>
                </c:pt>
                <c:pt idx="192">
                  <c:v>6.24000000000052</c:v>
                </c:pt>
                <c:pt idx="193">
                  <c:v>6.11000000000055</c:v>
                </c:pt>
                <c:pt idx="194">
                  <c:v>5.98000000000055</c:v>
                </c:pt>
                <c:pt idx="195">
                  <c:v>5.85000000000055</c:v>
                </c:pt>
                <c:pt idx="196">
                  <c:v>5.72000000000055</c:v>
                </c:pt>
                <c:pt idx="197">
                  <c:v>5.59000000000055</c:v>
                </c:pt>
                <c:pt idx="198">
                  <c:v>5.46000000000055</c:v>
                </c:pt>
                <c:pt idx="199">
                  <c:v>5.33000000000055</c:v>
                </c:pt>
                <c:pt idx="200">
                  <c:v>5.20000000000055</c:v>
                </c:pt>
                <c:pt idx="201">
                  <c:v>5.07000000000052</c:v>
                </c:pt>
                <c:pt idx="202">
                  <c:v>4.94000000000052</c:v>
                </c:pt>
                <c:pt idx="203">
                  <c:v>4.81000000000052</c:v>
                </c:pt>
                <c:pt idx="204">
                  <c:v>4.68000000000052</c:v>
                </c:pt>
                <c:pt idx="205">
                  <c:v>4.55000000000052</c:v>
                </c:pt>
                <c:pt idx="206">
                  <c:v>4.42000000000052</c:v>
                </c:pt>
                <c:pt idx="207">
                  <c:v>4.29000000000052</c:v>
                </c:pt>
                <c:pt idx="208">
                  <c:v>4.16000000000052</c:v>
                </c:pt>
                <c:pt idx="209">
                  <c:v>4.03000000000052</c:v>
                </c:pt>
                <c:pt idx="210">
                  <c:v>3.90000000000052</c:v>
                </c:pt>
                <c:pt idx="211">
                  <c:v>3.77000000000052</c:v>
                </c:pt>
                <c:pt idx="212">
                  <c:v>3.64000000000052</c:v>
                </c:pt>
                <c:pt idx="213">
                  <c:v>3.51000000000052</c:v>
                </c:pt>
                <c:pt idx="214">
                  <c:v>3.38000000000052</c:v>
                </c:pt>
                <c:pt idx="215">
                  <c:v>3.25000000000052</c:v>
                </c:pt>
                <c:pt idx="216">
                  <c:v>3.12000000000052</c:v>
                </c:pt>
                <c:pt idx="217">
                  <c:v>2.99000000000052</c:v>
                </c:pt>
                <c:pt idx="218">
                  <c:v>2.86000000000052</c:v>
                </c:pt>
                <c:pt idx="219">
                  <c:v>2.73000000000052</c:v>
                </c:pt>
                <c:pt idx="220">
                  <c:v>2.60000000000052</c:v>
                </c:pt>
                <c:pt idx="221">
                  <c:v>2.47000000000052</c:v>
                </c:pt>
                <c:pt idx="222">
                  <c:v>2.34000000000052</c:v>
                </c:pt>
                <c:pt idx="223">
                  <c:v>2.21000000000052</c:v>
                </c:pt>
                <c:pt idx="224">
                  <c:v>2.08000000000052</c:v>
                </c:pt>
                <c:pt idx="225">
                  <c:v>1.95000000000052</c:v>
                </c:pt>
                <c:pt idx="226">
                  <c:v>1.82000000000052</c:v>
                </c:pt>
                <c:pt idx="227">
                  <c:v>1.69000000000052</c:v>
                </c:pt>
                <c:pt idx="228">
                  <c:v>1.56000000000052</c:v>
                </c:pt>
                <c:pt idx="229">
                  <c:v>1.43000000000052</c:v>
                </c:pt>
                <c:pt idx="230">
                  <c:v>1.30000000000052</c:v>
                </c:pt>
              </c:numCache>
            </c:numRef>
          </c:xVal>
          <c:yVal>
            <c:numRef>
              <c:f>'Design Calculations'!$M$60:$M$290</c:f>
              <c:numCache>
                <c:formatCode>General</c:formatCode>
                <c:ptCount val="231"/>
                <c:pt idx="0">
                  <c:v>0</c:v>
                </c:pt>
                <c:pt idx="1">
                  <c:v>1.29568106312291</c:v>
                </c:pt>
                <c:pt idx="2">
                  <c:v>2.59136212624583</c:v>
                </c:pt>
                <c:pt idx="3">
                  <c:v>3.88704318936878</c:v>
                </c:pt>
                <c:pt idx="4">
                  <c:v>5.18272425249169</c:v>
                </c:pt>
                <c:pt idx="5">
                  <c:v>6.4784053156146</c:v>
                </c:pt>
                <c:pt idx="6">
                  <c:v>7.77408637873752</c:v>
                </c:pt>
                <c:pt idx="7">
                  <c:v>9.06976744186047</c:v>
                </c:pt>
                <c:pt idx="8">
                  <c:v>10.3654485049834</c:v>
                </c:pt>
                <c:pt idx="9">
                  <c:v>11.6611295681063</c:v>
                </c:pt>
                <c:pt idx="10">
                  <c:v>12.9568106312292</c:v>
                </c:pt>
                <c:pt idx="11">
                  <c:v>14.2524916943522</c:v>
                </c:pt>
                <c:pt idx="12">
                  <c:v>15.5481727574751</c:v>
                </c:pt>
                <c:pt idx="13">
                  <c:v>16.843853820598</c:v>
                </c:pt>
                <c:pt idx="14">
                  <c:v>18.1395348837209</c:v>
                </c:pt>
                <c:pt idx="15">
                  <c:v>19.4352159468438</c:v>
                </c:pt>
                <c:pt idx="16">
                  <c:v>20.7308970099668</c:v>
                </c:pt>
                <c:pt idx="17">
                  <c:v>22.0265780730897</c:v>
                </c:pt>
                <c:pt idx="18">
                  <c:v>23.3222591362126</c:v>
                </c:pt>
                <c:pt idx="19">
                  <c:v>24.6179401993355</c:v>
                </c:pt>
                <c:pt idx="20">
                  <c:v>25.9136212624585</c:v>
                </c:pt>
                <c:pt idx="21">
                  <c:v>27.2093023255814</c:v>
                </c:pt>
                <c:pt idx="22">
                  <c:v>28.5049833887043</c:v>
                </c:pt>
                <c:pt idx="23">
                  <c:v>29.8006644518272</c:v>
                </c:pt>
                <c:pt idx="24">
                  <c:v>31.0963455149502</c:v>
                </c:pt>
                <c:pt idx="25">
                  <c:v>32.3920265780731</c:v>
                </c:pt>
                <c:pt idx="26">
                  <c:v>33.687707641196</c:v>
                </c:pt>
                <c:pt idx="27">
                  <c:v>34.9833887043189</c:v>
                </c:pt>
                <c:pt idx="28">
                  <c:v>36.2790697674419</c:v>
                </c:pt>
                <c:pt idx="29">
                  <c:v>37.5747508305648</c:v>
                </c:pt>
                <c:pt idx="30">
                  <c:v>38.8704318936877</c:v>
                </c:pt>
                <c:pt idx="31">
                  <c:v>40.1661129568106</c:v>
                </c:pt>
                <c:pt idx="32">
                  <c:v>41.4617940199336</c:v>
                </c:pt>
                <c:pt idx="33">
                  <c:v>42.7574750830565</c:v>
                </c:pt>
                <c:pt idx="34">
                  <c:v>44.0531561461794</c:v>
                </c:pt>
                <c:pt idx="35">
                  <c:v>45.3488372093023</c:v>
                </c:pt>
                <c:pt idx="36">
                  <c:v>46.6445182724253</c:v>
                </c:pt>
                <c:pt idx="37">
                  <c:v>47.9401993355482</c:v>
                </c:pt>
                <c:pt idx="38">
                  <c:v>49.2358803986711</c:v>
                </c:pt>
                <c:pt idx="39">
                  <c:v>50.531561461794</c:v>
                </c:pt>
                <c:pt idx="40">
                  <c:v>51.8272425249169</c:v>
                </c:pt>
                <c:pt idx="41">
                  <c:v>53.1188805197784</c:v>
                </c:pt>
                <c:pt idx="42">
                  <c:v>54.1410234590608</c:v>
                </c:pt>
                <c:pt idx="43">
                  <c:v>55.1501454691805</c:v>
                </c:pt>
                <c:pt idx="44">
                  <c:v>56.1462465501372</c:v>
                </c:pt>
                <c:pt idx="45">
                  <c:v>57.1293267019312</c:v>
                </c:pt>
                <c:pt idx="46">
                  <c:v>58.0993859245623</c:v>
                </c:pt>
                <c:pt idx="47">
                  <c:v>59.0564242180305</c:v>
                </c:pt>
                <c:pt idx="48">
                  <c:v>60.000441582336</c:v>
                </c:pt>
                <c:pt idx="49">
                  <c:v>60.9314380174786</c:v>
                </c:pt>
                <c:pt idx="50">
                  <c:v>61.8494135234584</c:v>
                </c:pt>
                <c:pt idx="51">
                  <c:v>62.7543681002753</c:v>
                </c:pt>
                <c:pt idx="52">
                  <c:v>63.6463017479287</c:v>
                </c:pt>
                <c:pt idx="53">
                  <c:v>64.52521446642</c:v>
                </c:pt>
                <c:pt idx="54">
                  <c:v>65.3911062557484</c:v>
                </c:pt>
                <c:pt idx="55">
                  <c:v>66.2439771159141</c:v>
                </c:pt>
                <c:pt idx="56">
                  <c:v>67.0838270469168</c:v>
                </c:pt>
                <c:pt idx="57">
                  <c:v>67.9106560487568</c:v>
                </c:pt>
                <c:pt idx="58">
                  <c:v>68.7244641214339</c:v>
                </c:pt>
                <c:pt idx="59">
                  <c:v>69.5252512649482</c:v>
                </c:pt>
                <c:pt idx="60">
                  <c:v>70.3130174792996</c:v>
                </c:pt>
                <c:pt idx="61">
                  <c:v>71.0877627644882</c:v>
                </c:pt>
                <c:pt idx="62">
                  <c:v>71.849487120514</c:v>
                </c:pt>
                <c:pt idx="63">
                  <c:v>72.5981905473769</c:v>
                </c:pt>
                <c:pt idx="64">
                  <c:v>73.3338730450771</c:v>
                </c:pt>
                <c:pt idx="65">
                  <c:v>74.0565346136144</c:v>
                </c:pt>
                <c:pt idx="66">
                  <c:v>74.7661752529888</c:v>
                </c:pt>
                <c:pt idx="67">
                  <c:v>75.4627949632004</c:v>
                </c:pt>
                <c:pt idx="68">
                  <c:v>76.1463937442492</c:v>
                </c:pt>
                <c:pt idx="69">
                  <c:v>76.8169715961351</c:v>
                </c:pt>
                <c:pt idx="70">
                  <c:v>77.4745285188582</c:v>
                </c:pt>
                <c:pt idx="71">
                  <c:v>78.1190645124185</c:v>
                </c:pt>
                <c:pt idx="72">
                  <c:v>78.750579576816</c:v>
                </c:pt>
                <c:pt idx="73">
                  <c:v>79.3690737120506</c:v>
                </c:pt>
                <c:pt idx="74">
                  <c:v>79.9745469181223</c:v>
                </c:pt>
                <c:pt idx="75">
                  <c:v>80.5669991950313</c:v>
                </c:pt>
                <c:pt idx="76">
                  <c:v>81.1464305427774</c:v>
                </c:pt>
                <c:pt idx="77">
                  <c:v>81.7128409613607</c:v>
                </c:pt>
                <c:pt idx="78">
                  <c:v>82.2662304507811</c:v>
                </c:pt>
                <c:pt idx="79">
                  <c:v>82.8065990110387</c:v>
                </c:pt>
                <c:pt idx="80">
                  <c:v>83.3339466421335</c:v>
                </c:pt>
                <c:pt idx="81">
                  <c:v>83.8482733440655</c:v>
                </c:pt>
                <c:pt idx="82">
                  <c:v>84.3495791168346</c:v>
                </c:pt>
                <c:pt idx="83">
                  <c:v>84.8378639604408</c:v>
                </c:pt>
                <c:pt idx="84">
                  <c:v>85.3131278748843</c:v>
                </c:pt>
                <c:pt idx="85">
                  <c:v>85.7753708601649</c:v>
                </c:pt>
                <c:pt idx="86">
                  <c:v>86.2245929162827</c:v>
                </c:pt>
                <c:pt idx="87">
                  <c:v>86.6607940432376</c:v>
                </c:pt>
                <c:pt idx="88">
                  <c:v>87.0839742410297</c:v>
                </c:pt>
                <c:pt idx="89">
                  <c:v>87.494133509659</c:v>
                </c:pt>
                <c:pt idx="90">
                  <c:v>87.8912718491251</c:v>
                </c:pt>
                <c:pt idx="91">
                  <c:v>88.2753892594287</c:v>
                </c:pt>
                <c:pt idx="92">
                  <c:v>88.6464857405695</c:v>
                </c:pt>
                <c:pt idx="93">
                  <c:v>89.0045612925475</c:v>
                </c:pt>
                <c:pt idx="94">
                  <c:v>89.3496159153626</c:v>
                </c:pt>
                <c:pt idx="95">
                  <c:v>89.6816496090149</c:v>
                </c:pt>
                <c:pt idx="96">
                  <c:v>90.0006623735043</c:v>
                </c:pt>
                <c:pt idx="97">
                  <c:v>90.306654208831</c:v>
                </c:pt>
                <c:pt idx="98">
                  <c:v>90.5996251149947</c:v>
                </c:pt>
                <c:pt idx="99">
                  <c:v>90.8795750919957</c:v>
                </c:pt>
                <c:pt idx="100">
                  <c:v>91.1465041398338</c:v>
                </c:pt>
                <c:pt idx="101">
                  <c:v>91.4004122585091</c:v>
                </c:pt>
                <c:pt idx="102">
                  <c:v>91.6412994480215</c:v>
                </c:pt>
                <c:pt idx="103">
                  <c:v>91.8691657083711</c:v>
                </c:pt>
                <c:pt idx="104">
                  <c:v>92.0840110395579</c:v>
                </c:pt>
                <c:pt idx="105">
                  <c:v>92.2858354415819</c:v>
                </c:pt>
                <c:pt idx="106">
                  <c:v>92.474638914443</c:v>
                </c:pt>
                <c:pt idx="107">
                  <c:v>92.6504214581413</c:v>
                </c:pt>
                <c:pt idx="108">
                  <c:v>92.8131830726767</c:v>
                </c:pt>
                <c:pt idx="109">
                  <c:v>92.9629237580493</c:v>
                </c:pt>
                <c:pt idx="110">
                  <c:v>93.0996435142591</c:v>
                </c:pt>
                <c:pt idx="111">
                  <c:v>93.2233423413061</c:v>
                </c:pt>
                <c:pt idx="112">
                  <c:v>93.3340202391902</c:v>
                </c:pt>
                <c:pt idx="113">
                  <c:v>93.4316772079115</c:v>
                </c:pt>
                <c:pt idx="114">
                  <c:v>93.5163132474699</c:v>
                </c:pt>
                <c:pt idx="115">
                  <c:v>93.5879283578655</c:v>
                </c:pt>
                <c:pt idx="116">
                  <c:v>93.6465225390983</c:v>
                </c:pt>
                <c:pt idx="117">
                  <c:v>93.6920957911683</c:v>
                </c:pt>
                <c:pt idx="118">
                  <c:v>93.7246481140754</c:v>
                </c:pt>
                <c:pt idx="119">
                  <c:v>93.7441795078196</c:v>
                </c:pt>
                <c:pt idx="120">
                  <c:v>93.7506899724011</c:v>
                </c:pt>
                <c:pt idx="121">
                  <c:v>93.7441795078197</c:v>
                </c:pt>
                <c:pt idx="122">
                  <c:v>93.7246481140755</c:v>
                </c:pt>
                <c:pt idx="123">
                  <c:v>93.6920957911684</c:v>
                </c:pt>
                <c:pt idx="124">
                  <c:v>93.6465225390985</c:v>
                </c:pt>
                <c:pt idx="125">
                  <c:v>93.5879283578658</c:v>
                </c:pt>
                <c:pt idx="126">
                  <c:v>93.5163132474703</c:v>
                </c:pt>
                <c:pt idx="127">
                  <c:v>93.431677207912</c:v>
                </c:pt>
                <c:pt idx="128">
                  <c:v>93.3340202391908</c:v>
                </c:pt>
                <c:pt idx="129">
                  <c:v>93.2233423413067</c:v>
                </c:pt>
                <c:pt idx="130">
                  <c:v>93.0996435142598</c:v>
                </c:pt>
                <c:pt idx="131">
                  <c:v>92.9629237580501</c:v>
                </c:pt>
                <c:pt idx="132">
                  <c:v>92.8131830726776</c:v>
                </c:pt>
                <c:pt idx="133">
                  <c:v>92.6504214581422</c:v>
                </c:pt>
                <c:pt idx="134">
                  <c:v>92.474638914444</c:v>
                </c:pt>
                <c:pt idx="135">
                  <c:v>92.2858354415829</c:v>
                </c:pt>
                <c:pt idx="136">
                  <c:v>92.084011039559</c:v>
                </c:pt>
                <c:pt idx="137">
                  <c:v>91.8691657083723</c:v>
                </c:pt>
                <c:pt idx="138">
                  <c:v>91.6412994480228</c:v>
                </c:pt>
                <c:pt idx="139">
                  <c:v>91.4004122585104</c:v>
                </c:pt>
                <c:pt idx="140">
                  <c:v>91.1465041398352</c:v>
                </c:pt>
                <c:pt idx="141">
                  <c:v>90.8795750919972</c:v>
                </c:pt>
                <c:pt idx="142">
                  <c:v>90.5996251149963</c:v>
                </c:pt>
                <c:pt idx="143">
                  <c:v>90.3066542088326</c:v>
                </c:pt>
                <c:pt idx="144">
                  <c:v>90.000662373506</c:v>
                </c:pt>
                <c:pt idx="145">
                  <c:v>89.6816496090166</c:v>
                </c:pt>
                <c:pt idx="146">
                  <c:v>89.3496159153644</c:v>
                </c:pt>
                <c:pt idx="147">
                  <c:v>89.0045612925494</c:v>
                </c:pt>
                <c:pt idx="148">
                  <c:v>88.6464857405715</c:v>
                </c:pt>
                <c:pt idx="149">
                  <c:v>88.2753892594308</c:v>
                </c:pt>
                <c:pt idx="150">
                  <c:v>87.8912718491272</c:v>
                </c:pt>
                <c:pt idx="151">
                  <c:v>87.4941335096608</c:v>
                </c:pt>
                <c:pt idx="152">
                  <c:v>87.0839742410316</c:v>
                </c:pt>
                <c:pt idx="153">
                  <c:v>86.6607940432396</c:v>
                </c:pt>
                <c:pt idx="154">
                  <c:v>86.2245929162847</c:v>
                </c:pt>
                <c:pt idx="155">
                  <c:v>85.775370860167</c:v>
                </c:pt>
                <c:pt idx="156">
                  <c:v>85.3131278748865</c:v>
                </c:pt>
                <c:pt idx="157">
                  <c:v>84.8378639604431</c:v>
                </c:pt>
                <c:pt idx="158">
                  <c:v>84.3495791168369</c:v>
                </c:pt>
                <c:pt idx="159">
                  <c:v>83.8482733440678</c:v>
                </c:pt>
                <c:pt idx="160">
                  <c:v>83.3339466421359</c:v>
                </c:pt>
                <c:pt idx="161">
                  <c:v>82.8065990110412</c:v>
                </c:pt>
                <c:pt idx="162">
                  <c:v>82.2662304507837</c:v>
                </c:pt>
                <c:pt idx="163">
                  <c:v>81.7128409613633</c:v>
                </c:pt>
                <c:pt idx="164">
                  <c:v>81.1464305427802</c:v>
                </c:pt>
                <c:pt idx="165">
                  <c:v>80.5669991950343</c:v>
                </c:pt>
                <c:pt idx="166">
                  <c:v>79.9745469181254</c:v>
                </c:pt>
                <c:pt idx="167">
                  <c:v>79.3690737120537</c:v>
                </c:pt>
                <c:pt idx="168">
                  <c:v>78.7505795768192</c:v>
                </c:pt>
                <c:pt idx="169">
                  <c:v>78.1190645124218</c:v>
                </c:pt>
                <c:pt idx="170">
                  <c:v>77.4745285188616</c:v>
                </c:pt>
                <c:pt idx="171">
                  <c:v>76.8169715961385</c:v>
                </c:pt>
                <c:pt idx="172">
                  <c:v>76.1463937442527</c:v>
                </c:pt>
                <c:pt idx="173">
                  <c:v>75.462794963204</c:v>
                </c:pt>
                <c:pt idx="174">
                  <c:v>74.7661752529925</c:v>
                </c:pt>
                <c:pt idx="175">
                  <c:v>74.0565346136181</c:v>
                </c:pt>
                <c:pt idx="176">
                  <c:v>73.333873045081</c:v>
                </c:pt>
                <c:pt idx="177">
                  <c:v>72.5981905473809</c:v>
                </c:pt>
                <c:pt idx="178">
                  <c:v>71.849487120518</c:v>
                </c:pt>
                <c:pt idx="179">
                  <c:v>71.0877627644923</c:v>
                </c:pt>
                <c:pt idx="180">
                  <c:v>70.3130174793038</c:v>
                </c:pt>
                <c:pt idx="181">
                  <c:v>69.5252512649525</c:v>
                </c:pt>
                <c:pt idx="182">
                  <c:v>68.7244641214383</c:v>
                </c:pt>
                <c:pt idx="183">
                  <c:v>67.9106560487613</c:v>
                </c:pt>
                <c:pt idx="184">
                  <c:v>67.0838270469215</c:v>
                </c:pt>
                <c:pt idx="185">
                  <c:v>66.2439771159187</c:v>
                </c:pt>
                <c:pt idx="186">
                  <c:v>65.3911062557532</c:v>
                </c:pt>
                <c:pt idx="187">
                  <c:v>64.5252144664248</c:v>
                </c:pt>
                <c:pt idx="188">
                  <c:v>63.6463017479336</c:v>
                </c:pt>
                <c:pt idx="189">
                  <c:v>62.7543681002796</c:v>
                </c:pt>
                <c:pt idx="190">
                  <c:v>61.8494135234627</c:v>
                </c:pt>
                <c:pt idx="191">
                  <c:v>60.931438017483</c:v>
                </c:pt>
                <c:pt idx="192">
                  <c:v>60.0004415823405</c:v>
                </c:pt>
                <c:pt idx="193">
                  <c:v>59.0564242180353</c:v>
                </c:pt>
                <c:pt idx="194">
                  <c:v>58.0993859245671</c:v>
                </c:pt>
                <c:pt idx="195">
                  <c:v>57.1293267019361</c:v>
                </c:pt>
                <c:pt idx="196">
                  <c:v>56.1462465501422</c:v>
                </c:pt>
                <c:pt idx="197">
                  <c:v>55.1501454691855</c:v>
                </c:pt>
                <c:pt idx="198">
                  <c:v>54.1410234590659</c:v>
                </c:pt>
                <c:pt idx="199">
                  <c:v>53.1188805197836</c:v>
                </c:pt>
                <c:pt idx="200">
                  <c:v>52.0837166513384</c:v>
                </c:pt>
                <c:pt idx="201">
                  <c:v>52.259999999999</c:v>
                </c:pt>
                <c:pt idx="202">
                  <c:v>52.519999999999</c:v>
                </c:pt>
                <c:pt idx="203">
                  <c:v>52.779999999999</c:v>
                </c:pt>
                <c:pt idx="204">
                  <c:v>53.039999999999</c:v>
                </c:pt>
                <c:pt idx="205">
                  <c:v>53.299999999999</c:v>
                </c:pt>
                <c:pt idx="206">
                  <c:v>53.559999999999</c:v>
                </c:pt>
                <c:pt idx="207">
                  <c:v>53.819999999999</c:v>
                </c:pt>
                <c:pt idx="208">
                  <c:v>54.079999999999</c:v>
                </c:pt>
                <c:pt idx="209">
                  <c:v>54.339999999999</c:v>
                </c:pt>
                <c:pt idx="210">
                  <c:v>54.599999999999</c:v>
                </c:pt>
                <c:pt idx="211">
                  <c:v>54.859999999999</c:v>
                </c:pt>
                <c:pt idx="212">
                  <c:v>55.119999999999</c:v>
                </c:pt>
                <c:pt idx="213">
                  <c:v>55.379999999999</c:v>
                </c:pt>
                <c:pt idx="214">
                  <c:v>55.639999999999</c:v>
                </c:pt>
                <c:pt idx="215">
                  <c:v>55.899999999999</c:v>
                </c:pt>
                <c:pt idx="216">
                  <c:v>56.159999999999</c:v>
                </c:pt>
                <c:pt idx="217">
                  <c:v>56.419999999999</c:v>
                </c:pt>
                <c:pt idx="218">
                  <c:v>56.679999999999</c:v>
                </c:pt>
                <c:pt idx="219">
                  <c:v>56.939999999999</c:v>
                </c:pt>
                <c:pt idx="220">
                  <c:v>57.199999999999</c:v>
                </c:pt>
                <c:pt idx="221">
                  <c:v>57.459999999999</c:v>
                </c:pt>
                <c:pt idx="222">
                  <c:v>57.719999999999</c:v>
                </c:pt>
                <c:pt idx="223">
                  <c:v>57.979999999999</c:v>
                </c:pt>
                <c:pt idx="224">
                  <c:v>58.239999999999</c:v>
                </c:pt>
                <c:pt idx="225">
                  <c:v>58.499999999999</c:v>
                </c:pt>
                <c:pt idx="226">
                  <c:v>58.759999999999</c:v>
                </c:pt>
                <c:pt idx="227">
                  <c:v>59.019999999999</c:v>
                </c:pt>
                <c:pt idx="228">
                  <c:v>59.279999999999</c:v>
                </c:pt>
                <c:pt idx="229">
                  <c:v>59.539999999999</c:v>
                </c:pt>
                <c:pt idx="230">
                  <c:v>59.799999999999</c:v>
                </c:pt>
              </c:numCache>
            </c:numRef>
          </c:yVal>
          <c:smooth val="1"/>
        </c:ser>
        <c:axId val="25790737"/>
        <c:axId val="50429161"/>
      </c:scatterChart>
      <c:valAx>
        <c:axId val="25790737"/>
        <c:scaling>
          <c:orientation val="minMax"/>
          <c:min val="0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Output Voltage in Foldback</a:t>
                </a:r>
              </a:p>
            </c:rich>
          </c:tx>
          <c:layout>
            <c:manualLayout>
              <c:xMode val="edge"/>
              <c:yMode val="edge"/>
              <c:x val="0.372430064037749"/>
              <c:y val="0.933935102326667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50429161"/>
        <c:crosses val="autoZero"/>
        <c:crossBetween val="midCat"/>
      </c:valAx>
      <c:valAx>
        <c:axId val="50429161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1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Power Dissipation (W)</a:t>
                </a:r>
              </a:p>
            </c:rich>
          </c:tx>
          <c:layout>
            <c:manualLayout>
              <c:xMode val="edge"/>
              <c:yMode val="edge"/>
              <c:x val="0.00719020334793843"/>
              <c:y val="0.346432184265816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25790737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19667527799618"/>
          <c:y val="0.156882129277567"/>
          <c:w val="0.123673125526537"/>
          <c:h val="0.0885238421172713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2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SOA Plot</a:t>
            </a:r>
          </a:p>
        </c:rich>
      </c:tx>
      <c:layout>
        <c:manualLayout>
          <c:xMode val="edge"/>
          <c:yMode val="edge"/>
          <c:x val="0.460450729120636"/>
          <c:y val="0.0301086628433444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42405495520829"/>
          <c:y val="0.150316933293088"/>
          <c:w val="0.76523520668461"/>
          <c:h val="0.7112134017506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Calculations'!$J$3</c:f>
              <c:strCache>
                <c:ptCount val="1"/>
                <c:pt idx="0">
                  <c:v>Peak Power</c:v>
                </c:pt>
              </c:strCache>
            </c:strRef>
          </c:tx>
          <c:spPr>
            <a:solidFill>
              <a:srgbClr val="ff0000"/>
            </a:solidFill>
            <a:ln w="12600">
              <a:solidFill>
                <a:srgbClr val="ff0000"/>
              </a:solidFill>
              <a:round/>
            </a:ln>
          </c:spPr>
          <c:marker>
            <c:symbol val="circle"/>
            <c:size val="11"/>
            <c:spPr>
              <a:solidFill>
                <a:srgbClr val="ff0000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Calculations'!$I$4</c:f>
              <c:numCache>
                <c:formatCode>General</c:formatCode>
                <c:ptCount val="1"/>
              </c:numCache>
            </c:numRef>
          </c:xVal>
          <c:yVal>
            <c:numRef>
              <c:f>'SOA Calculations'!$J$4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1"/>
          <c:order val="1"/>
          <c:tx>
            <c:strRef>
              <c:f>'SOA Calculations'!$P$1</c:f>
              <c:strCache>
                <c:ptCount val="1"/>
                <c:pt idx="0">
                  <c:v>1mS</c:v>
                </c:pt>
              </c:strCache>
            </c:strRef>
          </c:tx>
          <c:spPr>
            <a:solidFill>
              <a:srgbClr val="ffff00"/>
            </a:solidFill>
            <a:ln w="25560">
              <a:solidFill>
                <a:srgbClr val="ffff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Calculations'!$O$2:$O$6</c:f>
              <c:numCache>
                <c:formatCode>General</c:formatCode>
                <c:ptCount val="5"/>
                <c:pt idx="0">
                  <c:v>0.1</c:v>
                </c:pt>
                <c:pt idx="1">
                  <c:v>1.25</c:v>
                </c:pt>
                <c:pt idx="2">
                  <c:v>9</c:v>
                </c:pt>
                <c:pt idx="3">
                  <c:v>60</c:v>
                </c:pt>
              </c:numCache>
            </c:numRef>
          </c:xVal>
          <c:yVal>
            <c:numRef>
              <c:f>'SOA Calculations'!$P$2:$P$6</c:f>
              <c:numCache>
                <c:formatCode>General</c:formatCode>
                <c:ptCount val="5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1.9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'SOA Calculations'!$S$1</c:f>
              <c:strCache>
                <c:ptCount val="1"/>
                <c:pt idx="0">
                  <c:v>10mS</c:v>
                </c:pt>
              </c:strCache>
            </c:strRef>
          </c:tx>
          <c:spPr>
            <a:solidFill>
              <a:srgbClr val="00ffff"/>
            </a:solidFill>
            <a:ln w="25560">
              <a:solidFill>
                <a:srgbClr val="00ff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Calculations'!$R$2:$R$5</c:f>
              <c:numCache>
                <c:formatCode>General</c:formatCode>
                <c:ptCount val="4"/>
                <c:pt idx="0">
                  <c:v>0.1</c:v>
                </c:pt>
                <c:pt idx="1">
                  <c:v>1.25</c:v>
                </c:pt>
                <c:pt idx="2">
                  <c:v>3</c:v>
                </c:pt>
                <c:pt idx="3">
                  <c:v>60</c:v>
                </c:pt>
              </c:numCache>
            </c:numRef>
          </c:xVal>
          <c:yVal>
            <c:numRef>
              <c:f>'SOA Calculations'!$S$2:$S$5</c:f>
              <c:numCache>
                <c:formatCode>General</c:formatCode>
                <c:ptCount val="4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0.6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'SOA Calculations'!$V$1</c:f>
              <c:strCache>
                <c:ptCount val="1"/>
                <c:pt idx="0">
                  <c:v>100mS</c:v>
                </c:pt>
              </c:strCache>
            </c:strRef>
          </c:tx>
          <c:spPr>
            <a:solidFill>
              <a:srgbClr val="800080"/>
            </a:solidFill>
            <a:ln w="25560">
              <a:solidFill>
                <a:srgbClr val="8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Calculations'!$U$2:$U$6</c:f>
              <c:numCache>
                <c:formatCode>General</c:formatCode>
                <c:ptCount val="5"/>
                <c:pt idx="0">
                  <c:v>0.1</c:v>
                </c:pt>
                <c:pt idx="1">
                  <c:v>0.85</c:v>
                </c:pt>
                <c:pt idx="2">
                  <c:v>1.5</c:v>
                </c:pt>
                <c:pt idx="3">
                  <c:v>60</c:v>
                </c:pt>
              </c:numCache>
            </c:numRef>
          </c:xVal>
          <c:yVal>
            <c:numRef>
              <c:f>'SOA Calculations'!$V$2:$V$6</c:f>
              <c:numCache>
                <c:formatCode>General</c:formatCode>
                <c:ptCount val="5"/>
                <c:pt idx="0">
                  <c:v>1</c:v>
                </c:pt>
                <c:pt idx="1">
                  <c:v>8.2</c:v>
                </c:pt>
                <c:pt idx="2">
                  <c:v>8.2</c:v>
                </c:pt>
                <c:pt idx="3">
                  <c:v>0.2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'SOA Calculations'!$J$8</c:f>
              <c:strCache>
                <c:ptCount val="1"/>
                <c:pt idx="0">
                  <c:v>Peak Power</c:v>
                </c:pt>
              </c:strCache>
            </c:strRef>
          </c:tx>
          <c:spPr>
            <a:solidFill>
              <a:srgbClr val="0000ff"/>
            </a:solidFill>
            <a:ln w="12600">
              <a:solidFill>
                <a:srgbClr val="0000ff"/>
              </a:solidFill>
              <a:round/>
            </a:ln>
          </c:spPr>
          <c:marker>
            <c:symbol val="circle"/>
            <c:size val="11"/>
            <c:spPr>
              <a:solidFill>
                <a:srgbClr val="0000ff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Calculations'!$I$9</c:f>
              <c:numCache>
                <c:formatCode>General</c:formatCode>
                <c:ptCount val="1"/>
                <c:pt idx="0">
                  <c:v>15.6000000000003</c:v>
                </c:pt>
              </c:numCache>
            </c:numRef>
          </c:xVal>
          <c:yVal>
            <c:numRef>
              <c:f>'SOA Calculations'!$J$9</c:f>
              <c:numCache>
                <c:formatCode>General</c:formatCode>
                <c:ptCount val="1"/>
                <c:pt idx="0">
                  <c:v>6.00965961361557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'SOA Calculations'!$J$12</c:f>
              <c:strCache>
                <c:ptCount val="1"/>
                <c:pt idx="0">
                  <c:v>Avg Current</c:v>
                </c:pt>
              </c:strCache>
            </c:strRef>
          </c:tx>
          <c:spPr>
            <a:solidFill>
              <a:srgbClr val="00ccff"/>
            </a:solidFill>
            <a:ln w="12600">
              <a:solidFill>
                <a:srgbClr val="00ccff"/>
              </a:solidFill>
              <a:round/>
            </a:ln>
          </c:spPr>
          <c:marker>
            <c:symbol val="circle"/>
            <c:size val="11"/>
            <c:spPr>
              <a:solidFill>
                <a:srgbClr val="00ccff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Calculations'!$I$13</c:f>
              <c:numCache>
                <c:formatCode>General</c:formatCode>
                <c:ptCount val="1"/>
              </c:numCache>
            </c:numRef>
          </c:xVal>
          <c:yVal>
            <c:numRef>
              <c:f>'SOA Calculations'!$J$13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6"/>
          <c:order val="6"/>
          <c:tx>
            <c:strRef>
              <c:f>'SOA Calculations'!$AB$1</c:f>
              <c:strCache>
                <c:ptCount val="1"/>
                <c:pt idx="0">
                  <c:v>DC</c:v>
                </c:pt>
              </c:strCache>
            </c:strRef>
          </c:tx>
          <c:spPr>
            <a:solidFill>
              <a:srgbClr val="ff00ff"/>
            </a:solidFill>
            <a:ln w="25560">
              <a:solidFill>
                <a:srgbClr val="ff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Calculations'!$AA$2:$AA$6</c:f>
              <c:numCache>
                <c:formatCode>General</c:formatCode>
                <c:ptCount val="5"/>
                <c:pt idx="0">
                  <c:v>0.1</c:v>
                </c:pt>
                <c:pt idx="1">
                  <c:v>0.23</c:v>
                </c:pt>
                <c:pt idx="2">
                  <c:v>0.4</c:v>
                </c:pt>
                <c:pt idx="3">
                  <c:v>60</c:v>
                </c:pt>
              </c:numCache>
            </c:numRef>
          </c:xVal>
          <c:yVal>
            <c:numRef>
              <c:f>'SOA Calculations'!$AB$2:$AB$6</c:f>
              <c:numCache>
                <c:formatCode>General</c:formatCode>
                <c:ptCount val="5"/>
                <c:pt idx="0">
                  <c:v>1</c:v>
                </c:pt>
                <c:pt idx="1">
                  <c:v>2.25</c:v>
                </c:pt>
                <c:pt idx="2">
                  <c:v>2.25</c:v>
                </c:pt>
                <c:pt idx="3">
                  <c:v>0.015</c:v>
                </c:pt>
              </c:numCache>
            </c:numRef>
          </c:yVal>
          <c:smooth val="0"/>
        </c:ser>
        <c:axId val="79890346"/>
        <c:axId val="41051322"/>
      </c:scatterChart>
      <c:valAx>
        <c:axId val="79890346"/>
        <c:scaling>
          <c:logBase val="10"/>
          <c:orientation val="minMax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Voltage</a:t>
                </a:r>
              </a:p>
            </c:rich>
          </c:tx>
          <c:layout>
            <c:manualLayout>
              <c:xMode val="edge"/>
              <c:yMode val="edge"/>
              <c:x val="0.439360462780701"/>
              <c:y val="0.923936009658919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41051322"/>
        <c:crossesAt val="0.0001"/>
        <c:crossBetween val="midCat"/>
      </c:valAx>
      <c:valAx>
        <c:axId val="41051322"/>
        <c:scaling>
          <c:logBase val="10"/>
          <c:orientation val="minMax"/>
          <c:max val="100"/>
          <c:min val="0.01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Current</a:t>
                </a:r>
              </a:p>
            </c:rich>
          </c:tx>
          <c:layout>
            <c:manualLayout>
              <c:xMode val="edge"/>
              <c:yMode val="edge"/>
              <c:x val="0.0171132446872615"/>
              <c:y val="0.454271053425898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79890346"/>
        <c:crossesAt val="0.001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77374784110535"/>
          <c:y val="0.370673331818526"/>
          <c:w val="0.118332262210797"/>
          <c:h val="0.256476291470989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9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Time vs Current</a:t>
            </a:r>
          </a:p>
        </c:rich>
      </c:tx>
      <c:layout>
        <c:manualLayout>
          <c:xMode val="edge"/>
          <c:yMode val="edge"/>
          <c:x val="0.443253553749035"/>
          <c:y val="0.0277886752975023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31554566510741"/>
          <c:y val="0.123250948084216"/>
          <c:w val="0.88650710749807"/>
          <c:h val="0.7635674120570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Calculations'!$J$16</c:f>
              <c:strCache>
                <c:ptCount val="1"/>
                <c:pt idx="0">
                  <c:v>Timer PW</c:v>
                </c:pt>
              </c:strCache>
            </c:strRef>
          </c:tx>
          <c:spPr>
            <a:solidFill>
              <a:srgbClr val="ff0000"/>
            </a:solidFill>
            <a:ln w="28440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</c:spPr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Calculations'!$J$17</c:f>
              <c:numCache>
                <c:formatCode>General</c:formatCode>
                <c:ptCount val="1"/>
                <c:pt idx="0">
                  <c:v>0.0585933333333333</c:v>
                </c:pt>
              </c:numCache>
            </c:numRef>
          </c:xVal>
          <c:yVal>
            <c:numRef>
              <c:f>'SOA Calculations'!$I$17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1"/>
          <c:order val="1"/>
          <c:tx>
            <c:strRef>
              <c:f>'SOA Calculations'!$Q$80</c:f>
              <c:strCache>
                <c:ptCount val="1"/>
                <c:pt idx="0">
                  <c:v>55V</c:v>
                </c:pt>
              </c:strCache>
            </c:strRef>
          </c:tx>
          <c:spPr>
            <a:solidFill>
              <a:srgbClr val="ccffcc"/>
            </a:solidFill>
            <a:ln w="12600">
              <a:solidFill>
                <a:srgbClr val="ccffcc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Calculations'!$Q$81:$Q$84</c:f>
              <c:numCache>
                <c:formatCode>General</c:formatCode>
                <c:ptCount val="4"/>
                <c:pt idx="0">
                  <c:v>0.654545454545455</c:v>
                </c:pt>
                <c:pt idx="1">
                  <c:v>0.223636363636364</c:v>
                </c:pt>
                <c:pt idx="2">
                  <c:v>0.0695454545454546</c:v>
                </c:pt>
                <c:pt idx="3">
                  <c:v>0.0163636363636364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'SOA Calculations'!$R$80</c:f>
              <c:strCache>
                <c:ptCount val="1"/>
                <c:pt idx="0">
                  <c:v>40V</c:v>
                </c:pt>
              </c:strCache>
            </c:strRef>
          </c:tx>
          <c:spPr>
            <a:solidFill>
              <a:srgbClr val="ffff99"/>
            </a:solidFill>
            <a:ln w="12600">
              <a:solidFill>
                <a:srgbClr val="ffff9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Calculations'!$R$81:$R$84</c:f>
              <c:numCache>
                <c:formatCode>General</c:formatCode>
                <c:ptCount val="4"/>
                <c:pt idx="0">
                  <c:v>0.9</c:v>
                </c:pt>
                <c:pt idx="1">
                  <c:v>0.3075</c:v>
                </c:pt>
                <c:pt idx="2">
                  <c:v>0.095625</c:v>
                </c:pt>
                <c:pt idx="3">
                  <c:v>0.0225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'SOA Calculations'!$S$80</c:f>
              <c:strCache>
                <c:ptCount val="1"/>
                <c:pt idx="0">
                  <c:v>30V</c:v>
                </c:pt>
              </c:strCache>
            </c:strRef>
          </c:tx>
          <c:spPr>
            <a:solidFill>
              <a:srgbClr val="99ccff"/>
            </a:solidFill>
            <a:ln w="12600">
              <a:solidFill>
                <a:srgbClr val="99cc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Calculations'!$S$81:$S$84</c:f>
              <c:numCache>
                <c:formatCode>General</c:formatCode>
                <c:ptCount val="4"/>
                <c:pt idx="0">
                  <c:v>1.2</c:v>
                </c:pt>
                <c:pt idx="1">
                  <c:v>0.41</c:v>
                </c:pt>
                <c:pt idx="2">
                  <c:v>0.1275</c:v>
                </c:pt>
                <c:pt idx="3">
                  <c:v>0.03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'SOA Calculations'!$T$80</c:f>
              <c:strCache>
                <c:ptCount val="1"/>
                <c:pt idx="0">
                  <c:v>20V</c:v>
                </c:pt>
              </c:strCache>
            </c:strRef>
          </c:tx>
          <c:spPr>
            <a:solidFill>
              <a:srgbClr val="ff99cc"/>
            </a:solidFill>
            <a:ln w="12600">
              <a:solidFill>
                <a:srgbClr val="ff99cc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Calculations'!$T$81:$T$84</c:f>
              <c:numCache>
                <c:formatCode>General</c:formatCode>
                <c:ptCount val="4"/>
                <c:pt idx="0">
                  <c:v>1.8</c:v>
                </c:pt>
                <c:pt idx="1">
                  <c:v>0.615</c:v>
                </c:pt>
                <c:pt idx="2">
                  <c:v>0.19125</c:v>
                </c:pt>
                <c:pt idx="3">
                  <c:v>0.045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'SOA Calculations'!$U$80</c:f>
              <c:strCache>
                <c:ptCount val="1"/>
                <c:pt idx="0">
                  <c:v>10V</c:v>
                </c:pt>
              </c:strCache>
            </c:strRef>
          </c:tx>
          <c:spPr>
            <a:solidFill>
              <a:srgbClr val="cc99ff"/>
            </a:solidFill>
            <a:ln w="12600">
              <a:solidFill>
                <a:srgbClr val="cc99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Calculations'!$U$81:$U$84</c:f>
              <c:numCache>
                <c:formatCode>General</c:formatCode>
                <c:ptCount val="4"/>
                <c:pt idx="0">
                  <c:v>3.6</c:v>
                </c:pt>
                <c:pt idx="1">
                  <c:v>1.23</c:v>
                </c:pt>
                <c:pt idx="2">
                  <c:v>0.3825</c:v>
                </c:pt>
                <c:pt idx="3">
                  <c:v>0.09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'SOA Calculations'!$V$80</c:f>
              <c:strCache>
                <c:ptCount val="1"/>
                <c:pt idx="0">
                  <c:v>5V</c:v>
                </c:pt>
              </c:strCache>
            </c:strRef>
          </c:tx>
          <c:spPr>
            <a:solidFill>
              <a:srgbClr val="ffcc99"/>
            </a:solidFill>
            <a:ln w="12600">
              <a:solidFill>
                <a:srgbClr val="ffcc9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Calculations'!$P$81:$P$84</c:f>
              <c:numCache>
                <c:formatCode>0.00E+00</c:formatCode>
                <c:ptCount val="4"/>
                <c:pt idx="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Calculations'!$V$81:$V$84</c:f>
              <c:numCache>
                <c:formatCode>General</c:formatCode>
                <c:ptCount val="4"/>
                <c:pt idx="0">
                  <c:v>7.2</c:v>
                </c:pt>
                <c:pt idx="1">
                  <c:v>2.46</c:v>
                </c:pt>
                <c:pt idx="2">
                  <c:v>0.765</c:v>
                </c:pt>
                <c:pt idx="3">
                  <c:v>0.18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'SOA Calculations'!$W$80</c:f>
              <c:strCache>
                <c:ptCount val="1"/>
                <c:pt idx="0">
                  <c:v>3V</c:v>
                </c:pt>
              </c:strCache>
            </c:strRef>
          </c:tx>
          <c:spPr>
            <a:solidFill>
              <a:srgbClr val="3366ff"/>
            </a:solidFill>
            <a:ln w="12600">
              <a:solidFill>
                <a:srgbClr val="3366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Calculations'!$W$83:$W$84</c:f>
              <c:numCache>
                <c:formatCode>General</c:formatCode>
                <c:ptCount val="2"/>
                <c:pt idx="0">
                  <c:v>1.275</c:v>
                </c:pt>
                <c:pt idx="1">
                  <c:v>0.3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'SOA Calculations'!$X$80</c:f>
              <c:strCache>
                <c:ptCount val="1"/>
                <c:pt idx="0">
                  <c:v>2V</c:v>
                </c:pt>
              </c:strCache>
            </c:strRef>
          </c:tx>
          <c:spPr>
            <a:solidFill>
              <a:srgbClr val="33cccc"/>
            </a:solidFill>
            <a:ln w="12600">
              <a:solidFill>
                <a:srgbClr val="33cccc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875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Calculations'!$X$83:$X$84</c:f>
              <c:numCache>
                <c:formatCode>General</c:formatCode>
                <c:ptCount val="2"/>
                <c:pt idx="0">
                  <c:v>1.9125</c:v>
                </c:pt>
                <c:pt idx="1">
                  <c:v>0.45</c:v>
                </c:pt>
              </c:numCache>
            </c:numRef>
          </c:yVal>
          <c:smooth val="0"/>
        </c:ser>
        <c:axId val="96548532"/>
        <c:axId val="98690437"/>
      </c:scatterChart>
      <c:valAx>
        <c:axId val="96548532"/>
        <c:scaling>
          <c:logBase val="10"/>
          <c:orientation val="minMax"/>
          <c:max val="1000"/>
          <c:min val="0.01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8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Time (Seconds)</a:t>
                </a:r>
              </a:p>
            </c:rich>
          </c:tx>
          <c:layout>
            <c:manualLayout>
              <c:xMode val="edge"/>
              <c:yMode val="edge"/>
              <c:x val="0.47218311458286"/>
              <c:y val="0.938930299463842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7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98690437"/>
        <c:crossesAt val="1E-005"/>
        <c:crossBetween val="midCat"/>
      </c:valAx>
      <c:valAx>
        <c:axId val="98690437"/>
        <c:scaling>
          <c:logBase val="10"/>
          <c:orientation val="minMax"/>
          <c:min val="0.01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8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Current</a:t>
                </a:r>
              </a:p>
            </c:rich>
          </c:tx>
          <c:layout>
            <c:manualLayout>
              <c:xMode val="edge"/>
              <c:yMode val="edge"/>
              <c:x val="0.0178936373132295"/>
              <c:y val="0.464757421210932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875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96548532"/>
        <c:crossesAt val="1E-005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704808609181311"/>
          <c:y val="0.10242782152231"/>
          <c:w val="0.279493234038689"/>
          <c:h val="0.168383752214712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740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1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Chart Title</a:t>
            </a:r>
          </a:p>
        </c:rich>
      </c:tx>
      <c:layout>
        <c:manualLayout>
          <c:xMode val="edge"/>
          <c:yMode val="edge"/>
          <c:x val="0.442800261484519"/>
          <c:y val="0.032680290491471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774350745825"/>
          <c:y val="0.152508022293532"/>
          <c:w val="0.712307600879539"/>
          <c:h val="0.71280189157237"/>
        </c:manualLayout>
      </c:layout>
      <c:scatterChart>
        <c:scatterStyle val="line"/>
        <c:varyColors val="0"/>
        <c:ser>
          <c:idx val="0"/>
          <c:order val="0"/>
          <c:tx>
            <c:strRef>
              <c:f>'Design Calculations'!$F$59</c:f>
              <c:strCache>
                <c:ptCount val="1"/>
                <c:pt idx="0">
                  <c:v>FLB OC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Calculations'!$C$60:$C$279</c:f>
              <c:numCache>
                <c:formatCode>General</c:formatCode>
                <c:ptCount val="220"/>
                <c:pt idx="0">
                  <c:v>28.6</c:v>
                </c:pt>
                <c:pt idx="1">
                  <c:v>28.47</c:v>
                </c:pt>
                <c:pt idx="2">
                  <c:v>28.34</c:v>
                </c:pt>
                <c:pt idx="3">
                  <c:v>28.21</c:v>
                </c:pt>
                <c:pt idx="4">
                  <c:v>28.08</c:v>
                </c:pt>
                <c:pt idx="5">
                  <c:v>27.95</c:v>
                </c:pt>
                <c:pt idx="6">
                  <c:v>27.82</c:v>
                </c:pt>
                <c:pt idx="7">
                  <c:v>27.69</c:v>
                </c:pt>
                <c:pt idx="8">
                  <c:v>27.56</c:v>
                </c:pt>
                <c:pt idx="9">
                  <c:v>27.43</c:v>
                </c:pt>
                <c:pt idx="10">
                  <c:v>27.3</c:v>
                </c:pt>
                <c:pt idx="11">
                  <c:v>27.17</c:v>
                </c:pt>
                <c:pt idx="12">
                  <c:v>27.04</c:v>
                </c:pt>
                <c:pt idx="13">
                  <c:v>26.91</c:v>
                </c:pt>
                <c:pt idx="14">
                  <c:v>26.78</c:v>
                </c:pt>
                <c:pt idx="15">
                  <c:v>26.65</c:v>
                </c:pt>
                <c:pt idx="16">
                  <c:v>26.52</c:v>
                </c:pt>
                <c:pt idx="17">
                  <c:v>26.39</c:v>
                </c:pt>
                <c:pt idx="18">
                  <c:v>26.26</c:v>
                </c:pt>
                <c:pt idx="19">
                  <c:v>26.13</c:v>
                </c:pt>
                <c:pt idx="20">
                  <c:v>26</c:v>
                </c:pt>
                <c:pt idx="21">
                  <c:v>25.87</c:v>
                </c:pt>
                <c:pt idx="22">
                  <c:v>25.74</c:v>
                </c:pt>
                <c:pt idx="23">
                  <c:v>25.61</c:v>
                </c:pt>
                <c:pt idx="24">
                  <c:v>25.48</c:v>
                </c:pt>
                <c:pt idx="25">
                  <c:v>25.35</c:v>
                </c:pt>
                <c:pt idx="26">
                  <c:v>25.22</c:v>
                </c:pt>
                <c:pt idx="27">
                  <c:v>25.09</c:v>
                </c:pt>
                <c:pt idx="28">
                  <c:v>24.96</c:v>
                </c:pt>
                <c:pt idx="29">
                  <c:v>24.83</c:v>
                </c:pt>
                <c:pt idx="30">
                  <c:v>24.7</c:v>
                </c:pt>
                <c:pt idx="31">
                  <c:v>24.57</c:v>
                </c:pt>
                <c:pt idx="32">
                  <c:v>24.44</c:v>
                </c:pt>
                <c:pt idx="33">
                  <c:v>24.31</c:v>
                </c:pt>
                <c:pt idx="34">
                  <c:v>24.18</c:v>
                </c:pt>
                <c:pt idx="35">
                  <c:v>24.05</c:v>
                </c:pt>
                <c:pt idx="36">
                  <c:v>23.92</c:v>
                </c:pt>
                <c:pt idx="37">
                  <c:v>23.79</c:v>
                </c:pt>
                <c:pt idx="38">
                  <c:v>23.66</c:v>
                </c:pt>
                <c:pt idx="39">
                  <c:v>23.53</c:v>
                </c:pt>
                <c:pt idx="40">
                  <c:v>23.4</c:v>
                </c:pt>
                <c:pt idx="41">
                  <c:v>23.27</c:v>
                </c:pt>
                <c:pt idx="42">
                  <c:v>23.14</c:v>
                </c:pt>
                <c:pt idx="43">
                  <c:v>23.01</c:v>
                </c:pt>
                <c:pt idx="44">
                  <c:v>22.88</c:v>
                </c:pt>
                <c:pt idx="45">
                  <c:v>22.75</c:v>
                </c:pt>
                <c:pt idx="46">
                  <c:v>22.62</c:v>
                </c:pt>
                <c:pt idx="47">
                  <c:v>22.49</c:v>
                </c:pt>
                <c:pt idx="48">
                  <c:v>22.36</c:v>
                </c:pt>
                <c:pt idx="49">
                  <c:v>22.23</c:v>
                </c:pt>
                <c:pt idx="50">
                  <c:v>22.1</c:v>
                </c:pt>
                <c:pt idx="51">
                  <c:v>21.97</c:v>
                </c:pt>
                <c:pt idx="52">
                  <c:v>21.84</c:v>
                </c:pt>
                <c:pt idx="53">
                  <c:v>21.71</c:v>
                </c:pt>
                <c:pt idx="54">
                  <c:v>21.58</c:v>
                </c:pt>
                <c:pt idx="55">
                  <c:v>21.45</c:v>
                </c:pt>
                <c:pt idx="56">
                  <c:v>21.32</c:v>
                </c:pt>
                <c:pt idx="57">
                  <c:v>21.19</c:v>
                </c:pt>
                <c:pt idx="58">
                  <c:v>21.06</c:v>
                </c:pt>
                <c:pt idx="59">
                  <c:v>20.93</c:v>
                </c:pt>
                <c:pt idx="60">
                  <c:v>20.8</c:v>
                </c:pt>
                <c:pt idx="61">
                  <c:v>20.67</c:v>
                </c:pt>
                <c:pt idx="62">
                  <c:v>20.54</c:v>
                </c:pt>
                <c:pt idx="63">
                  <c:v>20.41</c:v>
                </c:pt>
                <c:pt idx="64">
                  <c:v>20.28</c:v>
                </c:pt>
                <c:pt idx="65">
                  <c:v>20.15</c:v>
                </c:pt>
                <c:pt idx="66">
                  <c:v>20.02</c:v>
                </c:pt>
                <c:pt idx="67">
                  <c:v>19.89</c:v>
                </c:pt>
                <c:pt idx="68">
                  <c:v>19.76</c:v>
                </c:pt>
                <c:pt idx="69">
                  <c:v>19.63</c:v>
                </c:pt>
                <c:pt idx="70">
                  <c:v>19.5</c:v>
                </c:pt>
                <c:pt idx="71">
                  <c:v>19.37</c:v>
                </c:pt>
                <c:pt idx="72">
                  <c:v>19.24</c:v>
                </c:pt>
                <c:pt idx="73">
                  <c:v>19.11</c:v>
                </c:pt>
                <c:pt idx="74">
                  <c:v>18.98</c:v>
                </c:pt>
                <c:pt idx="75">
                  <c:v>18.85</c:v>
                </c:pt>
                <c:pt idx="76">
                  <c:v>18.72</c:v>
                </c:pt>
                <c:pt idx="77">
                  <c:v>18.59</c:v>
                </c:pt>
                <c:pt idx="78">
                  <c:v>18.46</c:v>
                </c:pt>
                <c:pt idx="79">
                  <c:v>18.33</c:v>
                </c:pt>
                <c:pt idx="80">
                  <c:v>18.2</c:v>
                </c:pt>
                <c:pt idx="81">
                  <c:v>18.07</c:v>
                </c:pt>
                <c:pt idx="82">
                  <c:v>17.94</c:v>
                </c:pt>
                <c:pt idx="83">
                  <c:v>17.81</c:v>
                </c:pt>
                <c:pt idx="84">
                  <c:v>17.68</c:v>
                </c:pt>
                <c:pt idx="85">
                  <c:v>17.55</c:v>
                </c:pt>
                <c:pt idx="86">
                  <c:v>17.42</c:v>
                </c:pt>
                <c:pt idx="87">
                  <c:v>17.29</c:v>
                </c:pt>
                <c:pt idx="88">
                  <c:v>17.16</c:v>
                </c:pt>
                <c:pt idx="89">
                  <c:v>17.03</c:v>
                </c:pt>
                <c:pt idx="90">
                  <c:v>16.9</c:v>
                </c:pt>
                <c:pt idx="91">
                  <c:v>16.77</c:v>
                </c:pt>
                <c:pt idx="92">
                  <c:v>16.64</c:v>
                </c:pt>
                <c:pt idx="93">
                  <c:v>16.51</c:v>
                </c:pt>
                <c:pt idx="94">
                  <c:v>16.38</c:v>
                </c:pt>
                <c:pt idx="95">
                  <c:v>16.25</c:v>
                </c:pt>
                <c:pt idx="96">
                  <c:v>16.12</c:v>
                </c:pt>
                <c:pt idx="97">
                  <c:v>15.99</c:v>
                </c:pt>
                <c:pt idx="98">
                  <c:v>15.86</c:v>
                </c:pt>
                <c:pt idx="99">
                  <c:v>15.73</c:v>
                </c:pt>
                <c:pt idx="100">
                  <c:v>15.6</c:v>
                </c:pt>
                <c:pt idx="101">
                  <c:v>15.47</c:v>
                </c:pt>
                <c:pt idx="102">
                  <c:v>15.34</c:v>
                </c:pt>
                <c:pt idx="103">
                  <c:v>15.21</c:v>
                </c:pt>
                <c:pt idx="104">
                  <c:v>15.08</c:v>
                </c:pt>
                <c:pt idx="105">
                  <c:v>14.95</c:v>
                </c:pt>
                <c:pt idx="106">
                  <c:v>14.82</c:v>
                </c:pt>
                <c:pt idx="107">
                  <c:v>14.69</c:v>
                </c:pt>
                <c:pt idx="108">
                  <c:v>14.56</c:v>
                </c:pt>
                <c:pt idx="109">
                  <c:v>14.43</c:v>
                </c:pt>
                <c:pt idx="110">
                  <c:v>14.3</c:v>
                </c:pt>
                <c:pt idx="111">
                  <c:v>14.17</c:v>
                </c:pt>
                <c:pt idx="112">
                  <c:v>14.04</c:v>
                </c:pt>
                <c:pt idx="113">
                  <c:v>13.91</c:v>
                </c:pt>
                <c:pt idx="114">
                  <c:v>13.78</c:v>
                </c:pt>
                <c:pt idx="115">
                  <c:v>13.65</c:v>
                </c:pt>
                <c:pt idx="116">
                  <c:v>13.52</c:v>
                </c:pt>
                <c:pt idx="117">
                  <c:v>13.39</c:v>
                </c:pt>
                <c:pt idx="118">
                  <c:v>13.26</c:v>
                </c:pt>
                <c:pt idx="119">
                  <c:v>13.13</c:v>
                </c:pt>
                <c:pt idx="120">
                  <c:v>13</c:v>
                </c:pt>
                <c:pt idx="121">
                  <c:v>12.87</c:v>
                </c:pt>
                <c:pt idx="122">
                  <c:v>12.74</c:v>
                </c:pt>
                <c:pt idx="123">
                  <c:v>12.61</c:v>
                </c:pt>
                <c:pt idx="124">
                  <c:v>12.48</c:v>
                </c:pt>
                <c:pt idx="125">
                  <c:v>12.35</c:v>
                </c:pt>
                <c:pt idx="126">
                  <c:v>12.22</c:v>
                </c:pt>
                <c:pt idx="127">
                  <c:v>12.09</c:v>
                </c:pt>
                <c:pt idx="128">
                  <c:v>11.96</c:v>
                </c:pt>
                <c:pt idx="129">
                  <c:v>11.83</c:v>
                </c:pt>
                <c:pt idx="130">
                  <c:v>11.7</c:v>
                </c:pt>
                <c:pt idx="131">
                  <c:v>11.57</c:v>
                </c:pt>
                <c:pt idx="132">
                  <c:v>11.44</c:v>
                </c:pt>
                <c:pt idx="133">
                  <c:v>11.31</c:v>
                </c:pt>
                <c:pt idx="134">
                  <c:v>11.18</c:v>
                </c:pt>
                <c:pt idx="135">
                  <c:v>11.05</c:v>
                </c:pt>
                <c:pt idx="136">
                  <c:v>10.92</c:v>
                </c:pt>
                <c:pt idx="137">
                  <c:v>10.79</c:v>
                </c:pt>
                <c:pt idx="138">
                  <c:v>10.66</c:v>
                </c:pt>
                <c:pt idx="139">
                  <c:v>10.53</c:v>
                </c:pt>
                <c:pt idx="140">
                  <c:v>10.4</c:v>
                </c:pt>
                <c:pt idx="141">
                  <c:v>10.27</c:v>
                </c:pt>
                <c:pt idx="142">
                  <c:v>10.14</c:v>
                </c:pt>
                <c:pt idx="143">
                  <c:v>10.01</c:v>
                </c:pt>
                <c:pt idx="144">
                  <c:v>9.87999999999997</c:v>
                </c:pt>
                <c:pt idx="145">
                  <c:v>9.74999999999997</c:v>
                </c:pt>
                <c:pt idx="146">
                  <c:v>9.61999999999997</c:v>
                </c:pt>
                <c:pt idx="147">
                  <c:v>9.48999999999997</c:v>
                </c:pt>
                <c:pt idx="148">
                  <c:v>9.35999999999998</c:v>
                </c:pt>
                <c:pt idx="149">
                  <c:v>9.22999999999997</c:v>
                </c:pt>
                <c:pt idx="150">
                  <c:v>9.09999999999997</c:v>
                </c:pt>
                <c:pt idx="151">
                  <c:v>8.96999999999997</c:v>
                </c:pt>
                <c:pt idx="152">
                  <c:v>8.83999999999998</c:v>
                </c:pt>
                <c:pt idx="153">
                  <c:v>8.70999999999997</c:v>
                </c:pt>
                <c:pt idx="154">
                  <c:v>8.57999999999998</c:v>
                </c:pt>
                <c:pt idx="155">
                  <c:v>8.44999999999997</c:v>
                </c:pt>
                <c:pt idx="156">
                  <c:v>8.31999999999997</c:v>
                </c:pt>
                <c:pt idx="157">
                  <c:v>8.18999999999998</c:v>
                </c:pt>
                <c:pt idx="158">
                  <c:v>8.05999999999997</c:v>
                </c:pt>
                <c:pt idx="159">
                  <c:v>7.92999999999997</c:v>
                </c:pt>
                <c:pt idx="160">
                  <c:v>7.79999999999997</c:v>
                </c:pt>
                <c:pt idx="161">
                  <c:v>7.66999999999997</c:v>
                </c:pt>
                <c:pt idx="162">
                  <c:v>7.53999999999997</c:v>
                </c:pt>
                <c:pt idx="163">
                  <c:v>7.40999999999997</c:v>
                </c:pt>
                <c:pt idx="164">
                  <c:v>7.27999999999997</c:v>
                </c:pt>
                <c:pt idx="165">
                  <c:v>7.14999999999998</c:v>
                </c:pt>
                <c:pt idx="166">
                  <c:v>7.01999999999998</c:v>
                </c:pt>
                <c:pt idx="167">
                  <c:v>6.88999999999997</c:v>
                </c:pt>
                <c:pt idx="168">
                  <c:v>6.75999999999997</c:v>
                </c:pt>
                <c:pt idx="169">
                  <c:v>6.62999999999997</c:v>
                </c:pt>
                <c:pt idx="170">
                  <c:v>6.49999999999997</c:v>
                </c:pt>
                <c:pt idx="171">
                  <c:v>6.36999999999997</c:v>
                </c:pt>
                <c:pt idx="172">
                  <c:v>6.23999999999997</c:v>
                </c:pt>
                <c:pt idx="173">
                  <c:v>6.10999999999997</c:v>
                </c:pt>
                <c:pt idx="174">
                  <c:v>5.97999999999998</c:v>
                </c:pt>
                <c:pt idx="175">
                  <c:v>5.84999999999997</c:v>
                </c:pt>
                <c:pt idx="176">
                  <c:v>5.71999999999997</c:v>
                </c:pt>
                <c:pt idx="177">
                  <c:v>5.58999999999997</c:v>
                </c:pt>
                <c:pt idx="178">
                  <c:v>5.45999999999997</c:v>
                </c:pt>
                <c:pt idx="179">
                  <c:v>5.32999999999997</c:v>
                </c:pt>
                <c:pt idx="180">
                  <c:v>5.19999999999997</c:v>
                </c:pt>
                <c:pt idx="181">
                  <c:v>5.06999999999997</c:v>
                </c:pt>
                <c:pt idx="182">
                  <c:v>4.93999999999997</c:v>
                </c:pt>
                <c:pt idx="183">
                  <c:v>4.80999999999997</c:v>
                </c:pt>
                <c:pt idx="184">
                  <c:v>4.67999999999997</c:v>
                </c:pt>
                <c:pt idx="185">
                  <c:v>4.54999999999997</c:v>
                </c:pt>
                <c:pt idx="186">
                  <c:v>4.41999999999997</c:v>
                </c:pt>
                <c:pt idx="187">
                  <c:v>4.28999999999997</c:v>
                </c:pt>
                <c:pt idx="188">
                  <c:v>4.15999999999997</c:v>
                </c:pt>
                <c:pt idx="189">
                  <c:v>4.02999999999997</c:v>
                </c:pt>
                <c:pt idx="190">
                  <c:v>3.89999999999997</c:v>
                </c:pt>
                <c:pt idx="191">
                  <c:v>3.76999999999997</c:v>
                </c:pt>
                <c:pt idx="192">
                  <c:v>3.63999999999997</c:v>
                </c:pt>
                <c:pt idx="193">
                  <c:v>3.50999999999997</c:v>
                </c:pt>
                <c:pt idx="194">
                  <c:v>3.37999999999997</c:v>
                </c:pt>
                <c:pt idx="195">
                  <c:v>3.24999999999997</c:v>
                </c:pt>
                <c:pt idx="196">
                  <c:v>3.11999999999997</c:v>
                </c:pt>
                <c:pt idx="197">
                  <c:v>2.98999999999997</c:v>
                </c:pt>
                <c:pt idx="198">
                  <c:v>2.85999999999997</c:v>
                </c:pt>
                <c:pt idx="199">
                  <c:v>2.72999999999997</c:v>
                </c:pt>
                <c:pt idx="200">
                  <c:v>2.59999999999997</c:v>
                </c:pt>
                <c:pt idx="201">
                  <c:v>2.46999999999997</c:v>
                </c:pt>
                <c:pt idx="202">
                  <c:v>2.33999999999997</c:v>
                </c:pt>
                <c:pt idx="203">
                  <c:v>2.20999999999997</c:v>
                </c:pt>
                <c:pt idx="204">
                  <c:v>2.07999999999997</c:v>
                </c:pt>
                <c:pt idx="205">
                  <c:v>1.94999999999997</c:v>
                </c:pt>
                <c:pt idx="206">
                  <c:v>1.81999999999997</c:v>
                </c:pt>
                <c:pt idx="207">
                  <c:v>1.68999999999997</c:v>
                </c:pt>
                <c:pt idx="208">
                  <c:v>1.55999999999998</c:v>
                </c:pt>
                <c:pt idx="209">
                  <c:v>1.42999999999997</c:v>
                </c:pt>
                <c:pt idx="210">
                  <c:v>1.29999999999997</c:v>
                </c:pt>
                <c:pt idx="211">
                  <c:v>1.16999999999997</c:v>
                </c:pt>
                <c:pt idx="212">
                  <c:v>1.03999999999997</c:v>
                </c:pt>
                <c:pt idx="213">
                  <c:v>0.909999999999974</c:v>
                </c:pt>
                <c:pt idx="214">
                  <c:v>0.779999999999974</c:v>
                </c:pt>
                <c:pt idx="215">
                  <c:v>0.649999999999974</c:v>
                </c:pt>
                <c:pt idx="216">
                  <c:v>0.519999999999974</c:v>
                </c:pt>
                <c:pt idx="217">
                  <c:v>0.389999999999974</c:v>
                </c:pt>
                <c:pt idx="218">
                  <c:v>0.259999999999974</c:v>
                </c:pt>
                <c:pt idx="219">
                  <c:v>0.129999999999974</c:v>
                </c:pt>
              </c:numCache>
            </c:numRef>
          </c:xVal>
          <c:yVal>
            <c:numRef>
              <c:f>'Design Calculations'!$F$60:$F$279</c:f>
              <c:numCache>
                <c:formatCode>0.000</c:formatCode>
                <c:ptCount val="220"/>
              </c:numCache>
            </c:numRef>
          </c:yVal>
          <c:smooth val="1"/>
        </c:ser>
        <c:ser>
          <c:idx val="1"/>
          <c:order val="1"/>
          <c:tx>
            <c:strRef>
              <c:f>'Design Calculations'!$L$59</c:f>
              <c:strCache>
                <c:ptCount val="1"/>
                <c:pt idx="0">
                  <c:v>FLB OC</c:v>
                </c:pt>
              </c:strCache>
            </c:strRef>
          </c:tx>
          <c:spPr>
            <a:solidFill>
              <a:srgbClr val="800080"/>
            </a:solidFill>
            <a:ln w="25560">
              <a:solidFill>
                <a:srgbClr val="8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Calculations'!$I$60:$I$290</c:f>
              <c:numCache>
                <c:formatCode>General</c:formatCode>
                <c:ptCount val="231"/>
                <c:pt idx="0">
                  <c:v>31.2</c:v>
                </c:pt>
                <c:pt idx="1">
                  <c:v>31.07</c:v>
                </c:pt>
                <c:pt idx="2">
                  <c:v>30.94</c:v>
                </c:pt>
                <c:pt idx="3">
                  <c:v>30.81</c:v>
                </c:pt>
                <c:pt idx="4">
                  <c:v>30.68</c:v>
                </c:pt>
                <c:pt idx="5">
                  <c:v>30.55</c:v>
                </c:pt>
                <c:pt idx="6">
                  <c:v>30.42</c:v>
                </c:pt>
                <c:pt idx="7">
                  <c:v>30.29</c:v>
                </c:pt>
                <c:pt idx="8">
                  <c:v>30.16</c:v>
                </c:pt>
                <c:pt idx="9">
                  <c:v>30.03</c:v>
                </c:pt>
                <c:pt idx="10">
                  <c:v>29.9</c:v>
                </c:pt>
                <c:pt idx="11">
                  <c:v>29.77</c:v>
                </c:pt>
                <c:pt idx="12">
                  <c:v>29.64</c:v>
                </c:pt>
                <c:pt idx="13">
                  <c:v>29.51</c:v>
                </c:pt>
                <c:pt idx="14">
                  <c:v>29.38</c:v>
                </c:pt>
                <c:pt idx="15">
                  <c:v>29.25</c:v>
                </c:pt>
                <c:pt idx="16">
                  <c:v>29.12</c:v>
                </c:pt>
                <c:pt idx="17">
                  <c:v>28.99</c:v>
                </c:pt>
                <c:pt idx="18">
                  <c:v>28.86</c:v>
                </c:pt>
                <c:pt idx="19">
                  <c:v>28.73</c:v>
                </c:pt>
                <c:pt idx="20">
                  <c:v>28.6</c:v>
                </c:pt>
                <c:pt idx="21">
                  <c:v>28.47</c:v>
                </c:pt>
                <c:pt idx="22">
                  <c:v>28.34</c:v>
                </c:pt>
                <c:pt idx="23">
                  <c:v>28.21</c:v>
                </c:pt>
                <c:pt idx="24">
                  <c:v>28.08</c:v>
                </c:pt>
                <c:pt idx="25">
                  <c:v>27.95</c:v>
                </c:pt>
                <c:pt idx="26">
                  <c:v>27.82</c:v>
                </c:pt>
                <c:pt idx="27">
                  <c:v>27.69</c:v>
                </c:pt>
                <c:pt idx="28">
                  <c:v>27.56</c:v>
                </c:pt>
                <c:pt idx="29">
                  <c:v>27.43</c:v>
                </c:pt>
                <c:pt idx="30">
                  <c:v>27.3</c:v>
                </c:pt>
                <c:pt idx="31">
                  <c:v>27.17</c:v>
                </c:pt>
                <c:pt idx="32">
                  <c:v>27.04</c:v>
                </c:pt>
                <c:pt idx="33">
                  <c:v>26.91</c:v>
                </c:pt>
                <c:pt idx="34">
                  <c:v>26.78</c:v>
                </c:pt>
                <c:pt idx="35">
                  <c:v>26.65</c:v>
                </c:pt>
                <c:pt idx="36">
                  <c:v>26.52</c:v>
                </c:pt>
                <c:pt idx="37">
                  <c:v>26.39</c:v>
                </c:pt>
                <c:pt idx="38">
                  <c:v>26.26</c:v>
                </c:pt>
                <c:pt idx="39">
                  <c:v>26.13</c:v>
                </c:pt>
                <c:pt idx="40">
                  <c:v>26</c:v>
                </c:pt>
                <c:pt idx="41">
                  <c:v>25.8700000000001</c:v>
                </c:pt>
                <c:pt idx="42">
                  <c:v>25.7400000000001</c:v>
                </c:pt>
                <c:pt idx="43">
                  <c:v>25.6100000000001</c:v>
                </c:pt>
                <c:pt idx="44">
                  <c:v>25.4800000000001</c:v>
                </c:pt>
                <c:pt idx="45">
                  <c:v>25.3500000000001</c:v>
                </c:pt>
                <c:pt idx="46">
                  <c:v>25.2200000000001</c:v>
                </c:pt>
                <c:pt idx="47">
                  <c:v>25.0900000000001</c:v>
                </c:pt>
                <c:pt idx="48">
                  <c:v>24.9600000000001</c:v>
                </c:pt>
                <c:pt idx="49">
                  <c:v>24.8300000000001</c:v>
                </c:pt>
                <c:pt idx="50">
                  <c:v>24.7000000000001</c:v>
                </c:pt>
                <c:pt idx="51">
                  <c:v>24.5700000000001</c:v>
                </c:pt>
                <c:pt idx="52">
                  <c:v>24.4400000000002</c:v>
                </c:pt>
                <c:pt idx="53">
                  <c:v>24.3100000000002</c:v>
                </c:pt>
                <c:pt idx="54">
                  <c:v>24.1800000000002</c:v>
                </c:pt>
                <c:pt idx="55">
                  <c:v>24.0500000000002</c:v>
                </c:pt>
                <c:pt idx="56">
                  <c:v>23.9200000000002</c:v>
                </c:pt>
                <c:pt idx="57">
                  <c:v>23.7900000000002</c:v>
                </c:pt>
                <c:pt idx="58">
                  <c:v>23.6600000000002</c:v>
                </c:pt>
                <c:pt idx="59">
                  <c:v>23.5300000000002</c:v>
                </c:pt>
                <c:pt idx="60">
                  <c:v>23.4000000000002</c:v>
                </c:pt>
                <c:pt idx="61">
                  <c:v>23.2700000000002</c:v>
                </c:pt>
                <c:pt idx="62">
                  <c:v>23.1400000000002</c:v>
                </c:pt>
                <c:pt idx="63">
                  <c:v>23.0100000000002</c:v>
                </c:pt>
                <c:pt idx="64">
                  <c:v>22.8800000000002</c:v>
                </c:pt>
                <c:pt idx="65">
                  <c:v>22.7500000000002</c:v>
                </c:pt>
                <c:pt idx="66">
                  <c:v>22.6200000000002</c:v>
                </c:pt>
                <c:pt idx="67">
                  <c:v>22.4900000000002</c:v>
                </c:pt>
                <c:pt idx="68">
                  <c:v>22.3600000000002</c:v>
                </c:pt>
                <c:pt idx="69">
                  <c:v>22.2300000000002</c:v>
                </c:pt>
                <c:pt idx="70">
                  <c:v>22.1000000000002</c:v>
                </c:pt>
                <c:pt idx="71">
                  <c:v>21.9700000000002</c:v>
                </c:pt>
                <c:pt idx="72">
                  <c:v>21.8400000000002</c:v>
                </c:pt>
                <c:pt idx="73">
                  <c:v>21.7100000000002</c:v>
                </c:pt>
                <c:pt idx="74">
                  <c:v>21.5800000000002</c:v>
                </c:pt>
                <c:pt idx="75">
                  <c:v>21.4500000000002</c:v>
                </c:pt>
                <c:pt idx="76">
                  <c:v>21.3200000000002</c:v>
                </c:pt>
                <c:pt idx="77">
                  <c:v>21.1900000000002</c:v>
                </c:pt>
                <c:pt idx="78">
                  <c:v>21.0600000000002</c:v>
                </c:pt>
                <c:pt idx="79">
                  <c:v>20.9300000000002</c:v>
                </c:pt>
                <c:pt idx="80">
                  <c:v>20.8000000000002</c:v>
                </c:pt>
                <c:pt idx="81">
                  <c:v>20.6700000000002</c:v>
                </c:pt>
                <c:pt idx="82">
                  <c:v>20.5400000000002</c:v>
                </c:pt>
                <c:pt idx="83">
                  <c:v>20.4100000000002</c:v>
                </c:pt>
                <c:pt idx="84">
                  <c:v>20.2800000000002</c:v>
                </c:pt>
                <c:pt idx="85">
                  <c:v>20.1500000000002</c:v>
                </c:pt>
                <c:pt idx="86">
                  <c:v>20.0200000000002</c:v>
                </c:pt>
                <c:pt idx="87">
                  <c:v>19.8900000000002</c:v>
                </c:pt>
                <c:pt idx="88">
                  <c:v>19.7600000000002</c:v>
                </c:pt>
                <c:pt idx="89">
                  <c:v>19.6300000000002</c:v>
                </c:pt>
                <c:pt idx="90">
                  <c:v>19.5000000000003</c:v>
                </c:pt>
                <c:pt idx="91">
                  <c:v>19.3700000000003</c:v>
                </c:pt>
                <c:pt idx="92">
                  <c:v>19.2400000000003</c:v>
                </c:pt>
                <c:pt idx="93">
                  <c:v>19.1100000000003</c:v>
                </c:pt>
                <c:pt idx="94">
                  <c:v>18.9800000000003</c:v>
                </c:pt>
                <c:pt idx="95">
                  <c:v>18.8500000000003</c:v>
                </c:pt>
                <c:pt idx="96">
                  <c:v>18.7200000000003</c:v>
                </c:pt>
                <c:pt idx="97">
                  <c:v>18.5900000000003</c:v>
                </c:pt>
                <c:pt idx="98">
                  <c:v>18.4600000000003</c:v>
                </c:pt>
                <c:pt idx="99">
                  <c:v>18.3300000000003</c:v>
                </c:pt>
                <c:pt idx="100">
                  <c:v>18.2000000000003</c:v>
                </c:pt>
                <c:pt idx="101">
                  <c:v>18.0700000000003</c:v>
                </c:pt>
                <c:pt idx="102">
                  <c:v>17.9400000000003</c:v>
                </c:pt>
                <c:pt idx="103">
                  <c:v>17.8100000000003</c:v>
                </c:pt>
                <c:pt idx="104">
                  <c:v>17.6800000000003</c:v>
                </c:pt>
                <c:pt idx="105">
                  <c:v>17.5500000000003</c:v>
                </c:pt>
                <c:pt idx="106">
                  <c:v>17.4200000000003</c:v>
                </c:pt>
                <c:pt idx="107">
                  <c:v>17.2900000000003</c:v>
                </c:pt>
                <c:pt idx="108">
                  <c:v>17.1600000000003</c:v>
                </c:pt>
                <c:pt idx="109">
                  <c:v>17.0300000000003</c:v>
                </c:pt>
                <c:pt idx="110">
                  <c:v>16.9000000000003</c:v>
                </c:pt>
                <c:pt idx="111">
                  <c:v>16.7700000000003</c:v>
                </c:pt>
                <c:pt idx="112">
                  <c:v>16.6400000000003</c:v>
                </c:pt>
                <c:pt idx="113">
                  <c:v>16.5100000000003</c:v>
                </c:pt>
                <c:pt idx="114">
                  <c:v>16.3800000000003</c:v>
                </c:pt>
                <c:pt idx="115">
                  <c:v>16.2500000000003</c:v>
                </c:pt>
                <c:pt idx="116">
                  <c:v>16.1200000000003</c:v>
                </c:pt>
                <c:pt idx="117">
                  <c:v>15.9900000000003</c:v>
                </c:pt>
                <c:pt idx="118">
                  <c:v>15.8600000000003</c:v>
                </c:pt>
                <c:pt idx="119">
                  <c:v>15.7300000000003</c:v>
                </c:pt>
                <c:pt idx="120">
                  <c:v>15.6000000000003</c:v>
                </c:pt>
                <c:pt idx="121">
                  <c:v>15.4700000000003</c:v>
                </c:pt>
                <c:pt idx="122">
                  <c:v>15.3400000000003</c:v>
                </c:pt>
                <c:pt idx="123">
                  <c:v>15.2100000000003</c:v>
                </c:pt>
                <c:pt idx="124">
                  <c:v>15.0800000000003</c:v>
                </c:pt>
                <c:pt idx="125">
                  <c:v>14.9500000000003</c:v>
                </c:pt>
                <c:pt idx="126">
                  <c:v>14.8200000000003</c:v>
                </c:pt>
                <c:pt idx="127">
                  <c:v>14.6900000000004</c:v>
                </c:pt>
                <c:pt idx="128">
                  <c:v>14.5600000000004</c:v>
                </c:pt>
                <c:pt idx="129">
                  <c:v>14.4300000000004</c:v>
                </c:pt>
                <c:pt idx="130">
                  <c:v>14.3000000000004</c:v>
                </c:pt>
                <c:pt idx="131">
                  <c:v>14.1700000000004</c:v>
                </c:pt>
                <c:pt idx="132">
                  <c:v>14.0400000000004</c:v>
                </c:pt>
                <c:pt idx="133">
                  <c:v>13.9100000000004</c:v>
                </c:pt>
                <c:pt idx="134">
                  <c:v>13.7800000000004</c:v>
                </c:pt>
                <c:pt idx="135">
                  <c:v>13.6500000000004</c:v>
                </c:pt>
                <c:pt idx="136">
                  <c:v>13.5200000000004</c:v>
                </c:pt>
                <c:pt idx="137">
                  <c:v>13.3900000000004</c:v>
                </c:pt>
                <c:pt idx="138">
                  <c:v>13.2600000000004</c:v>
                </c:pt>
                <c:pt idx="139">
                  <c:v>13.1300000000004</c:v>
                </c:pt>
                <c:pt idx="140">
                  <c:v>13.0000000000004</c:v>
                </c:pt>
                <c:pt idx="141">
                  <c:v>12.8700000000004</c:v>
                </c:pt>
                <c:pt idx="142">
                  <c:v>12.7400000000004</c:v>
                </c:pt>
                <c:pt idx="143">
                  <c:v>12.6100000000004</c:v>
                </c:pt>
                <c:pt idx="144">
                  <c:v>12.4800000000004</c:v>
                </c:pt>
                <c:pt idx="145">
                  <c:v>12.3500000000004</c:v>
                </c:pt>
                <c:pt idx="146">
                  <c:v>12.2200000000004</c:v>
                </c:pt>
                <c:pt idx="147">
                  <c:v>12.0900000000004</c:v>
                </c:pt>
                <c:pt idx="148">
                  <c:v>11.9600000000004</c:v>
                </c:pt>
                <c:pt idx="149">
                  <c:v>11.8300000000004</c:v>
                </c:pt>
                <c:pt idx="150">
                  <c:v>11.7000000000004</c:v>
                </c:pt>
                <c:pt idx="151">
                  <c:v>11.5700000000004</c:v>
                </c:pt>
                <c:pt idx="152">
                  <c:v>11.4400000000004</c:v>
                </c:pt>
                <c:pt idx="153">
                  <c:v>11.3100000000004</c:v>
                </c:pt>
                <c:pt idx="154">
                  <c:v>11.1800000000004</c:v>
                </c:pt>
                <c:pt idx="155">
                  <c:v>11.0500000000004</c:v>
                </c:pt>
                <c:pt idx="156">
                  <c:v>10.9200000000004</c:v>
                </c:pt>
                <c:pt idx="157">
                  <c:v>10.7900000000004</c:v>
                </c:pt>
                <c:pt idx="158">
                  <c:v>10.6600000000004</c:v>
                </c:pt>
                <c:pt idx="159">
                  <c:v>10.5300000000004</c:v>
                </c:pt>
                <c:pt idx="160">
                  <c:v>10.4000000000004</c:v>
                </c:pt>
                <c:pt idx="161">
                  <c:v>10.2700000000004</c:v>
                </c:pt>
                <c:pt idx="162">
                  <c:v>10.1400000000004</c:v>
                </c:pt>
                <c:pt idx="163">
                  <c:v>10.0100000000004</c:v>
                </c:pt>
                <c:pt idx="164">
                  <c:v>9.88000000000044</c:v>
                </c:pt>
                <c:pt idx="165">
                  <c:v>9.75000000000047</c:v>
                </c:pt>
                <c:pt idx="166">
                  <c:v>9.62000000000047</c:v>
                </c:pt>
                <c:pt idx="167">
                  <c:v>9.49000000000047</c:v>
                </c:pt>
                <c:pt idx="168">
                  <c:v>9.36000000000047</c:v>
                </c:pt>
                <c:pt idx="169">
                  <c:v>9.23000000000047</c:v>
                </c:pt>
                <c:pt idx="170">
                  <c:v>9.10000000000047</c:v>
                </c:pt>
                <c:pt idx="171">
                  <c:v>8.97000000000047</c:v>
                </c:pt>
                <c:pt idx="172">
                  <c:v>8.84000000000047</c:v>
                </c:pt>
                <c:pt idx="173">
                  <c:v>8.71000000000047</c:v>
                </c:pt>
                <c:pt idx="174">
                  <c:v>8.58000000000049</c:v>
                </c:pt>
                <c:pt idx="175">
                  <c:v>8.45000000000049</c:v>
                </c:pt>
                <c:pt idx="176">
                  <c:v>8.32000000000049</c:v>
                </c:pt>
                <c:pt idx="177">
                  <c:v>8.19000000000049</c:v>
                </c:pt>
                <c:pt idx="178">
                  <c:v>8.06000000000049</c:v>
                </c:pt>
                <c:pt idx="179">
                  <c:v>7.93000000000049</c:v>
                </c:pt>
                <c:pt idx="180">
                  <c:v>7.80000000000049</c:v>
                </c:pt>
                <c:pt idx="181">
                  <c:v>7.6700000000005</c:v>
                </c:pt>
                <c:pt idx="182">
                  <c:v>7.5400000000005</c:v>
                </c:pt>
                <c:pt idx="183">
                  <c:v>7.41000000000052</c:v>
                </c:pt>
                <c:pt idx="184">
                  <c:v>7.28000000000052</c:v>
                </c:pt>
                <c:pt idx="185">
                  <c:v>7.15000000000052</c:v>
                </c:pt>
                <c:pt idx="186">
                  <c:v>7.02000000000052</c:v>
                </c:pt>
                <c:pt idx="187">
                  <c:v>6.89000000000052</c:v>
                </c:pt>
                <c:pt idx="188">
                  <c:v>6.76000000000052</c:v>
                </c:pt>
                <c:pt idx="189">
                  <c:v>6.63000000000052</c:v>
                </c:pt>
                <c:pt idx="190">
                  <c:v>6.50000000000052</c:v>
                </c:pt>
                <c:pt idx="191">
                  <c:v>6.37000000000052</c:v>
                </c:pt>
                <c:pt idx="192">
                  <c:v>6.24000000000052</c:v>
                </c:pt>
                <c:pt idx="193">
                  <c:v>6.11000000000055</c:v>
                </c:pt>
                <c:pt idx="194">
                  <c:v>5.98000000000055</c:v>
                </c:pt>
                <c:pt idx="195">
                  <c:v>5.85000000000055</c:v>
                </c:pt>
                <c:pt idx="196">
                  <c:v>5.72000000000055</c:v>
                </c:pt>
                <c:pt idx="197">
                  <c:v>5.59000000000055</c:v>
                </c:pt>
                <c:pt idx="198">
                  <c:v>5.46000000000055</c:v>
                </c:pt>
                <c:pt idx="199">
                  <c:v>5.33000000000055</c:v>
                </c:pt>
                <c:pt idx="200">
                  <c:v>5.20000000000055</c:v>
                </c:pt>
                <c:pt idx="201">
                  <c:v>5.07000000000052</c:v>
                </c:pt>
                <c:pt idx="202">
                  <c:v>4.94000000000052</c:v>
                </c:pt>
                <c:pt idx="203">
                  <c:v>4.81000000000052</c:v>
                </c:pt>
                <c:pt idx="204">
                  <c:v>4.68000000000052</c:v>
                </c:pt>
                <c:pt idx="205">
                  <c:v>4.55000000000052</c:v>
                </c:pt>
                <c:pt idx="206">
                  <c:v>4.42000000000052</c:v>
                </c:pt>
                <c:pt idx="207">
                  <c:v>4.29000000000052</c:v>
                </c:pt>
                <c:pt idx="208">
                  <c:v>4.16000000000052</c:v>
                </c:pt>
                <c:pt idx="209">
                  <c:v>4.03000000000052</c:v>
                </c:pt>
                <c:pt idx="210">
                  <c:v>3.90000000000052</c:v>
                </c:pt>
                <c:pt idx="211">
                  <c:v>3.77000000000052</c:v>
                </c:pt>
                <c:pt idx="212">
                  <c:v>3.64000000000052</c:v>
                </c:pt>
                <c:pt idx="213">
                  <c:v>3.51000000000052</c:v>
                </c:pt>
                <c:pt idx="214">
                  <c:v>3.38000000000052</c:v>
                </c:pt>
                <c:pt idx="215">
                  <c:v>3.25000000000052</c:v>
                </c:pt>
                <c:pt idx="216">
                  <c:v>3.12000000000052</c:v>
                </c:pt>
                <c:pt idx="217">
                  <c:v>2.99000000000052</c:v>
                </c:pt>
                <c:pt idx="218">
                  <c:v>2.86000000000052</c:v>
                </c:pt>
                <c:pt idx="219">
                  <c:v>2.73000000000052</c:v>
                </c:pt>
                <c:pt idx="220">
                  <c:v>2.60000000000052</c:v>
                </c:pt>
                <c:pt idx="221">
                  <c:v>2.47000000000052</c:v>
                </c:pt>
                <c:pt idx="222">
                  <c:v>2.34000000000052</c:v>
                </c:pt>
                <c:pt idx="223">
                  <c:v>2.21000000000052</c:v>
                </c:pt>
                <c:pt idx="224">
                  <c:v>2.08000000000052</c:v>
                </c:pt>
                <c:pt idx="225">
                  <c:v>1.95000000000052</c:v>
                </c:pt>
                <c:pt idx="226">
                  <c:v>1.82000000000052</c:v>
                </c:pt>
                <c:pt idx="227">
                  <c:v>1.69000000000052</c:v>
                </c:pt>
                <c:pt idx="228">
                  <c:v>1.56000000000052</c:v>
                </c:pt>
                <c:pt idx="229">
                  <c:v>1.43000000000052</c:v>
                </c:pt>
                <c:pt idx="230">
                  <c:v>1.30000000000052</c:v>
                </c:pt>
              </c:numCache>
            </c:numRef>
          </c:xVal>
          <c:yVal>
            <c:numRef>
              <c:f>'Design Calculations'!$L$60:$L$290</c:f>
              <c:numCache>
                <c:formatCode>0.0000</c:formatCode>
                <c:ptCount val="231"/>
                <c:pt idx="0">
                  <c:v>9.96677740863787</c:v>
                </c:pt>
                <c:pt idx="1">
                  <c:v>9.96677740863787</c:v>
                </c:pt>
                <c:pt idx="2">
                  <c:v>9.96677740863787</c:v>
                </c:pt>
                <c:pt idx="3">
                  <c:v>9.96677740863787</c:v>
                </c:pt>
                <c:pt idx="4">
                  <c:v>9.96677740863787</c:v>
                </c:pt>
                <c:pt idx="5">
                  <c:v>9.96677740863787</c:v>
                </c:pt>
                <c:pt idx="6">
                  <c:v>9.96677740863787</c:v>
                </c:pt>
                <c:pt idx="7">
                  <c:v>9.96677740863787</c:v>
                </c:pt>
                <c:pt idx="8">
                  <c:v>9.96677740863787</c:v>
                </c:pt>
                <c:pt idx="9">
                  <c:v>9.96677740863787</c:v>
                </c:pt>
                <c:pt idx="10">
                  <c:v>9.96677740863787</c:v>
                </c:pt>
                <c:pt idx="11">
                  <c:v>9.96677740863787</c:v>
                </c:pt>
                <c:pt idx="12">
                  <c:v>9.96677740863787</c:v>
                </c:pt>
                <c:pt idx="13">
                  <c:v>9.96677740863787</c:v>
                </c:pt>
                <c:pt idx="14">
                  <c:v>9.96677740863787</c:v>
                </c:pt>
                <c:pt idx="15">
                  <c:v>9.96677740863787</c:v>
                </c:pt>
                <c:pt idx="16">
                  <c:v>9.96677740863787</c:v>
                </c:pt>
                <c:pt idx="17">
                  <c:v>9.96677740863787</c:v>
                </c:pt>
                <c:pt idx="18">
                  <c:v>9.96677740863787</c:v>
                </c:pt>
                <c:pt idx="19">
                  <c:v>9.96677740863787</c:v>
                </c:pt>
                <c:pt idx="20">
                  <c:v>9.96677740863787</c:v>
                </c:pt>
                <c:pt idx="21">
                  <c:v>9.96677740863787</c:v>
                </c:pt>
                <c:pt idx="22">
                  <c:v>9.96677740863787</c:v>
                </c:pt>
                <c:pt idx="23">
                  <c:v>9.96677740863787</c:v>
                </c:pt>
                <c:pt idx="24">
                  <c:v>9.96677740863787</c:v>
                </c:pt>
                <c:pt idx="25">
                  <c:v>9.96677740863787</c:v>
                </c:pt>
                <c:pt idx="26">
                  <c:v>9.96677740863787</c:v>
                </c:pt>
                <c:pt idx="27">
                  <c:v>9.96677740863787</c:v>
                </c:pt>
                <c:pt idx="28">
                  <c:v>9.96677740863787</c:v>
                </c:pt>
                <c:pt idx="29">
                  <c:v>9.96677740863787</c:v>
                </c:pt>
                <c:pt idx="30">
                  <c:v>9.96677740863787</c:v>
                </c:pt>
                <c:pt idx="31">
                  <c:v>9.96677740863787</c:v>
                </c:pt>
                <c:pt idx="32">
                  <c:v>9.96677740863787</c:v>
                </c:pt>
                <c:pt idx="33">
                  <c:v>9.96677740863787</c:v>
                </c:pt>
                <c:pt idx="34">
                  <c:v>9.96677740863787</c:v>
                </c:pt>
                <c:pt idx="35">
                  <c:v>9.96677740863787</c:v>
                </c:pt>
                <c:pt idx="36">
                  <c:v>9.96677740863787</c:v>
                </c:pt>
                <c:pt idx="37">
                  <c:v>9.96677740863787</c:v>
                </c:pt>
                <c:pt idx="38">
                  <c:v>9.96677740863787</c:v>
                </c:pt>
                <c:pt idx="39">
                  <c:v>9.96677740863787</c:v>
                </c:pt>
                <c:pt idx="40">
                  <c:v>9.96677740863787</c:v>
                </c:pt>
                <c:pt idx="41">
                  <c:v>9.96601885924567</c:v>
                </c:pt>
                <c:pt idx="42">
                  <c:v>9.91593836246554</c:v>
                </c:pt>
                <c:pt idx="43">
                  <c:v>9.86585786568541</c:v>
                </c:pt>
                <c:pt idx="44">
                  <c:v>9.81577736890528</c:v>
                </c:pt>
                <c:pt idx="45">
                  <c:v>9.76569687212515</c:v>
                </c:pt>
                <c:pt idx="46">
                  <c:v>9.71561637534502</c:v>
                </c:pt>
                <c:pt idx="47">
                  <c:v>9.66553587856489</c:v>
                </c:pt>
                <c:pt idx="48">
                  <c:v>9.61545538178477</c:v>
                </c:pt>
                <c:pt idx="49">
                  <c:v>9.56537488500464</c:v>
                </c:pt>
                <c:pt idx="50">
                  <c:v>9.51529438822451</c:v>
                </c:pt>
                <c:pt idx="51">
                  <c:v>9.46521389144438</c:v>
                </c:pt>
                <c:pt idx="52">
                  <c:v>9.41513339466429</c:v>
                </c:pt>
                <c:pt idx="53">
                  <c:v>9.36505289788416</c:v>
                </c:pt>
                <c:pt idx="54">
                  <c:v>9.31497240110403</c:v>
                </c:pt>
                <c:pt idx="55">
                  <c:v>9.2648919043239</c:v>
                </c:pt>
                <c:pt idx="56">
                  <c:v>9.21481140754378</c:v>
                </c:pt>
                <c:pt idx="57">
                  <c:v>9.16473091076365</c:v>
                </c:pt>
                <c:pt idx="58">
                  <c:v>9.11465041398352</c:v>
                </c:pt>
                <c:pt idx="59">
                  <c:v>9.06456991720339</c:v>
                </c:pt>
                <c:pt idx="60">
                  <c:v>9.01448942042326</c:v>
                </c:pt>
                <c:pt idx="61">
                  <c:v>8.96440892364313</c:v>
                </c:pt>
                <c:pt idx="62">
                  <c:v>8.914328426863</c:v>
                </c:pt>
                <c:pt idx="63">
                  <c:v>8.86424793008287</c:v>
                </c:pt>
                <c:pt idx="64">
                  <c:v>8.81416743330274</c:v>
                </c:pt>
                <c:pt idx="65">
                  <c:v>8.76408693652262</c:v>
                </c:pt>
                <c:pt idx="66">
                  <c:v>8.71400643974249</c:v>
                </c:pt>
                <c:pt idx="67">
                  <c:v>8.66392594296236</c:v>
                </c:pt>
                <c:pt idx="68">
                  <c:v>8.61384544618223</c:v>
                </c:pt>
                <c:pt idx="69">
                  <c:v>8.5637649494021</c:v>
                </c:pt>
                <c:pt idx="70">
                  <c:v>8.51368445262197</c:v>
                </c:pt>
                <c:pt idx="71">
                  <c:v>8.46360395584184</c:v>
                </c:pt>
                <c:pt idx="72">
                  <c:v>8.41352345906172</c:v>
                </c:pt>
                <c:pt idx="73">
                  <c:v>8.36344296228159</c:v>
                </c:pt>
                <c:pt idx="74">
                  <c:v>8.31336246550146</c:v>
                </c:pt>
                <c:pt idx="75">
                  <c:v>8.26328196872133</c:v>
                </c:pt>
                <c:pt idx="76">
                  <c:v>8.2132014719412</c:v>
                </c:pt>
                <c:pt idx="77">
                  <c:v>8.16312097516107</c:v>
                </c:pt>
                <c:pt idx="78">
                  <c:v>8.11304047838094</c:v>
                </c:pt>
                <c:pt idx="79">
                  <c:v>8.06295998160081</c:v>
                </c:pt>
                <c:pt idx="80">
                  <c:v>8.01287948482068</c:v>
                </c:pt>
                <c:pt idx="81">
                  <c:v>7.96279898804056</c:v>
                </c:pt>
                <c:pt idx="82">
                  <c:v>7.91271849126043</c:v>
                </c:pt>
                <c:pt idx="83">
                  <c:v>7.8626379944803</c:v>
                </c:pt>
                <c:pt idx="84">
                  <c:v>7.81255749770017</c:v>
                </c:pt>
                <c:pt idx="85">
                  <c:v>7.76247700092004</c:v>
                </c:pt>
                <c:pt idx="86">
                  <c:v>7.71239650413991</c:v>
                </c:pt>
                <c:pt idx="87">
                  <c:v>7.66231600735978</c:v>
                </c:pt>
                <c:pt idx="88">
                  <c:v>7.61223551057965</c:v>
                </c:pt>
                <c:pt idx="89">
                  <c:v>7.56215501379953</c:v>
                </c:pt>
                <c:pt idx="90">
                  <c:v>7.51207451701943</c:v>
                </c:pt>
                <c:pt idx="91">
                  <c:v>7.46199402023931</c:v>
                </c:pt>
                <c:pt idx="92">
                  <c:v>7.41191352345918</c:v>
                </c:pt>
                <c:pt idx="93">
                  <c:v>7.36183302667905</c:v>
                </c:pt>
                <c:pt idx="94">
                  <c:v>7.31175252989892</c:v>
                </c:pt>
                <c:pt idx="95">
                  <c:v>7.26167203311879</c:v>
                </c:pt>
                <c:pt idx="96">
                  <c:v>7.21159153633866</c:v>
                </c:pt>
                <c:pt idx="97">
                  <c:v>7.16151103955853</c:v>
                </c:pt>
                <c:pt idx="98">
                  <c:v>7.1114305427784</c:v>
                </c:pt>
                <c:pt idx="99">
                  <c:v>7.06135004599828</c:v>
                </c:pt>
                <c:pt idx="100">
                  <c:v>7.01126954921815</c:v>
                </c:pt>
                <c:pt idx="101">
                  <c:v>6.96118905243802</c:v>
                </c:pt>
                <c:pt idx="102">
                  <c:v>6.91110855565789</c:v>
                </c:pt>
                <c:pt idx="103">
                  <c:v>6.86102805887776</c:v>
                </c:pt>
                <c:pt idx="104">
                  <c:v>6.81094756209763</c:v>
                </c:pt>
                <c:pt idx="105">
                  <c:v>6.7608670653175</c:v>
                </c:pt>
                <c:pt idx="106">
                  <c:v>6.71078656853737</c:v>
                </c:pt>
                <c:pt idx="107">
                  <c:v>6.66070607175725</c:v>
                </c:pt>
                <c:pt idx="108">
                  <c:v>6.61062557497712</c:v>
                </c:pt>
                <c:pt idx="109">
                  <c:v>6.56054507819699</c:v>
                </c:pt>
                <c:pt idx="110">
                  <c:v>6.51046458141686</c:v>
                </c:pt>
                <c:pt idx="111">
                  <c:v>6.46038408463673</c:v>
                </c:pt>
                <c:pt idx="112">
                  <c:v>6.4103035878566</c:v>
                </c:pt>
                <c:pt idx="113">
                  <c:v>6.36022309107647</c:v>
                </c:pt>
                <c:pt idx="114">
                  <c:v>6.31014259429634</c:v>
                </c:pt>
                <c:pt idx="115">
                  <c:v>6.26006209751621</c:v>
                </c:pt>
                <c:pt idx="116">
                  <c:v>6.20998160073609</c:v>
                </c:pt>
                <c:pt idx="117">
                  <c:v>6.15990110395596</c:v>
                </c:pt>
                <c:pt idx="118">
                  <c:v>6.10982060717583</c:v>
                </c:pt>
                <c:pt idx="119">
                  <c:v>6.0597401103957</c:v>
                </c:pt>
                <c:pt idx="120">
                  <c:v>6.00965961361557</c:v>
                </c:pt>
                <c:pt idx="121">
                  <c:v>5.95957911683544</c:v>
                </c:pt>
                <c:pt idx="122">
                  <c:v>5.90949862005531</c:v>
                </c:pt>
                <c:pt idx="123">
                  <c:v>5.85941812327518</c:v>
                </c:pt>
                <c:pt idx="124">
                  <c:v>5.80933762649506</c:v>
                </c:pt>
                <c:pt idx="125">
                  <c:v>5.75925712971493</c:v>
                </c:pt>
                <c:pt idx="126">
                  <c:v>5.7091766329348</c:v>
                </c:pt>
                <c:pt idx="127">
                  <c:v>5.65909613615471</c:v>
                </c:pt>
                <c:pt idx="128">
                  <c:v>5.60901563937458</c:v>
                </c:pt>
                <c:pt idx="129">
                  <c:v>5.55893514259445</c:v>
                </c:pt>
                <c:pt idx="130">
                  <c:v>5.50885464581432</c:v>
                </c:pt>
                <c:pt idx="131">
                  <c:v>5.45877414903419</c:v>
                </c:pt>
                <c:pt idx="132">
                  <c:v>5.40869365225406</c:v>
                </c:pt>
                <c:pt idx="133">
                  <c:v>5.35861315547393</c:v>
                </c:pt>
                <c:pt idx="134">
                  <c:v>5.30853265869381</c:v>
                </c:pt>
                <c:pt idx="135">
                  <c:v>5.25845216191368</c:v>
                </c:pt>
                <c:pt idx="136">
                  <c:v>5.20837166513355</c:v>
                </c:pt>
                <c:pt idx="137">
                  <c:v>5.15829116835342</c:v>
                </c:pt>
                <c:pt idx="138">
                  <c:v>5.10821067157329</c:v>
                </c:pt>
                <c:pt idx="139">
                  <c:v>5.05813017479316</c:v>
                </c:pt>
                <c:pt idx="140">
                  <c:v>5.00804967801303</c:v>
                </c:pt>
                <c:pt idx="141">
                  <c:v>4.9579691812329</c:v>
                </c:pt>
                <c:pt idx="142">
                  <c:v>4.90788868445278</c:v>
                </c:pt>
                <c:pt idx="143">
                  <c:v>4.85780818767265</c:v>
                </c:pt>
                <c:pt idx="144">
                  <c:v>4.80772769089252</c:v>
                </c:pt>
                <c:pt idx="145">
                  <c:v>4.75764719411239</c:v>
                </c:pt>
                <c:pt idx="146">
                  <c:v>4.70756669733226</c:v>
                </c:pt>
                <c:pt idx="147">
                  <c:v>4.65748620055213</c:v>
                </c:pt>
                <c:pt idx="148">
                  <c:v>4.607405703772</c:v>
                </c:pt>
                <c:pt idx="149">
                  <c:v>4.55732520699187</c:v>
                </c:pt>
                <c:pt idx="150">
                  <c:v>4.50724471021175</c:v>
                </c:pt>
                <c:pt idx="151">
                  <c:v>4.45716421343162</c:v>
                </c:pt>
                <c:pt idx="152">
                  <c:v>4.40708371665149</c:v>
                </c:pt>
                <c:pt idx="153">
                  <c:v>4.35700321987136</c:v>
                </c:pt>
                <c:pt idx="154">
                  <c:v>4.30692272309123</c:v>
                </c:pt>
                <c:pt idx="155">
                  <c:v>4.2568422263111</c:v>
                </c:pt>
                <c:pt idx="156">
                  <c:v>4.20676172953097</c:v>
                </c:pt>
                <c:pt idx="157">
                  <c:v>4.15668123275084</c:v>
                </c:pt>
                <c:pt idx="158">
                  <c:v>4.10660073597072</c:v>
                </c:pt>
                <c:pt idx="159">
                  <c:v>4.05652023919059</c:v>
                </c:pt>
                <c:pt idx="160">
                  <c:v>4.00643974241046</c:v>
                </c:pt>
                <c:pt idx="161">
                  <c:v>3.95635924563033</c:v>
                </c:pt>
                <c:pt idx="162">
                  <c:v>3.9062787488502</c:v>
                </c:pt>
                <c:pt idx="163">
                  <c:v>3.85619825207007</c:v>
                </c:pt>
                <c:pt idx="164">
                  <c:v>3.80611775528996</c:v>
                </c:pt>
                <c:pt idx="165">
                  <c:v>3.75603725850984</c:v>
                </c:pt>
                <c:pt idx="166">
                  <c:v>3.70595676172971</c:v>
                </c:pt>
                <c:pt idx="167">
                  <c:v>3.65587626494958</c:v>
                </c:pt>
                <c:pt idx="168">
                  <c:v>3.60579576816945</c:v>
                </c:pt>
                <c:pt idx="169">
                  <c:v>3.55571527138933</c:v>
                </c:pt>
                <c:pt idx="170">
                  <c:v>3.5056347746092</c:v>
                </c:pt>
                <c:pt idx="171">
                  <c:v>3.45555427782907</c:v>
                </c:pt>
                <c:pt idx="172">
                  <c:v>3.40547378104894</c:v>
                </c:pt>
                <c:pt idx="173">
                  <c:v>3.35539328426881</c:v>
                </c:pt>
                <c:pt idx="174">
                  <c:v>3.30531278748869</c:v>
                </c:pt>
                <c:pt idx="175">
                  <c:v>3.25523229070856</c:v>
                </c:pt>
                <c:pt idx="176">
                  <c:v>3.20515179392843</c:v>
                </c:pt>
                <c:pt idx="177">
                  <c:v>3.1550712971483</c:v>
                </c:pt>
                <c:pt idx="178">
                  <c:v>3.10499080036817</c:v>
                </c:pt>
                <c:pt idx="179">
                  <c:v>3.05491030358805</c:v>
                </c:pt>
                <c:pt idx="180">
                  <c:v>3.00482980680792</c:v>
                </c:pt>
                <c:pt idx="181">
                  <c:v>2.95474931002779</c:v>
                </c:pt>
                <c:pt idx="182">
                  <c:v>2.90466881324766</c:v>
                </c:pt>
                <c:pt idx="183">
                  <c:v>2.85458831646754</c:v>
                </c:pt>
                <c:pt idx="184">
                  <c:v>2.80450781968741</c:v>
                </c:pt>
                <c:pt idx="185">
                  <c:v>2.75442732290728</c:v>
                </c:pt>
                <c:pt idx="186">
                  <c:v>2.70434682612716</c:v>
                </c:pt>
                <c:pt idx="187">
                  <c:v>2.65426632934703</c:v>
                </c:pt>
                <c:pt idx="188">
                  <c:v>2.6041858325669</c:v>
                </c:pt>
                <c:pt idx="189">
                  <c:v>2.55410533578677</c:v>
                </c:pt>
                <c:pt idx="190">
                  <c:v>2.50402483900664</c:v>
                </c:pt>
                <c:pt idx="191">
                  <c:v>2.45394434222651</c:v>
                </c:pt>
                <c:pt idx="192">
                  <c:v>2.40386384544638</c:v>
                </c:pt>
                <c:pt idx="193">
                  <c:v>2.35378334866627</c:v>
                </c:pt>
                <c:pt idx="194">
                  <c:v>2.30370285188614</c:v>
                </c:pt>
                <c:pt idx="195">
                  <c:v>2.25362235510601</c:v>
                </c:pt>
                <c:pt idx="196">
                  <c:v>2.20354185832588</c:v>
                </c:pt>
                <c:pt idx="197">
                  <c:v>2.15346136154575</c:v>
                </c:pt>
                <c:pt idx="198">
                  <c:v>2.10338086476562</c:v>
                </c:pt>
                <c:pt idx="199">
                  <c:v>2.05330036798549</c:v>
                </c:pt>
                <c:pt idx="200">
                  <c:v>2.00321987120536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</c:numCache>
            </c:numRef>
          </c:yVal>
          <c:smooth val="1"/>
        </c:ser>
        <c:axId val="74333700"/>
        <c:axId val="38501440"/>
      </c:scatterChart>
      <c:valAx>
        <c:axId val="74333700"/>
        <c:scaling>
          <c:orientation val="minMax"/>
          <c:min val="0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Foldback Voltage</a:t>
                </a:r>
              </a:p>
            </c:rich>
          </c:tx>
          <c:layout>
            <c:manualLayout>
              <c:xMode val="edge"/>
              <c:yMode val="edge"/>
              <c:x val="0.37208058477447"/>
              <c:y val="0.9350616449924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38501440"/>
        <c:crosses val="autoZero"/>
        <c:crossBetween val="midCat"/>
      </c:valAx>
      <c:valAx>
        <c:axId val="38501440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1" lang="en-US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rPr>
                  <a:t>Foldback Current</a:t>
                </a:r>
              </a:p>
            </c:rich>
          </c:tx>
          <c:layout>
            <c:manualLayout>
              <c:xMode val="edge"/>
              <c:yMode val="edge"/>
              <c:x val="0.0116479467522434"/>
              <c:y val="0.382621178854923"/>
            </c:manualLayout>
          </c:layout>
          <c:overlay val="0"/>
          <c:spPr>
            <a:noFill/>
            <a:ln w="2556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74333700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56158279365457"/>
          <c:y val="0.479789848317939"/>
          <c:w val="0.137195484254308"/>
          <c:h val="0.0986440677966102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1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Chart Title</a:t>
            </a:r>
          </a:p>
        </c:rich>
      </c:tx>
      <c:layout>
        <c:manualLayout>
          <c:xMode val="edge"/>
          <c:yMode val="edge"/>
          <c:x val="0.442829169880733"/>
          <c:y val="0.0326902013649002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676437429537768"/>
          <c:y val="0.154351672423962"/>
          <c:w val="0.755414466267134"/>
          <c:h val="0.744797371303395"/>
        </c:manualLayout>
      </c:layout>
      <c:scatterChart>
        <c:scatterStyle val="line"/>
        <c:varyColors val="0"/>
        <c:ser>
          <c:idx val="0"/>
          <c:order val="0"/>
          <c:tx>
            <c:strRef>
              <c:f>'Design Calculations'!$G$59</c:f>
              <c:strCache>
                <c:ptCount val="1"/>
                <c:pt idx="0">
                  <c:v>Power</c:v>
                </c:pt>
              </c:strCache>
            </c:strRef>
          </c:tx>
          <c:spPr>
            <a:solidFill>
              <a:srgbClr val="0000ff"/>
            </a:solidFill>
            <a:ln w="25560">
              <a:solidFill>
                <a:srgbClr val="0000ff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Calculations'!$C$60:$C$279</c:f>
              <c:numCache>
                <c:formatCode>General</c:formatCode>
                <c:ptCount val="220"/>
                <c:pt idx="0">
                  <c:v>28.6</c:v>
                </c:pt>
                <c:pt idx="1">
                  <c:v>28.47</c:v>
                </c:pt>
                <c:pt idx="2">
                  <c:v>28.34</c:v>
                </c:pt>
                <c:pt idx="3">
                  <c:v>28.21</c:v>
                </c:pt>
                <c:pt idx="4">
                  <c:v>28.08</c:v>
                </c:pt>
                <c:pt idx="5">
                  <c:v>27.95</c:v>
                </c:pt>
                <c:pt idx="6">
                  <c:v>27.82</c:v>
                </c:pt>
                <c:pt idx="7">
                  <c:v>27.69</c:v>
                </c:pt>
                <c:pt idx="8">
                  <c:v>27.56</c:v>
                </c:pt>
                <c:pt idx="9">
                  <c:v>27.43</c:v>
                </c:pt>
                <c:pt idx="10">
                  <c:v>27.3</c:v>
                </c:pt>
                <c:pt idx="11">
                  <c:v>27.17</c:v>
                </c:pt>
                <c:pt idx="12">
                  <c:v>27.04</c:v>
                </c:pt>
                <c:pt idx="13">
                  <c:v>26.91</c:v>
                </c:pt>
                <c:pt idx="14">
                  <c:v>26.78</c:v>
                </c:pt>
                <c:pt idx="15">
                  <c:v>26.65</c:v>
                </c:pt>
                <c:pt idx="16">
                  <c:v>26.52</c:v>
                </c:pt>
                <c:pt idx="17">
                  <c:v>26.39</c:v>
                </c:pt>
                <c:pt idx="18">
                  <c:v>26.26</c:v>
                </c:pt>
                <c:pt idx="19">
                  <c:v>26.13</c:v>
                </c:pt>
                <c:pt idx="20">
                  <c:v>26</c:v>
                </c:pt>
                <c:pt idx="21">
                  <c:v>25.87</c:v>
                </c:pt>
                <c:pt idx="22">
                  <c:v>25.74</c:v>
                </c:pt>
                <c:pt idx="23">
                  <c:v>25.61</c:v>
                </c:pt>
                <c:pt idx="24">
                  <c:v>25.48</c:v>
                </c:pt>
                <c:pt idx="25">
                  <c:v>25.35</c:v>
                </c:pt>
                <c:pt idx="26">
                  <c:v>25.22</c:v>
                </c:pt>
                <c:pt idx="27">
                  <c:v>25.09</c:v>
                </c:pt>
                <c:pt idx="28">
                  <c:v>24.96</c:v>
                </c:pt>
                <c:pt idx="29">
                  <c:v>24.83</c:v>
                </c:pt>
                <c:pt idx="30">
                  <c:v>24.7</c:v>
                </c:pt>
                <c:pt idx="31">
                  <c:v>24.57</c:v>
                </c:pt>
                <c:pt idx="32">
                  <c:v>24.44</c:v>
                </c:pt>
                <c:pt idx="33">
                  <c:v>24.31</c:v>
                </c:pt>
                <c:pt idx="34">
                  <c:v>24.18</c:v>
                </c:pt>
                <c:pt idx="35">
                  <c:v>24.05</c:v>
                </c:pt>
                <c:pt idx="36">
                  <c:v>23.92</c:v>
                </c:pt>
                <c:pt idx="37">
                  <c:v>23.79</c:v>
                </c:pt>
                <c:pt idx="38">
                  <c:v>23.66</c:v>
                </c:pt>
                <c:pt idx="39">
                  <c:v>23.53</c:v>
                </c:pt>
                <c:pt idx="40">
                  <c:v>23.4</c:v>
                </c:pt>
                <c:pt idx="41">
                  <c:v>23.27</c:v>
                </c:pt>
                <c:pt idx="42">
                  <c:v>23.14</c:v>
                </c:pt>
                <c:pt idx="43">
                  <c:v>23.01</c:v>
                </c:pt>
                <c:pt idx="44">
                  <c:v>22.88</c:v>
                </c:pt>
                <c:pt idx="45">
                  <c:v>22.75</c:v>
                </c:pt>
                <c:pt idx="46">
                  <c:v>22.62</c:v>
                </c:pt>
                <c:pt idx="47">
                  <c:v>22.49</c:v>
                </c:pt>
                <c:pt idx="48">
                  <c:v>22.36</c:v>
                </c:pt>
                <c:pt idx="49">
                  <c:v>22.23</c:v>
                </c:pt>
                <c:pt idx="50">
                  <c:v>22.1</c:v>
                </c:pt>
                <c:pt idx="51">
                  <c:v>21.97</c:v>
                </c:pt>
                <c:pt idx="52">
                  <c:v>21.84</c:v>
                </c:pt>
                <c:pt idx="53">
                  <c:v>21.71</c:v>
                </c:pt>
                <c:pt idx="54">
                  <c:v>21.58</c:v>
                </c:pt>
                <c:pt idx="55">
                  <c:v>21.45</c:v>
                </c:pt>
                <c:pt idx="56">
                  <c:v>21.32</c:v>
                </c:pt>
                <c:pt idx="57">
                  <c:v>21.19</c:v>
                </c:pt>
                <c:pt idx="58">
                  <c:v>21.06</c:v>
                </c:pt>
                <c:pt idx="59">
                  <c:v>20.93</c:v>
                </c:pt>
                <c:pt idx="60">
                  <c:v>20.8</c:v>
                </c:pt>
                <c:pt idx="61">
                  <c:v>20.67</c:v>
                </c:pt>
                <c:pt idx="62">
                  <c:v>20.54</c:v>
                </c:pt>
                <c:pt idx="63">
                  <c:v>20.41</c:v>
                </c:pt>
                <c:pt idx="64">
                  <c:v>20.28</c:v>
                </c:pt>
                <c:pt idx="65">
                  <c:v>20.15</c:v>
                </c:pt>
                <c:pt idx="66">
                  <c:v>20.02</c:v>
                </c:pt>
                <c:pt idx="67">
                  <c:v>19.89</c:v>
                </c:pt>
                <c:pt idx="68">
                  <c:v>19.76</c:v>
                </c:pt>
                <c:pt idx="69">
                  <c:v>19.63</c:v>
                </c:pt>
                <c:pt idx="70">
                  <c:v>19.5</c:v>
                </c:pt>
                <c:pt idx="71">
                  <c:v>19.37</c:v>
                </c:pt>
                <c:pt idx="72">
                  <c:v>19.24</c:v>
                </c:pt>
                <c:pt idx="73">
                  <c:v>19.11</c:v>
                </c:pt>
                <c:pt idx="74">
                  <c:v>18.98</c:v>
                </c:pt>
                <c:pt idx="75">
                  <c:v>18.85</c:v>
                </c:pt>
                <c:pt idx="76">
                  <c:v>18.72</c:v>
                </c:pt>
                <c:pt idx="77">
                  <c:v>18.59</c:v>
                </c:pt>
                <c:pt idx="78">
                  <c:v>18.46</c:v>
                </c:pt>
                <c:pt idx="79">
                  <c:v>18.33</c:v>
                </c:pt>
                <c:pt idx="80">
                  <c:v>18.2</c:v>
                </c:pt>
                <c:pt idx="81">
                  <c:v>18.07</c:v>
                </c:pt>
                <c:pt idx="82">
                  <c:v>17.94</c:v>
                </c:pt>
                <c:pt idx="83">
                  <c:v>17.81</c:v>
                </c:pt>
                <c:pt idx="84">
                  <c:v>17.68</c:v>
                </c:pt>
                <c:pt idx="85">
                  <c:v>17.55</c:v>
                </c:pt>
                <c:pt idx="86">
                  <c:v>17.42</c:v>
                </c:pt>
                <c:pt idx="87">
                  <c:v>17.29</c:v>
                </c:pt>
                <c:pt idx="88">
                  <c:v>17.16</c:v>
                </c:pt>
                <c:pt idx="89">
                  <c:v>17.03</c:v>
                </c:pt>
                <c:pt idx="90">
                  <c:v>16.9</c:v>
                </c:pt>
                <c:pt idx="91">
                  <c:v>16.77</c:v>
                </c:pt>
                <c:pt idx="92">
                  <c:v>16.64</c:v>
                </c:pt>
                <c:pt idx="93">
                  <c:v>16.51</c:v>
                </c:pt>
                <c:pt idx="94">
                  <c:v>16.38</c:v>
                </c:pt>
                <c:pt idx="95">
                  <c:v>16.25</c:v>
                </c:pt>
                <c:pt idx="96">
                  <c:v>16.12</c:v>
                </c:pt>
                <c:pt idx="97">
                  <c:v>15.99</c:v>
                </c:pt>
                <c:pt idx="98">
                  <c:v>15.86</c:v>
                </c:pt>
                <c:pt idx="99">
                  <c:v>15.73</c:v>
                </c:pt>
                <c:pt idx="100">
                  <c:v>15.6</c:v>
                </c:pt>
                <c:pt idx="101">
                  <c:v>15.47</c:v>
                </c:pt>
                <c:pt idx="102">
                  <c:v>15.34</c:v>
                </c:pt>
                <c:pt idx="103">
                  <c:v>15.21</c:v>
                </c:pt>
                <c:pt idx="104">
                  <c:v>15.08</c:v>
                </c:pt>
                <c:pt idx="105">
                  <c:v>14.95</c:v>
                </c:pt>
                <c:pt idx="106">
                  <c:v>14.82</c:v>
                </c:pt>
                <c:pt idx="107">
                  <c:v>14.69</c:v>
                </c:pt>
                <c:pt idx="108">
                  <c:v>14.56</c:v>
                </c:pt>
                <c:pt idx="109">
                  <c:v>14.43</c:v>
                </c:pt>
                <c:pt idx="110">
                  <c:v>14.3</c:v>
                </c:pt>
                <c:pt idx="111">
                  <c:v>14.17</c:v>
                </c:pt>
                <c:pt idx="112">
                  <c:v>14.04</c:v>
                </c:pt>
                <c:pt idx="113">
                  <c:v>13.91</c:v>
                </c:pt>
                <c:pt idx="114">
                  <c:v>13.78</c:v>
                </c:pt>
                <c:pt idx="115">
                  <c:v>13.65</c:v>
                </c:pt>
                <c:pt idx="116">
                  <c:v>13.52</c:v>
                </c:pt>
                <c:pt idx="117">
                  <c:v>13.39</c:v>
                </c:pt>
                <c:pt idx="118">
                  <c:v>13.26</c:v>
                </c:pt>
                <c:pt idx="119">
                  <c:v>13.13</c:v>
                </c:pt>
                <c:pt idx="120">
                  <c:v>13</c:v>
                </c:pt>
                <c:pt idx="121">
                  <c:v>12.87</c:v>
                </c:pt>
                <c:pt idx="122">
                  <c:v>12.74</c:v>
                </c:pt>
                <c:pt idx="123">
                  <c:v>12.61</c:v>
                </c:pt>
                <c:pt idx="124">
                  <c:v>12.48</c:v>
                </c:pt>
                <c:pt idx="125">
                  <c:v>12.35</c:v>
                </c:pt>
                <c:pt idx="126">
                  <c:v>12.22</c:v>
                </c:pt>
                <c:pt idx="127">
                  <c:v>12.09</c:v>
                </c:pt>
                <c:pt idx="128">
                  <c:v>11.96</c:v>
                </c:pt>
                <c:pt idx="129">
                  <c:v>11.83</c:v>
                </c:pt>
                <c:pt idx="130">
                  <c:v>11.7</c:v>
                </c:pt>
                <c:pt idx="131">
                  <c:v>11.57</c:v>
                </c:pt>
                <c:pt idx="132">
                  <c:v>11.44</c:v>
                </c:pt>
                <c:pt idx="133">
                  <c:v>11.31</c:v>
                </c:pt>
                <c:pt idx="134">
                  <c:v>11.18</c:v>
                </c:pt>
                <c:pt idx="135">
                  <c:v>11.05</c:v>
                </c:pt>
                <c:pt idx="136">
                  <c:v>10.92</c:v>
                </c:pt>
                <c:pt idx="137">
                  <c:v>10.79</c:v>
                </c:pt>
                <c:pt idx="138">
                  <c:v>10.66</c:v>
                </c:pt>
                <c:pt idx="139">
                  <c:v>10.53</c:v>
                </c:pt>
                <c:pt idx="140">
                  <c:v>10.4</c:v>
                </c:pt>
                <c:pt idx="141">
                  <c:v>10.27</c:v>
                </c:pt>
                <c:pt idx="142">
                  <c:v>10.14</c:v>
                </c:pt>
                <c:pt idx="143">
                  <c:v>10.01</c:v>
                </c:pt>
                <c:pt idx="144">
                  <c:v>9.87999999999997</c:v>
                </c:pt>
                <c:pt idx="145">
                  <c:v>9.74999999999997</c:v>
                </c:pt>
                <c:pt idx="146">
                  <c:v>9.61999999999997</c:v>
                </c:pt>
                <c:pt idx="147">
                  <c:v>9.48999999999997</c:v>
                </c:pt>
                <c:pt idx="148">
                  <c:v>9.35999999999998</c:v>
                </c:pt>
                <c:pt idx="149">
                  <c:v>9.22999999999997</c:v>
                </c:pt>
                <c:pt idx="150">
                  <c:v>9.09999999999997</c:v>
                </c:pt>
                <c:pt idx="151">
                  <c:v>8.96999999999997</c:v>
                </c:pt>
                <c:pt idx="152">
                  <c:v>8.83999999999998</c:v>
                </c:pt>
                <c:pt idx="153">
                  <c:v>8.70999999999997</c:v>
                </c:pt>
                <c:pt idx="154">
                  <c:v>8.57999999999998</c:v>
                </c:pt>
                <c:pt idx="155">
                  <c:v>8.44999999999997</c:v>
                </c:pt>
                <c:pt idx="156">
                  <c:v>8.31999999999997</c:v>
                </c:pt>
                <c:pt idx="157">
                  <c:v>8.18999999999998</c:v>
                </c:pt>
                <c:pt idx="158">
                  <c:v>8.05999999999997</c:v>
                </c:pt>
                <c:pt idx="159">
                  <c:v>7.92999999999997</c:v>
                </c:pt>
                <c:pt idx="160">
                  <c:v>7.79999999999997</c:v>
                </c:pt>
                <c:pt idx="161">
                  <c:v>7.66999999999997</c:v>
                </c:pt>
                <c:pt idx="162">
                  <c:v>7.53999999999997</c:v>
                </c:pt>
                <c:pt idx="163">
                  <c:v>7.40999999999997</c:v>
                </c:pt>
                <c:pt idx="164">
                  <c:v>7.27999999999997</c:v>
                </c:pt>
                <c:pt idx="165">
                  <c:v>7.14999999999998</c:v>
                </c:pt>
                <c:pt idx="166">
                  <c:v>7.01999999999998</c:v>
                </c:pt>
                <c:pt idx="167">
                  <c:v>6.88999999999997</c:v>
                </c:pt>
                <c:pt idx="168">
                  <c:v>6.75999999999997</c:v>
                </c:pt>
                <c:pt idx="169">
                  <c:v>6.62999999999997</c:v>
                </c:pt>
                <c:pt idx="170">
                  <c:v>6.49999999999997</c:v>
                </c:pt>
                <c:pt idx="171">
                  <c:v>6.36999999999997</c:v>
                </c:pt>
                <c:pt idx="172">
                  <c:v>6.23999999999997</c:v>
                </c:pt>
                <c:pt idx="173">
                  <c:v>6.10999999999997</c:v>
                </c:pt>
                <c:pt idx="174">
                  <c:v>5.97999999999998</c:v>
                </c:pt>
                <c:pt idx="175">
                  <c:v>5.84999999999997</c:v>
                </c:pt>
                <c:pt idx="176">
                  <c:v>5.71999999999997</c:v>
                </c:pt>
                <c:pt idx="177">
                  <c:v>5.58999999999997</c:v>
                </c:pt>
                <c:pt idx="178">
                  <c:v>5.45999999999997</c:v>
                </c:pt>
                <c:pt idx="179">
                  <c:v>5.32999999999997</c:v>
                </c:pt>
                <c:pt idx="180">
                  <c:v>5.19999999999997</c:v>
                </c:pt>
                <c:pt idx="181">
                  <c:v>5.06999999999997</c:v>
                </c:pt>
                <c:pt idx="182">
                  <c:v>4.93999999999997</c:v>
                </c:pt>
                <c:pt idx="183">
                  <c:v>4.80999999999997</c:v>
                </c:pt>
                <c:pt idx="184">
                  <c:v>4.67999999999997</c:v>
                </c:pt>
                <c:pt idx="185">
                  <c:v>4.54999999999997</c:v>
                </c:pt>
                <c:pt idx="186">
                  <c:v>4.41999999999997</c:v>
                </c:pt>
                <c:pt idx="187">
                  <c:v>4.28999999999997</c:v>
                </c:pt>
                <c:pt idx="188">
                  <c:v>4.15999999999997</c:v>
                </c:pt>
                <c:pt idx="189">
                  <c:v>4.02999999999997</c:v>
                </c:pt>
                <c:pt idx="190">
                  <c:v>3.89999999999997</c:v>
                </c:pt>
                <c:pt idx="191">
                  <c:v>3.76999999999997</c:v>
                </c:pt>
                <c:pt idx="192">
                  <c:v>3.63999999999997</c:v>
                </c:pt>
                <c:pt idx="193">
                  <c:v>3.50999999999997</c:v>
                </c:pt>
                <c:pt idx="194">
                  <c:v>3.37999999999997</c:v>
                </c:pt>
                <c:pt idx="195">
                  <c:v>3.24999999999997</c:v>
                </c:pt>
                <c:pt idx="196">
                  <c:v>3.11999999999997</c:v>
                </c:pt>
                <c:pt idx="197">
                  <c:v>2.98999999999997</c:v>
                </c:pt>
                <c:pt idx="198">
                  <c:v>2.85999999999997</c:v>
                </c:pt>
                <c:pt idx="199">
                  <c:v>2.72999999999997</c:v>
                </c:pt>
                <c:pt idx="200">
                  <c:v>2.59999999999997</c:v>
                </c:pt>
                <c:pt idx="201">
                  <c:v>2.46999999999997</c:v>
                </c:pt>
                <c:pt idx="202">
                  <c:v>2.33999999999997</c:v>
                </c:pt>
                <c:pt idx="203">
                  <c:v>2.20999999999997</c:v>
                </c:pt>
                <c:pt idx="204">
                  <c:v>2.07999999999997</c:v>
                </c:pt>
                <c:pt idx="205">
                  <c:v>1.94999999999997</c:v>
                </c:pt>
                <c:pt idx="206">
                  <c:v>1.81999999999997</c:v>
                </c:pt>
                <c:pt idx="207">
                  <c:v>1.68999999999997</c:v>
                </c:pt>
                <c:pt idx="208">
                  <c:v>1.55999999999998</c:v>
                </c:pt>
                <c:pt idx="209">
                  <c:v>1.42999999999997</c:v>
                </c:pt>
                <c:pt idx="210">
                  <c:v>1.29999999999997</c:v>
                </c:pt>
                <c:pt idx="211">
                  <c:v>1.16999999999997</c:v>
                </c:pt>
                <c:pt idx="212">
                  <c:v>1.03999999999997</c:v>
                </c:pt>
                <c:pt idx="213">
                  <c:v>0.909999999999974</c:v>
                </c:pt>
                <c:pt idx="214">
                  <c:v>0.779999999999974</c:v>
                </c:pt>
                <c:pt idx="215">
                  <c:v>0.649999999999974</c:v>
                </c:pt>
                <c:pt idx="216">
                  <c:v>0.519999999999974</c:v>
                </c:pt>
                <c:pt idx="217">
                  <c:v>0.389999999999974</c:v>
                </c:pt>
                <c:pt idx="218">
                  <c:v>0.259999999999974</c:v>
                </c:pt>
                <c:pt idx="219">
                  <c:v>0.129999999999974</c:v>
                </c:pt>
              </c:numCache>
            </c:numRef>
          </c:xVal>
          <c:yVal>
            <c:numRef>
              <c:f>'Design Calculations'!$G$60:$G$279</c:f>
              <c:numCache>
                <c:formatCode>General</c:formatCode>
                <c:ptCount val="220"/>
              </c:numCache>
            </c:numRef>
          </c:yVal>
          <c:smooth val="1"/>
        </c:ser>
        <c:ser>
          <c:idx val="1"/>
          <c:order val="1"/>
          <c:tx>
            <c:strRef>
              <c:f>'Design Calculations'!$M$59</c:f>
              <c:strCache>
                <c:ptCount val="1"/>
                <c:pt idx="0">
                  <c:v>Power</c:v>
                </c:pt>
              </c:strCache>
            </c:strRef>
          </c:tx>
          <c:spPr>
            <a:solidFill>
              <a:srgbClr val="800080"/>
            </a:solidFill>
            <a:ln w="25560">
              <a:solidFill>
                <a:srgbClr val="8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55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2556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'Design Calculations'!$I$60:$I$290</c:f>
              <c:numCache>
                <c:formatCode>General</c:formatCode>
                <c:ptCount val="231"/>
                <c:pt idx="0">
                  <c:v>31.2</c:v>
                </c:pt>
                <c:pt idx="1">
                  <c:v>31.07</c:v>
                </c:pt>
                <c:pt idx="2">
                  <c:v>30.94</c:v>
                </c:pt>
                <c:pt idx="3">
                  <c:v>30.81</c:v>
                </c:pt>
                <c:pt idx="4">
                  <c:v>30.68</c:v>
                </c:pt>
                <c:pt idx="5">
                  <c:v>30.55</c:v>
                </c:pt>
                <c:pt idx="6">
                  <c:v>30.42</c:v>
                </c:pt>
                <c:pt idx="7">
                  <c:v>30.29</c:v>
                </c:pt>
                <c:pt idx="8">
                  <c:v>30.16</c:v>
                </c:pt>
                <c:pt idx="9">
                  <c:v>30.03</c:v>
                </c:pt>
                <c:pt idx="10">
                  <c:v>29.9</c:v>
                </c:pt>
                <c:pt idx="11">
                  <c:v>29.77</c:v>
                </c:pt>
                <c:pt idx="12">
                  <c:v>29.64</c:v>
                </c:pt>
                <c:pt idx="13">
                  <c:v>29.51</c:v>
                </c:pt>
                <c:pt idx="14">
                  <c:v>29.38</c:v>
                </c:pt>
                <c:pt idx="15">
                  <c:v>29.25</c:v>
                </c:pt>
                <c:pt idx="16">
                  <c:v>29.12</c:v>
                </c:pt>
                <c:pt idx="17">
                  <c:v>28.99</c:v>
                </c:pt>
                <c:pt idx="18">
                  <c:v>28.86</c:v>
                </c:pt>
                <c:pt idx="19">
                  <c:v>28.73</c:v>
                </c:pt>
                <c:pt idx="20">
                  <c:v>28.6</c:v>
                </c:pt>
                <c:pt idx="21">
                  <c:v>28.47</c:v>
                </c:pt>
                <c:pt idx="22">
                  <c:v>28.34</c:v>
                </c:pt>
                <c:pt idx="23">
                  <c:v>28.21</c:v>
                </c:pt>
                <c:pt idx="24">
                  <c:v>28.08</c:v>
                </c:pt>
                <c:pt idx="25">
                  <c:v>27.95</c:v>
                </c:pt>
                <c:pt idx="26">
                  <c:v>27.82</c:v>
                </c:pt>
                <c:pt idx="27">
                  <c:v>27.69</c:v>
                </c:pt>
                <c:pt idx="28">
                  <c:v>27.56</c:v>
                </c:pt>
                <c:pt idx="29">
                  <c:v>27.43</c:v>
                </c:pt>
                <c:pt idx="30">
                  <c:v>27.3</c:v>
                </c:pt>
                <c:pt idx="31">
                  <c:v>27.17</c:v>
                </c:pt>
                <c:pt idx="32">
                  <c:v>27.04</c:v>
                </c:pt>
                <c:pt idx="33">
                  <c:v>26.91</c:v>
                </c:pt>
                <c:pt idx="34">
                  <c:v>26.78</c:v>
                </c:pt>
                <c:pt idx="35">
                  <c:v>26.65</c:v>
                </c:pt>
                <c:pt idx="36">
                  <c:v>26.52</c:v>
                </c:pt>
                <c:pt idx="37">
                  <c:v>26.39</c:v>
                </c:pt>
                <c:pt idx="38">
                  <c:v>26.26</c:v>
                </c:pt>
                <c:pt idx="39">
                  <c:v>26.13</c:v>
                </c:pt>
                <c:pt idx="40">
                  <c:v>26</c:v>
                </c:pt>
                <c:pt idx="41">
                  <c:v>25.8700000000001</c:v>
                </c:pt>
                <c:pt idx="42">
                  <c:v>25.7400000000001</c:v>
                </c:pt>
                <c:pt idx="43">
                  <c:v>25.6100000000001</c:v>
                </c:pt>
                <c:pt idx="44">
                  <c:v>25.4800000000001</c:v>
                </c:pt>
                <c:pt idx="45">
                  <c:v>25.3500000000001</c:v>
                </c:pt>
                <c:pt idx="46">
                  <c:v>25.2200000000001</c:v>
                </c:pt>
                <c:pt idx="47">
                  <c:v>25.0900000000001</c:v>
                </c:pt>
                <c:pt idx="48">
                  <c:v>24.9600000000001</c:v>
                </c:pt>
                <c:pt idx="49">
                  <c:v>24.8300000000001</c:v>
                </c:pt>
                <c:pt idx="50">
                  <c:v>24.7000000000001</c:v>
                </c:pt>
                <c:pt idx="51">
                  <c:v>24.5700000000001</c:v>
                </c:pt>
                <c:pt idx="52">
                  <c:v>24.4400000000002</c:v>
                </c:pt>
                <c:pt idx="53">
                  <c:v>24.3100000000002</c:v>
                </c:pt>
                <c:pt idx="54">
                  <c:v>24.1800000000002</c:v>
                </c:pt>
                <c:pt idx="55">
                  <c:v>24.0500000000002</c:v>
                </c:pt>
                <c:pt idx="56">
                  <c:v>23.9200000000002</c:v>
                </c:pt>
                <c:pt idx="57">
                  <c:v>23.7900000000002</c:v>
                </c:pt>
                <c:pt idx="58">
                  <c:v>23.6600000000002</c:v>
                </c:pt>
                <c:pt idx="59">
                  <c:v>23.5300000000002</c:v>
                </c:pt>
                <c:pt idx="60">
                  <c:v>23.4000000000002</c:v>
                </c:pt>
                <c:pt idx="61">
                  <c:v>23.2700000000002</c:v>
                </c:pt>
                <c:pt idx="62">
                  <c:v>23.1400000000002</c:v>
                </c:pt>
                <c:pt idx="63">
                  <c:v>23.0100000000002</c:v>
                </c:pt>
                <c:pt idx="64">
                  <c:v>22.8800000000002</c:v>
                </c:pt>
                <c:pt idx="65">
                  <c:v>22.7500000000002</c:v>
                </c:pt>
                <c:pt idx="66">
                  <c:v>22.6200000000002</c:v>
                </c:pt>
                <c:pt idx="67">
                  <c:v>22.4900000000002</c:v>
                </c:pt>
                <c:pt idx="68">
                  <c:v>22.3600000000002</c:v>
                </c:pt>
                <c:pt idx="69">
                  <c:v>22.2300000000002</c:v>
                </c:pt>
                <c:pt idx="70">
                  <c:v>22.1000000000002</c:v>
                </c:pt>
                <c:pt idx="71">
                  <c:v>21.9700000000002</c:v>
                </c:pt>
                <c:pt idx="72">
                  <c:v>21.8400000000002</c:v>
                </c:pt>
                <c:pt idx="73">
                  <c:v>21.7100000000002</c:v>
                </c:pt>
                <c:pt idx="74">
                  <c:v>21.5800000000002</c:v>
                </c:pt>
                <c:pt idx="75">
                  <c:v>21.4500000000002</c:v>
                </c:pt>
                <c:pt idx="76">
                  <c:v>21.3200000000002</c:v>
                </c:pt>
                <c:pt idx="77">
                  <c:v>21.1900000000002</c:v>
                </c:pt>
                <c:pt idx="78">
                  <c:v>21.0600000000002</c:v>
                </c:pt>
                <c:pt idx="79">
                  <c:v>20.9300000000002</c:v>
                </c:pt>
                <c:pt idx="80">
                  <c:v>20.8000000000002</c:v>
                </c:pt>
                <c:pt idx="81">
                  <c:v>20.6700000000002</c:v>
                </c:pt>
                <c:pt idx="82">
                  <c:v>20.5400000000002</c:v>
                </c:pt>
                <c:pt idx="83">
                  <c:v>20.4100000000002</c:v>
                </c:pt>
                <c:pt idx="84">
                  <c:v>20.2800000000002</c:v>
                </c:pt>
                <c:pt idx="85">
                  <c:v>20.1500000000002</c:v>
                </c:pt>
                <c:pt idx="86">
                  <c:v>20.0200000000002</c:v>
                </c:pt>
                <c:pt idx="87">
                  <c:v>19.8900000000002</c:v>
                </c:pt>
                <c:pt idx="88">
                  <c:v>19.7600000000002</c:v>
                </c:pt>
                <c:pt idx="89">
                  <c:v>19.6300000000002</c:v>
                </c:pt>
                <c:pt idx="90">
                  <c:v>19.5000000000003</c:v>
                </c:pt>
                <c:pt idx="91">
                  <c:v>19.3700000000003</c:v>
                </c:pt>
                <c:pt idx="92">
                  <c:v>19.2400000000003</c:v>
                </c:pt>
                <c:pt idx="93">
                  <c:v>19.1100000000003</c:v>
                </c:pt>
                <c:pt idx="94">
                  <c:v>18.9800000000003</c:v>
                </c:pt>
                <c:pt idx="95">
                  <c:v>18.8500000000003</c:v>
                </c:pt>
                <c:pt idx="96">
                  <c:v>18.7200000000003</c:v>
                </c:pt>
                <c:pt idx="97">
                  <c:v>18.5900000000003</c:v>
                </c:pt>
                <c:pt idx="98">
                  <c:v>18.4600000000003</c:v>
                </c:pt>
                <c:pt idx="99">
                  <c:v>18.3300000000003</c:v>
                </c:pt>
                <c:pt idx="100">
                  <c:v>18.2000000000003</c:v>
                </c:pt>
                <c:pt idx="101">
                  <c:v>18.0700000000003</c:v>
                </c:pt>
                <c:pt idx="102">
                  <c:v>17.9400000000003</c:v>
                </c:pt>
                <c:pt idx="103">
                  <c:v>17.8100000000003</c:v>
                </c:pt>
                <c:pt idx="104">
                  <c:v>17.6800000000003</c:v>
                </c:pt>
                <c:pt idx="105">
                  <c:v>17.5500000000003</c:v>
                </c:pt>
                <c:pt idx="106">
                  <c:v>17.4200000000003</c:v>
                </c:pt>
                <c:pt idx="107">
                  <c:v>17.2900000000003</c:v>
                </c:pt>
                <c:pt idx="108">
                  <c:v>17.1600000000003</c:v>
                </c:pt>
                <c:pt idx="109">
                  <c:v>17.0300000000003</c:v>
                </c:pt>
                <c:pt idx="110">
                  <c:v>16.9000000000003</c:v>
                </c:pt>
                <c:pt idx="111">
                  <c:v>16.7700000000003</c:v>
                </c:pt>
                <c:pt idx="112">
                  <c:v>16.6400000000003</c:v>
                </c:pt>
                <c:pt idx="113">
                  <c:v>16.5100000000003</c:v>
                </c:pt>
                <c:pt idx="114">
                  <c:v>16.3800000000003</c:v>
                </c:pt>
                <c:pt idx="115">
                  <c:v>16.2500000000003</c:v>
                </c:pt>
                <c:pt idx="116">
                  <c:v>16.1200000000003</c:v>
                </c:pt>
                <c:pt idx="117">
                  <c:v>15.9900000000003</c:v>
                </c:pt>
                <c:pt idx="118">
                  <c:v>15.8600000000003</c:v>
                </c:pt>
                <c:pt idx="119">
                  <c:v>15.7300000000003</c:v>
                </c:pt>
                <c:pt idx="120">
                  <c:v>15.6000000000003</c:v>
                </c:pt>
                <c:pt idx="121">
                  <c:v>15.4700000000003</c:v>
                </c:pt>
                <c:pt idx="122">
                  <c:v>15.3400000000003</c:v>
                </c:pt>
                <c:pt idx="123">
                  <c:v>15.2100000000003</c:v>
                </c:pt>
                <c:pt idx="124">
                  <c:v>15.0800000000003</c:v>
                </c:pt>
                <c:pt idx="125">
                  <c:v>14.9500000000003</c:v>
                </c:pt>
                <c:pt idx="126">
                  <c:v>14.8200000000003</c:v>
                </c:pt>
                <c:pt idx="127">
                  <c:v>14.6900000000004</c:v>
                </c:pt>
                <c:pt idx="128">
                  <c:v>14.5600000000004</c:v>
                </c:pt>
                <c:pt idx="129">
                  <c:v>14.4300000000004</c:v>
                </c:pt>
                <c:pt idx="130">
                  <c:v>14.3000000000004</c:v>
                </c:pt>
                <c:pt idx="131">
                  <c:v>14.1700000000004</c:v>
                </c:pt>
                <c:pt idx="132">
                  <c:v>14.0400000000004</c:v>
                </c:pt>
                <c:pt idx="133">
                  <c:v>13.9100000000004</c:v>
                </c:pt>
                <c:pt idx="134">
                  <c:v>13.7800000000004</c:v>
                </c:pt>
                <c:pt idx="135">
                  <c:v>13.6500000000004</c:v>
                </c:pt>
                <c:pt idx="136">
                  <c:v>13.5200000000004</c:v>
                </c:pt>
                <c:pt idx="137">
                  <c:v>13.3900000000004</c:v>
                </c:pt>
                <c:pt idx="138">
                  <c:v>13.2600000000004</c:v>
                </c:pt>
                <c:pt idx="139">
                  <c:v>13.1300000000004</c:v>
                </c:pt>
                <c:pt idx="140">
                  <c:v>13.0000000000004</c:v>
                </c:pt>
                <c:pt idx="141">
                  <c:v>12.8700000000004</c:v>
                </c:pt>
                <c:pt idx="142">
                  <c:v>12.7400000000004</c:v>
                </c:pt>
                <c:pt idx="143">
                  <c:v>12.6100000000004</c:v>
                </c:pt>
                <c:pt idx="144">
                  <c:v>12.4800000000004</c:v>
                </c:pt>
                <c:pt idx="145">
                  <c:v>12.3500000000004</c:v>
                </c:pt>
                <c:pt idx="146">
                  <c:v>12.2200000000004</c:v>
                </c:pt>
                <c:pt idx="147">
                  <c:v>12.0900000000004</c:v>
                </c:pt>
                <c:pt idx="148">
                  <c:v>11.9600000000004</c:v>
                </c:pt>
                <c:pt idx="149">
                  <c:v>11.8300000000004</c:v>
                </c:pt>
                <c:pt idx="150">
                  <c:v>11.7000000000004</c:v>
                </c:pt>
                <c:pt idx="151">
                  <c:v>11.5700000000004</c:v>
                </c:pt>
                <c:pt idx="152">
                  <c:v>11.4400000000004</c:v>
                </c:pt>
                <c:pt idx="153">
                  <c:v>11.3100000000004</c:v>
                </c:pt>
                <c:pt idx="154">
                  <c:v>11.1800000000004</c:v>
                </c:pt>
                <c:pt idx="155">
                  <c:v>11.0500000000004</c:v>
                </c:pt>
                <c:pt idx="156">
                  <c:v>10.9200000000004</c:v>
                </c:pt>
                <c:pt idx="157">
                  <c:v>10.7900000000004</c:v>
                </c:pt>
                <c:pt idx="158">
                  <c:v>10.6600000000004</c:v>
                </c:pt>
                <c:pt idx="159">
                  <c:v>10.5300000000004</c:v>
                </c:pt>
                <c:pt idx="160">
                  <c:v>10.4000000000004</c:v>
                </c:pt>
                <c:pt idx="161">
                  <c:v>10.2700000000004</c:v>
                </c:pt>
                <c:pt idx="162">
                  <c:v>10.1400000000004</c:v>
                </c:pt>
                <c:pt idx="163">
                  <c:v>10.0100000000004</c:v>
                </c:pt>
                <c:pt idx="164">
                  <c:v>9.88000000000044</c:v>
                </c:pt>
                <c:pt idx="165">
                  <c:v>9.75000000000047</c:v>
                </c:pt>
                <c:pt idx="166">
                  <c:v>9.62000000000047</c:v>
                </c:pt>
                <c:pt idx="167">
                  <c:v>9.49000000000047</c:v>
                </c:pt>
                <c:pt idx="168">
                  <c:v>9.36000000000047</c:v>
                </c:pt>
                <c:pt idx="169">
                  <c:v>9.23000000000047</c:v>
                </c:pt>
                <c:pt idx="170">
                  <c:v>9.10000000000047</c:v>
                </c:pt>
                <c:pt idx="171">
                  <c:v>8.97000000000047</c:v>
                </c:pt>
                <c:pt idx="172">
                  <c:v>8.84000000000047</c:v>
                </c:pt>
                <c:pt idx="173">
                  <c:v>8.71000000000047</c:v>
                </c:pt>
                <c:pt idx="174">
                  <c:v>8.58000000000049</c:v>
                </c:pt>
                <c:pt idx="175">
                  <c:v>8.45000000000049</c:v>
                </c:pt>
                <c:pt idx="176">
                  <c:v>8.32000000000049</c:v>
                </c:pt>
                <c:pt idx="177">
                  <c:v>8.19000000000049</c:v>
                </c:pt>
                <c:pt idx="178">
                  <c:v>8.06000000000049</c:v>
                </c:pt>
                <c:pt idx="179">
                  <c:v>7.93000000000049</c:v>
                </c:pt>
                <c:pt idx="180">
                  <c:v>7.80000000000049</c:v>
                </c:pt>
                <c:pt idx="181">
                  <c:v>7.6700000000005</c:v>
                </c:pt>
                <c:pt idx="182">
                  <c:v>7.5400000000005</c:v>
                </c:pt>
                <c:pt idx="183">
                  <c:v>7.41000000000052</c:v>
                </c:pt>
                <c:pt idx="184">
                  <c:v>7.28000000000052</c:v>
                </c:pt>
                <c:pt idx="185">
                  <c:v>7.15000000000052</c:v>
                </c:pt>
                <c:pt idx="186">
                  <c:v>7.02000000000052</c:v>
                </c:pt>
                <c:pt idx="187">
                  <c:v>6.89000000000052</c:v>
                </c:pt>
                <c:pt idx="188">
                  <c:v>6.76000000000052</c:v>
                </c:pt>
                <c:pt idx="189">
                  <c:v>6.63000000000052</c:v>
                </c:pt>
                <c:pt idx="190">
                  <c:v>6.50000000000052</c:v>
                </c:pt>
                <c:pt idx="191">
                  <c:v>6.37000000000052</c:v>
                </c:pt>
                <c:pt idx="192">
                  <c:v>6.24000000000052</c:v>
                </c:pt>
                <c:pt idx="193">
                  <c:v>6.11000000000055</c:v>
                </c:pt>
                <c:pt idx="194">
                  <c:v>5.98000000000055</c:v>
                </c:pt>
                <c:pt idx="195">
                  <c:v>5.85000000000055</c:v>
                </c:pt>
                <c:pt idx="196">
                  <c:v>5.72000000000055</c:v>
                </c:pt>
                <c:pt idx="197">
                  <c:v>5.59000000000055</c:v>
                </c:pt>
                <c:pt idx="198">
                  <c:v>5.46000000000055</c:v>
                </c:pt>
                <c:pt idx="199">
                  <c:v>5.33000000000055</c:v>
                </c:pt>
                <c:pt idx="200">
                  <c:v>5.20000000000055</c:v>
                </c:pt>
                <c:pt idx="201">
                  <c:v>5.07000000000052</c:v>
                </c:pt>
                <c:pt idx="202">
                  <c:v>4.94000000000052</c:v>
                </c:pt>
                <c:pt idx="203">
                  <c:v>4.81000000000052</c:v>
                </c:pt>
                <c:pt idx="204">
                  <c:v>4.68000000000052</c:v>
                </c:pt>
                <c:pt idx="205">
                  <c:v>4.55000000000052</c:v>
                </c:pt>
                <c:pt idx="206">
                  <c:v>4.42000000000052</c:v>
                </c:pt>
                <c:pt idx="207">
                  <c:v>4.29000000000052</c:v>
                </c:pt>
                <c:pt idx="208">
                  <c:v>4.16000000000052</c:v>
                </c:pt>
                <c:pt idx="209">
                  <c:v>4.03000000000052</c:v>
                </c:pt>
                <c:pt idx="210">
                  <c:v>3.90000000000052</c:v>
                </c:pt>
                <c:pt idx="211">
                  <c:v>3.77000000000052</c:v>
                </c:pt>
                <c:pt idx="212">
                  <c:v>3.64000000000052</c:v>
                </c:pt>
                <c:pt idx="213">
                  <c:v>3.51000000000052</c:v>
                </c:pt>
                <c:pt idx="214">
                  <c:v>3.38000000000052</c:v>
                </c:pt>
                <c:pt idx="215">
                  <c:v>3.25000000000052</c:v>
                </c:pt>
                <c:pt idx="216">
                  <c:v>3.12000000000052</c:v>
                </c:pt>
                <c:pt idx="217">
                  <c:v>2.99000000000052</c:v>
                </c:pt>
                <c:pt idx="218">
                  <c:v>2.86000000000052</c:v>
                </c:pt>
                <c:pt idx="219">
                  <c:v>2.73000000000052</c:v>
                </c:pt>
                <c:pt idx="220">
                  <c:v>2.60000000000052</c:v>
                </c:pt>
                <c:pt idx="221">
                  <c:v>2.47000000000052</c:v>
                </c:pt>
                <c:pt idx="222">
                  <c:v>2.34000000000052</c:v>
                </c:pt>
                <c:pt idx="223">
                  <c:v>2.21000000000052</c:v>
                </c:pt>
                <c:pt idx="224">
                  <c:v>2.08000000000052</c:v>
                </c:pt>
                <c:pt idx="225">
                  <c:v>1.95000000000052</c:v>
                </c:pt>
                <c:pt idx="226">
                  <c:v>1.82000000000052</c:v>
                </c:pt>
                <c:pt idx="227">
                  <c:v>1.69000000000052</c:v>
                </c:pt>
                <c:pt idx="228">
                  <c:v>1.56000000000052</c:v>
                </c:pt>
                <c:pt idx="229">
                  <c:v>1.43000000000052</c:v>
                </c:pt>
                <c:pt idx="230">
                  <c:v>1.30000000000052</c:v>
                </c:pt>
              </c:numCache>
            </c:numRef>
          </c:xVal>
          <c:yVal>
            <c:numRef>
              <c:f>'Design Calculations'!$M$60:$M$290</c:f>
              <c:numCache>
                <c:formatCode>General</c:formatCode>
                <c:ptCount val="231"/>
                <c:pt idx="0">
                  <c:v>0</c:v>
                </c:pt>
                <c:pt idx="1">
                  <c:v>1.29568106312291</c:v>
                </c:pt>
                <c:pt idx="2">
                  <c:v>2.59136212624583</c:v>
                </c:pt>
                <c:pt idx="3">
                  <c:v>3.88704318936878</c:v>
                </c:pt>
                <c:pt idx="4">
                  <c:v>5.18272425249169</c:v>
                </c:pt>
                <c:pt idx="5">
                  <c:v>6.4784053156146</c:v>
                </c:pt>
                <c:pt idx="6">
                  <c:v>7.77408637873752</c:v>
                </c:pt>
                <c:pt idx="7">
                  <c:v>9.06976744186047</c:v>
                </c:pt>
                <c:pt idx="8">
                  <c:v>10.3654485049834</c:v>
                </c:pt>
                <c:pt idx="9">
                  <c:v>11.6611295681063</c:v>
                </c:pt>
                <c:pt idx="10">
                  <c:v>12.9568106312292</c:v>
                </c:pt>
                <c:pt idx="11">
                  <c:v>14.2524916943522</c:v>
                </c:pt>
                <c:pt idx="12">
                  <c:v>15.5481727574751</c:v>
                </c:pt>
                <c:pt idx="13">
                  <c:v>16.843853820598</c:v>
                </c:pt>
                <c:pt idx="14">
                  <c:v>18.1395348837209</c:v>
                </c:pt>
                <c:pt idx="15">
                  <c:v>19.4352159468438</c:v>
                </c:pt>
                <c:pt idx="16">
                  <c:v>20.7308970099668</c:v>
                </c:pt>
                <c:pt idx="17">
                  <c:v>22.0265780730897</c:v>
                </c:pt>
                <c:pt idx="18">
                  <c:v>23.3222591362126</c:v>
                </c:pt>
                <c:pt idx="19">
                  <c:v>24.6179401993355</c:v>
                </c:pt>
                <c:pt idx="20">
                  <c:v>25.9136212624585</c:v>
                </c:pt>
                <c:pt idx="21">
                  <c:v>27.2093023255814</c:v>
                </c:pt>
                <c:pt idx="22">
                  <c:v>28.5049833887043</c:v>
                </c:pt>
                <c:pt idx="23">
                  <c:v>29.8006644518272</c:v>
                </c:pt>
                <c:pt idx="24">
                  <c:v>31.0963455149502</c:v>
                </c:pt>
                <c:pt idx="25">
                  <c:v>32.3920265780731</c:v>
                </c:pt>
                <c:pt idx="26">
                  <c:v>33.687707641196</c:v>
                </c:pt>
                <c:pt idx="27">
                  <c:v>34.9833887043189</c:v>
                </c:pt>
                <c:pt idx="28">
                  <c:v>36.2790697674419</c:v>
                </c:pt>
                <c:pt idx="29">
                  <c:v>37.5747508305648</c:v>
                </c:pt>
                <c:pt idx="30">
                  <c:v>38.8704318936877</c:v>
                </c:pt>
                <c:pt idx="31">
                  <c:v>40.1661129568106</c:v>
                </c:pt>
                <c:pt idx="32">
                  <c:v>41.4617940199336</c:v>
                </c:pt>
                <c:pt idx="33">
                  <c:v>42.7574750830565</c:v>
                </c:pt>
                <c:pt idx="34">
                  <c:v>44.0531561461794</c:v>
                </c:pt>
                <c:pt idx="35">
                  <c:v>45.3488372093023</c:v>
                </c:pt>
                <c:pt idx="36">
                  <c:v>46.6445182724253</c:v>
                </c:pt>
                <c:pt idx="37">
                  <c:v>47.9401993355482</c:v>
                </c:pt>
                <c:pt idx="38">
                  <c:v>49.2358803986711</c:v>
                </c:pt>
                <c:pt idx="39">
                  <c:v>50.531561461794</c:v>
                </c:pt>
                <c:pt idx="40">
                  <c:v>51.8272425249169</c:v>
                </c:pt>
                <c:pt idx="41">
                  <c:v>53.1188805197784</c:v>
                </c:pt>
                <c:pt idx="42">
                  <c:v>54.1410234590608</c:v>
                </c:pt>
                <c:pt idx="43">
                  <c:v>55.1501454691805</c:v>
                </c:pt>
                <c:pt idx="44">
                  <c:v>56.1462465501372</c:v>
                </c:pt>
                <c:pt idx="45">
                  <c:v>57.1293267019312</c:v>
                </c:pt>
                <c:pt idx="46">
                  <c:v>58.0993859245623</c:v>
                </c:pt>
                <c:pt idx="47">
                  <c:v>59.0564242180305</c:v>
                </c:pt>
                <c:pt idx="48">
                  <c:v>60.000441582336</c:v>
                </c:pt>
                <c:pt idx="49">
                  <c:v>60.9314380174786</c:v>
                </c:pt>
                <c:pt idx="50">
                  <c:v>61.8494135234584</c:v>
                </c:pt>
                <c:pt idx="51">
                  <c:v>62.7543681002753</c:v>
                </c:pt>
                <c:pt idx="52">
                  <c:v>63.6463017479287</c:v>
                </c:pt>
                <c:pt idx="53">
                  <c:v>64.52521446642</c:v>
                </c:pt>
                <c:pt idx="54">
                  <c:v>65.3911062557484</c:v>
                </c:pt>
                <c:pt idx="55">
                  <c:v>66.2439771159141</c:v>
                </c:pt>
                <c:pt idx="56">
                  <c:v>67.0838270469168</c:v>
                </c:pt>
                <c:pt idx="57">
                  <c:v>67.9106560487568</c:v>
                </c:pt>
                <c:pt idx="58">
                  <c:v>68.7244641214339</c:v>
                </c:pt>
                <c:pt idx="59">
                  <c:v>69.5252512649482</c:v>
                </c:pt>
                <c:pt idx="60">
                  <c:v>70.3130174792996</c:v>
                </c:pt>
                <c:pt idx="61">
                  <c:v>71.0877627644882</c:v>
                </c:pt>
                <c:pt idx="62">
                  <c:v>71.849487120514</c:v>
                </c:pt>
                <c:pt idx="63">
                  <c:v>72.5981905473769</c:v>
                </c:pt>
                <c:pt idx="64">
                  <c:v>73.3338730450771</c:v>
                </c:pt>
                <c:pt idx="65">
                  <c:v>74.0565346136144</c:v>
                </c:pt>
                <c:pt idx="66">
                  <c:v>74.7661752529888</c:v>
                </c:pt>
                <c:pt idx="67">
                  <c:v>75.4627949632004</c:v>
                </c:pt>
                <c:pt idx="68">
                  <c:v>76.1463937442492</c:v>
                </c:pt>
                <c:pt idx="69">
                  <c:v>76.8169715961351</c:v>
                </c:pt>
                <c:pt idx="70">
                  <c:v>77.4745285188582</c:v>
                </c:pt>
                <c:pt idx="71">
                  <c:v>78.1190645124185</c:v>
                </c:pt>
                <c:pt idx="72">
                  <c:v>78.750579576816</c:v>
                </c:pt>
                <c:pt idx="73">
                  <c:v>79.3690737120506</c:v>
                </c:pt>
                <c:pt idx="74">
                  <c:v>79.9745469181223</c:v>
                </c:pt>
                <c:pt idx="75">
                  <c:v>80.5669991950313</c:v>
                </c:pt>
                <c:pt idx="76">
                  <c:v>81.1464305427774</c:v>
                </c:pt>
                <c:pt idx="77">
                  <c:v>81.7128409613607</c:v>
                </c:pt>
                <c:pt idx="78">
                  <c:v>82.2662304507811</c:v>
                </c:pt>
                <c:pt idx="79">
                  <c:v>82.8065990110387</c:v>
                </c:pt>
                <c:pt idx="80">
                  <c:v>83.3339466421335</c:v>
                </c:pt>
                <c:pt idx="81">
                  <c:v>83.8482733440655</c:v>
                </c:pt>
                <c:pt idx="82">
                  <c:v>84.3495791168346</c:v>
                </c:pt>
                <c:pt idx="83">
                  <c:v>84.8378639604408</c:v>
                </c:pt>
                <c:pt idx="84">
                  <c:v>85.3131278748843</c:v>
                </c:pt>
                <c:pt idx="85">
                  <c:v>85.7753708601649</c:v>
                </c:pt>
                <c:pt idx="86">
                  <c:v>86.2245929162827</c:v>
                </c:pt>
                <c:pt idx="87">
                  <c:v>86.6607940432376</c:v>
                </c:pt>
                <c:pt idx="88">
                  <c:v>87.0839742410297</c:v>
                </c:pt>
                <c:pt idx="89">
                  <c:v>87.494133509659</c:v>
                </c:pt>
                <c:pt idx="90">
                  <c:v>87.8912718491251</c:v>
                </c:pt>
                <c:pt idx="91">
                  <c:v>88.2753892594287</c:v>
                </c:pt>
                <c:pt idx="92">
                  <c:v>88.6464857405695</c:v>
                </c:pt>
                <c:pt idx="93">
                  <c:v>89.0045612925475</c:v>
                </c:pt>
                <c:pt idx="94">
                  <c:v>89.3496159153626</c:v>
                </c:pt>
                <c:pt idx="95">
                  <c:v>89.6816496090149</c:v>
                </c:pt>
                <c:pt idx="96">
                  <c:v>90.0006623735043</c:v>
                </c:pt>
                <c:pt idx="97">
                  <c:v>90.306654208831</c:v>
                </c:pt>
                <c:pt idx="98">
                  <c:v>90.5996251149947</c:v>
                </c:pt>
                <c:pt idx="99">
                  <c:v>90.8795750919957</c:v>
                </c:pt>
                <c:pt idx="100">
                  <c:v>91.1465041398338</c:v>
                </c:pt>
                <c:pt idx="101">
                  <c:v>91.4004122585091</c:v>
                </c:pt>
                <c:pt idx="102">
                  <c:v>91.6412994480215</c:v>
                </c:pt>
                <c:pt idx="103">
                  <c:v>91.8691657083711</c:v>
                </c:pt>
                <c:pt idx="104">
                  <c:v>92.0840110395579</c:v>
                </c:pt>
                <c:pt idx="105">
                  <c:v>92.2858354415819</c:v>
                </c:pt>
                <c:pt idx="106">
                  <c:v>92.474638914443</c:v>
                </c:pt>
                <c:pt idx="107">
                  <c:v>92.6504214581413</c:v>
                </c:pt>
                <c:pt idx="108">
                  <c:v>92.8131830726767</c:v>
                </c:pt>
                <c:pt idx="109">
                  <c:v>92.9629237580493</c:v>
                </c:pt>
                <c:pt idx="110">
                  <c:v>93.0996435142591</c:v>
                </c:pt>
                <c:pt idx="111">
                  <c:v>93.2233423413061</c:v>
                </c:pt>
                <c:pt idx="112">
                  <c:v>93.3340202391902</c:v>
                </c:pt>
                <c:pt idx="113">
                  <c:v>93.4316772079115</c:v>
                </c:pt>
                <c:pt idx="114">
                  <c:v>93.5163132474699</c:v>
                </c:pt>
                <c:pt idx="115">
                  <c:v>93.5879283578655</c:v>
                </c:pt>
                <c:pt idx="116">
                  <c:v>93.6465225390983</c:v>
                </c:pt>
                <c:pt idx="117">
                  <c:v>93.6920957911683</c:v>
                </c:pt>
                <c:pt idx="118">
                  <c:v>93.7246481140754</c:v>
                </c:pt>
                <c:pt idx="119">
                  <c:v>93.7441795078196</c:v>
                </c:pt>
                <c:pt idx="120">
                  <c:v>93.7506899724011</c:v>
                </c:pt>
                <c:pt idx="121">
                  <c:v>93.7441795078197</c:v>
                </c:pt>
                <c:pt idx="122">
                  <c:v>93.7246481140755</c:v>
                </c:pt>
                <c:pt idx="123">
                  <c:v>93.6920957911684</c:v>
                </c:pt>
                <c:pt idx="124">
                  <c:v>93.6465225390985</c:v>
                </c:pt>
                <c:pt idx="125">
                  <c:v>93.5879283578658</c:v>
                </c:pt>
                <c:pt idx="126">
                  <c:v>93.5163132474703</c:v>
                </c:pt>
                <c:pt idx="127">
                  <c:v>93.431677207912</c:v>
                </c:pt>
                <c:pt idx="128">
                  <c:v>93.3340202391908</c:v>
                </c:pt>
                <c:pt idx="129">
                  <c:v>93.2233423413067</c:v>
                </c:pt>
                <c:pt idx="130">
                  <c:v>93.0996435142598</c:v>
                </c:pt>
                <c:pt idx="131">
                  <c:v>92.9629237580501</c:v>
                </c:pt>
                <c:pt idx="132">
                  <c:v>92.8131830726776</c:v>
                </c:pt>
                <c:pt idx="133">
                  <c:v>92.6504214581422</c:v>
                </c:pt>
                <c:pt idx="134">
                  <c:v>92.474638914444</c:v>
                </c:pt>
                <c:pt idx="135">
                  <c:v>92.2858354415829</c:v>
                </c:pt>
                <c:pt idx="136">
                  <c:v>92.084011039559</c:v>
                </c:pt>
                <c:pt idx="137">
                  <c:v>91.8691657083723</c:v>
                </c:pt>
                <c:pt idx="138">
                  <c:v>91.6412994480228</c:v>
                </c:pt>
                <c:pt idx="139">
                  <c:v>91.4004122585104</c:v>
                </c:pt>
                <c:pt idx="140">
                  <c:v>91.1465041398352</c:v>
                </c:pt>
                <c:pt idx="141">
                  <c:v>90.8795750919972</c:v>
                </c:pt>
                <c:pt idx="142">
                  <c:v>90.5996251149963</c:v>
                </c:pt>
                <c:pt idx="143">
                  <c:v>90.3066542088326</c:v>
                </c:pt>
                <c:pt idx="144">
                  <c:v>90.000662373506</c:v>
                </c:pt>
                <c:pt idx="145">
                  <c:v>89.6816496090166</c:v>
                </c:pt>
                <c:pt idx="146">
                  <c:v>89.3496159153644</c:v>
                </c:pt>
                <c:pt idx="147">
                  <c:v>89.0045612925494</c:v>
                </c:pt>
                <c:pt idx="148">
                  <c:v>88.6464857405715</c:v>
                </c:pt>
                <c:pt idx="149">
                  <c:v>88.2753892594308</c:v>
                </c:pt>
                <c:pt idx="150">
                  <c:v>87.8912718491272</c:v>
                </c:pt>
                <c:pt idx="151">
                  <c:v>87.4941335096608</c:v>
                </c:pt>
                <c:pt idx="152">
                  <c:v>87.0839742410316</c:v>
                </c:pt>
                <c:pt idx="153">
                  <c:v>86.6607940432396</c:v>
                </c:pt>
                <c:pt idx="154">
                  <c:v>86.2245929162847</c:v>
                </c:pt>
                <c:pt idx="155">
                  <c:v>85.775370860167</c:v>
                </c:pt>
                <c:pt idx="156">
                  <c:v>85.3131278748865</c:v>
                </c:pt>
                <c:pt idx="157">
                  <c:v>84.8378639604431</c:v>
                </c:pt>
                <c:pt idx="158">
                  <c:v>84.3495791168369</c:v>
                </c:pt>
                <c:pt idx="159">
                  <c:v>83.8482733440678</c:v>
                </c:pt>
                <c:pt idx="160">
                  <c:v>83.3339466421359</c:v>
                </c:pt>
                <c:pt idx="161">
                  <c:v>82.8065990110412</c:v>
                </c:pt>
                <c:pt idx="162">
                  <c:v>82.2662304507837</c:v>
                </c:pt>
                <c:pt idx="163">
                  <c:v>81.7128409613633</c:v>
                </c:pt>
                <c:pt idx="164">
                  <c:v>81.1464305427802</c:v>
                </c:pt>
                <c:pt idx="165">
                  <c:v>80.5669991950343</c:v>
                </c:pt>
                <c:pt idx="166">
                  <c:v>79.9745469181254</c:v>
                </c:pt>
                <c:pt idx="167">
                  <c:v>79.3690737120537</c:v>
                </c:pt>
                <c:pt idx="168">
                  <c:v>78.7505795768192</c:v>
                </c:pt>
                <c:pt idx="169">
                  <c:v>78.1190645124218</c:v>
                </c:pt>
                <c:pt idx="170">
                  <c:v>77.4745285188616</c:v>
                </c:pt>
                <c:pt idx="171">
                  <c:v>76.8169715961385</c:v>
                </c:pt>
                <c:pt idx="172">
                  <c:v>76.1463937442527</c:v>
                </c:pt>
                <c:pt idx="173">
                  <c:v>75.462794963204</c:v>
                </c:pt>
                <c:pt idx="174">
                  <c:v>74.7661752529925</c:v>
                </c:pt>
                <c:pt idx="175">
                  <c:v>74.0565346136181</c:v>
                </c:pt>
                <c:pt idx="176">
                  <c:v>73.333873045081</c:v>
                </c:pt>
                <c:pt idx="177">
                  <c:v>72.5981905473809</c:v>
                </c:pt>
                <c:pt idx="178">
                  <c:v>71.849487120518</c:v>
                </c:pt>
                <c:pt idx="179">
                  <c:v>71.0877627644923</c:v>
                </c:pt>
                <c:pt idx="180">
                  <c:v>70.3130174793038</c:v>
                </c:pt>
                <c:pt idx="181">
                  <c:v>69.5252512649525</c:v>
                </c:pt>
                <c:pt idx="182">
                  <c:v>68.7244641214383</c:v>
                </c:pt>
                <c:pt idx="183">
                  <c:v>67.9106560487613</c:v>
                </c:pt>
                <c:pt idx="184">
                  <c:v>67.0838270469215</c:v>
                </c:pt>
                <c:pt idx="185">
                  <c:v>66.2439771159187</c:v>
                </c:pt>
                <c:pt idx="186">
                  <c:v>65.3911062557532</c:v>
                </c:pt>
                <c:pt idx="187">
                  <c:v>64.5252144664248</c:v>
                </c:pt>
                <c:pt idx="188">
                  <c:v>63.6463017479336</c:v>
                </c:pt>
                <c:pt idx="189">
                  <c:v>62.7543681002796</c:v>
                </c:pt>
                <c:pt idx="190">
                  <c:v>61.8494135234627</c:v>
                </c:pt>
                <c:pt idx="191">
                  <c:v>60.931438017483</c:v>
                </c:pt>
                <c:pt idx="192">
                  <c:v>60.0004415823405</c:v>
                </c:pt>
                <c:pt idx="193">
                  <c:v>59.0564242180353</c:v>
                </c:pt>
                <c:pt idx="194">
                  <c:v>58.0993859245671</c:v>
                </c:pt>
                <c:pt idx="195">
                  <c:v>57.1293267019361</c:v>
                </c:pt>
                <c:pt idx="196">
                  <c:v>56.1462465501422</c:v>
                </c:pt>
                <c:pt idx="197">
                  <c:v>55.1501454691855</c:v>
                </c:pt>
                <c:pt idx="198">
                  <c:v>54.1410234590659</c:v>
                </c:pt>
                <c:pt idx="199">
                  <c:v>53.1188805197836</c:v>
                </c:pt>
                <c:pt idx="200">
                  <c:v>52.0837166513384</c:v>
                </c:pt>
                <c:pt idx="201">
                  <c:v>52.259999999999</c:v>
                </c:pt>
                <c:pt idx="202">
                  <c:v>52.519999999999</c:v>
                </c:pt>
                <c:pt idx="203">
                  <c:v>52.779999999999</c:v>
                </c:pt>
                <c:pt idx="204">
                  <c:v>53.039999999999</c:v>
                </c:pt>
                <c:pt idx="205">
                  <c:v>53.299999999999</c:v>
                </c:pt>
                <c:pt idx="206">
                  <c:v>53.559999999999</c:v>
                </c:pt>
                <c:pt idx="207">
                  <c:v>53.819999999999</c:v>
                </c:pt>
                <c:pt idx="208">
                  <c:v>54.079999999999</c:v>
                </c:pt>
                <c:pt idx="209">
                  <c:v>54.339999999999</c:v>
                </c:pt>
                <c:pt idx="210">
                  <c:v>54.599999999999</c:v>
                </c:pt>
                <c:pt idx="211">
                  <c:v>54.859999999999</c:v>
                </c:pt>
                <c:pt idx="212">
                  <c:v>55.119999999999</c:v>
                </c:pt>
                <c:pt idx="213">
                  <c:v>55.379999999999</c:v>
                </c:pt>
                <c:pt idx="214">
                  <c:v>55.639999999999</c:v>
                </c:pt>
                <c:pt idx="215">
                  <c:v>55.899999999999</c:v>
                </c:pt>
                <c:pt idx="216">
                  <c:v>56.159999999999</c:v>
                </c:pt>
                <c:pt idx="217">
                  <c:v>56.419999999999</c:v>
                </c:pt>
                <c:pt idx="218">
                  <c:v>56.679999999999</c:v>
                </c:pt>
                <c:pt idx="219">
                  <c:v>56.939999999999</c:v>
                </c:pt>
                <c:pt idx="220">
                  <c:v>57.199999999999</c:v>
                </c:pt>
                <c:pt idx="221">
                  <c:v>57.459999999999</c:v>
                </c:pt>
                <c:pt idx="222">
                  <c:v>57.719999999999</c:v>
                </c:pt>
                <c:pt idx="223">
                  <c:v>57.979999999999</c:v>
                </c:pt>
                <c:pt idx="224">
                  <c:v>58.239999999999</c:v>
                </c:pt>
                <c:pt idx="225">
                  <c:v>58.499999999999</c:v>
                </c:pt>
                <c:pt idx="226">
                  <c:v>58.759999999999</c:v>
                </c:pt>
                <c:pt idx="227">
                  <c:v>59.019999999999</c:v>
                </c:pt>
                <c:pt idx="228">
                  <c:v>59.279999999999</c:v>
                </c:pt>
                <c:pt idx="229">
                  <c:v>59.539999999999</c:v>
                </c:pt>
                <c:pt idx="230">
                  <c:v>59.799999999999</c:v>
                </c:pt>
              </c:numCache>
            </c:numRef>
          </c:yVal>
          <c:smooth val="1"/>
        </c:ser>
        <c:axId val="33520157"/>
        <c:axId val="9160511"/>
      </c:scatterChart>
      <c:valAx>
        <c:axId val="33520157"/>
        <c:scaling>
          <c:orientation val="minMax"/>
          <c:min val="0"/>
        </c:scaling>
        <c:delete val="0"/>
        <c:axPos val="b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9160511"/>
        <c:crosses val="autoZero"/>
        <c:crossBetween val="midCat"/>
      </c:valAx>
      <c:valAx>
        <c:axId val="9160511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minorGridlines>
          <c:spPr>
            <a:ln w="3240">
              <a:solidFill>
                <a:srgbClr val="000000"/>
              </a:solidFill>
              <a:round/>
            </a:ln>
          </c:spPr>
        </c:min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33520157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856380138814736"/>
          <c:y val="0.478735097657901"/>
          <c:w val="0.136924537256763"/>
          <c:h val="0.0984271943176053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rPr>
              <a:t>Vout</a:t>
            </a:r>
          </a:p>
        </c:rich>
      </c:tx>
      <c:layout>
        <c:manualLayout>
          <c:xMode val="edge"/>
          <c:yMode val="edge"/>
          <c:x val="0.484128897460624"/>
          <c:y val="0.0304905660377359"/>
        </c:manualLayout>
      </c:layout>
      <c:overlay val="0"/>
      <c:spPr>
        <a:noFill/>
        <a:ln w="2556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437158469945355"/>
          <c:y val="0.138339622641509"/>
          <c:w val="0.849445515911283"/>
          <c:h val="0.771169811320755"/>
        </c:manualLayout>
      </c:layout>
      <c:scatterChart>
        <c:scatterStyle val="line"/>
        <c:varyColors val="0"/>
        <c:ser>
          <c:idx val="0"/>
          <c:order val="0"/>
          <c:tx>
            <c:strRef>
              <c:f>Sheet1!$N$11</c:f>
              <c:strCache>
                <c:ptCount val="1"/>
                <c:pt idx="0">
                  <c:v>Vout</c:v>
                </c:pt>
              </c:strCache>
            </c:strRef>
          </c:tx>
          <c:spPr>
            <a:solidFill>
              <a:srgbClr val="000080"/>
            </a:solidFill>
            <a:ln w="12600">
              <a:solidFill>
                <a:srgbClr val="00008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Sheet1!$M$12:$M$2000</c:f>
              <c:numCache>
                <c:formatCode>General</c:formatCode>
                <c:ptCount val="1989"/>
              </c:numCache>
            </c:numRef>
          </c:xVal>
          <c:yVal>
            <c:numRef>
              <c:f>Sheet1!$N$12:$N$2000</c:f>
              <c:numCache>
                <c:formatCode>General</c:formatCode>
                <c:ptCount val="1989"/>
                <c:pt idx="0">
                  <c:v>0</c:v>
                </c:pt>
                <c:pt idx="1">
                  <c:v>0.129999999999974</c:v>
                </c:pt>
                <c:pt idx="2">
                  <c:v>0.259999999999974</c:v>
                </c:pt>
                <c:pt idx="3">
                  <c:v>0.389999999999974</c:v>
                </c:pt>
                <c:pt idx="4">
                  <c:v>0.519999999999974</c:v>
                </c:pt>
                <c:pt idx="5">
                  <c:v>0.649999999999974</c:v>
                </c:pt>
                <c:pt idx="6">
                  <c:v>0.779999999999974</c:v>
                </c:pt>
                <c:pt idx="7">
                  <c:v>0.909999999999974</c:v>
                </c:pt>
                <c:pt idx="8">
                  <c:v>1.03999999999997</c:v>
                </c:pt>
                <c:pt idx="9">
                  <c:v>1.16999999999997</c:v>
                </c:pt>
                <c:pt idx="10">
                  <c:v>1.29999999999997</c:v>
                </c:pt>
                <c:pt idx="11">
                  <c:v>1.42999999999997</c:v>
                </c:pt>
                <c:pt idx="12">
                  <c:v>1.55999999999998</c:v>
                </c:pt>
                <c:pt idx="13">
                  <c:v>1.68999999999997</c:v>
                </c:pt>
                <c:pt idx="14">
                  <c:v>1.81999999999997</c:v>
                </c:pt>
                <c:pt idx="15">
                  <c:v>1.94999999999997</c:v>
                </c:pt>
                <c:pt idx="16">
                  <c:v>2.07999999999997</c:v>
                </c:pt>
                <c:pt idx="17">
                  <c:v>2.20999999999997</c:v>
                </c:pt>
                <c:pt idx="18">
                  <c:v>2.33999999999997</c:v>
                </c:pt>
                <c:pt idx="19">
                  <c:v>2.46999999999997</c:v>
                </c:pt>
                <c:pt idx="20">
                  <c:v>2.59999999999997</c:v>
                </c:pt>
                <c:pt idx="21">
                  <c:v>2.72999999999997</c:v>
                </c:pt>
                <c:pt idx="22">
                  <c:v>2.85999999999997</c:v>
                </c:pt>
                <c:pt idx="23">
                  <c:v>2.98999999999997</c:v>
                </c:pt>
                <c:pt idx="24">
                  <c:v>3.11999999999997</c:v>
                </c:pt>
                <c:pt idx="25">
                  <c:v>3.24999999999997</c:v>
                </c:pt>
                <c:pt idx="26">
                  <c:v>3.37999999999997</c:v>
                </c:pt>
                <c:pt idx="27">
                  <c:v>3.50999999999997</c:v>
                </c:pt>
                <c:pt idx="28">
                  <c:v>3.63999999999997</c:v>
                </c:pt>
                <c:pt idx="29">
                  <c:v>3.76999999999997</c:v>
                </c:pt>
                <c:pt idx="30">
                  <c:v>3.89999999999997</c:v>
                </c:pt>
                <c:pt idx="31">
                  <c:v>4.02999999999997</c:v>
                </c:pt>
                <c:pt idx="32">
                  <c:v>4.15999999999997</c:v>
                </c:pt>
                <c:pt idx="33">
                  <c:v>4.28999999999997</c:v>
                </c:pt>
                <c:pt idx="34">
                  <c:v>4.41999999999997</c:v>
                </c:pt>
                <c:pt idx="35">
                  <c:v>4.54999999999997</c:v>
                </c:pt>
                <c:pt idx="36">
                  <c:v>4.67999999999997</c:v>
                </c:pt>
                <c:pt idx="37">
                  <c:v>4.80999999999997</c:v>
                </c:pt>
                <c:pt idx="38">
                  <c:v>4.93999999999997</c:v>
                </c:pt>
                <c:pt idx="39">
                  <c:v>5.06999999999997</c:v>
                </c:pt>
                <c:pt idx="40">
                  <c:v>5.19999999999997</c:v>
                </c:pt>
                <c:pt idx="41">
                  <c:v>5.32999999999997</c:v>
                </c:pt>
                <c:pt idx="42">
                  <c:v>5.45999999999997</c:v>
                </c:pt>
                <c:pt idx="43">
                  <c:v>5.58999999999997</c:v>
                </c:pt>
                <c:pt idx="44">
                  <c:v>5.71999999999997</c:v>
                </c:pt>
                <c:pt idx="45">
                  <c:v>5.84999999999997</c:v>
                </c:pt>
                <c:pt idx="46">
                  <c:v>5.97999999999998</c:v>
                </c:pt>
                <c:pt idx="47">
                  <c:v>6.10999999999997</c:v>
                </c:pt>
                <c:pt idx="48">
                  <c:v>6.23999999999997</c:v>
                </c:pt>
                <c:pt idx="49">
                  <c:v>6.36999999999997</c:v>
                </c:pt>
                <c:pt idx="50">
                  <c:v>6.49999999999997</c:v>
                </c:pt>
                <c:pt idx="51">
                  <c:v>6.62999999999997</c:v>
                </c:pt>
                <c:pt idx="52">
                  <c:v>6.75999999999997</c:v>
                </c:pt>
                <c:pt idx="53">
                  <c:v>6.88999999999997</c:v>
                </c:pt>
                <c:pt idx="54">
                  <c:v>7.01999999999998</c:v>
                </c:pt>
                <c:pt idx="55">
                  <c:v>7.14999999999998</c:v>
                </c:pt>
                <c:pt idx="56">
                  <c:v>7.27999999999997</c:v>
                </c:pt>
                <c:pt idx="57">
                  <c:v>7.40999999999997</c:v>
                </c:pt>
                <c:pt idx="58">
                  <c:v>7.53999999999997</c:v>
                </c:pt>
                <c:pt idx="59">
                  <c:v>7.66999999999997</c:v>
                </c:pt>
                <c:pt idx="60">
                  <c:v>7.79999999999997</c:v>
                </c:pt>
                <c:pt idx="61">
                  <c:v>7.92999999999997</c:v>
                </c:pt>
                <c:pt idx="62">
                  <c:v>8.05999999999997</c:v>
                </c:pt>
                <c:pt idx="63">
                  <c:v>8.18999999999998</c:v>
                </c:pt>
                <c:pt idx="64">
                  <c:v>8.31999999999997</c:v>
                </c:pt>
                <c:pt idx="65">
                  <c:v>8.44999999999997</c:v>
                </c:pt>
                <c:pt idx="66">
                  <c:v>8.57999999999998</c:v>
                </c:pt>
                <c:pt idx="67">
                  <c:v>8.70999999999997</c:v>
                </c:pt>
                <c:pt idx="68">
                  <c:v>8.83999999999998</c:v>
                </c:pt>
                <c:pt idx="69">
                  <c:v>8.96999999999997</c:v>
                </c:pt>
                <c:pt idx="70">
                  <c:v>9.09999999999997</c:v>
                </c:pt>
                <c:pt idx="71">
                  <c:v>9.22999999999997</c:v>
                </c:pt>
                <c:pt idx="72">
                  <c:v>9.35999999999998</c:v>
                </c:pt>
                <c:pt idx="73">
                  <c:v>9.48999999999997</c:v>
                </c:pt>
                <c:pt idx="74">
                  <c:v>9.61999999999997</c:v>
                </c:pt>
                <c:pt idx="75">
                  <c:v>9.74999999999997</c:v>
                </c:pt>
                <c:pt idx="76">
                  <c:v>9.87999999999997</c:v>
                </c:pt>
                <c:pt idx="77">
                  <c:v>10.01</c:v>
                </c:pt>
                <c:pt idx="78">
                  <c:v>10.14</c:v>
                </c:pt>
                <c:pt idx="79">
                  <c:v>10.27</c:v>
                </c:pt>
                <c:pt idx="80">
                  <c:v>10.4</c:v>
                </c:pt>
                <c:pt idx="81">
                  <c:v>10.53</c:v>
                </c:pt>
                <c:pt idx="82">
                  <c:v>10.66</c:v>
                </c:pt>
                <c:pt idx="83">
                  <c:v>10.79</c:v>
                </c:pt>
                <c:pt idx="84">
                  <c:v>10.92</c:v>
                </c:pt>
                <c:pt idx="85">
                  <c:v>11.05</c:v>
                </c:pt>
                <c:pt idx="86">
                  <c:v>11.18</c:v>
                </c:pt>
                <c:pt idx="87">
                  <c:v>11.31</c:v>
                </c:pt>
                <c:pt idx="88">
                  <c:v>11.44</c:v>
                </c:pt>
                <c:pt idx="89">
                  <c:v>11.57</c:v>
                </c:pt>
                <c:pt idx="90">
                  <c:v>11.7</c:v>
                </c:pt>
                <c:pt idx="91">
                  <c:v>11.83</c:v>
                </c:pt>
                <c:pt idx="92">
                  <c:v>11.96</c:v>
                </c:pt>
                <c:pt idx="93">
                  <c:v>12.09</c:v>
                </c:pt>
                <c:pt idx="94">
                  <c:v>12.22</c:v>
                </c:pt>
                <c:pt idx="95">
                  <c:v>12.35</c:v>
                </c:pt>
                <c:pt idx="96">
                  <c:v>12.48</c:v>
                </c:pt>
                <c:pt idx="97">
                  <c:v>12.61</c:v>
                </c:pt>
                <c:pt idx="98">
                  <c:v>12.74</c:v>
                </c:pt>
                <c:pt idx="99">
                  <c:v>12.87</c:v>
                </c:pt>
                <c:pt idx="100">
                  <c:v>13</c:v>
                </c:pt>
                <c:pt idx="101">
                  <c:v>13.13</c:v>
                </c:pt>
                <c:pt idx="102">
                  <c:v>13.26</c:v>
                </c:pt>
                <c:pt idx="103">
                  <c:v>13.39</c:v>
                </c:pt>
                <c:pt idx="104">
                  <c:v>13.52</c:v>
                </c:pt>
                <c:pt idx="105">
                  <c:v>13.65</c:v>
                </c:pt>
                <c:pt idx="106">
                  <c:v>13.78</c:v>
                </c:pt>
                <c:pt idx="107">
                  <c:v>13.91</c:v>
                </c:pt>
                <c:pt idx="108">
                  <c:v>14.04</c:v>
                </c:pt>
                <c:pt idx="109">
                  <c:v>14.17</c:v>
                </c:pt>
                <c:pt idx="110">
                  <c:v>14.3</c:v>
                </c:pt>
                <c:pt idx="111">
                  <c:v>14.43</c:v>
                </c:pt>
                <c:pt idx="112">
                  <c:v>14.56</c:v>
                </c:pt>
                <c:pt idx="113">
                  <c:v>14.69</c:v>
                </c:pt>
                <c:pt idx="114">
                  <c:v>14.82</c:v>
                </c:pt>
                <c:pt idx="115">
                  <c:v>14.95</c:v>
                </c:pt>
                <c:pt idx="116">
                  <c:v>15.08</c:v>
                </c:pt>
                <c:pt idx="117">
                  <c:v>15.21</c:v>
                </c:pt>
                <c:pt idx="118">
                  <c:v>15.34</c:v>
                </c:pt>
                <c:pt idx="119">
                  <c:v>15.47</c:v>
                </c:pt>
                <c:pt idx="120">
                  <c:v>15.6</c:v>
                </c:pt>
                <c:pt idx="121">
                  <c:v>15.73</c:v>
                </c:pt>
                <c:pt idx="122">
                  <c:v>15.86</c:v>
                </c:pt>
                <c:pt idx="123">
                  <c:v>15.99</c:v>
                </c:pt>
                <c:pt idx="124">
                  <c:v>16.12</c:v>
                </c:pt>
                <c:pt idx="125">
                  <c:v>16.25</c:v>
                </c:pt>
                <c:pt idx="126">
                  <c:v>16.38</c:v>
                </c:pt>
                <c:pt idx="127">
                  <c:v>16.51</c:v>
                </c:pt>
                <c:pt idx="128">
                  <c:v>16.64</c:v>
                </c:pt>
                <c:pt idx="129">
                  <c:v>16.77</c:v>
                </c:pt>
                <c:pt idx="130">
                  <c:v>16.9</c:v>
                </c:pt>
                <c:pt idx="131">
                  <c:v>17.03</c:v>
                </c:pt>
                <c:pt idx="132">
                  <c:v>17.16</c:v>
                </c:pt>
                <c:pt idx="133">
                  <c:v>17.29</c:v>
                </c:pt>
                <c:pt idx="134">
                  <c:v>17.42</c:v>
                </c:pt>
                <c:pt idx="135">
                  <c:v>17.55</c:v>
                </c:pt>
                <c:pt idx="136">
                  <c:v>17.68</c:v>
                </c:pt>
                <c:pt idx="137">
                  <c:v>17.81</c:v>
                </c:pt>
                <c:pt idx="138">
                  <c:v>17.94</c:v>
                </c:pt>
                <c:pt idx="139">
                  <c:v>18.07</c:v>
                </c:pt>
                <c:pt idx="140">
                  <c:v>18.2</c:v>
                </c:pt>
                <c:pt idx="141">
                  <c:v>18.33</c:v>
                </c:pt>
                <c:pt idx="142">
                  <c:v>18.46</c:v>
                </c:pt>
                <c:pt idx="143">
                  <c:v>18.59</c:v>
                </c:pt>
                <c:pt idx="144">
                  <c:v>18.72</c:v>
                </c:pt>
                <c:pt idx="145">
                  <c:v>18.85</c:v>
                </c:pt>
                <c:pt idx="146">
                  <c:v>18.98</c:v>
                </c:pt>
                <c:pt idx="147">
                  <c:v>19.11</c:v>
                </c:pt>
                <c:pt idx="148">
                  <c:v>19.24</c:v>
                </c:pt>
                <c:pt idx="149">
                  <c:v>19.37</c:v>
                </c:pt>
                <c:pt idx="150">
                  <c:v>19.5</c:v>
                </c:pt>
                <c:pt idx="151">
                  <c:v>19.63</c:v>
                </c:pt>
                <c:pt idx="152">
                  <c:v>19.76</c:v>
                </c:pt>
                <c:pt idx="153">
                  <c:v>19.89</c:v>
                </c:pt>
                <c:pt idx="154">
                  <c:v>20.02</c:v>
                </c:pt>
                <c:pt idx="155">
                  <c:v>20.15</c:v>
                </c:pt>
                <c:pt idx="156">
                  <c:v>20.28</c:v>
                </c:pt>
                <c:pt idx="157">
                  <c:v>20.41</c:v>
                </c:pt>
                <c:pt idx="158">
                  <c:v>20.54</c:v>
                </c:pt>
                <c:pt idx="159">
                  <c:v>20.67</c:v>
                </c:pt>
                <c:pt idx="160">
                  <c:v>20.8</c:v>
                </c:pt>
                <c:pt idx="161">
                  <c:v>20.93</c:v>
                </c:pt>
                <c:pt idx="162">
                  <c:v>21.06</c:v>
                </c:pt>
                <c:pt idx="163">
                  <c:v>21.19</c:v>
                </c:pt>
                <c:pt idx="164">
                  <c:v>21.32</c:v>
                </c:pt>
                <c:pt idx="165">
                  <c:v>21.45</c:v>
                </c:pt>
                <c:pt idx="166">
                  <c:v>21.58</c:v>
                </c:pt>
                <c:pt idx="167">
                  <c:v>21.71</c:v>
                </c:pt>
                <c:pt idx="168">
                  <c:v>21.84</c:v>
                </c:pt>
                <c:pt idx="169">
                  <c:v>21.97</c:v>
                </c:pt>
                <c:pt idx="170">
                  <c:v>22.1</c:v>
                </c:pt>
                <c:pt idx="171">
                  <c:v>22.23</c:v>
                </c:pt>
                <c:pt idx="172">
                  <c:v>22.36</c:v>
                </c:pt>
                <c:pt idx="173">
                  <c:v>22.49</c:v>
                </c:pt>
                <c:pt idx="174">
                  <c:v>22.62</c:v>
                </c:pt>
                <c:pt idx="175">
                  <c:v>22.75</c:v>
                </c:pt>
                <c:pt idx="176">
                  <c:v>22.88</c:v>
                </c:pt>
                <c:pt idx="177">
                  <c:v>23.01</c:v>
                </c:pt>
                <c:pt idx="178">
                  <c:v>23.14</c:v>
                </c:pt>
                <c:pt idx="179">
                  <c:v>23.27</c:v>
                </c:pt>
                <c:pt idx="180">
                  <c:v>23.4</c:v>
                </c:pt>
                <c:pt idx="181">
                  <c:v>23.53</c:v>
                </c:pt>
                <c:pt idx="182">
                  <c:v>23.66</c:v>
                </c:pt>
                <c:pt idx="183">
                  <c:v>23.79</c:v>
                </c:pt>
                <c:pt idx="184">
                  <c:v>23.92</c:v>
                </c:pt>
                <c:pt idx="185">
                  <c:v>24.05</c:v>
                </c:pt>
                <c:pt idx="186">
                  <c:v>24.18</c:v>
                </c:pt>
                <c:pt idx="187">
                  <c:v>24.31</c:v>
                </c:pt>
                <c:pt idx="188">
                  <c:v>24.44</c:v>
                </c:pt>
                <c:pt idx="189">
                  <c:v>24.57</c:v>
                </c:pt>
                <c:pt idx="190">
                  <c:v>24.7</c:v>
                </c:pt>
                <c:pt idx="191">
                  <c:v>24.83</c:v>
                </c:pt>
                <c:pt idx="192">
                  <c:v>24.96</c:v>
                </c:pt>
                <c:pt idx="193">
                  <c:v>25.09</c:v>
                </c:pt>
                <c:pt idx="194">
                  <c:v>25.22</c:v>
                </c:pt>
                <c:pt idx="195">
                  <c:v>25.35</c:v>
                </c:pt>
                <c:pt idx="196">
                  <c:v>25.48</c:v>
                </c:pt>
                <c:pt idx="197">
                  <c:v>25.61</c:v>
                </c:pt>
                <c:pt idx="198">
                  <c:v>25.74</c:v>
                </c:pt>
                <c:pt idx="199">
                  <c:v>25.87</c:v>
                </c:pt>
                <c:pt idx="200">
                  <c:v>26</c:v>
                </c:pt>
                <c:pt idx="201">
                  <c:v>26.13</c:v>
                </c:pt>
                <c:pt idx="202">
                  <c:v>26.26</c:v>
                </c:pt>
                <c:pt idx="203">
                  <c:v>26.39</c:v>
                </c:pt>
                <c:pt idx="204">
                  <c:v>26.52</c:v>
                </c:pt>
                <c:pt idx="205">
                  <c:v>26.65</c:v>
                </c:pt>
                <c:pt idx="206">
                  <c:v>26.78</c:v>
                </c:pt>
                <c:pt idx="207">
                  <c:v>26.91</c:v>
                </c:pt>
                <c:pt idx="208">
                  <c:v>27.04</c:v>
                </c:pt>
                <c:pt idx="209">
                  <c:v>27.17</c:v>
                </c:pt>
                <c:pt idx="210">
                  <c:v>27.3</c:v>
                </c:pt>
                <c:pt idx="211">
                  <c:v>27.43</c:v>
                </c:pt>
                <c:pt idx="212">
                  <c:v>27.56</c:v>
                </c:pt>
                <c:pt idx="213">
                  <c:v>27.69</c:v>
                </c:pt>
                <c:pt idx="214">
                  <c:v>27.82</c:v>
                </c:pt>
                <c:pt idx="215">
                  <c:v>27.95</c:v>
                </c:pt>
                <c:pt idx="216">
                  <c:v>28.08</c:v>
                </c:pt>
                <c:pt idx="217">
                  <c:v>28.21</c:v>
                </c:pt>
                <c:pt idx="218">
                  <c:v>28.34</c:v>
                </c:pt>
                <c:pt idx="219">
                  <c:v>28.47</c:v>
                </c:pt>
                <c:pt idx="220">
                  <c:v>28.6</c:v>
                </c:pt>
                <c:pt idx="221">
                  <c:v>28.73</c:v>
                </c:pt>
                <c:pt idx="222">
                  <c:v>28.86</c:v>
                </c:pt>
                <c:pt idx="223">
                  <c:v>28.99</c:v>
                </c:pt>
                <c:pt idx="224">
                  <c:v>29.12</c:v>
                </c:pt>
                <c:pt idx="225">
                  <c:v>29.25</c:v>
                </c:pt>
                <c:pt idx="226">
                  <c:v>29.38</c:v>
                </c:pt>
                <c:pt idx="227">
                  <c:v>29.51</c:v>
                </c:pt>
                <c:pt idx="228">
                  <c:v>29.64</c:v>
                </c:pt>
                <c:pt idx="229">
                  <c:v>29.77</c:v>
                </c:pt>
                <c:pt idx="230">
                  <c:v>29.9</c:v>
                </c:pt>
                <c:pt idx="231">
                  <c:v>30.03</c:v>
                </c:pt>
                <c:pt idx="232">
                  <c:v>30.16</c:v>
                </c:pt>
                <c:pt idx="233">
                  <c:v>30.29</c:v>
                </c:pt>
                <c:pt idx="234">
                  <c:v>30.42</c:v>
                </c:pt>
                <c:pt idx="235">
                  <c:v>30.55</c:v>
                </c:pt>
                <c:pt idx="236">
                  <c:v>30.68</c:v>
                </c:pt>
                <c:pt idx="237">
                  <c:v>30.81</c:v>
                </c:pt>
                <c:pt idx="238">
                  <c:v>30.94</c:v>
                </c:pt>
                <c:pt idx="239">
                  <c:v>31.07</c:v>
                </c:pt>
                <c:pt idx="240">
                  <c:v>31.2</c:v>
                </c:pt>
                <c:pt idx="241">
                  <c:v>31.33</c:v>
                </c:pt>
                <c:pt idx="242">
                  <c:v>31.46</c:v>
                </c:pt>
                <c:pt idx="243">
                  <c:v>31.59</c:v>
                </c:pt>
                <c:pt idx="244">
                  <c:v>31.72</c:v>
                </c:pt>
                <c:pt idx="245">
                  <c:v>31.85</c:v>
                </c:pt>
                <c:pt idx="246">
                  <c:v>31.98</c:v>
                </c:pt>
                <c:pt idx="247">
                  <c:v>32.11</c:v>
                </c:pt>
                <c:pt idx="248">
                  <c:v>32.24</c:v>
                </c:pt>
                <c:pt idx="249">
                  <c:v>32.37</c:v>
                </c:pt>
                <c:pt idx="250">
                  <c:v>32.5</c:v>
                </c:pt>
                <c:pt idx="251">
                  <c:v>32.63</c:v>
                </c:pt>
                <c:pt idx="252">
                  <c:v>32.76</c:v>
                </c:pt>
                <c:pt idx="253">
                  <c:v>32.89</c:v>
                </c:pt>
                <c:pt idx="254">
                  <c:v>33.02</c:v>
                </c:pt>
                <c:pt idx="255">
                  <c:v>33.15</c:v>
                </c:pt>
                <c:pt idx="256">
                  <c:v>33.28</c:v>
                </c:pt>
                <c:pt idx="257">
                  <c:v>33.41</c:v>
                </c:pt>
                <c:pt idx="258">
                  <c:v>33.54</c:v>
                </c:pt>
                <c:pt idx="259">
                  <c:v>33.67</c:v>
                </c:pt>
                <c:pt idx="260">
                  <c:v>33.8</c:v>
                </c:pt>
                <c:pt idx="261">
                  <c:v>33.9300000000003</c:v>
                </c:pt>
                <c:pt idx="262">
                  <c:v>34.06</c:v>
                </c:pt>
                <c:pt idx="263">
                  <c:v>34.1900000000003</c:v>
                </c:pt>
                <c:pt idx="264">
                  <c:v>34.32</c:v>
                </c:pt>
                <c:pt idx="265">
                  <c:v>34.4500000000003</c:v>
                </c:pt>
                <c:pt idx="266">
                  <c:v>34.58</c:v>
                </c:pt>
                <c:pt idx="267">
                  <c:v>34.7100000000003</c:v>
                </c:pt>
                <c:pt idx="268">
                  <c:v>34.84</c:v>
                </c:pt>
                <c:pt idx="269">
                  <c:v>34.9700000000003</c:v>
                </c:pt>
                <c:pt idx="270">
                  <c:v>35.1000000000003</c:v>
                </c:pt>
                <c:pt idx="271">
                  <c:v>35.2300000000003</c:v>
                </c:pt>
                <c:pt idx="272">
                  <c:v>35.3600000000003</c:v>
                </c:pt>
                <c:pt idx="273">
                  <c:v>35.4900000000003</c:v>
                </c:pt>
                <c:pt idx="274">
                  <c:v>35.6200000000003</c:v>
                </c:pt>
                <c:pt idx="275">
                  <c:v>35.7500000000003</c:v>
                </c:pt>
                <c:pt idx="276">
                  <c:v>35.8800000000003</c:v>
                </c:pt>
                <c:pt idx="277">
                  <c:v>36.0100000000003</c:v>
                </c:pt>
                <c:pt idx="278">
                  <c:v>36.1400000000003</c:v>
                </c:pt>
                <c:pt idx="279">
                  <c:v>36.2700000000003</c:v>
                </c:pt>
                <c:pt idx="280">
                  <c:v>36.4000000000003</c:v>
                </c:pt>
                <c:pt idx="281">
                  <c:v>36.5300000000003</c:v>
                </c:pt>
                <c:pt idx="282">
                  <c:v>36.6600000000003</c:v>
                </c:pt>
                <c:pt idx="283">
                  <c:v>36.7900000000003</c:v>
                </c:pt>
                <c:pt idx="284">
                  <c:v>36.9200000000003</c:v>
                </c:pt>
                <c:pt idx="285">
                  <c:v>37.0500000000003</c:v>
                </c:pt>
                <c:pt idx="286">
                  <c:v>37.1800000000003</c:v>
                </c:pt>
                <c:pt idx="287">
                  <c:v>37.3100000000003</c:v>
                </c:pt>
                <c:pt idx="288">
                  <c:v>37.4400000000003</c:v>
                </c:pt>
                <c:pt idx="289">
                  <c:v>37.5700000000003</c:v>
                </c:pt>
                <c:pt idx="290">
                  <c:v>37.7000000000003</c:v>
                </c:pt>
                <c:pt idx="291">
                  <c:v>37.8300000000003</c:v>
                </c:pt>
                <c:pt idx="292">
                  <c:v>37.9600000000003</c:v>
                </c:pt>
                <c:pt idx="293">
                  <c:v>38.0900000000003</c:v>
                </c:pt>
                <c:pt idx="294">
                  <c:v>38.2200000000003</c:v>
                </c:pt>
                <c:pt idx="295">
                  <c:v>38.3500000000003</c:v>
                </c:pt>
                <c:pt idx="296">
                  <c:v>38.4800000000003</c:v>
                </c:pt>
                <c:pt idx="297">
                  <c:v>38.6100000000003</c:v>
                </c:pt>
                <c:pt idx="298">
                  <c:v>38.7400000000003</c:v>
                </c:pt>
                <c:pt idx="299">
                  <c:v>38.8700000000003</c:v>
                </c:pt>
                <c:pt idx="300">
                  <c:v>39.0000000000003</c:v>
                </c:pt>
                <c:pt idx="301">
                  <c:v>39.1300000000003</c:v>
                </c:pt>
                <c:pt idx="302">
                  <c:v>39.2600000000003</c:v>
                </c:pt>
                <c:pt idx="303">
                  <c:v>39.3900000000003</c:v>
                </c:pt>
                <c:pt idx="304">
                  <c:v>39.5200000000003</c:v>
                </c:pt>
                <c:pt idx="305">
                  <c:v>39.6500000000003</c:v>
                </c:pt>
                <c:pt idx="306">
                  <c:v>39.7800000000003</c:v>
                </c:pt>
                <c:pt idx="307">
                  <c:v>39.9100000000003</c:v>
                </c:pt>
                <c:pt idx="308">
                  <c:v>40.0400000000003</c:v>
                </c:pt>
                <c:pt idx="309">
                  <c:v>40.1700000000003</c:v>
                </c:pt>
                <c:pt idx="310">
                  <c:v>40.3000000000003</c:v>
                </c:pt>
                <c:pt idx="311">
                  <c:v>40.4300000000003</c:v>
                </c:pt>
                <c:pt idx="312">
                  <c:v>40.5600000000003</c:v>
                </c:pt>
                <c:pt idx="313">
                  <c:v>40.6900000000003</c:v>
                </c:pt>
                <c:pt idx="314">
                  <c:v>40.8200000000003</c:v>
                </c:pt>
                <c:pt idx="315">
                  <c:v>40.9500000000003</c:v>
                </c:pt>
                <c:pt idx="316">
                  <c:v>41.0800000000003</c:v>
                </c:pt>
                <c:pt idx="317">
                  <c:v>41.2100000000003</c:v>
                </c:pt>
                <c:pt idx="318">
                  <c:v>41.3400000000003</c:v>
                </c:pt>
                <c:pt idx="319">
                  <c:v>41.4700000000003</c:v>
                </c:pt>
                <c:pt idx="320">
                  <c:v>41.6000000000003</c:v>
                </c:pt>
                <c:pt idx="321">
                  <c:v>41.7300000000003</c:v>
                </c:pt>
                <c:pt idx="322">
                  <c:v>41.8600000000003</c:v>
                </c:pt>
                <c:pt idx="323">
                  <c:v>41.9900000000003</c:v>
                </c:pt>
                <c:pt idx="324">
                  <c:v>42.1200000000003</c:v>
                </c:pt>
                <c:pt idx="325">
                  <c:v>42.2500000000003</c:v>
                </c:pt>
                <c:pt idx="326">
                  <c:v>42.3800000000003</c:v>
                </c:pt>
                <c:pt idx="327">
                  <c:v>42.5100000000003</c:v>
                </c:pt>
                <c:pt idx="328">
                  <c:v>42.6400000000003</c:v>
                </c:pt>
                <c:pt idx="329">
                  <c:v>42.7700000000003</c:v>
                </c:pt>
                <c:pt idx="330">
                  <c:v>42.9000000000003</c:v>
                </c:pt>
                <c:pt idx="331">
                  <c:v>43.0300000000003</c:v>
                </c:pt>
                <c:pt idx="332">
                  <c:v>43.1600000000003</c:v>
                </c:pt>
                <c:pt idx="333">
                  <c:v>43.2900000000003</c:v>
                </c:pt>
                <c:pt idx="334">
                  <c:v>43.4200000000003</c:v>
                </c:pt>
                <c:pt idx="335">
                  <c:v>43.5500000000003</c:v>
                </c:pt>
                <c:pt idx="336">
                  <c:v>43.6800000000003</c:v>
                </c:pt>
                <c:pt idx="337">
                  <c:v>43.8100000000003</c:v>
                </c:pt>
                <c:pt idx="338">
                  <c:v>43.9400000000003</c:v>
                </c:pt>
                <c:pt idx="339">
                  <c:v>44.0700000000003</c:v>
                </c:pt>
                <c:pt idx="340">
                  <c:v>44.2000000000003</c:v>
                </c:pt>
                <c:pt idx="341">
                  <c:v>44.3300000000003</c:v>
                </c:pt>
                <c:pt idx="342">
                  <c:v>44.4600000000003</c:v>
                </c:pt>
                <c:pt idx="343">
                  <c:v>44.5900000000003</c:v>
                </c:pt>
                <c:pt idx="344">
                  <c:v>44.7200000000003</c:v>
                </c:pt>
                <c:pt idx="345">
                  <c:v>44.8500000000003</c:v>
                </c:pt>
                <c:pt idx="346">
                  <c:v>44.9800000000003</c:v>
                </c:pt>
                <c:pt idx="347">
                  <c:v>45.1100000000003</c:v>
                </c:pt>
                <c:pt idx="348">
                  <c:v>45.2400000000003</c:v>
                </c:pt>
                <c:pt idx="349">
                  <c:v>45.3700000000003</c:v>
                </c:pt>
                <c:pt idx="350">
                  <c:v>45.5000000000005</c:v>
                </c:pt>
                <c:pt idx="351">
                  <c:v>45.6300000000003</c:v>
                </c:pt>
                <c:pt idx="352">
                  <c:v>45.7600000000003</c:v>
                </c:pt>
                <c:pt idx="353">
                  <c:v>45.8900000000005</c:v>
                </c:pt>
                <c:pt idx="354">
                  <c:v>46.0200000000005</c:v>
                </c:pt>
                <c:pt idx="355">
                  <c:v>46.1500000000005</c:v>
                </c:pt>
                <c:pt idx="356">
                  <c:v>46.2800000000005</c:v>
                </c:pt>
                <c:pt idx="357">
                  <c:v>46.4100000000005</c:v>
                </c:pt>
                <c:pt idx="358">
                  <c:v>46.5400000000005</c:v>
                </c:pt>
                <c:pt idx="359">
                  <c:v>46.6700000000005</c:v>
                </c:pt>
                <c:pt idx="360">
                  <c:v>46.8000000000005</c:v>
                </c:pt>
                <c:pt idx="361">
                  <c:v>46.9300000000005</c:v>
                </c:pt>
                <c:pt idx="362">
                  <c:v>47.0600000000005</c:v>
                </c:pt>
                <c:pt idx="363">
                  <c:v>47.1900000000005</c:v>
                </c:pt>
                <c:pt idx="364">
                  <c:v>47.3200000000005</c:v>
                </c:pt>
                <c:pt idx="365">
                  <c:v>47.4500000000005</c:v>
                </c:pt>
                <c:pt idx="366">
                  <c:v>47.5800000000005</c:v>
                </c:pt>
                <c:pt idx="367">
                  <c:v>47.7100000000005</c:v>
                </c:pt>
                <c:pt idx="368">
                  <c:v>47.8400000000005</c:v>
                </c:pt>
                <c:pt idx="369">
                  <c:v>47.9700000000005</c:v>
                </c:pt>
                <c:pt idx="370">
                  <c:v>48.1000000000005</c:v>
                </c:pt>
                <c:pt idx="371">
                  <c:v>48.2300000000005</c:v>
                </c:pt>
                <c:pt idx="372">
                  <c:v>48.3600000000005</c:v>
                </c:pt>
                <c:pt idx="373">
                  <c:v>48.4900000000005</c:v>
                </c:pt>
                <c:pt idx="374">
                  <c:v>48.6200000000005</c:v>
                </c:pt>
                <c:pt idx="375">
                  <c:v>48.7500000000005</c:v>
                </c:pt>
                <c:pt idx="376">
                  <c:v>48.8800000000005</c:v>
                </c:pt>
                <c:pt idx="377">
                  <c:v>49.0100000000005</c:v>
                </c:pt>
                <c:pt idx="378">
                  <c:v>49.1400000000005</c:v>
                </c:pt>
                <c:pt idx="379">
                  <c:v>49.2700000000005</c:v>
                </c:pt>
                <c:pt idx="380">
                  <c:v>49.4000000000005</c:v>
                </c:pt>
                <c:pt idx="381">
                  <c:v>49.5300000000005</c:v>
                </c:pt>
                <c:pt idx="382">
                  <c:v>49.6600000000005</c:v>
                </c:pt>
                <c:pt idx="383">
                  <c:v>49.7900000000005</c:v>
                </c:pt>
                <c:pt idx="384">
                  <c:v>49.9200000000005</c:v>
                </c:pt>
                <c:pt idx="385">
                  <c:v>50.0500000000005</c:v>
                </c:pt>
                <c:pt idx="386">
                  <c:v>50.1800000000005</c:v>
                </c:pt>
                <c:pt idx="387">
                  <c:v>50.3100000000005</c:v>
                </c:pt>
                <c:pt idx="388">
                  <c:v>50.4400000000005</c:v>
                </c:pt>
                <c:pt idx="389">
                  <c:v>50.5700000000005</c:v>
                </c:pt>
                <c:pt idx="390">
                  <c:v>50.7000000000005</c:v>
                </c:pt>
                <c:pt idx="391">
                  <c:v>50.8300000000005</c:v>
                </c:pt>
                <c:pt idx="392">
                  <c:v>50.9600000000005</c:v>
                </c:pt>
                <c:pt idx="393">
                  <c:v>51.0900000000005</c:v>
                </c:pt>
                <c:pt idx="394">
                  <c:v>51.2200000000005</c:v>
                </c:pt>
                <c:pt idx="395">
                  <c:v>51.3500000000005</c:v>
                </c:pt>
                <c:pt idx="396">
                  <c:v>51.4800000000005</c:v>
                </c:pt>
                <c:pt idx="397">
                  <c:v>51.6100000000005</c:v>
                </c:pt>
                <c:pt idx="398">
                  <c:v>51.7400000000005</c:v>
                </c:pt>
                <c:pt idx="399">
                  <c:v>51.8700000000005</c:v>
                </c:pt>
                <c:pt idx="400">
                  <c:v>52.0000000000005</c:v>
                </c:pt>
                <c:pt idx="401">
                  <c:v>52.1300000000005</c:v>
                </c:pt>
                <c:pt idx="402">
                  <c:v>52.2600000000005</c:v>
                </c:pt>
                <c:pt idx="403">
                  <c:v>52.3900000000005</c:v>
                </c:pt>
                <c:pt idx="404">
                  <c:v>52.5200000000005</c:v>
                </c:pt>
                <c:pt idx="405">
                  <c:v>52.6500000000005</c:v>
                </c:pt>
                <c:pt idx="406">
                  <c:v>52.7800000000005</c:v>
                </c:pt>
                <c:pt idx="407">
                  <c:v>52.9100000000005</c:v>
                </c:pt>
                <c:pt idx="408">
                  <c:v>53.0400000000005</c:v>
                </c:pt>
                <c:pt idx="409">
                  <c:v>53.1700000000005</c:v>
                </c:pt>
                <c:pt idx="410">
                  <c:v>53.3000000000005</c:v>
                </c:pt>
                <c:pt idx="411">
                  <c:v>53.4300000000005</c:v>
                </c:pt>
                <c:pt idx="412">
                  <c:v>53.5600000000005</c:v>
                </c:pt>
                <c:pt idx="413">
                  <c:v>53.6900000000005</c:v>
                </c:pt>
                <c:pt idx="414">
                  <c:v>53.8200000000005</c:v>
                </c:pt>
                <c:pt idx="415">
                  <c:v>53.9500000000005</c:v>
                </c:pt>
                <c:pt idx="416">
                  <c:v>54.0800000000005</c:v>
                </c:pt>
                <c:pt idx="417">
                  <c:v>54.2100000000005</c:v>
                </c:pt>
                <c:pt idx="418">
                  <c:v>54.3400000000005</c:v>
                </c:pt>
                <c:pt idx="419">
                  <c:v>54.4700000000005</c:v>
                </c:pt>
                <c:pt idx="420">
                  <c:v>54.6000000000005</c:v>
                </c:pt>
                <c:pt idx="421">
                  <c:v>54.7300000000005</c:v>
                </c:pt>
                <c:pt idx="422">
                  <c:v>54.8600000000005</c:v>
                </c:pt>
                <c:pt idx="423">
                  <c:v>54.9900000000005</c:v>
                </c:pt>
                <c:pt idx="424">
                  <c:v>55.1200000000005</c:v>
                </c:pt>
                <c:pt idx="425">
                  <c:v>55.2500000000005</c:v>
                </c:pt>
                <c:pt idx="426">
                  <c:v>55.3800000000005</c:v>
                </c:pt>
                <c:pt idx="427">
                  <c:v>55.5100000000005</c:v>
                </c:pt>
                <c:pt idx="428">
                  <c:v>55.6400000000005</c:v>
                </c:pt>
                <c:pt idx="429">
                  <c:v>55.7700000000005</c:v>
                </c:pt>
                <c:pt idx="430">
                  <c:v>55.9000000000005</c:v>
                </c:pt>
                <c:pt idx="431">
                  <c:v>56.0300000000005</c:v>
                </c:pt>
                <c:pt idx="432">
                  <c:v>56.1600000000005</c:v>
                </c:pt>
                <c:pt idx="433">
                  <c:v>56.2900000000005</c:v>
                </c:pt>
                <c:pt idx="434">
                  <c:v>56.4200000000005</c:v>
                </c:pt>
                <c:pt idx="435">
                  <c:v>56.5500000000005</c:v>
                </c:pt>
                <c:pt idx="436">
                  <c:v>56.6800000000005</c:v>
                </c:pt>
                <c:pt idx="437">
                  <c:v>56.8100000000005</c:v>
                </c:pt>
                <c:pt idx="438">
                  <c:v>56.9400000000005</c:v>
                </c:pt>
                <c:pt idx="439">
                  <c:v>57.0700000000005</c:v>
                </c:pt>
                <c:pt idx="440">
                  <c:v>57.2000000000005</c:v>
                </c:pt>
                <c:pt idx="441">
                  <c:v>57.3300000000005</c:v>
                </c:pt>
                <c:pt idx="442">
                  <c:v>57.4600000000005</c:v>
                </c:pt>
                <c:pt idx="443">
                  <c:v>57.5900000000005</c:v>
                </c:pt>
                <c:pt idx="444">
                  <c:v>57.7200000000005</c:v>
                </c:pt>
                <c:pt idx="445">
                  <c:v>57.8500000000005</c:v>
                </c:pt>
                <c:pt idx="446">
                  <c:v>57.9800000000005</c:v>
                </c:pt>
                <c:pt idx="447">
                  <c:v>58.1100000000005</c:v>
                </c:pt>
                <c:pt idx="448">
                  <c:v>58.2400000000005</c:v>
                </c:pt>
                <c:pt idx="449">
                  <c:v>58.3700000000005</c:v>
                </c:pt>
                <c:pt idx="450">
                  <c:v>58.5000000000005</c:v>
                </c:pt>
                <c:pt idx="451">
                  <c:v>58.6300000000005</c:v>
                </c:pt>
                <c:pt idx="452">
                  <c:v>58.7600000000005</c:v>
                </c:pt>
                <c:pt idx="453">
                  <c:v>58.8900000000005</c:v>
                </c:pt>
                <c:pt idx="454">
                  <c:v>59.0200000000005</c:v>
                </c:pt>
                <c:pt idx="455">
                  <c:v>59.1500000000005</c:v>
                </c:pt>
                <c:pt idx="456">
                  <c:v>59.2800000000003</c:v>
                </c:pt>
                <c:pt idx="457">
                  <c:v>59.4100000000005</c:v>
                </c:pt>
                <c:pt idx="458">
                  <c:v>59.5400000000005</c:v>
                </c:pt>
                <c:pt idx="459">
                  <c:v>59.6700000000005</c:v>
                </c:pt>
                <c:pt idx="460">
                  <c:v>59.8000000000003</c:v>
                </c:pt>
                <c:pt idx="461">
                  <c:v>59.9300000000003</c:v>
                </c:pt>
                <c:pt idx="462">
                  <c:v>60.0600000000005</c:v>
                </c:pt>
                <c:pt idx="463">
                  <c:v>60.1900000000005</c:v>
                </c:pt>
                <c:pt idx="464">
                  <c:v>60.3200000000003</c:v>
                </c:pt>
                <c:pt idx="465">
                  <c:v>60.4500000000003</c:v>
                </c:pt>
                <c:pt idx="466">
                  <c:v>60.5800000000003</c:v>
                </c:pt>
                <c:pt idx="467">
                  <c:v>60.7100000000003</c:v>
                </c:pt>
                <c:pt idx="468">
                  <c:v>60.8400000000003</c:v>
                </c:pt>
                <c:pt idx="469">
                  <c:v>60.9700000000003</c:v>
                </c:pt>
                <c:pt idx="470">
                  <c:v>61.1000000000003</c:v>
                </c:pt>
                <c:pt idx="471">
                  <c:v>61.2300000000003</c:v>
                </c:pt>
                <c:pt idx="472">
                  <c:v>61.3600000000003</c:v>
                </c:pt>
                <c:pt idx="473">
                  <c:v>61.4900000000003</c:v>
                </c:pt>
                <c:pt idx="474">
                  <c:v>61.6200000000003</c:v>
                </c:pt>
                <c:pt idx="475">
                  <c:v>61.7500000000003</c:v>
                </c:pt>
                <c:pt idx="476">
                  <c:v>61.8800000000003</c:v>
                </c:pt>
                <c:pt idx="477">
                  <c:v>62.0100000000003</c:v>
                </c:pt>
                <c:pt idx="478">
                  <c:v>62.1400000000003</c:v>
                </c:pt>
                <c:pt idx="479">
                  <c:v>62.2700000000003</c:v>
                </c:pt>
                <c:pt idx="480">
                  <c:v>62.4000000000003</c:v>
                </c:pt>
                <c:pt idx="481">
                  <c:v>62.5300000000003</c:v>
                </c:pt>
                <c:pt idx="482">
                  <c:v>62.6600000000003</c:v>
                </c:pt>
                <c:pt idx="483">
                  <c:v>62.7900000000003</c:v>
                </c:pt>
                <c:pt idx="484">
                  <c:v>62.9200000000003</c:v>
                </c:pt>
                <c:pt idx="485">
                  <c:v>63.0500000000003</c:v>
                </c:pt>
                <c:pt idx="486">
                  <c:v>63.1800000000003</c:v>
                </c:pt>
                <c:pt idx="487">
                  <c:v>63.3100000000003</c:v>
                </c:pt>
                <c:pt idx="488">
                  <c:v>63.4400000000003</c:v>
                </c:pt>
                <c:pt idx="489">
                  <c:v>63.5700000000003</c:v>
                </c:pt>
                <c:pt idx="490">
                  <c:v>63.7000000000003</c:v>
                </c:pt>
                <c:pt idx="491">
                  <c:v>63.8300000000003</c:v>
                </c:pt>
                <c:pt idx="492">
                  <c:v>63.9600000000003</c:v>
                </c:pt>
                <c:pt idx="493">
                  <c:v>64.0900000000003</c:v>
                </c:pt>
                <c:pt idx="494">
                  <c:v>64.2200000000003</c:v>
                </c:pt>
                <c:pt idx="495">
                  <c:v>64.3500000000003</c:v>
                </c:pt>
                <c:pt idx="496">
                  <c:v>64.4800000000003</c:v>
                </c:pt>
                <c:pt idx="497">
                  <c:v>64.6100000000003</c:v>
                </c:pt>
                <c:pt idx="498">
                  <c:v>64.7400000000003</c:v>
                </c:pt>
                <c:pt idx="499">
                  <c:v>64.8700000000003</c:v>
                </c:pt>
                <c:pt idx="500">
                  <c:v>65.0000000000003</c:v>
                </c:pt>
                <c:pt idx="501">
                  <c:v>65.1300000000003</c:v>
                </c:pt>
                <c:pt idx="502">
                  <c:v>65.2600000000003</c:v>
                </c:pt>
                <c:pt idx="503">
                  <c:v>65.3900000000003</c:v>
                </c:pt>
                <c:pt idx="504">
                  <c:v>65.5200000000003</c:v>
                </c:pt>
                <c:pt idx="505">
                  <c:v>65.6500000000003</c:v>
                </c:pt>
                <c:pt idx="506">
                  <c:v>65.7800000000003</c:v>
                </c:pt>
                <c:pt idx="507">
                  <c:v>65.9100000000003</c:v>
                </c:pt>
                <c:pt idx="508">
                  <c:v>66.0400000000003</c:v>
                </c:pt>
                <c:pt idx="509">
                  <c:v>66.1700000000003</c:v>
                </c:pt>
                <c:pt idx="510">
                  <c:v>66.3000000000003</c:v>
                </c:pt>
                <c:pt idx="511">
                  <c:v>66.4300000000003</c:v>
                </c:pt>
                <c:pt idx="512">
                  <c:v>66.5600000000003</c:v>
                </c:pt>
                <c:pt idx="513">
                  <c:v>66.6900000000003</c:v>
                </c:pt>
                <c:pt idx="514">
                  <c:v>66.8200000000003</c:v>
                </c:pt>
                <c:pt idx="515">
                  <c:v>66.9500000000003</c:v>
                </c:pt>
                <c:pt idx="516">
                  <c:v>67.0800000000003</c:v>
                </c:pt>
                <c:pt idx="517">
                  <c:v>67.2100000000003</c:v>
                </c:pt>
                <c:pt idx="518">
                  <c:v>67.3400000000003</c:v>
                </c:pt>
                <c:pt idx="519">
                  <c:v>67.4700000000003</c:v>
                </c:pt>
                <c:pt idx="520">
                  <c:v>67.6000000000003</c:v>
                </c:pt>
                <c:pt idx="521">
                  <c:v>67.7300000000003</c:v>
                </c:pt>
                <c:pt idx="522">
                  <c:v>67.8600000000003</c:v>
                </c:pt>
                <c:pt idx="523">
                  <c:v>67.9900000000003</c:v>
                </c:pt>
                <c:pt idx="524">
                  <c:v>68.1200000000003</c:v>
                </c:pt>
                <c:pt idx="525">
                  <c:v>68.2500000000003</c:v>
                </c:pt>
                <c:pt idx="526">
                  <c:v>68.3800000000003</c:v>
                </c:pt>
                <c:pt idx="527">
                  <c:v>68.5100000000003</c:v>
                </c:pt>
                <c:pt idx="528">
                  <c:v>68.6400000000003</c:v>
                </c:pt>
                <c:pt idx="529">
                  <c:v>68.7700000000003</c:v>
                </c:pt>
                <c:pt idx="530">
                  <c:v>68.9000000000003</c:v>
                </c:pt>
                <c:pt idx="531">
                  <c:v>69.0300000000003</c:v>
                </c:pt>
                <c:pt idx="532">
                  <c:v>69.1600000000003</c:v>
                </c:pt>
                <c:pt idx="533">
                  <c:v>69.2900000000003</c:v>
                </c:pt>
                <c:pt idx="534">
                  <c:v>69.4200000000003</c:v>
                </c:pt>
                <c:pt idx="535">
                  <c:v>69.5500000000003</c:v>
                </c:pt>
                <c:pt idx="536">
                  <c:v>69.6800000000003</c:v>
                </c:pt>
                <c:pt idx="537">
                  <c:v>69.8100000000003</c:v>
                </c:pt>
                <c:pt idx="538">
                  <c:v>69.9400000000003</c:v>
                </c:pt>
                <c:pt idx="539">
                  <c:v>70.0700000000003</c:v>
                </c:pt>
                <c:pt idx="540">
                  <c:v>70.2000000000003</c:v>
                </c:pt>
                <c:pt idx="541">
                  <c:v>70.3300000000003</c:v>
                </c:pt>
                <c:pt idx="542">
                  <c:v>70.4600000000003</c:v>
                </c:pt>
                <c:pt idx="543">
                  <c:v>70.5900000000003</c:v>
                </c:pt>
                <c:pt idx="544">
                  <c:v>70.7200000000003</c:v>
                </c:pt>
                <c:pt idx="545">
                  <c:v>70.8500000000003</c:v>
                </c:pt>
                <c:pt idx="546">
                  <c:v>70.9800000000003</c:v>
                </c:pt>
                <c:pt idx="547">
                  <c:v>71.1100000000003</c:v>
                </c:pt>
                <c:pt idx="548">
                  <c:v>71.2400000000003</c:v>
                </c:pt>
                <c:pt idx="549">
                  <c:v>71.37</c:v>
                </c:pt>
                <c:pt idx="550">
                  <c:v>71.5</c:v>
                </c:pt>
                <c:pt idx="551">
                  <c:v>71.6300000000003</c:v>
                </c:pt>
                <c:pt idx="552">
                  <c:v>71.7600000000003</c:v>
                </c:pt>
                <c:pt idx="553">
                  <c:v>71.8900000000003</c:v>
                </c:pt>
                <c:pt idx="554">
                  <c:v>72.02</c:v>
                </c:pt>
                <c:pt idx="555">
                  <c:v>72.15</c:v>
                </c:pt>
                <c:pt idx="556">
                  <c:v>72.2800000000003</c:v>
                </c:pt>
                <c:pt idx="557">
                  <c:v>72.4100000000003</c:v>
                </c:pt>
                <c:pt idx="558">
                  <c:v>72.54</c:v>
                </c:pt>
                <c:pt idx="559">
                  <c:v>72.67</c:v>
                </c:pt>
                <c:pt idx="560">
                  <c:v>72.8</c:v>
                </c:pt>
                <c:pt idx="561">
                  <c:v>72.93</c:v>
                </c:pt>
                <c:pt idx="562">
                  <c:v>73.06</c:v>
                </c:pt>
                <c:pt idx="563">
                  <c:v>73.19</c:v>
                </c:pt>
                <c:pt idx="564">
                  <c:v>73.32</c:v>
                </c:pt>
                <c:pt idx="565">
                  <c:v>73.45</c:v>
                </c:pt>
                <c:pt idx="566">
                  <c:v>73.58</c:v>
                </c:pt>
                <c:pt idx="567">
                  <c:v>73.71</c:v>
                </c:pt>
                <c:pt idx="568">
                  <c:v>73.84</c:v>
                </c:pt>
                <c:pt idx="569">
                  <c:v>73.97</c:v>
                </c:pt>
                <c:pt idx="570">
                  <c:v>74.1</c:v>
                </c:pt>
                <c:pt idx="571">
                  <c:v>74.23</c:v>
                </c:pt>
                <c:pt idx="572">
                  <c:v>74.36</c:v>
                </c:pt>
                <c:pt idx="573">
                  <c:v>74.49</c:v>
                </c:pt>
                <c:pt idx="574">
                  <c:v>74.62</c:v>
                </c:pt>
                <c:pt idx="575">
                  <c:v>74.75</c:v>
                </c:pt>
                <c:pt idx="576">
                  <c:v>74.88</c:v>
                </c:pt>
                <c:pt idx="577">
                  <c:v>75.01</c:v>
                </c:pt>
                <c:pt idx="578">
                  <c:v>75.14</c:v>
                </c:pt>
                <c:pt idx="579">
                  <c:v>75.27</c:v>
                </c:pt>
                <c:pt idx="580">
                  <c:v>75.4</c:v>
                </c:pt>
                <c:pt idx="581">
                  <c:v>75.53</c:v>
                </c:pt>
                <c:pt idx="582">
                  <c:v>75.66</c:v>
                </c:pt>
                <c:pt idx="583">
                  <c:v>75.79</c:v>
                </c:pt>
                <c:pt idx="584">
                  <c:v>75.92</c:v>
                </c:pt>
                <c:pt idx="585">
                  <c:v>76.05</c:v>
                </c:pt>
                <c:pt idx="586">
                  <c:v>76.18</c:v>
                </c:pt>
                <c:pt idx="587">
                  <c:v>76.31</c:v>
                </c:pt>
                <c:pt idx="588">
                  <c:v>76.44</c:v>
                </c:pt>
                <c:pt idx="589">
                  <c:v>76.57</c:v>
                </c:pt>
                <c:pt idx="590">
                  <c:v>76.7</c:v>
                </c:pt>
                <c:pt idx="591">
                  <c:v>76.83</c:v>
                </c:pt>
                <c:pt idx="592">
                  <c:v>76.96</c:v>
                </c:pt>
                <c:pt idx="593">
                  <c:v>77.09</c:v>
                </c:pt>
                <c:pt idx="594">
                  <c:v>77.22</c:v>
                </c:pt>
                <c:pt idx="595">
                  <c:v>77.35</c:v>
                </c:pt>
                <c:pt idx="596">
                  <c:v>77.48</c:v>
                </c:pt>
                <c:pt idx="597">
                  <c:v>77.61</c:v>
                </c:pt>
                <c:pt idx="598">
                  <c:v>77.74</c:v>
                </c:pt>
                <c:pt idx="599">
                  <c:v>77.87</c:v>
                </c:pt>
                <c:pt idx="600">
                  <c:v>78</c:v>
                </c:pt>
                <c:pt idx="601">
                  <c:v>78.13</c:v>
                </c:pt>
                <c:pt idx="602">
                  <c:v>78.26</c:v>
                </c:pt>
                <c:pt idx="603">
                  <c:v>78.39</c:v>
                </c:pt>
                <c:pt idx="604">
                  <c:v>78.52</c:v>
                </c:pt>
                <c:pt idx="605">
                  <c:v>78.65</c:v>
                </c:pt>
                <c:pt idx="606">
                  <c:v>78.78</c:v>
                </c:pt>
                <c:pt idx="607">
                  <c:v>78.91</c:v>
                </c:pt>
                <c:pt idx="608">
                  <c:v>79.04</c:v>
                </c:pt>
                <c:pt idx="609">
                  <c:v>79.17</c:v>
                </c:pt>
                <c:pt idx="610">
                  <c:v>79.3</c:v>
                </c:pt>
                <c:pt idx="611">
                  <c:v>79.43</c:v>
                </c:pt>
                <c:pt idx="612">
                  <c:v>79.56</c:v>
                </c:pt>
                <c:pt idx="613">
                  <c:v>79.69</c:v>
                </c:pt>
                <c:pt idx="614">
                  <c:v>79.82</c:v>
                </c:pt>
                <c:pt idx="615">
                  <c:v>79.95</c:v>
                </c:pt>
                <c:pt idx="616">
                  <c:v>80.08</c:v>
                </c:pt>
                <c:pt idx="617">
                  <c:v>80.21</c:v>
                </c:pt>
                <c:pt idx="618">
                  <c:v>80.34</c:v>
                </c:pt>
                <c:pt idx="619">
                  <c:v>80.47</c:v>
                </c:pt>
                <c:pt idx="620">
                  <c:v>80.6</c:v>
                </c:pt>
                <c:pt idx="621">
                  <c:v>80.73</c:v>
                </c:pt>
                <c:pt idx="622">
                  <c:v>80.86</c:v>
                </c:pt>
                <c:pt idx="623">
                  <c:v>80.99</c:v>
                </c:pt>
                <c:pt idx="624">
                  <c:v>81.12</c:v>
                </c:pt>
                <c:pt idx="625">
                  <c:v>81.25</c:v>
                </c:pt>
                <c:pt idx="626">
                  <c:v>81.38</c:v>
                </c:pt>
                <c:pt idx="627">
                  <c:v>81.51</c:v>
                </c:pt>
                <c:pt idx="628">
                  <c:v>81.64</c:v>
                </c:pt>
                <c:pt idx="629">
                  <c:v>81.77</c:v>
                </c:pt>
                <c:pt idx="630">
                  <c:v>81.9</c:v>
                </c:pt>
                <c:pt idx="631">
                  <c:v>82.03</c:v>
                </c:pt>
                <c:pt idx="632">
                  <c:v>82.16</c:v>
                </c:pt>
                <c:pt idx="633">
                  <c:v>82.29</c:v>
                </c:pt>
                <c:pt idx="634">
                  <c:v>82.42</c:v>
                </c:pt>
                <c:pt idx="635">
                  <c:v>82.55</c:v>
                </c:pt>
                <c:pt idx="636">
                  <c:v>82.68</c:v>
                </c:pt>
                <c:pt idx="637">
                  <c:v>82.81</c:v>
                </c:pt>
                <c:pt idx="638">
                  <c:v>82.94</c:v>
                </c:pt>
                <c:pt idx="639">
                  <c:v>83.07</c:v>
                </c:pt>
                <c:pt idx="640">
                  <c:v>83.2</c:v>
                </c:pt>
                <c:pt idx="641">
                  <c:v>83.33</c:v>
                </c:pt>
                <c:pt idx="642">
                  <c:v>83.46</c:v>
                </c:pt>
                <c:pt idx="643">
                  <c:v>83.59</c:v>
                </c:pt>
                <c:pt idx="644">
                  <c:v>83.72</c:v>
                </c:pt>
                <c:pt idx="645">
                  <c:v>83.85</c:v>
                </c:pt>
                <c:pt idx="646">
                  <c:v>83.98</c:v>
                </c:pt>
                <c:pt idx="647">
                  <c:v>84.1099999999997</c:v>
                </c:pt>
                <c:pt idx="648">
                  <c:v>84.2399999999997</c:v>
                </c:pt>
                <c:pt idx="649">
                  <c:v>84.3699999999997</c:v>
                </c:pt>
                <c:pt idx="650">
                  <c:v>84.4999999999997</c:v>
                </c:pt>
                <c:pt idx="651">
                  <c:v>84.6299999999997</c:v>
                </c:pt>
                <c:pt idx="652">
                  <c:v>84.7599999999997</c:v>
                </c:pt>
                <c:pt idx="653">
                  <c:v>84.8899999999997</c:v>
                </c:pt>
                <c:pt idx="654">
                  <c:v>85.0199999999997</c:v>
                </c:pt>
                <c:pt idx="655">
                  <c:v>85.1499999999998</c:v>
                </c:pt>
                <c:pt idx="656">
                  <c:v>85.2799999999998</c:v>
                </c:pt>
                <c:pt idx="657">
                  <c:v>85.4099999999997</c:v>
                </c:pt>
                <c:pt idx="658">
                  <c:v>85.5399999999997</c:v>
                </c:pt>
                <c:pt idx="659">
                  <c:v>85.6699999999998</c:v>
                </c:pt>
                <c:pt idx="660">
                  <c:v>85.7999999999997</c:v>
                </c:pt>
                <c:pt idx="661">
                  <c:v>85.9299999999997</c:v>
                </c:pt>
                <c:pt idx="662">
                  <c:v>86.0599999999997</c:v>
                </c:pt>
                <c:pt idx="663">
                  <c:v>86.1899999999997</c:v>
                </c:pt>
                <c:pt idx="664">
                  <c:v>86.3199999999997</c:v>
                </c:pt>
                <c:pt idx="665">
                  <c:v>86.4499999999997</c:v>
                </c:pt>
                <c:pt idx="666">
                  <c:v>86.5799999999997</c:v>
                </c:pt>
                <c:pt idx="667">
                  <c:v>86.7099999999998</c:v>
                </c:pt>
                <c:pt idx="668">
                  <c:v>86.8399999999998</c:v>
                </c:pt>
                <c:pt idx="669">
                  <c:v>86.9699999999997</c:v>
                </c:pt>
                <c:pt idx="670">
                  <c:v>87.0999999999997</c:v>
                </c:pt>
                <c:pt idx="671">
                  <c:v>87.2299999999998</c:v>
                </c:pt>
                <c:pt idx="672">
                  <c:v>87.3599999999997</c:v>
                </c:pt>
                <c:pt idx="673">
                  <c:v>87.4899999999997</c:v>
                </c:pt>
                <c:pt idx="674">
                  <c:v>87.6199999999997</c:v>
                </c:pt>
                <c:pt idx="675">
                  <c:v>87.7499999999997</c:v>
                </c:pt>
                <c:pt idx="676">
                  <c:v>87.8799999999997</c:v>
                </c:pt>
                <c:pt idx="677">
                  <c:v>88.0099999999997</c:v>
                </c:pt>
                <c:pt idx="678">
                  <c:v>88.1399999999997</c:v>
                </c:pt>
                <c:pt idx="679">
                  <c:v>88.2699999999997</c:v>
                </c:pt>
                <c:pt idx="680">
                  <c:v>88.3999999999998</c:v>
                </c:pt>
                <c:pt idx="681">
                  <c:v>88.5299999999998</c:v>
                </c:pt>
                <c:pt idx="682">
                  <c:v>88.6599999999997</c:v>
                </c:pt>
                <c:pt idx="683">
                  <c:v>88.7899999999997</c:v>
                </c:pt>
                <c:pt idx="684">
                  <c:v>88.9199999999998</c:v>
                </c:pt>
                <c:pt idx="685">
                  <c:v>89.0499999999997</c:v>
                </c:pt>
                <c:pt idx="686">
                  <c:v>89.1799999999997</c:v>
                </c:pt>
                <c:pt idx="687">
                  <c:v>89.3099999999997</c:v>
                </c:pt>
                <c:pt idx="688">
                  <c:v>89.4399999999997</c:v>
                </c:pt>
                <c:pt idx="689">
                  <c:v>89.5699999999997</c:v>
                </c:pt>
                <c:pt idx="690">
                  <c:v>89.6999999999997</c:v>
                </c:pt>
                <c:pt idx="691">
                  <c:v>89.8299999999997</c:v>
                </c:pt>
                <c:pt idx="692">
                  <c:v>89.9599999999998</c:v>
                </c:pt>
                <c:pt idx="693">
                  <c:v>90.0899999999998</c:v>
                </c:pt>
                <c:pt idx="694">
                  <c:v>90.2199999999997</c:v>
                </c:pt>
                <c:pt idx="695">
                  <c:v>90.3499999999997</c:v>
                </c:pt>
                <c:pt idx="696">
                  <c:v>90.4799999999998</c:v>
                </c:pt>
                <c:pt idx="697">
                  <c:v>90.6099999999997</c:v>
                </c:pt>
                <c:pt idx="698">
                  <c:v>90.7399999999997</c:v>
                </c:pt>
                <c:pt idx="699">
                  <c:v>90.8699999999997</c:v>
                </c:pt>
                <c:pt idx="700">
                  <c:v>90.9999999999997</c:v>
                </c:pt>
                <c:pt idx="701">
                  <c:v>91.1299999999997</c:v>
                </c:pt>
                <c:pt idx="702">
                  <c:v>91.2599999999997</c:v>
                </c:pt>
                <c:pt idx="703">
                  <c:v>91.3899999999997</c:v>
                </c:pt>
                <c:pt idx="704">
                  <c:v>91.5199999999997</c:v>
                </c:pt>
                <c:pt idx="705">
                  <c:v>91.6499999999998</c:v>
                </c:pt>
                <c:pt idx="706">
                  <c:v>91.7799999999998</c:v>
                </c:pt>
                <c:pt idx="707">
                  <c:v>91.9099999999997</c:v>
                </c:pt>
                <c:pt idx="708">
                  <c:v>92.0399999999997</c:v>
                </c:pt>
                <c:pt idx="709">
                  <c:v>92.1699999999998</c:v>
                </c:pt>
                <c:pt idx="710">
                  <c:v>92.2999999999997</c:v>
                </c:pt>
                <c:pt idx="711">
                  <c:v>92.4299999999997</c:v>
                </c:pt>
                <c:pt idx="712">
                  <c:v>92.5599999999997</c:v>
                </c:pt>
                <c:pt idx="713">
                  <c:v>92.6899999999997</c:v>
                </c:pt>
                <c:pt idx="714">
                  <c:v>92.8199999999997</c:v>
                </c:pt>
                <c:pt idx="715">
                  <c:v>92.9499999999997</c:v>
                </c:pt>
                <c:pt idx="716">
                  <c:v>93.0799999999997</c:v>
                </c:pt>
                <c:pt idx="717">
                  <c:v>93.2099999999998</c:v>
                </c:pt>
                <c:pt idx="718">
                  <c:v>93.3399999999998</c:v>
                </c:pt>
                <c:pt idx="719">
                  <c:v>93.4699999999997</c:v>
                </c:pt>
                <c:pt idx="720">
                  <c:v>93.5999999999997</c:v>
                </c:pt>
                <c:pt idx="721">
                  <c:v>93.7299999999998</c:v>
                </c:pt>
                <c:pt idx="722">
                  <c:v>93.8599999999997</c:v>
                </c:pt>
                <c:pt idx="723">
                  <c:v>93.9899999999997</c:v>
                </c:pt>
                <c:pt idx="724">
                  <c:v>94.1199999999997</c:v>
                </c:pt>
                <c:pt idx="725">
                  <c:v>94.2499999999997</c:v>
                </c:pt>
                <c:pt idx="726">
                  <c:v>94.3799999999997</c:v>
                </c:pt>
                <c:pt idx="727">
                  <c:v>94.5099999999997</c:v>
                </c:pt>
                <c:pt idx="728">
                  <c:v>94.6399999999997</c:v>
                </c:pt>
                <c:pt idx="729">
                  <c:v>94.7699999999997</c:v>
                </c:pt>
                <c:pt idx="730">
                  <c:v>94.8999999999998</c:v>
                </c:pt>
                <c:pt idx="731">
                  <c:v>95.0299999999998</c:v>
                </c:pt>
                <c:pt idx="732">
                  <c:v>95.1599999999997</c:v>
                </c:pt>
                <c:pt idx="733">
                  <c:v>95.2899999999997</c:v>
                </c:pt>
                <c:pt idx="734">
                  <c:v>95.4199999999998</c:v>
                </c:pt>
                <c:pt idx="735">
                  <c:v>95.5499999999997</c:v>
                </c:pt>
                <c:pt idx="736">
                  <c:v>95.6799999999997</c:v>
                </c:pt>
                <c:pt idx="737">
                  <c:v>95.8099999999997</c:v>
                </c:pt>
                <c:pt idx="738">
                  <c:v>95.9399999999997</c:v>
                </c:pt>
                <c:pt idx="739">
                  <c:v>96.0699999999997</c:v>
                </c:pt>
                <c:pt idx="740">
                  <c:v>96.1999999999997</c:v>
                </c:pt>
                <c:pt idx="741">
                  <c:v>96.3299999999995</c:v>
                </c:pt>
                <c:pt idx="742">
                  <c:v>96.4599999999995</c:v>
                </c:pt>
                <c:pt idx="743">
                  <c:v>96.5899999999995</c:v>
                </c:pt>
                <c:pt idx="744">
                  <c:v>96.7199999999995</c:v>
                </c:pt>
                <c:pt idx="745">
                  <c:v>96.8499999999995</c:v>
                </c:pt>
                <c:pt idx="746">
                  <c:v>96.9799999999995</c:v>
                </c:pt>
                <c:pt idx="747">
                  <c:v>97.1099999999995</c:v>
                </c:pt>
                <c:pt idx="748">
                  <c:v>97.2399999999995</c:v>
                </c:pt>
                <c:pt idx="749">
                  <c:v>97.3699999999995</c:v>
                </c:pt>
                <c:pt idx="750">
                  <c:v>97.4999999999995</c:v>
                </c:pt>
                <c:pt idx="751">
                  <c:v>97.6299999999995</c:v>
                </c:pt>
                <c:pt idx="752">
                  <c:v>97.7599999999995</c:v>
                </c:pt>
                <c:pt idx="753">
                  <c:v>97.8899999999995</c:v>
                </c:pt>
                <c:pt idx="754">
                  <c:v>98.0199999999995</c:v>
                </c:pt>
                <c:pt idx="755">
                  <c:v>98.1499999999995</c:v>
                </c:pt>
                <c:pt idx="756">
                  <c:v>98.2799999999995</c:v>
                </c:pt>
                <c:pt idx="757">
                  <c:v>98.4099999999995</c:v>
                </c:pt>
                <c:pt idx="758">
                  <c:v>98.5399999999995</c:v>
                </c:pt>
                <c:pt idx="759">
                  <c:v>98.6699999999995</c:v>
                </c:pt>
                <c:pt idx="760">
                  <c:v>98.7999999999995</c:v>
                </c:pt>
                <c:pt idx="761">
                  <c:v>98.9299999999995</c:v>
                </c:pt>
                <c:pt idx="762">
                  <c:v>99.0599999999995</c:v>
                </c:pt>
                <c:pt idx="763">
                  <c:v>99.1899999999995</c:v>
                </c:pt>
                <c:pt idx="764">
                  <c:v>99.3199999999995</c:v>
                </c:pt>
                <c:pt idx="765">
                  <c:v>99.4499999999995</c:v>
                </c:pt>
                <c:pt idx="766">
                  <c:v>99.5799999999995</c:v>
                </c:pt>
                <c:pt idx="767">
                  <c:v>99.7099999999995</c:v>
                </c:pt>
                <c:pt idx="768">
                  <c:v>99.8399999999995</c:v>
                </c:pt>
                <c:pt idx="769">
                  <c:v>99.9699999999995</c:v>
                </c:pt>
                <c:pt idx="770">
                  <c:v>100.099999999999</c:v>
                </c:pt>
                <c:pt idx="771">
                  <c:v>100.229999999999</c:v>
                </c:pt>
                <c:pt idx="772">
                  <c:v>100.359999999999</c:v>
                </c:pt>
                <c:pt idx="773">
                  <c:v>100.489999999999</c:v>
                </c:pt>
                <c:pt idx="774">
                  <c:v>100.619999999999</c:v>
                </c:pt>
                <c:pt idx="775">
                  <c:v>100.749999999999</c:v>
                </c:pt>
                <c:pt idx="776">
                  <c:v>100.879999999999</c:v>
                </c:pt>
                <c:pt idx="777">
                  <c:v>101.009999999999</c:v>
                </c:pt>
                <c:pt idx="778">
                  <c:v>101.139999999999</c:v>
                </c:pt>
                <c:pt idx="779">
                  <c:v>101.269999999999</c:v>
                </c:pt>
                <c:pt idx="780">
                  <c:v>101.399999999999</c:v>
                </c:pt>
                <c:pt idx="781">
                  <c:v>101.529999999999</c:v>
                </c:pt>
                <c:pt idx="782">
                  <c:v>101.659999999999</c:v>
                </c:pt>
                <c:pt idx="783">
                  <c:v>101.789999999999</c:v>
                </c:pt>
                <c:pt idx="784">
                  <c:v>101.919999999999</c:v>
                </c:pt>
                <c:pt idx="785">
                  <c:v>102.049999999999</c:v>
                </c:pt>
                <c:pt idx="786">
                  <c:v>102.179999999999</c:v>
                </c:pt>
                <c:pt idx="787">
                  <c:v>102.309999999999</c:v>
                </c:pt>
                <c:pt idx="788">
                  <c:v>102.439999999999</c:v>
                </c:pt>
                <c:pt idx="789">
                  <c:v>102.569999999999</c:v>
                </c:pt>
                <c:pt idx="790">
                  <c:v>102.699999999999</c:v>
                </c:pt>
                <c:pt idx="791">
                  <c:v>102.829999999999</c:v>
                </c:pt>
                <c:pt idx="792">
                  <c:v>102.959999999999</c:v>
                </c:pt>
                <c:pt idx="793">
                  <c:v>103.089999999999</c:v>
                </c:pt>
                <c:pt idx="794">
                  <c:v>103.219999999999</c:v>
                </c:pt>
                <c:pt idx="795">
                  <c:v>103.349999999999</c:v>
                </c:pt>
                <c:pt idx="796">
                  <c:v>103.479999999999</c:v>
                </c:pt>
                <c:pt idx="797">
                  <c:v>103.609999999999</c:v>
                </c:pt>
                <c:pt idx="798">
                  <c:v>103.739999999999</c:v>
                </c:pt>
                <c:pt idx="799">
                  <c:v>103.869999999999</c:v>
                </c:pt>
                <c:pt idx="800">
                  <c:v>103.999999999999</c:v>
                </c:pt>
                <c:pt idx="801">
                  <c:v>104.129999999999</c:v>
                </c:pt>
                <c:pt idx="802">
                  <c:v>104.259999999999</c:v>
                </c:pt>
                <c:pt idx="803">
                  <c:v>104.389999999999</c:v>
                </c:pt>
                <c:pt idx="804">
                  <c:v>104.519999999999</c:v>
                </c:pt>
                <c:pt idx="805">
                  <c:v>104.649999999999</c:v>
                </c:pt>
                <c:pt idx="806">
                  <c:v>104.779999999999</c:v>
                </c:pt>
                <c:pt idx="807">
                  <c:v>104.909999999999</c:v>
                </c:pt>
                <c:pt idx="808">
                  <c:v>105.039999999999</c:v>
                </c:pt>
                <c:pt idx="809">
                  <c:v>105.169999999999</c:v>
                </c:pt>
                <c:pt idx="810">
                  <c:v>105.299999999999</c:v>
                </c:pt>
                <c:pt idx="811">
                  <c:v>105.429999999999</c:v>
                </c:pt>
                <c:pt idx="812">
                  <c:v>105.559999999999</c:v>
                </c:pt>
                <c:pt idx="813">
                  <c:v>105.689999999999</c:v>
                </c:pt>
                <c:pt idx="814">
                  <c:v>105.819999999999</c:v>
                </c:pt>
                <c:pt idx="815">
                  <c:v>105.949999999999</c:v>
                </c:pt>
                <c:pt idx="816">
                  <c:v>106.079999999999</c:v>
                </c:pt>
                <c:pt idx="817">
                  <c:v>106.21</c:v>
                </c:pt>
                <c:pt idx="818">
                  <c:v>106.339999999999</c:v>
                </c:pt>
                <c:pt idx="819">
                  <c:v>106.469999999999</c:v>
                </c:pt>
                <c:pt idx="820">
                  <c:v>106.599999999999</c:v>
                </c:pt>
                <c:pt idx="821">
                  <c:v>106.729999999999</c:v>
                </c:pt>
                <c:pt idx="822">
                  <c:v>106.859999999999</c:v>
                </c:pt>
                <c:pt idx="823">
                  <c:v>106.989999999999</c:v>
                </c:pt>
                <c:pt idx="824">
                  <c:v>107.119999999999</c:v>
                </c:pt>
                <c:pt idx="825">
                  <c:v>107.249999999999</c:v>
                </c:pt>
                <c:pt idx="826">
                  <c:v>107.379999999999</c:v>
                </c:pt>
                <c:pt idx="827">
                  <c:v>107.509999999999</c:v>
                </c:pt>
                <c:pt idx="828">
                  <c:v>107.639999999999</c:v>
                </c:pt>
                <c:pt idx="829">
                  <c:v>107.769999999999</c:v>
                </c:pt>
                <c:pt idx="830">
                  <c:v>107.899999999999</c:v>
                </c:pt>
                <c:pt idx="831">
                  <c:v>108.029999999999</c:v>
                </c:pt>
                <c:pt idx="832">
                  <c:v>108.159999999999</c:v>
                </c:pt>
                <c:pt idx="833">
                  <c:v>108.289999999999</c:v>
                </c:pt>
                <c:pt idx="834">
                  <c:v>108.419999999999</c:v>
                </c:pt>
                <c:pt idx="835">
                  <c:v>108.549999999999</c:v>
                </c:pt>
                <c:pt idx="836">
                  <c:v>108.679999999999</c:v>
                </c:pt>
                <c:pt idx="837">
                  <c:v>108.809999999999</c:v>
                </c:pt>
                <c:pt idx="838">
                  <c:v>108.939999999999</c:v>
                </c:pt>
                <c:pt idx="839">
                  <c:v>109.069999999999</c:v>
                </c:pt>
                <c:pt idx="840">
                  <c:v>109.199999999999</c:v>
                </c:pt>
                <c:pt idx="841">
                  <c:v>109.329999999999</c:v>
                </c:pt>
                <c:pt idx="842">
                  <c:v>109.459999999999</c:v>
                </c:pt>
                <c:pt idx="843">
                  <c:v>109.589999999999</c:v>
                </c:pt>
                <c:pt idx="844">
                  <c:v>109.719999999999</c:v>
                </c:pt>
                <c:pt idx="845">
                  <c:v>109.849999999999</c:v>
                </c:pt>
                <c:pt idx="846">
                  <c:v>109.979999999999</c:v>
                </c:pt>
                <c:pt idx="847">
                  <c:v>110.109999999999</c:v>
                </c:pt>
                <c:pt idx="848">
                  <c:v>110.239999999999</c:v>
                </c:pt>
                <c:pt idx="849">
                  <c:v>110.369999999999</c:v>
                </c:pt>
                <c:pt idx="850">
                  <c:v>110.499999999999</c:v>
                </c:pt>
                <c:pt idx="851">
                  <c:v>110.629999999999</c:v>
                </c:pt>
                <c:pt idx="852">
                  <c:v>110.759999999999</c:v>
                </c:pt>
                <c:pt idx="853">
                  <c:v>110.889999999999</c:v>
                </c:pt>
                <c:pt idx="854">
                  <c:v>111.019999999999</c:v>
                </c:pt>
                <c:pt idx="855">
                  <c:v>111.149999999999</c:v>
                </c:pt>
                <c:pt idx="856">
                  <c:v>111.279999999999</c:v>
                </c:pt>
                <c:pt idx="857">
                  <c:v>111.409999999999</c:v>
                </c:pt>
                <c:pt idx="858">
                  <c:v>111.539999999999</c:v>
                </c:pt>
                <c:pt idx="859">
                  <c:v>111.669999999999</c:v>
                </c:pt>
                <c:pt idx="860">
                  <c:v>111.799999999999</c:v>
                </c:pt>
                <c:pt idx="861">
                  <c:v>111.929999999999</c:v>
                </c:pt>
                <c:pt idx="862">
                  <c:v>112.059999999999</c:v>
                </c:pt>
                <c:pt idx="863">
                  <c:v>112.189999999999</c:v>
                </c:pt>
                <c:pt idx="864">
                  <c:v>112.319999999999</c:v>
                </c:pt>
                <c:pt idx="865">
                  <c:v>112.449999999999</c:v>
                </c:pt>
                <c:pt idx="866">
                  <c:v>112.579999999999</c:v>
                </c:pt>
                <c:pt idx="867">
                  <c:v>112.709999999999</c:v>
                </c:pt>
                <c:pt idx="868">
                  <c:v>112.839999999999</c:v>
                </c:pt>
                <c:pt idx="869">
                  <c:v>112.969999999999</c:v>
                </c:pt>
                <c:pt idx="870">
                  <c:v>113.099999999999</c:v>
                </c:pt>
                <c:pt idx="871">
                  <c:v>113.229999999999</c:v>
                </c:pt>
                <c:pt idx="872">
                  <c:v>113.359999999999</c:v>
                </c:pt>
                <c:pt idx="873">
                  <c:v>113.489999999999</c:v>
                </c:pt>
                <c:pt idx="874">
                  <c:v>113.619999999999</c:v>
                </c:pt>
                <c:pt idx="875">
                  <c:v>113.749999999999</c:v>
                </c:pt>
                <c:pt idx="876">
                  <c:v>113.879999999999</c:v>
                </c:pt>
                <c:pt idx="877">
                  <c:v>114.009999999999</c:v>
                </c:pt>
                <c:pt idx="878">
                  <c:v>114.139999999999</c:v>
                </c:pt>
                <c:pt idx="879">
                  <c:v>114.269999999999</c:v>
                </c:pt>
                <c:pt idx="880">
                  <c:v>114.399999999999</c:v>
                </c:pt>
                <c:pt idx="881">
                  <c:v>114.529999999999</c:v>
                </c:pt>
                <c:pt idx="882">
                  <c:v>114.659999999999</c:v>
                </c:pt>
                <c:pt idx="883">
                  <c:v>114.789999999999</c:v>
                </c:pt>
                <c:pt idx="884">
                  <c:v>114.919999999999</c:v>
                </c:pt>
                <c:pt idx="885">
                  <c:v>115.049999999999</c:v>
                </c:pt>
                <c:pt idx="886">
                  <c:v>115.179999999999</c:v>
                </c:pt>
                <c:pt idx="887">
                  <c:v>115.309999999999</c:v>
                </c:pt>
                <c:pt idx="888">
                  <c:v>115.439999999999</c:v>
                </c:pt>
                <c:pt idx="889">
                  <c:v>115.569999999999</c:v>
                </c:pt>
                <c:pt idx="890">
                  <c:v>115.699999999999</c:v>
                </c:pt>
                <c:pt idx="891">
                  <c:v>115.829999999999</c:v>
                </c:pt>
                <c:pt idx="892">
                  <c:v>115.959999999999</c:v>
                </c:pt>
                <c:pt idx="893">
                  <c:v>116.089999999999</c:v>
                </c:pt>
                <c:pt idx="894">
                  <c:v>116.219999999999</c:v>
                </c:pt>
                <c:pt idx="895">
                  <c:v>116.349999999999</c:v>
                </c:pt>
                <c:pt idx="896">
                  <c:v>116.479999999999</c:v>
                </c:pt>
                <c:pt idx="897">
                  <c:v>116.609999999999</c:v>
                </c:pt>
                <c:pt idx="898">
                  <c:v>116.739999999999</c:v>
                </c:pt>
                <c:pt idx="899">
                  <c:v>116.869999999999</c:v>
                </c:pt>
                <c:pt idx="900">
                  <c:v>116.999999999999</c:v>
                </c:pt>
                <c:pt idx="901">
                  <c:v>117.129999999999</c:v>
                </c:pt>
                <c:pt idx="902">
                  <c:v>117.259999999999</c:v>
                </c:pt>
                <c:pt idx="903">
                  <c:v>117.389999999999</c:v>
                </c:pt>
                <c:pt idx="904">
                  <c:v>117.519999999999</c:v>
                </c:pt>
                <c:pt idx="905">
                  <c:v>117.649999999999</c:v>
                </c:pt>
                <c:pt idx="906">
                  <c:v>117.779999999999</c:v>
                </c:pt>
                <c:pt idx="907">
                  <c:v>117.909999999999</c:v>
                </c:pt>
                <c:pt idx="908">
                  <c:v>118.039999999999</c:v>
                </c:pt>
                <c:pt idx="909">
                  <c:v>118.169999999999</c:v>
                </c:pt>
                <c:pt idx="910">
                  <c:v>118.299999999999</c:v>
                </c:pt>
                <c:pt idx="911">
                  <c:v>118.429999999999</c:v>
                </c:pt>
                <c:pt idx="912">
                  <c:v>118.559999999999</c:v>
                </c:pt>
                <c:pt idx="913">
                  <c:v>118.689999999999</c:v>
                </c:pt>
                <c:pt idx="914">
                  <c:v>118.819999999999</c:v>
                </c:pt>
                <c:pt idx="915">
                  <c:v>118.949999999999</c:v>
                </c:pt>
                <c:pt idx="916">
                  <c:v>119.079999999999</c:v>
                </c:pt>
                <c:pt idx="917">
                  <c:v>119.209999999999</c:v>
                </c:pt>
                <c:pt idx="918">
                  <c:v>119.339999999999</c:v>
                </c:pt>
                <c:pt idx="919">
                  <c:v>119.469999999999</c:v>
                </c:pt>
                <c:pt idx="920">
                  <c:v>119.599999999999</c:v>
                </c:pt>
                <c:pt idx="921">
                  <c:v>119.729999999999</c:v>
                </c:pt>
                <c:pt idx="922">
                  <c:v>119.859999999999</c:v>
                </c:pt>
                <c:pt idx="923">
                  <c:v>119.989999999999</c:v>
                </c:pt>
                <c:pt idx="924">
                  <c:v>120.119999999999</c:v>
                </c:pt>
                <c:pt idx="925">
                  <c:v>120.249999999999</c:v>
                </c:pt>
                <c:pt idx="926">
                  <c:v>120.379999999999</c:v>
                </c:pt>
                <c:pt idx="927">
                  <c:v>120.509999999999</c:v>
                </c:pt>
                <c:pt idx="928">
                  <c:v>120.639999999999</c:v>
                </c:pt>
                <c:pt idx="929">
                  <c:v>120.769999999999</c:v>
                </c:pt>
                <c:pt idx="930">
                  <c:v>120.899999999999</c:v>
                </c:pt>
                <c:pt idx="931">
                  <c:v>121.029999999999</c:v>
                </c:pt>
                <c:pt idx="932">
                  <c:v>121.159999999999</c:v>
                </c:pt>
                <c:pt idx="933">
                  <c:v>121.289999999999</c:v>
                </c:pt>
                <c:pt idx="934">
                  <c:v>121.419999999999</c:v>
                </c:pt>
                <c:pt idx="935">
                  <c:v>121.549999999999</c:v>
                </c:pt>
                <c:pt idx="936">
                  <c:v>121.679999999999</c:v>
                </c:pt>
                <c:pt idx="937">
                  <c:v>121.809999999999</c:v>
                </c:pt>
                <c:pt idx="938">
                  <c:v>121.939999999999</c:v>
                </c:pt>
                <c:pt idx="939">
                  <c:v>122.069999999999</c:v>
                </c:pt>
                <c:pt idx="940">
                  <c:v>122.199999999999</c:v>
                </c:pt>
                <c:pt idx="941">
                  <c:v>122.329999999999</c:v>
                </c:pt>
                <c:pt idx="942">
                  <c:v>122.459999999999</c:v>
                </c:pt>
                <c:pt idx="943">
                  <c:v>122.589999999999</c:v>
                </c:pt>
                <c:pt idx="944">
                  <c:v>122.719999999999</c:v>
                </c:pt>
                <c:pt idx="945">
                  <c:v>122.849999999999</c:v>
                </c:pt>
                <c:pt idx="946">
                  <c:v>122.979999999999</c:v>
                </c:pt>
                <c:pt idx="947">
                  <c:v>123.109999999999</c:v>
                </c:pt>
                <c:pt idx="948">
                  <c:v>123.239999999999</c:v>
                </c:pt>
                <c:pt idx="949">
                  <c:v>123.369999999999</c:v>
                </c:pt>
                <c:pt idx="950">
                  <c:v>123.499999999999</c:v>
                </c:pt>
                <c:pt idx="951">
                  <c:v>123.629999999999</c:v>
                </c:pt>
                <c:pt idx="952">
                  <c:v>123.759999999999</c:v>
                </c:pt>
                <c:pt idx="953">
                  <c:v>123.889999999999</c:v>
                </c:pt>
                <c:pt idx="954">
                  <c:v>124.019999999999</c:v>
                </c:pt>
                <c:pt idx="955">
                  <c:v>124.149999999999</c:v>
                </c:pt>
                <c:pt idx="956">
                  <c:v>124.279999999999</c:v>
                </c:pt>
                <c:pt idx="957">
                  <c:v>124.409999999999</c:v>
                </c:pt>
                <c:pt idx="958">
                  <c:v>124.539999999999</c:v>
                </c:pt>
                <c:pt idx="959">
                  <c:v>124.669999999999</c:v>
                </c:pt>
                <c:pt idx="960">
                  <c:v>124.799999999999</c:v>
                </c:pt>
                <c:pt idx="961">
                  <c:v>124.929999999999</c:v>
                </c:pt>
                <c:pt idx="962">
                  <c:v>125.059999999999</c:v>
                </c:pt>
                <c:pt idx="963">
                  <c:v>125.189999999999</c:v>
                </c:pt>
                <c:pt idx="964">
                  <c:v>125.319999999999</c:v>
                </c:pt>
                <c:pt idx="965">
                  <c:v>125.449999999999</c:v>
                </c:pt>
                <c:pt idx="966">
                  <c:v>125.579999999999</c:v>
                </c:pt>
                <c:pt idx="967">
                  <c:v>125.709999999999</c:v>
                </c:pt>
                <c:pt idx="968">
                  <c:v>125.839999999999</c:v>
                </c:pt>
                <c:pt idx="969">
                  <c:v>125.969999999999</c:v>
                </c:pt>
                <c:pt idx="970">
                  <c:v>126.099999999999</c:v>
                </c:pt>
                <c:pt idx="971">
                  <c:v>126.229999999999</c:v>
                </c:pt>
                <c:pt idx="972">
                  <c:v>126.359999999999</c:v>
                </c:pt>
                <c:pt idx="973">
                  <c:v>126.489999999999</c:v>
                </c:pt>
                <c:pt idx="974">
                  <c:v>126.619999999999</c:v>
                </c:pt>
                <c:pt idx="975">
                  <c:v>126.749999999999</c:v>
                </c:pt>
                <c:pt idx="976">
                  <c:v>126.879999999999</c:v>
                </c:pt>
                <c:pt idx="977">
                  <c:v>127.009999999999</c:v>
                </c:pt>
                <c:pt idx="978">
                  <c:v>127.139999999999</c:v>
                </c:pt>
                <c:pt idx="979">
                  <c:v>127.269999999999</c:v>
                </c:pt>
                <c:pt idx="980">
                  <c:v>127.399999999999</c:v>
                </c:pt>
                <c:pt idx="981">
                  <c:v>127.529999999999</c:v>
                </c:pt>
                <c:pt idx="982">
                  <c:v>127.659999999999</c:v>
                </c:pt>
                <c:pt idx="983">
                  <c:v>127.789999999999</c:v>
                </c:pt>
                <c:pt idx="984">
                  <c:v>127.919999999999</c:v>
                </c:pt>
                <c:pt idx="985">
                  <c:v>128.049999999999</c:v>
                </c:pt>
                <c:pt idx="986">
                  <c:v>128.179999999999</c:v>
                </c:pt>
                <c:pt idx="987">
                  <c:v>128.309999999999</c:v>
                </c:pt>
                <c:pt idx="988">
                  <c:v>128.439999999999</c:v>
                </c:pt>
                <c:pt idx="989">
                  <c:v>128.569999999999</c:v>
                </c:pt>
                <c:pt idx="990">
                  <c:v>128.699999999999</c:v>
                </c:pt>
                <c:pt idx="991">
                  <c:v>128.829999999999</c:v>
                </c:pt>
                <c:pt idx="992">
                  <c:v>128.959999999999</c:v>
                </c:pt>
                <c:pt idx="993">
                  <c:v>129.089999999999</c:v>
                </c:pt>
                <c:pt idx="994">
                  <c:v>129.219999999999</c:v>
                </c:pt>
                <c:pt idx="995">
                  <c:v>129.349999999999</c:v>
                </c:pt>
                <c:pt idx="996">
                  <c:v>129.479999999999</c:v>
                </c:pt>
                <c:pt idx="997">
                  <c:v>129.609999999999</c:v>
                </c:pt>
                <c:pt idx="998">
                  <c:v>129.739999999999</c:v>
                </c:pt>
                <c:pt idx="999">
                  <c:v>129.869999999999</c:v>
                </c:pt>
                <c:pt idx="1000">
                  <c:v>129.999999999999</c:v>
                </c:pt>
                <c:pt idx="1001">
                  <c:v>130.129999999999</c:v>
                </c:pt>
                <c:pt idx="1002">
                  <c:v>130.259999999999</c:v>
                </c:pt>
                <c:pt idx="1003">
                  <c:v>130.389999999999</c:v>
                </c:pt>
                <c:pt idx="1004">
                  <c:v>130.519999999999</c:v>
                </c:pt>
                <c:pt idx="1005">
                  <c:v>130.649999999999</c:v>
                </c:pt>
                <c:pt idx="1006">
                  <c:v>130.779999999999</c:v>
                </c:pt>
                <c:pt idx="1007">
                  <c:v>130.909999999999</c:v>
                </c:pt>
                <c:pt idx="1008">
                  <c:v>131.039999999999</c:v>
                </c:pt>
                <c:pt idx="1009">
                  <c:v>131.169999999999</c:v>
                </c:pt>
                <c:pt idx="1010">
                  <c:v>131.299999999999</c:v>
                </c:pt>
                <c:pt idx="1011">
                  <c:v>131.429999999999</c:v>
                </c:pt>
                <c:pt idx="1012">
                  <c:v>131.559999999999</c:v>
                </c:pt>
                <c:pt idx="1013">
                  <c:v>131.689999999999</c:v>
                </c:pt>
                <c:pt idx="1014">
                  <c:v>131.819999999999</c:v>
                </c:pt>
                <c:pt idx="1015">
                  <c:v>131.949999999999</c:v>
                </c:pt>
                <c:pt idx="1016">
                  <c:v>132.079999999999</c:v>
                </c:pt>
                <c:pt idx="1017">
                  <c:v>132.209999999999</c:v>
                </c:pt>
                <c:pt idx="1018">
                  <c:v>132.339999999999</c:v>
                </c:pt>
                <c:pt idx="1019">
                  <c:v>132.469999999999</c:v>
                </c:pt>
                <c:pt idx="1020">
                  <c:v>132.599999999999</c:v>
                </c:pt>
                <c:pt idx="1021">
                  <c:v>132.729999999999</c:v>
                </c:pt>
                <c:pt idx="1022">
                  <c:v>132.859999999999</c:v>
                </c:pt>
                <c:pt idx="1023">
                  <c:v>132.989999999999</c:v>
                </c:pt>
                <c:pt idx="1024">
                  <c:v>133.119999999999</c:v>
                </c:pt>
                <c:pt idx="1025">
                  <c:v>133.249999999999</c:v>
                </c:pt>
                <c:pt idx="1026">
                  <c:v>133.379999999999</c:v>
                </c:pt>
                <c:pt idx="1027">
                  <c:v>133.509999999999</c:v>
                </c:pt>
                <c:pt idx="1028">
                  <c:v>133.639999999999</c:v>
                </c:pt>
                <c:pt idx="1029">
                  <c:v>133.769999999999</c:v>
                </c:pt>
                <c:pt idx="1030">
                  <c:v>133.899999999999</c:v>
                </c:pt>
                <c:pt idx="1031">
                  <c:v>134.029999999999</c:v>
                </c:pt>
                <c:pt idx="1032">
                  <c:v>134.159999999999</c:v>
                </c:pt>
                <c:pt idx="1033">
                  <c:v>134.289999999999</c:v>
                </c:pt>
                <c:pt idx="1034">
                  <c:v>134.419999999999</c:v>
                </c:pt>
                <c:pt idx="1035">
                  <c:v>134.549999999999</c:v>
                </c:pt>
                <c:pt idx="1036">
                  <c:v>134.679999999999</c:v>
                </c:pt>
                <c:pt idx="1037">
                  <c:v>134.809999999999</c:v>
                </c:pt>
                <c:pt idx="1038">
                  <c:v>134.939999999999</c:v>
                </c:pt>
                <c:pt idx="1039">
                  <c:v>135.069999999999</c:v>
                </c:pt>
                <c:pt idx="1040">
                  <c:v>135.199999999999</c:v>
                </c:pt>
                <c:pt idx="1041">
                  <c:v>135.329999999999</c:v>
                </c:pt>
                <c:pt idx="1042">
                  <c:v>135.459999999999</c:v>
                </c:pt>
                <c:pt idx="1043">
                  <c:v>135.589999999999</c:v>
                </c:pt>
                <c:pt idx="1044">
                  <c:v>135.719999999999</c:v>
                </c:pt>
                <c:pt idx="1045">
                  <c:v>135.849999999999</c:v>
                </c:pt>
                <c:pt idx="1046">
                  <c:v>135.979999999999</c:v>
                </c:pt>
                <c:pt idx="1047">
                  <c:v>136.109999999999</c:v>
                </c:pt>
                <c:pt idx="1048">
                  <c:v>136.239999999999</c:v>
                </c:pt>
                <c:pt idx="1049">
                  <c:v>136.369999999999</c:v>
                </c:pt>
                <c:pt idx="1050">
                  <c:v>136.499999999999</c:v>
                </c:pt>
                <c:pt idx="1051">
                  <c:v>136.629999999999</c:v>
                </c:pt>
                <c:pt idx="1052">
                  <c:v>136.759999999999</c:v>
                </c:pt>
                <c:pt idx="1053">
                  <c:v>136.889999999999</c:v>
                </c:pt>
                <c:pt idx="1054">
                  <c:v>137.019999999999</c:v>
                </c:pt>
                <c:pt idx="1055">
                  <c:v>137.149999999999</c:v>
                </c:pt>
                <c:pt idx="1056">
                  <c:v>137.279999999999</c:v>
                </c:pt>
                <c:pt idx="1057">
                  <c:v>137.409999999999</c:v>
                </c:pt>
                <c:pt idx="1058">
                  <c:v>137.539999999999</c:v>
                </c:pt>
                <c:pt idx="1059">
                  <c:v>137.669999999999</c:v>
                </c:pt>
                <c:pt idx="1060">
                  <c:v>137.799999999999</c:v>
                </c:pt>
                <c:pt idx="1061">
                  <c:v>137.929999999999</c:v>
                </c:pt>
                <c:pt idx="1062">
                  <c:v>138.059999999999</c:v>
                </c:pt>
                <c:pt idx="1063">
                  <c:v>138.189999999999</c:v>
                </c:pt>
                <c:pt idx="1064">
                  <c:v>138.319999999999</c:v>
                </c:pt>
                <c:pt idx="1065">
                  <c:v>138.449999999999</c:v>
                </c:pt>
                <c:pt idx="1066">
                  <c:v>138.579999999999</c:v>
                </c:pt>
                <c:pt idx="1067">
                  <c:v>138.709999999999</c:v>
                </c:pt>
                <c:pt idx="1068">
                  <c:v>138.839999999999</c:v>
                </c:pt>
                <c:pt idx="1069">
                  <c:v>138.969999999999</c:v>
                </c:pt>
                <c:pt idx="1070">
                  <c:v>139.099999999999</c:v>
                </c:pt>
                <c:pt idx="1071">
                  <c:v>139.229999999999</c:v>
                </c:pt>
                <c:pt idx="1072">
                  <c:v>139.359999999999</c:v>
                </c:pt>
                <c:pt idx="1073">
                  <c:v>139.489999999999</c:v>
                </c:pt>
                <c:pt idx="1074">
                  <c:v>139.619999999999</c:v>
                </c:pt>
                <c:pt idx="1075">
                  <c:v>139.749999999999</c:v>
                </c:pt>
                <c:pt idx="1076">
                  <c:v>139.879999999999</c:v>
                </c:pt>
                <c:pt idx="1077">
                  <c:v>140.009999999999</c:v>
                </c:pt>
                <c:pt idx="1078">
                  <c:v>140.139999999999</c:v>
                </c:pt>
                <c:pt idx="1079">
                  <c:v>140.269999999999</c:v>
                </c:pt>
                <c:pt idx="1080">
                  <c:v>140.399999999999</c:v>
                </c:pt>
                <c:pt idx="1081">
                  <c:v>140.529999999999</c:v>
                </c:pt>
                <c:pt idx="1082">
                  <c:v>140.659999999999</c:v>
                </c:pt>
                <c:pt idx="1083">
                  <c:v>140.789999999999</c:v>
                </c:pt>
                <c:pt idx="1084">
                  <c:v>140.919999999999</c:v>
                </c:pt>
                <c:pt idx="1085">
                  <c:v>141.049999999999</c:v>
                </c:pt>
                <c:pt idx="1086">
                  <c:v>141.179999999999</c:v>
                </c:pt>
                <c:pt idx="1087">
                  <c:v>141.309999999999</c:v>
                </c:pt>
                <c:pt idx="1088">
                  <c:v>141.439999999999</c:v>
                </c:pt>
                <c:pt idx="1089">
                  <c:v>141.569999999999</c:v>
                </c:pt>
                <c:pt idx="1090">
                  <c:v>141.699999999999</c:v>
                </c:pt>
                <c:pt idx="1091">
                  <c:v>141.829999999999</c:v>
                </c:pt>
                <c:pt idx="1092">
                  <c:v>141.959999999999</c:v>
                </c:pt>
                <c:pt idx="1093">
                  <c:v>142.089999999999</c:v>
                </c:pt>
                <c:pt idx="1094">
                  <c:v>142.219999999999</c:v>
                </c:pt>
                <c:pt idx="1095">
                  <c:v>142.349999999999</c:v>
                </c:pt>
                <c:pt idx="1096">
                  <c:v>142.479999999999</c:v>
                </c:pt>
                <c:pt idx="1097">
                  <c:v>142.609999999999</c:v>
                </c:pt>
                <c:pt idx="1098">
                  <c:v>142.739999999999</c:v>
                </c:pt>
                <c:pt idx="1099">
                  <c:v>142.869999999999</c:v>
                </c:pt>
                <c:pt idx="1100">
                  <c:v>142.999999999999</c:v>
                </c:pt>
                <c:pt idx="1101">
                  <c:v>143.129999999999</c:v>
                </c:pt>
                <c:pt idx="1102">
                  <c:v>143.259999999999</c:v>
                </c:pt>
                <c:pt idx="1103">
                  <c:v>143.389999999999</c:v>
                </c:pt>
                <c:pt idx="1104">
                  <c:v>143.519999999999</c:v>
                </c:pt>
                <c:pt idx="1105">
                  <c:v>143.649999999999</c:v>
                </c:pt>
                <c:pt idx="1106">
                  <c:v>143.779999999999</c:v>
                </c:pt>
                <c:pt idx="1107">
                  <c:v>143.909999999999</c:v>
                </c:pt>
                <c:pt idx="1108">
                  <c:v>144.039999999999</c:v>
                </c:pt>
                <c:pt idx="1109">
                  <c:v>144.169999999999</c:v>
                </c:pt>
                <c:pt idx="1110">
                  <c:v>144.299999999999</c:v>
                </c:pt>
                <c:pt idx="1111">
                  <c:v>144.429999999999</c:v>
                </c:pt>
                <c:pt idx="1112">
                  <c:v>144.559999999999</c:v>
                </c:pt>
                <c:pt idx="1113">
                  <c:v>144.689999999999</c:v>
                </c:pt>
                <c:pt idx="1114">
                  <c:v>144.819999999999</c:v>
                </c:pt>
                <c:pt idx="1115">
                  <c:v>144.949999999999</c:v>
                </c:pt>
                <c:pt idx="1116">
                  <c:v>145.079999999999</c:v>
                </c:pt>
                <c:pt idx="1117">
                  <c:v>145.209999999999</c:v>
                </c:pt>
                <c:pt idx="1118">
                  <c:v>145.339999999999</c:v>
                </c:pt>
                <c:pt idx="1119">
                  <c:v>145.469999999999</c:v>
                </c:pt>
                <c:pt idx="1120">
                  <c:v>145.599999999998</c:v>
                </c:pt>
                <c:pt idx="1121">
                  <c:v>145.729999999999</c:v>
                </c:pt>
                <c:pt idx="1122">
                  <c:v>145.859999999999</c:v>
                </c:pt>
                <c:pt idx="1123">
                  <c:v>145.989999999999</c:v>
                </c:pt>
                <c:pt idx="1124">
                  <c:v>146.119999999999</c:v>
                </c:pt>
                <c:pt idx="1125">
                  <c:v>146.249999999998</c:v>
                </c:pt>
                <c:pt idx="1126">
                  <c:v>146.379999999998</c:v>
                </c:pt>
                <c:pt idx="1127">
                  <c:v>146.509999999998</c:v>
                </c:pt>
                <c:pt idx="1128">
                  <c:v>146.639999999999</c:v>
                </c:pt>
                <c:pt idx="1129">
                  <c:v>146.769999999998</c:v>
                </c:pt>
                <c:pt idx="1130">
                  <c:v>146.899999999998</c:v>
                </c:pt>
                <c:pt idx="1131">
                  <c:v>147.029999999998</c:v>
                </c:pt>
                <c:pt idx="1132">
                  <c:v>147.159999999998</c:v>
                </c:pt>
                <c:pt idx="1133">
                  <c:v>147.289999999998</c:v>
                </c:pt>
                <c:pt idx="1134">
                  <c:v>147.419999999998</c:v>
                </c:pt>
                <c:pt idx="1135">
                  <c:v>147.549999999998</c:v>
                </c:pt>
                <c:pt idx="1136">
                  <c:v>147.679999999998</c:v>
                </c:pt>
                <c:pt idx="1137">
                  <c:v>147.809999999998</c:v>
                </c:pt>
                <c:pt idx="1138">
                  <c:v>147.939999999998</c:v>
                </c:pt>
                <c:pt idx="1139">
                  <c:v>148.069999999998</c:v>
                </c:pt>
                <c:pt idx="1140">
                  <c:v>148.199999999998</c:v>
                </c:pt>
                <c:pt idx="1141">
                  <c:v>148.329999999998</c:v>
                </c:pt>
                <c:pt idx="1142">
                  <c:v>148.459999999998</c:v>
                </c:pt>
                <c:pt idx="1143">
                  <c:v>148.589999999998</c:v>
                </c:pt>
                <c:pt idx="1144">
                  <c:v>148.719999999998</c:v>
                </c:pt>
                <c:pt idx="1145">
                  <c:v>148.849999999998</c:v>
                </c:pt>
                <c:pt idx="1146">
                  <c:v>148.979999999998</c:v>
                </c:pt>
                <c:pt idx="1147">
                  <c:v>149.109999999998</c:v>
                </c:pt>
                <c:pt idx="1148">
                  <c:v>149.239999999998</c:v>
                </c:pt>
                <c:pt idx="1149">
                  <c:v>149.369999999998</c:v>
                </c:pt>
                <c:pt idx="1150">
                  <c:v>149.499999999998</c:v>
                </c:pt>
                <c:pt idx="1151">
                  <c:v>149.629999999998</c:v>
                </c:pt>
                <c:pt idx="1152">
                  <c:v>149.759999999998</c:v>
                </c:pt>
                <c:pt idx="1153">
                  <c:v>149.889999999998</c:v>
                </c:pt>
                <c:pt idx="1154">
                  <c:v>150.019999999998</c:v>
                </c:pt>
                <c:pt idx="1155">
                  <c:v>150.149999999998</c:v>
                </c:pt>
                <c:pt idx="1156">
                  <c:v>150.279999999998</c:v>
                </c:pt>
                <c:pt idx="1157">
                  <c:v>150.409999999998</c:v>
                </c:pt>
                <c:pt idx="1158">
                  <c:v>150.539999999998</c:v>
                </c:pt>
                <c:pt idx="1159">
                  <c:v>150.669999999998</c:v>
                </c:pt>
                <c:pt idx="1160">
                  <c:v>150.799999999998</c:v>
                </c:pt>
                <c:pt idx="1161">
                  <c:v>150.929999999998</c:v>
                </c:pt>
                <c:pt idx="1162">
                  <c:v>151.059999999998</c:v>
                </c:pt>
                <c:pt idx="1163">
                  <c:v>151.189999999998</c:v>
                </c:pt>
                <c:pt idx="1164">
                  <c:v>151.319999999998</c:v>
                </c:pt>
                <c:pt idx="1165">
                  <c:v>151.449999999998</c:v>
                </c:pt>
                <c:pt idx="1166">
                  <c:v>151.579999999998</c:v>
                </c:pt>
                <c:pt idx="1167">
                  <c:v>151.709999999998</c:v>
                </c:pt>
                <c:pt idx="1168">
                  <c:v>151.839999999998</c:v>
                </c:pt>
                <c:pt idx="1169">
                  <c:v>151.969999999998</c:v>
                </c:pt>
                <c:pt idx="1170">
                  <c:v>152.099999999998</c:v>
                </c:pt>
                <c:pt idx="1171">
                  <c:v>152.229999999998</c:v>
                </c:pt>
                <c:pt idx="1172">
                  <c:v>152.359999999998</c:v>
                </c:pt>
                <c:pt idx="1173">
                  <c:v>152.489999999998</c:v>
                </c:pt>
                <c:pt idx="1174">
                  <c:v>152.619999999998</c:v>
                </c:pt>
                <c:pt idx="1175">
                  <c:v>152.749999999998</c:v>
                </c:pt>
                <c:pt idx="1176">
                  <c:v>152.879999999998</c:v>
                </c:pt>
                <c:pt idx="1177">
                  <c:v>153.009999999998</c:v>
                </c:pt>
                <c:pt idx="1178">
                  <c:v>153.139999999998</c:v>
                </c:pt>
                <c:pt idx="1179">
                  <c:v>153.269999999998</c:v>
                </c:pt>
                <c:pt idx="1180">
                  <c:v>153.399999999998</c:v>
                </c:pt>
                <c:pt idx="1181">
                  <c:v>153.529999999998</c:v>
                </c:pt>
                <c:pt idx="1182">
                  <c:v>153.659999999998</c:v>
                </c:pt>
                <c:pt idx="1183">
                  <c:v>153.789999999998</c:v>
                </c:pt>
                <c:pt idx="1184">
                  <c:v>153.919999999998</c:v>
                </c:pt>
                <c:pt idx="1185">
                  <c:v>154.049999999998</c:v>
                </c:pt>
                <c:pt idx="1186">
                  <c:v>154.179999999998</c:v>
                </c:pt>
                <c:pt idx="1187">
                  <c:v>154.309999999998</c:v>
                </c:pt>
                <c:pt idx="1188">
                  <c:v>154.439999999998</c:v>
                </c:pt>
                <c:pt idx="1189">
                  <c:v>154.569999999998</c:v>
                </c:pt>
                <c:pt idx="1190">
                  <c:v>154.699999999998</c:v>
                </c:pt>
                <c:pt idx="1191">
                  <c:v>154.829999999998</c:v>
                </c:pt>
                <c:pt idx="1192">
                  <c:v>154.959999999998</c:v>
                </c:pt>
                <c:pt idx="1193">
                  <c:v>155.089999999998</c:v>
                </c:pt>
                <c:pt idx="1194">
                  <c:v>155.219999999998</c:v>
                </c:pt>
                <c:pt idx="1195">
                  <c:v>155.349999999998</c:v>
                </c:pt>
                <c:pt idx="1196">
                  <c:v>155.479999999998</c:v>
                </c:pt>
                <c:pt idx="1197">
                  <c:v>155.609999999998</c:v>
                </c:pt>
                <c:pt idx="1198">
                  <c:v>155.739999999998</c:v>
                </c:pt>
                <c:pt idx="1199">
                  <c:v>155.869999999998</c:v>
                </c:pt>
                <c:pt idx="1200">
                  <c:v>155.999999999998</c:v>
                </c:pt>
                <c:pt idx="1201">
                  <c:v>156.129999999998</c:v>
                </c:pt>
                <c:pt idx="1202">
                  <c:v>156.259999999998</c:v>
                </c:pt>
                <c:pt idx="1203">
                  <c:v>156.389999999998</c:v>
                </c:pt>
                <c:pt idx="1204">
                  <c:v>156.519999999998</c:v>
                </c:pt>
                <c:pt idx="1205">
                  <c:v>156.649999999998</c:v>
                </c:pt>
                <c:pt idx="1206">
                  <c:v>156.779999999998</c:v>
                </c:pt>
                <c:pt idx="1207">
                  <c:v>156.909999999998</c:v>
                </c:pt>
                <c:pt idx="1208">
                  <c:v>157.039999999998</c:v>
                </c:pt>
                <c:pt idx="1209">
                  <c:v>157.169999999998</c:v>
                </c:pt>
                <c:pt idx="1210">
                  <c:v>157.299999999998</c:v>
                </c:pt>
                <c:pt idx="1211">
                  <c:v>157.429999999998</c:v>
                </c:pt>
                <c:pt idx="1212">
                  <c:v>157.559999999998</c:v>
                </c:pt>
                <c:pt idx="1213">
                  <c:v>157.689999999998</c:v>
                </c:pt>
                <c:pt idx="1214">
                  <c:v>157.819999999998</c:v>
                </c:pt>
                <c:pt idx="1215">
                  <c:v>157.949999999998</c:v>
                </c:pt>
                <c:pt idx="1216">
                  <c:v>158.079999999998</c:v>
                </c:pt>
                <c:pt idx="1217">
                  <c:v>158.209999999998</c:v>
                </c:pt>
                <c:pt idx="1218">
                  <c:v>158.339999999998</c:v>
                </c:pt>
                <c:pt idx="1219">
                  <c:v>158.469999999998</c:v>
                </c:pt>
                <c:pt idx="1220">
                  <c:v>158.599999999998</c:v>
                </c:pt>
                <c:pt idx="1221">
                  <c:v>158.729999999998</c:v>
                </c:pt>
                <c:pt idx="1222">
                  <c:v>158.859999999998</c:v>
                </c:pt>
                <c:pt idx="1223">
                  <c:v>158.989999999998</c:v>
                </c:pt>
                <c:pt idx="1224">
                  <c:v>159.119999999998</c:v>
                </c:pt>
                <c:pt idx="1225">
                  <c:v>159.249999999998</c:v>
                </c:pt>
                <c:pt idx="1226">
                  <c:v>159.379999999998</c:v>
                </c:pt>
                <c:pt idx="1227">
                  <c:v>159.509999999998</c:v>
                </c:pt>
                <c:pt idx="1228">
                  <c:v>159.639999999998</c:v>
                </c:pt>
                <c:pt idx="1229">
                  <c:v>159.769999999998</c:v>
                </c:pt>
                <c:pt idx="1230">
                  <c:v>159.899999999998</c:v>
                </c:pt>
                <c:pt idx="1231">
                  <c:v>160.029999999998</c:v>
                </c:pt>
                <c:pt idx="1232">
                  <c:v>160.159999999998</c:v>
                </c:pt>
                <c:pt idx="1233">
                  <c:v>160.289999999998</c:v>
                </c:pt>
                <c:pt idx="1234">
                  <c:v>160.419999999998</c:v>
                </c:pt>
                <c:pt idx="1235">
                  <c:v>160.549999999998</c:v>
                </c:pt>
                <c:pt idx="1236">
                  <c:v>160.679999999998</c:v>
                </c:pt>
                <c:pt idx="1237">
                  <c:v>160.809999999998</c:v>
                </c:pt>
                <c:pt idx="1238">
                  <c:v>160.939999999998</c:v>
                </c:pt>
                <c:pt idx="1239">
                  <c:v>161.069999999998</c:v>
                </c:pt>
                <c:pt idx="1240">
                  <c:v>161.199999999998</c:v>
                </c:pt>
                <c:pt idx="1241">
                  <c:v>161.329999999998</c:v>
                </c:pt>
                <c:pt idx="1242">
                  <c:v>161.459999999998</c:v>
                </c:pt>
                <c:pt idx="1243">
                  <c:v>161.589999999998</c:v>
                </c:pt>
                <c:pt idx="1244">
                  <c:v>161.719999999998</c:v>
                </c:pt>
                <c:pt idx="1245">
                  <c:v>161.849999999998</c:v>
                </c:pt>
                <c:pt idx="1246">
                  <c:v>161.979999999998</c:v>
                </c:pt>
                <c:pt idx="1247">
                  <c:v>162.109999999998</c:v>
                </c:pt>
                <c:pt idx="1248">
                  <c:v>162.239999999998</c:v>
                </c:pt>
                <c:pt idx="1249">
                  <c:v>162.369999999998</c:v>
                </c:pt>
                <c:pt idx="1250">
                  <c:v>162.499999999998</c:v>
                </c:pt>
                <c:pt idx="1251">
                  <c:v>162.629999999998</c:v>
                </c:pt>
                <c:pt idx="1252">
                  <c:v>162.759999999998</c:v>
                </c:pt>
                <c:pt idx="1253">
                  <c:v>162.889999999998</c:v>
                </c:pt>
                <c:pt idx="1254">
                  <c:v>163.019999999998</c:v>
                </c:pt>
                <c:pt idx="1255">
                  <c:v>163.149999999998</c:v>
                </c:pt>
                <c:pt idx="1256">
                  <c:v>163.279999999998</c:v>
                </c:pt>
                <c:pt idx="1257">
                  <c:v>163.409999999998</c:v>
                </c:pt>
                <c:pt idx="1258">
                  <c:v>163.539999999998</c:v>
                </c:pt>
                <c:pt idx="1259">
                  <c:v>163.669999999998</c:v>
                </c:pt>
                <c:pt idx="1260">
                  <c:v>163.799999999998</c:v>
                </c:pt>
                <c:pt idx="1261">
                  <c:v>163.929999999998</c:v>
                </c:pt>
                <c:pt idx="1262">
                  <c:v>164.059999999998</c:v>
                </c:pt>
                <c:pt idx="1263">
                  <c:v>164.189999999998</c:v>
                </c:pt>
                <c:pt idx="1264">
                  <c:v>164.319999999998</c:v>
                </c:pt>
                <c:pt idx="1265">
                  <c:v>164.449999999998</c:v>
                </c:pt>
                <c:pt idx="1266">
                  <c:v>164.579999999998</c:v>
                </c:pt>
                <c:pt idx="1267">
                  <c:v>164.709999999998</c:v>
                </c:pt>
                <c:pt idx="1268">
                  <c:v>164.839999999998</c:v>
                </c:pt>
                <c:pt idx="1269">
                  <c:v>164.969999999998</c:v>
                </c:pt>
                <c:pt idx="1270">
                  <c:v>165.099999999998</c:v>
                </c:pt>
                <c:pt idx="1271">
                  <c:v>165.229999999998</c:v>
                </c:pt>
                <c:pt idx="1272">
                  <c:v>165.359999999998</c:v>
                </c:pt>
                <c:pt idx="1273">
                  <c:v>165.489999999998</c:v>
                </c:pt>
                <c:pt idx="1274">
                  <c:v>165.619999999998</c:v>
                </c:pt>
                <c:pt idx="1275">
                  <c:v>165.749999999998</c:v>
                </c:pt>
                <c:pt idx="1276">
                  <c:v>165.879999999998</c:v>
                </c:pt>
                <c:pt idx="1277">
                  <c:v>166.009999999998</c:v>
                </c:pt>
                <c:pt idx="1278">
                  <c:v>166.139999999998</c:v>
                </c:pt>
                <c:pt idx="1279">
                  <c:v>166.269999999998</c:v>
                </c:pt>
                <c:pt idx="1280">
                  <c:v>166.399999999998</c:v>
                </c:pt>
                <c:pt idx="1281">
                  <c:v>166.529999999998</c:v>
                </c:pt>
                <c:pt idx="1282">
                  <c:v>166.659999999998</c:v>
                </c:pt>
                <c:pt idx="1283">
                  <c:v>166.789999999998</c:v>
                </c:pt>
                <c:pt idx="1284">
                  <c:v>166.919999999998</c:v>
                </c:pt>
                <c:pt idx="1285">
                  <c:v>167.049999999998</c:v>
                </c:pt>
                <c:pt idx="1286">
                  <c:v>167.179999999998</c:v>
                </c:pt>
                <c:pt idx="1287">
                  <c:v>167.309999999998</c:v>
                </c:pt>
                <c:pt idx="1288">
                  <c:v>167.439999999998</c:v>
                </c:pt>
                <c:pt idx="1289">
                  <c:v>167.569999999998</c:v>
                </c:pt>
                <c:pt idx="1290">
                  <c:v>167.699999999998</c:v>
                </c:pt>
                <c:pt idx="1291">
                  <c:v>167.829999999998</c:v>
                </c:pt>
                <c:pt idx="1292">
                  <c:v>167.959999999998</c:v>
                </c:pt>
                <c:pt idx="1293">
                  <c:v>168.089999999998</c:v>
                </c:pt>
                <c:pt idx="1294">
                  <c:v>168.219999999998</c:v>
                </c:pt>
                <c:pt idx="1295">
                  <c:v>168.349999999998</c:v>
                </c:pt>
                <c:pt idx="1296">
                  <c:v>168.479999999998</c:v>
                </c:pt>
                <c:pt idx="1297">
                  <c:v>168.609999999998</c:v>
                </c:pt>
                <c:pt idx="1298">
                  <c:v>168.739999999998</c:v>
                </c:pt>
                <c:pt idx="1299">
                  <c:v>168.869999999998</c:v>
                </c:pt>
                <c:pt idx="1300">
                  <c:v>168.999999999998</c:v>
                </c:pt>
                <c:pt idx="1301">
                  <c:v>169.129999999998</c:v>
                </c:pt>
                <c:pt idx="1302">
                  <c:v>169.259999999998</c:v>
                </c:pt>
                <c:pt idx="1303">
                  <c:v>169.389999999998</c:v>
                </c:pt>
                <c:pt idx="1304">
                  <c:v>169.519999999998</c:v>
                </c:pt>
                <c:pt idx="1305">
                  <c:v>169.649999999998</c:v>
                </c:pt>
                <c:pt idx="1306">
                  <c:v>169.779999999998</c:v>
                </c:pt>
                <c:pt idx="1307">
                  <c:v>169.909999999998</c:v>
                </c:pt>
                <c:pt idx="1308">
                  <c:v>170.039999999998</c:v>
                </c:pt>
                <c:pt idx="1309">
                  <c:v>170.169999999998</c:v>
                </c:pt>
                <c:pt idx="1310">
                  <c:v>170.299999999998</c:v>
                </c:pt>
                <c:pt idx="1311">
                  <c:v>170.429999999998</c:v>
                </c:pt>
                <c:pt idx="1312">
                  <c:v>170.559999999998</c:v>
                </c:pt>
                <c:pt idx="1313">
                  <c:v>170.689999999998</c:v>
                </c:pt>
                <c:pt idx="1314">
                  <c:v>170.819999999998</c:v>
                </c:pt>
                <c:pt idx="1315">
                  <c:v>170.949999999998</c:v>
                </c:pt>
                <c:pt idx="1316">
                  <c:v>171.079999999998</c:v>
                </c:pt>
                <c:pt idx="1317">
                  <c:v>171.209999999998</c:v>
                </c:pt>
                <c:pt idx="1318">
                  <c:v>171.339999999998</c:v>
                </c:pt>
                <c:pt idx="1319">
                  <c:v>171.469999999998</c:v>
                </c:pt>
                <c:pt idx="1320">
                  <c:v>171.599999999998</c:v>
                </c:pt>
                <c:pt idx="1321">
                  <c:v>171.729999999998</c:v>
                </c:pt>
                <c:pt idx="1322">
                  <c:v>171.859999999998</c:v>
                </c:pt>
                <c:pt idx="1323">
                  <c:v>171.989999999998</c:v>
                </c:pt>
                <c:pt idx="1324">
                  <c:v>172.119999999998</c:v>
                </c:pt>
                <c:pt idx="1325">
                  <c:v>172.249999999998</c:v>
                </c:pt>
                <c:pt idx="1326">
                  <c:v>172.379999999998</c:v>
                </c:pt>
                <c:pt idx="1327">
                  <c:v>172.509999999998</c:v>
                </c:pt>
                <c:pt idx="1328">
                  <c:v>172.639999999998</c:v>
                </c:pt>
                <c:pt idx="1329">
                  <c:v>172.769999999998</c:v>
                </c:pt>
                <c:pt idx="1330">
                  <c:v>172.899999999998</c:v>
                </c:pt>
                <c:pt idx="1331">
                  <c:v>173.029999999998</c:v>
                </c:pt>
                <c:pt idx="1332">
                  <c:v>173.159999999998</c:v>
                </c:pt>
                <c:pt idx="1333">
                  <c:v>173.289999999998</c:v>
                </c:pt>
                <c:pt idx="1334">
                  <c:v>173.419999999998</c:v>
                </c:pt>
                <c:pt idx="1335">
                  <c:v>173.549999999998</c:v>
                </c:pt>
                <c:pt idx="1336">
                  <c:v>173.679999999998</c:v>
                </c:pt>
                <c:pt idx="1337">
                  <c:v>173.809999999998</c:v>
                </c:pt>
                <c:pt idx="1338">
                  <c:v>173.939999999998</c:v>
                </c:pt>
                <c:pt idx="1339">
                  <c:v>174.069999999998</c:v>
                </c:pt>
                <c:pt idx="1340">
                  <c:v>174.199999999998</c:v>
                </c:pt>
                <c:pt idx="1341">
                  <c:v>174.329999999998</c:v>
                </c:pt>
                <c:pt idx="1342">
                  <c:v>174.459999999998</c:v>
                </c:pt>
                <c:pt idx="1343">
                  <c:v>174.589999999998</c:v>
                </c:pt>
                <c:pt idx="1344">
                  <c:v>174.719999999998</c:v>
                </c:pt>
                <c:pt idx="1345">
                  <c:v>174.849999999998</c:v>
                </c:pt>
                <c:pt idx="1346">
                  <c:v>174.979999999998</c:v>
                </c:pt>
                <c:pt idx="1347">
                  <c:v>175.109999999998</c:v>
                </c:pt>
                <c:pt idx="1348">
                  <c:v>175.239999999998</c:v>
                </c:pt>
                <c:pt idx="1349">
                  <c:v>175.369999999998</c:v>
                </c:pt>
                <c:pt idx="1350">
                  <c:v>175.499999999998</c:v>
                </c:pt>
                <c:pt idx="1351">
                  <c:v>175.629999999998</c:v>
                </c:pt>
                <c:pt idx="1352">
                  <c:v>175.759999999998</c:v>
                </c:pt>
                <c:pt idx="1353">
                  <c:v>175.889999999998</c:v>
                </c:pt>
                <c:pt idx="1354">
                  <c:v>176.019999999998</c:v>
                </c:pt>
                <c:pt idx="1355">
                  <c:v>176.149999999998</c:v>
                </c:pt>
                <c:pt idx="1356">
                  <c:v>176.279999999998</c:v>
                </c:pt>
                <c:pt idx="1357">
                  <c:v>176.409999999998</c:v>
                </c:pt>
                <c:pt idx="1358">
                  <c:v>176.539999999998</c:v>
                </c:pt>
                <c:pt idx="1359">
                  <c:v>176.669999999998</c:v>
                </c:pt>
                <c:pt idx="1360">
                  <c:v>176.799999999998</c:v>
                </c:pt>
                <c:pt idx="1361">
                  <c:v>176.929999999998</c:v>
                </c:pt>
                <c:pt idx="1362">
                  <c:v>177.059999999998</c:v>
                </c:pt>
                <c:pt idx="1363">
                  <c:v>177.189999999998</c:v>
                </c:pt>
                <c:pt idx="1364">
                  <c:v>177.319999999998</c:v>
                </c:pt>
                <c:pt idx="1365">
                  <c:v>177.449999999998</c:v>
                </c:pt>
                <c:pt idx="1366">
                  <c:v>177.579999999998</c:v>
                </c:pt>
                <c:pt idx="1367">
                  <c:v>177.709999999998</c:v>
                </c:pt>
                <c:pt idx="1368">
                  <c:v>177.839999999998</c:v>
                </c:pt>
                <c:pt idx="1369">
                  <c:v>177.969999999998</c:v>
                </c:pt>
                <c:pt idx="1370">
                  <c:v>178.099999999998</c:v>
                </c:pt>
                <c:pt idx="1371">
                  <c:v>178.229999999998</c:v>
                </c:pt>
                <c:pt idx="1372">
                  <c:v>178.359999999998</c:v>
                </c:pt>
                <c:pt idx="1373">
                  <c:v>178.489999999998</c:v>
                </c:pt>
                <c:pt idx="1374">
                  <c:v>178.619999999998</c:v>
                </c:pt>
                <c:pt idx="1375">
                  <c:v>178.749999999998</c:v>
                </c:pt>
                <c:pt idx="1376">
                  <c:v>178.879999999998</c:v>
                </c:pt>
                <c:pt idx="1377">
                  <c:v>179.009999999998</c:v>
                </c:pt>
                <c:pt idx="1378">
                  <c:v>179.139999999998</c:v>
                </c:pt>
                <c:pt idx="1379">
                  <c:v>179.269999999998</c:v>
                </c:pt>
                <c:pt idx="1380">
                  <c:v>179.399999999998</c:v>
                </c:pt>
                <c:pt idx="1381">
                  <c:v>179.529999999998</c:v>
                </c:pt>
                <c:pt idx="1382">
                  <c:v>179.659999999998</c:v>
                </c:pt>
                <c:pt idx="1383">
                  <c:v>179.789999999998</c:v>
                </c:pt>
                <c:pt idx="1384">
                  <c:v>179.919999999998</c:v>
                </c:pt>
                <c:pt idx="1385">
                  <c:v>180.049999999998</c:v>
                </c:pt>
                <c:pt idx="1386">
                  <c:v>180.179999999998</c:v>
                </c:pt>
                <c:pt idx="1387">
                  <c:v>180.309999999998</c:v>
                </c:pt>
                <c:pt idx="1388">
                  <c:v>180.439999999998</c:v>
                </c:pt>
                <c:pt idx="1389">
                  <c:v>180.569999999998</c:v>
                </c:pt>
                <c:pt idx="1390">
                  <c:v>180.699999999998</c:v>
                </c:pt>
                <c:pt idx="1391">
                  <c:v>180.829999999998</c:v>
                </c:pt>
                <c:pt idx="1392">
                  <c:v>180.959999999998</c:v>
                </c:pt>
                <c:pt idx="1393">
                  <c:v>181.089999999998</c:v>
                </c:pt>
                <c:pt idx="1394">
                  <c:v>181.219999999998</c:v>
                </c:pt>
                <c:pt idx="1395">
                  <c:v>181.349999999998</c:v>
                </c:pt>
                <c:pt idx="1396">
                  <c:v>181.479999999998</c:v>
                </c:pt>
                <c:pt idx="1397">
                  <c:v>181.609999999998</c:v>
                </c:pt>
                <c:pt idx="1398">
                  <c:v>181.739999999998</c:v>
                </c:pt>
                <c:pt idx="1399">
                  <c:v>181.869999999998</c:v>
                </c:pt>
                <c:pt idx="1400">
                  <c:v>181.999999999998</c:v>
                </c:pt>
                <c:pt idx="1401">
                  <c:v>182.129999999998</c:v>
                </c:pt>
                <c:pt idx="1402">
                  <c:v>182.259999999998</c:v>
                </c:pt>
                <c:pt idx="1403">
                  <c:v>182.389999999998</c:v>
                </c:pt>
                <c:pt idx="1404">
                  <c:v>182.519999999998</c:v>
                </c:pt>
                <c:pt idx="1405">
                  <c:v>182.649999999998</c:v>
                </c:pt>
                <c:pt idx="1406">
                  <c:v>182.779999999998</c:v>
                </c:pt>
                <c:pt idx="1407">
                  <c:v>182.909999999998</c:v>
                </c:pt>
                <c:pt idx="1408">
                  <c:v>183.039999999998</c:v>
                </c:pt>
                <c:pt idx="1409">
                  <c:v>183.169999999998</c:v>
                </c:pt>
                <c:pt idx="1410">
                  <c:v>183.299999999998</c:v>
                </c:pt>
                <c:pt idx="1411">
                  <c:v>183.429999999998</c:v>
                </c:pt>
                <c:pt idx="1412">
                  <c:v>183.559999999998</c:v>
                </c:pt>
                <c:pt idx="1413">
                  <c:v>183.689999999998</c:v>
                </c:pt>
                <c:pt idx="1414">
                  <c:v>183.819999999998</c:v>
                </c:pt>
                <c:pt idx="1415">
                  <c:v>183.949999999998</c:v>
                </c:pt>
                <c:pt idx="1416">
                  <c:v>184.079999999998</c:v>
                </c:pt>
                <c:pt idx="1417">
                  <c:v>184.209999999998</c:v>
                </c:pt>
                <c:pt idx="1418">
                  <c:v>184.339999999998</c:v>
                </c:pt>
                <c:pt idx="1419">
                  <c:v>184.469999999998</c:v>
                </c:pt>
                <c:pt idx="1420">
                  <c:v>184.599999999998</c:v>
                </c:pt>
                <c:pt idx="1421">
                  <c:v>184.729999999998</c:v>
                </c:pt>
                <c:pt idx="1422">
                  <c:v>184.859999999998</c:v>
                </c:pt>
                <c:pt idx="1423">
                  <c:v>184.989999999998</c:v>
                </c:pt>
                <c:pt idx="1424">
                  <c:v>185.119999999998</c:v>
                </c:pt>
                <c:pt idx="1425">
                  <c:v>185.249999999998</c:v>
                </c:pt>
                <c:pt idx="1426">
                  <c:v>185.379999999998</c:v>
                </c:pt>
                <c:pt idx="1427">
                  <c:v>185.509999999998</c:v>
                </c:pt>
                <c:pt idx="1428">
                  <c:v>185.639999999998</c:v>
                </c:pt>
                <c:pt idx="1429">
                  <c:v>185.769999999998</c:v>
                </c:pt>
                <c:pt idx="1430">
                  <c:v>185.899999999998</c:v>
                </c:pt>
                <c:pt idx="1431">
                  <c:v>186.029999999998</c:v>
                </c:pt>
                <c:pt idx="1432">
                  <c:v>186.159999999998</c:v>
                </c:pt>
                <c:pt idx="1433">
                  <c:v>186.289999999998</c:v>
                </c:pt>
                <c:pt idx="1434">
                  <c:v>186.419999999998</c:v>
                </c:pt>
                <c:pt idx="1435">
                  <c:v>186.549999999998</c:v>
                </c:pt>
                <c:pt idx="1436">
                  <c:v>186.679999999998</c:v>
                </c:pt>
                <c:pt idx="1437">
                  <c:v>186.809999999998</c:v>
                </c:pt>
                <c:pt idx="1438">
                  <c:v>186.939999999998</c:v>
                </c:pt>
                <c:pt idx="1439">
                  <c:v>187.069999999998</c:v>
                </c:pt>
                <c:pt idx="1440">
                  <c:v>187.199999999998</c:v>
                </c:pt>
                <c:pt idx="1441">
                  <c:v>187.329999999998</c:v>
                </c:pt>
                <c:pt idx="1442">
                  <c:v>187.459999999998</c:v>
                </c:pt>
                <c:pt idx="1443">
                  <c:v>187.589999999998</c:v>
                </c:pt>
                <c:pt idx="1444">
                  <c:v>187.719999999998</c:v>
                </c:pt>
                <c:pt idx="1445">
                  <c:v>187.849999999998</c:v>
                </c:pt>
                <c:pt idx="1446">
                  <c:v>187.979999999998</c:v>
                </c:pt>
                <c:pt idx="1447">
                  <c:v>188.109999999998</c:v>
                </c:pt>
                <c:pt idx="1448">
                  <c:v>188.239999999998</c:v>
                </c:pt>
                <c:pt idx="1449">
                  <c:v>188.369999999998</c:v>
                </c:pt>
                <c:pt idx="1450">
                  <c:v>188.499999999998</c:v>
                </c:pt>
                <c:pt idx="1451">
                  <c:v>188.629999999998</c:v>
                </c:pt>
                <c:pt idx="1452">
                  <c:v>188.759999999998</c:v>
                </c:pt>
                <c:pt idx="1453">
                  <c:v>188.889999999998</c:v>
                </c:pt>
                <c:pt idx="1454">
                  <c:v>189.019999999998</c:v>
                </c:pt>
                <c:pt idx="1455">
                  <c:v>189.149999999998</c:v>
                </c:pt>
                <c:pt idx="1456">
                  <c:v>189.279999999998</c:v>
                </c:pt>
                <c:pt idx="1457">
                  <c:v>189.409999999998</c:v>
                </c:pt>
                <c:pt idx="1458">
                  <c:v>189.539999999998</c:v>
                </c:pt>
                <c:pt idx="1459">
                  <c:v>189.669999999998</c:v>
                </c:pt>
                <c:pt idx="1460">
                  <c:v>189.799999999998</c:v>
                </c:pt>
                <c:pt idx="1461">
                  <c:v>189.929999999998</c:v>
                </c:pt>
                <c:pt idx="1462">
                  <c:v>190.059999999998</c:v>
                </c:pt>
                <c:pt idx="1463">
                  <c:v>190.189999999998</c:v>
                </c:pt>
                <c:pt idx="1464">
                  <c:v>190.319999999998</c:v>
                </c:pt>
                <c:pt idx="1465">
                  <c:v>190.449999999998</c:v>
                </c:pt>
                <c:pt idx="1466">
                  <c:v>190.579999999998</c:v>
                </c:pt>
                <c:pt idx="1467">
                  <c:v>190.709999999998</c:v>
                </c:pt>
                <c:pt idx="1468">
                  <c:v>190.839999999998</c:v>
                </c:pt>
                <c:pt idx="1469">
                  <c:v>190.969999999998</c:v>
                </c:pt>
                <c:pt idx="1470">
                  <c:v>191.099999999998</c:v>
                </c:pt>
                <c:pt idx="1471">
                  <c:v>191.229999999998</c:v>
                </c:pt>
                <c:pt idx="1472">
                  <c:v>191.359999999998</c:v>
                </c:pt>
                <c:pt idx="1473">
                  <c:v>191.489999999998</c:v>
                </c:pt>
                <c:pt idx="1474">
                  <c:v>191.619999999998</c:v>
                </c:pt>
                <c:pt idx="1475">
                  <c:v>191.749999999998</c:v>
                </c:pt>
                <c:pt idx="1476">
                  <c:v>191.879999999998</c:v>
                </c:pt>
                <c:pt idx="1477">
                  <c:v>192.009999999998</c:v>
                </c:pt>
                <c:pt idx="1478">
                  <c:v>192.139999999998</c:v>
                </c:pt>
                <c:pt idx="1479">
                  <c:v>192.269999999998</c:v>
                </c:pt>
                <c:pt idx="1480">
                  <c:v>192.399999999998</c:v>
                </c:pt>
                <c:pt idx="1481">
                  <c:v>192.529999999998</c:v>
                </c:pt>
                <c:pt idx="1482">
                  <c:v>192.659999999998</c:v>
                </c:pt>
                <c:pt idx="1483">
                  <c:v>192.789999999998</c:v>
                </c:pt>
                <c:pt idx="1484">
                  <c:v>192.919999999998</c:v>
                </c:pt>
                <c:pt idx="1485">
                  <c:v>193.049999999998</c:v>
                </c:pt>
                <c:pt idx="1486">
                  <c:v>193.179999999998</c:v>
                </c:pt>
                <c:pt idx="1487">
                  <c:v>193.309999999998</c:v>
                </c:pt>
                <c:pt idx="1488">
                  <c:v>193.439999999998</c:v>
                </c:pt>
                <c:pt idx="1489">
                  <c:v>193.569999999998</c:v>
                </c:pt>
                <c:pt idx="1490">
                  <c:v>193.699999999998</c:v>
                </c:pt>
                <c:pt idx="1491">
                  <c:v>193.829999999998</c:v>
                </c:pt>
                <c:pt idx="1492">
                  <c:v>193.959999999998</c:v>
                </c:pt>
                <c:pt idx="1493">
                  <c:v>194.089999999998</c:v>
                </c:pt>
                <c:pt idx="1494">
                  <c:v>194.219999999998</c:v>
                </c:pt>
                <c:pt idx="1495">
                  <c:v>194.349999999998</c:v>
                </c:pt>
                <c:pt idx="1496">
                  <c:v>194.479999999998</c:v>
                </c:pt>
                <c:pt idx="1497">
                  <c:v>194.609999999998</c:v>
                </c:pt>
                <c:pt idx="1498">
                  <c:v>194.739999999998</c:v>
                </c:pt>
                <c:pt idx="1499">
                  <c:v>194.869999999998</c:v>
                </c:pt>
                <c:pt idx="1500">
                  <c:v>194.999999999997</c:v>
                </c:pt>
                <c:pt idx="1501">
                  <c:v>195.129999999997</c:v>
                </c:pt>
                <c:pt idx="1502">
                  <c:v>195.259999999997</c:v>
                </c:pt>
                <c:pt idx="1503">
                  <c:v>195.389999999997</c:v>
                </c:pt>
                <c:pt idx="1504">
                  <c:v>195.519999999997</c:v>
                </c:pt>
                <c:pt idx="1505">
                  <c:v>195.649999999997</c:v>
                </c:pt>
                <c:pt idx="1506">
                  <c:v>195.779999999997</c:v>
                </c:pt>
                <c:pt idx="1507">
                  <c:v>195.909999999997</c:v>
                </c:pt>
                <c:pt idx="1508">
                  <c:v>196.039999999997</c:v>
                </c:pt>
                <c:pt idx="1509">
                  <c:v>196.169999999997</c:v>
                </c:pt>
                <c:pt idx="1510">
                  <c:v>196.299999999997</c:v>
                </c:pt>
                <c:pt idx="1511">
                  <c:v>196.429999999997</c:v>
                </c:pt>
                <c:pt idx="1512">
                  <c:v>196.559999999997</c:v>
                </c:pt>
                <c:pt idx="1513">
                  <c:v>196.689999999997</c:v>
                </c:pt>
                <c:pt idx="1514">
                  <c:v>196.819999999997</c:v>
                </c:pt>
                <c:pt idx="1515">
                  <c:v>196.949999999997</c:v>
                </c:pt>
                <c:pt idx="1516">
                  <c:v>197.079999999997</c:v>
                </c:pt>
                <c:pt idx="1517">
                  <c:v>197.209999999997</c:v>
                </c:pt>
                <c:pt idx="1518">
                  <c:v>197.339999999997</c:v>
                </c:pt>
                <c:pt idx="1519">
                  <c:v>197.469999999997</c:v>
                </c:pt>
                <c:pt idx="1520">
                  <c:v>197.599999999997</c:v>
                </c:pt>
                <c:pt idx="1521">
                  <c:v>197.729999999997</c:v>
                </c:pt>
                <c:pt idx="1522">
                  <c:v>197.859999999997</c:v>
                </c:pt>
                <c:pt idx="1523">
                  <c:v>197.989999999997</c:v>
                </c:pt>
                <c:pt idx="1524">
                  <c:v>198.119999999997</c:v>
                </c:pt>
                <c:pt idx="1525">
                  <c:v>198.249999999997</c:v>
                </c:pt>
                <c:pt idx="1526">
                  <c:v>198.379999999997</c:v>
                </c:pt>
                <c:pt idx="1527">
                  <c:v>198.509999999997</c:v>
                </c:pt>
                <c:pt idx="1528">
                  <c:v>198.639999999997</c:v>
                </c:pt>
                <c:pt idx="1529">
                  <c:v>198.769999999997</c:v>
                </c:pt>
                <c:pt idx="1530">
                  <c:v>198.899999999997</c:v>
                </c:pt>
                <c:pt idx="1531">
                  <c:v>199.029999999997</c:v>
                </c:pt>
                <c:pt idx="1532">
                  <c:v>199.159999999997</c:v>
                </c:pt>
                <c:pt idx="1533">
                  <c:v>199.289999999997</c:v>
                </c:pt>
                <c:pt idx="1534">
                  <c:v>199.419999999997</c:v>
                </c:pt>
                <c:pt idx="1535">
                  <c:v>199.549999999997</c:v>
                </c:pt>
                <c:pt idx="1536">
                  <c:v>199.679999999997</c:v>
                </c:pt>
                <c:pt idx="1537">
                  <c:v>199.809999999997</c:v>
                </c:pt>
                <c:pt idx="1538">
                  <c:v>199.939999999997</c:v>
                </c:pt>
                <c:pt idx="1539">
                  <c:v>200.069999999997</c:v>
                </c:pt>
                <c:pt idx="1540">
                  <c:v>200.199999999997</c:v>
                </c:pt>
                <c:pt idx="1541">
                  <c:v>200.329999999997</c:v>
                </c:pt>
                <c:pt idx="1542">
                  <c:v>200.459999999997</c:v>
                </c:pt>
                <c:pt idx="1543">
                  <c:v>200.589999999997</c:v>
                </c:pt>
                <c:pt idx="1544">
                  <c:v>200.719999999997</c:v>
                </c:pt>
                <c:pt idx="1545">
                  <c:v>200.849999999997</c:v>
                </c:pt>
                <c:pt idx="1546">
                  <c:v>200.979999999997</c:v>
                </c:pt>
                <c:pt idx="1547">
                  <c:v>201.109999999997</c:v>
                </c:pt>
                <c:pt idx="1548">
                  <c:v>201.239999999997</c:v>
                </c:pt>
                <c:pt idx="1549">
                  <c:v>201.369999999997</c:v>
                </c:pt>
                <c:pt idx="1550">
                  <c:v>201.499999999997</c:v>
                </c:pt>
                <c:pt idx="1551">
                  <c:v>201.629999999997</c:v>
                </c:pt>
                <c:pt idx="1552">
                  <c:v>201.759999999997</c:v>
                </c:pt>
                <c:pt idx="1553">
                  <c:v>201.889999999997</c:v>
                </c:pt>
                <c:pt idx="1554">
                  <c:v>202.019999999997</c:v>
                </c:pt>
                <c:pt idx="1555">
                  <c:v>202.149999999997</c:v>
                </c:pt>
                <c:pt idx="1556">
                  <c:v>202.279999999997</c:v>
                </c:pt>
                <c:pt idx="1557">
                  <c:v>202.409999999997</c:v>
                </c:pt>
                <c:pt idx="1558">
                  <c:v>202.539999999997</c:v>
                </c:pt>
                <c:pt idx="1559">
                  <c:v>202.669999999997</c:v>
                </c:pt>
                <c:pt idx="1560">
                  <c:v>202.799999999997</c:v>
                </c:pt>
                <c:pt idx="1561">
                  <c:v>202.929999999997</c:v>
                </c:pt>
                <c:pt idx="1562">
                  <c:v>203.059999999997</c:v>
                </c:pt>
                <c:pt idx="1563">
                  <c:v>203.189999999997</c:v>
                </c:pt>
                <c:pt idx="1564">
                  <c:v>203.319999999997</c:v>
                </c:pt>
                <c:pt idx="1565">
                  <c:v>203.449999999997</c:v>
                </c:pt>
                <c:pt idx="1566">
                  <c:v>203.579999999997</c:v>
                </c:pt>
                <c:pt idx="1567">
                  <c:v>203.709999999997</c:v>
                </c:pt>
                <c:pt idx="1568">
                  <c:v>203.839999999997</c:v>
                </c:pt>
                <c:pt idx="1569">
                  <c:v>203.969999999997</c:v>
                </c:pt>
                <c:pt idx="1570">
                  <c:v>204.099999999997</c:v>
                </c:pt>
                <c:pt idx="1571">
                  <c:v>204.229999999997</c:v>
                </c:pt>
                <c:pt idx="1572">
                  <c:v>204.359999999997</c:v>
                </c:pt>
                <c:pt idx="1573">
                  <c:v>204.489999999997</c:v>
                </c:pt>
                <c:pt idx="1574">
                  <c:v>204.619999999997</c:v>
                </c:pt>
                <c:pt idx="1575">
                  <c:v>204.749999999997</c:v>
                </c:pt>
                <c:pt idx="1576">
                  <c:v>204.879999999997</c:v>
                </c:pt>
                <c:pt idx="1577">
                  <c:v>205.009999999997</c:v>
                </c:pt>
                <c:pt idx="1578">
                  <c:v>205.139999999997</c:v>
                </c:pt>
                <c:pt idx="1579">
                  <c:v>205.269999999997</c:v>
                </c:pt>
                <c:pt idx="1580">
                  <c:v>205.399999999997</c:v>
                </c:pt>
                <c:pt idx="1581">
                  <c:v>205.529999999997</c:v>
                </c:pt>
                <c:pt idx="1582">
                  <c:v>205.659999999997</c:v>
                </c:pt>
                <c:pt idx="1583">
                  <c:v>205.789999999997</c:v>
                </c:pt>
                <c:pt idx="1584">
                  <c:v>205.919999999997</c:v>
                </c:pt>
                <c:pt idx="1585">
                  <c:v>206.049999999997</c:v>
                </c:pt>
                <c:pt idx="1586">
                  <c:v>206.179999999997</c:v>
                </c:pt>
                <c:pt idx="1587">
                  <c:v>206.309999999997</c:v>
                </c:pt>
                <c:pt idx="1588">
                  <c:v>206.439999999997</c:v>
                </c:pt>
                <c:pt idx="1589">
                  <c:v>206.569999999997</c:v>
                </c:pt>
                <c:pt idx="1590">
                  <c:v>206.699999999997</c:v>
                </c:pt>
                <c:pt idx="1591">
                  <c:v>206.829999999997</c:v>
                </c:pt>
                <c:pt idx="1592">
                  <c:v>206.959999999997</c:v>
                </c:pt>
                <c:pt idx="1593">
                  <c:v>207.089999999997</c:v>
                </c:pt>
                <c:pt idx="1594">
                  <c:v>207.219999999997</c:v>
                </c:pt>
                <c:pt idx="1595">
                  <c:v>207.349999999997</c:v>
                </c:pt>
                <c:pt idx="1596">
                  <c:v>207.479999999997</c:v>
                </c:pt>
                <c:pt idx="1597">
                  <c:v>207.609999999997</c:v>
                </c:pt>
                <c:pt idx="1598">
                  <c:v>207.739999999997</c:v>
                </c:pt>
                <c:pt idx="1599">
                  <c:v>207.869999999997</c:v>
                </c:pt>
                <c:pt idx="1600">
                  <c:v>207.999999999997</c:v>
                </c:pt>
                <c:pt idx="1601">
                  <c:v>208.129999999997</c:v>
                </c:pt>
                <c:pt idx="1602">
                  <c:v>208.259999999997</c:v>
                </c:pt>
                <c:pt idx="1603">
                  <c:v>208.389999999997</c:v>
                </c:pt>
                <c:pt idx="1604">
                  <c:v>208.519999999997</c:v>
                </c:pt>
                <c:pt idx="1605">
                  <c:v>208.649999999997</c:v>
                </c:pt>
                <c:pt idx="1606">
                  <c:v>208.779999999997</c:v>
                </c:pt>
                <c:pt idx="1607">
                  <c:v>208.909999999997</c:v>
                </c:pt>
                <c:pt idx="1608">
                  <c:v>209.039999999997</c:v>
                </c:pt>
                <c:pt idx="1609">
                  <c:v>209.169999999997</c:v>
                </c:pt>
                <c:pt idx="1610">
                  <c:v>209.299999999997</c:v>
                </c:pt>
                <c:pt idx="1611">
                  <c:v>209.429999999997</c:v>
                </c:pt>
                <c:pt idx="1612">
                  <c:v>209.559999999997</c:v>
                </c:pt>
                <c:pt idx="1613">
                  <c:v>209.689999999997</c:v>
                </c:pt>
                <c:pt idx="1614">
                  <c:v>209.819999999997</c:v>
                </c:pt>
                <c:pt idx="1615">
                  <c:v>209.949999999997</c:v>
                </c:pt>
                <c:pt idx="1616">
                  <c:v>210.079999999997</c:v>
                </c:pt>
                <c:pt idx="1617">
                  <c:v>210.209999999997</c:v>
                </c:pt>
                <c:pt idx="1618">
                  <c:v>210.339999999997</c:v>
                </c:pt>
                <c:pt idx="1619">
                  <c:v>210.469999999997</c:v>
                </c:pt>
                <c:pt idx="1620">
                  <c:v>210.599999999997</c:v>
                </c:pt>
                <c:pt idx="1621">
                  <c:v>210.729999999997</c:v>
                </c:pt>
                <c:pt idx="1622">
                  <c:v>210.859999999997</c:v>
                </c:pt>
                <c:pt idx="1623">
                  <c:v>210.989999999997</c:v>
                </c:pt>
                <c:pt idx="1624">
                  <c:v>211.119999999997</c:v>
                </c:pt>
                <c:pt idx="1625">
                  <c:v>211.249999999997</c:v>
                </c:pt>
                <c:pt idx="1626">
                  <c:v>211.379999999997</c:v>
                </c:pt>
                <c:pt idx="1627">
                  <c:v>211.509999999997</c:v>
                </c:pt>
                <c:pt idx="1628">
                  <c:v>211.639999999997</c:v>
                </c:pt>
                <c:pt idx="1629">
                  <c:v>211.769999999997</c:v>
                </c:pt>
                <c:pt idx="1630">
                  <c:v>211.899999999997</c:v>
                </c:pt>
              </c:numCache>
            </c:numRef>
          </c:yVal>
          <c:smooth val="1"/>
        </c:ser>
        <c:axId val="8246043"/>
        <c:axId val="34114605"/>
      </c:scatterChart>
      <c:valAx>
        <c:axId val="8246043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34114605"/>
        <c:crosses val="autoZero"/>
        <c:crossBetween val="midCat"/>
      </c:valAx>
      <c:valAx>
        <c:axId val="34114605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rial"/>
                <a:ea typeface="Arial"/>
              </a:defRPr>
            </a:pPr>
          </a:p>
        </c:txPr>
        <c:crossAx val="8246043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layout>
        <c:manualLayout>
          <c:xMode val="edge"/>
          <c:yMode val="edge"/>
          <c:x val="0.92535754459264"/>
          <c:y val="0.502991744300538"/>
          <c:w val="0.0671326985657467"/>
          <c:h val="0.0440842296621724"/>
        </c:manualLayout>
      </c:layout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845" strike="noStrike" u="none">
              <a:solidFill>
                <a:srgbClr val="000000"/>
              </a:solidFill>
              <a:uFillTx/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wmf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9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0</xdr:colOff>
      <xdr:row>0</xdr:row>
      <xdr:rowOff>0</xdr:rowOff>
    </xdr:from>
    <xdr:to>
      <xdr:col>18</xdr:col>
      <xdr:colOff>350640</xdr:colOff>
      <xdr:row>39</xdr:row>
      <xdr:rowOff>78120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5083920" y="0"/>
          <a:ext cx="8300160" cy="6418080"/>
        </a:xfrm>
        <a:prstGeom prst="rect">
          <a:avLst/>
        </a:prstGeom>
        <a:solidFill>
          <a:srgbClr val="eaeaea"/>
        </a:solidFill>
        <a:ln w="0">
          <a:noFill/>
        </a:ln>
      </xdr:spPr>
    </xdr:pic>
    <xdr:clientData/>
  </xdr:twoCellAnchor>
  <xdr:twoCellAnchor editAs="oneCell">
    <xdr:from>
      <xdr:col>5</xdr:col>
      <xdr:colOff>9360</xdr:colOff>
      <xdr:row>39</xdr:row>
      <xdr:rowOff>0</xdr:rowOff>
    </xdr:from>
    <xdr:to>
      <xdr:col>15</xdr:col>
      <xdr:colOff>312480</xdr:colOff>
      <xdr:row>66</xdr:row>
      <xdr:rowOff>141120</xdr:rowOff>
    </xdr:to>
    <xdr:graphicFrame>
      <xdr:nvGraphicFramePr>
        <xdr:cNvPr id="1" name="Chart 8"/>
        <xdr:cNvGraphicFramePr/>
      </xdr:nvGraphicFramePr>
      <xdr:xfrm>
        <a:off x="5093280" y="6339960"/>
        <a:ext cx="6418080" cy="4530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66</xdr:row>
      <xdr:rowOff>0</xdr:rowOff>
    </xdr:from>
    <xdr:to>
      <xdr:col>30</xdr:col>
      <xdr:colOff>407880</xdr:colOff>
      <xdr:row>96</xdr:row>
      <xdr:rowOff>83880</xdr:rowOff>
    </xdr:to>
    <xdr:graphicFrame>
      <xdr:nvGraphicFramePr>
        <xdr:cNvPr id="2" name="Chart 31"/>
        <xdr:cNvGraphicFramePr/>
      </xdr:nvGraphicFramePr>
      <xdr:xfrm>
        <a:off x="11810520" y="10729080"/>
        <a:ext cx="8968680" cy="4960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0</xdr:colOff>
      <xdr:row>98</xdr:row>
      <xdr:rowOff>0</xdr:rowOff>
    </xdr:from>
    <xdr:to>
      <xdr:col>17</xdr:col>
      <xdr:colOff>598320</xdr:colOff>
      <xdr:row>132</xdr:row>
      <xdr:rowOff>93600</xdr:rowOff>
    </xdr:to>
    <xdr:graphicFrame>
      <xdr:nvGraphicFramePr>
        <xdr:cNvPr id="3" name="Chart 30"/>
        <xdr:cNvGraphicFramePr/>
      </xdr:nvGraphicFramePr>
      <xdr:xfrm>
        <a:off x="5083920" y="15930720"/>
        <a:ext cx="7936200" cy="5620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9360</xdr:colOff>
      <xdr:row>68</xdr:row>
      <xdr:rowOff>19080</xdr:rowOff>
    </xdr:from>
    <xdr:to>
      <xdr:col>15</xdr:col>
      <xdr:colOff>302760</xdr:colOff>
      <xdr:row>96</xdr:row>
      <xdr:rowOff>93600</xdr:rowOff>
    </xdr:to>
    <xdr:graphicFrame>
      <xdr:nvGraphicFramePr>
        <xdr:cNvPr id="4" name="Chart 11"/>
        <xdr:cNvGraphicFramePr/>
      </xdr:nvGraphicFramePr>
      <xdr:xfrm>
        <a:off x="5093280" y="11073240"/>
        <a:ext cx="6408360" cy="4626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561960</xdr:colOff>
      <xdr:row>6</xdr:row>
      <xdr:rowOff>152280</xdr:rowOff>
    </xdr:from>
    <xdr:to>
      <xdr:col>26</xdr:col>
      <xdr:colOff>350640</xdr:colOff>
      <xdr:row>36</xdr:row>
      <xdr:rowOff>45720</xdr:rowOff>
    </xdr:to>
    <xdr:graphicFrame>
      <xdr:nvGraphicFramePr>
        <xdr:cNvPr id="5" name="Chart 3"/>
        <xdr:cNvGraphicFramePr/>
      </xdr:nvGraphicFramePr>
      <xdr:xfrm>
        <a:off x="7288560" y="1127520"/>
        <a:ext cx="8961120" cy="477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9360</xdr:colOff>
      <xdr:row>39</xdr:row>
      <xdr:rowOff>19080</xdr:rowOff>
    </xdr:from>
    <xdr:to>
      <xdr:col>24</xdr:col>
      <xdr:colOff>597960</xdr:colOff>
      <xdr:row>72</xdr:row>
      <xdr:rowOff>160200</xdr:rowOff>
    </xdr:to>
    <xdr:graphicFrame>
      <xdr:nvGraphicFramePr>
        <xdr:cNvPr id="6" name="Chart 6"/>
        <xdr:cNvGraphicFramePr/>
      </xdr:nvGraphicFramePr>
      <xdr:xfrm>
        <a:off x="7347600" y="6359040"/>
        <a:ext cx="7926480" cy="5505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0</xdr:colOff>
      <xdr:row>57</xdr:row>
      <xdr:rowOff>141120</xdr:rowOff>
    </xdr:from>
    <xdr:to>
      <xdr:col>22</xdr:col>
      <xdr:colOff>569880</xdr:colOff>
      <xdr:row>84</xdr:row>
      <xdr:rowOff>31680</xdr:rowOff>
    </xdr:to>
    <xdr:graphicFrame>
      <xdr:nvGraphicFramePr>
        <xdr:cNvPr id="7" name="Chart 21"/>
        <xdr:cNvGraphicFramePr/>
      </xdr:nvGraphicFramePr>
      <xdr:xfrm>
        <a:off x="11890440" y="9370800"/>
        <a:ext cx="6057360" cy="4262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85</xdr:row>
      <xdr:rowOff>54000</xdr:rowOff>
    </xdr:from>
    <xdr:to>
      <xdr:col>22</xdr:col>
      <xdr:colOff>579240</xdr:colOff>
      <xdr:row>111</xdr:row>
      <xdr:rowOff>116280</xdr:rowOff>
    </xdr:to>
    <xdr:graphicFrame>
      <xdr:nvGraphicFramePr>
        <xdr:cNvPr id="8" name="Chart 60"/>
        <xdr:cNvGraphicFramePr/>
      </xdr:nvGraphicFramePr>
      <xdr:xfrm>
        <a:off x="11890440" y="13817520"/>
        <a:ext cx="6066720" cy="4272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15</xdr:col>
      <xdr:colOff>0</xdr:colOff>
      <xdr:row>0</xdr:row>
      <xdr:rowOff>47520</xdr:rowOff>
    </xdr:from>
    <xdr:to>
      <xdr:col>29</xdr:col>
      <xdr:colOff>398160</xdr:colOff>
      <xdr:row>29</xdr:row>
      <xdr:rowOff>102960</xdr:rowOff>
    </xdr:to>
    <xdr:graphicFrame>
      <xdr:nvGraphicFramePr>
        <xdr:cNvPr id="9" name="Chart 2"/>
        <xdr:cNvGraphicFramePr/>
      </xdr:nvGraphicFramePr>
      <xdr:xfrm>
        <a:off x="9905400" y="47520"/>
        <a:ext cx="8959320" cy="476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18"/>
  <sheetViews>
    <sheetView showFormulas="false" showGridLines="true" showRowColHeaders="true" showZeros="true" rightToLeft="false" tabSelected="true" showOutlineSymbols="true" defaultGridColor="true" view="normal" topLeftCell="A52" colorId="64" zoomScale="85" zoomScaleNormal="85" zoomScalePageLayoutView="100" workbookViewId="0">
      <selection pane="topLeft" activeCell="E76" activeCellId="0" sqref="E76"/>
    </sheetView>
  </sheetViews>
  <sheetFormatPr defaultColWidth="8.6796875" defaultRowHeight="12.8" customHeight="true" zeroHeight="false" outlineLevelRow="0" outlineLevelCol="0"/>
  <cols>
    <col collapsed="false" customWidth="true" hidden="false" outlineLevel="0" max="1" min="1" style="1" width="37.42"/>
  </cols>
  <sheetData>
    <row r="1" customFormat="false" ht="12.8" hidden="false" customHeight="false" outlineLevel="0" collapsed="false">
      <c r="A1" s="2" t="s">
        <v>0</v>
      </c>
      <c r="B1" s="3"/>
      <c r="C1" s="3"/>
      <c r="D1" s="4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customFormat="false" ht="12.8" hidden="false" customHeight="false" outlineLevel="0" collapsed="false">
      <c r="A2" s="6" t="s">
        <v>1</v>
      </c>
      <c r="B2" s="7"/>
      <c r="C2" s="8" t="n">
        <v>0.01</v>
      </c>
      <c r="D2" s="9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customFormat="false" ht="12.8" hidden="false" customHeight="false" outlineLevel="0" collapsed="false">
      <c r="A3" s="6" t="s">
        <v>2</v>
      </c>
      <c r="B3" s="7"/>
      <c r="C3" s="8" t="n">
        <v>0.01</v>
      </c>
      <c r="D3" s="9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customFormat="false" ht="12.8" hidden="false" customHeight="false" outlineLevel="0" collapsed="false">
      <c r="A4" s="10"/>
      <c r="B4" s="11"/>
      <c r="C4" s="11"/>
      <c r="D4" s="12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customFormat="false" ht="12.8" hidden="false" customHeight="false" outlineLevel="0" collapsed="false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customFormat="false" ht="12.8" hidden="false" customHeight="false" outlineLevel="0" collapsed="false">
      <c r="A6" s="13" t="str">
        <f aca="false">'Design Calculations'!A1</f>
        <v>UV and OV</v>
      </c>
      <c r="B6" s="14"/>
      <c r="C6" s="15" t="s">
        <v>3</v>
      </c>
      <c r="D6" s="16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customFormat="false" ht="12.8" hidden="false" customHeight="false" outlineLevel="0" collapsed="false">
      <c r="A7" s="17" t="str">
        <f aca="false">'Design Calculations'!A2</f>
        <v>Set UV threshold</v>
      </c>
      <c r="B7" s="8" t="n">
        <v>20</v>
      </c>
      <c r="C7" s="18" t="s">
        <v>4</v>
      </c>
      <c r="D7" s="19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customFormat="false" ht="12.8" hidden="false" customHeight="false" outlineLevel="0" collapsed="false">
      <c r="A8" s="17" t="str">
        <f aca="false">'Design Calculations'!A3</f>
        <v>Set OV threshold</v>
      </c>
      <c r="B8" s="8" t="n">
        <v>27</v>
      </c>
      <c r="C8" s="18" t="s">
        <v>4</v>
      </c>
      <c r="D8" s="19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customFormat="false" ht="12.8" hidden="false" customHeight="false" outlineLevel="0" collapsed="false">
      <c r="A9" s="17" t="str">
        <f aca="false">'Design Calculations'!A4</f>
        <v>Set R3 in Kohms</v>
      </c>
      <c r="B9" s="8" t="n">
        <v>10</v>
      </c>
      <c r="C9" s="18" t="s">
        <v>5</v>
      </c>
      <c r="D9" s="19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customFormat="false" ht="12.8" hidden="false" customHeight="false" outlineLevel="0" collapsed="false">
      <c r="A10" s="17"/>
      <c r="B10" s="18"/>
      <c r="C10" s="20"/>
      <c r="D10" s="19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customFormat="false" ht="12.8" hidden="false" customHeight="false" outlineLevel="0" collapsed="false">
      <c r="A11" s="21" t="s">
        <v>6</v>
      </c>
      <c r="B11" s="22" t="n">
        <f aca="false">ActR1/1000</f>
        <v>255</v>
      </c>
      <c r="C11" s="18" t="s">
        <v>5</v>
      </c>
      <c r="D11" s="19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customFormat="false" ht="12.8" hidden="false" customHeight="false" outlineLevel="0" collapsed="false">
      <c r="A12" s="21" t="s">
        <v>7</v>
      </c>
      <c r="B12" s="22" t="n">
        <f aca="false">ActR2/1000</f>
        <v>3.48</v>
      </c>
      <c r="C12" s="18" t="s">
        <v>5</v>
      </c>
      <c r="D12" s="19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customFormat="false" ht="12.8" hidden="false" customHeight="false" outlineLevel="0" collapsed="false">
      <c r="A13" s="17"/>
      <c r="B13" s="20"/>
      <c r="C13" s="20"/>
      <c r="D13" s="19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customFormat="false" ht="12.8" hidden="false" customHeight="false" outlineLevel="0" collapsed="false">
      <c r="A14" s="21" t="s">
        <v>8</v>
      </c>
      <c r="B14" s="23" t="n">
        <f aca="false">'Design Calculations'!B9</f>
        <v>19.9169139465875</v>
      </c>
      <c r="C14" s="18" t="s">
        <v>4</v>
      </c>
      <c r="D14" s="19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customFormat="false" ht="12.8" hidden="false" customHeight="false" outlineLevel="0" collapsed="false">
      <c r="A15" s="21" t="s">
        <v>9</v>
      </c>
      <c r="B15" s="22" t="n">
        <f aca="false">'Design Calculations'!B10</f>
        <v>26.848</v>
      </c>
      <c r="C15" s="18" t="s">
        <v>4</v>
      </c>
      <c r="D15" s="19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customFormat="false" ht="12.8" hidden="false" customHeight="false" outlineLevel="0" collapsed="false">
      <c r="A16" s="21"/>
      <c r="B16" s="20"/>
      <c r="C16" s="18"/>
      <c r="D16" s="19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customFormat="false" ht="12.8" hidden="false" customHeight="false" outlineLevel="0" collapsed="false">
      <c r="A17" s="21" t="s">
        <v>10</v>
      </c>
      <c r="B17" s="24" t="n">
        <f aca="false">'Design Calculations'!B12</f>
        <v>20.5020645625393</v>
      </c>
      <c r="C17" s="18" t="s">
        <v>4</v>
      </c>
      <c r="D17" s="19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customFormat="false" ht="12.8" hidden="false" customHeight="false" outlineLevel="0" collapsed="false">
      <c r="A18" s="21" t="s">
        <v>11</v>
      </c>
      <c r="B18" s="24" t="n">
        <f aca="false">'Design Calculations'!B13</f>
        <v>19.3468983752975</v>
      </c>
      <c r="C18" s="18" t="s">
        <v>4</v>
      </c>
      <c r="D18" s="19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customFormat="false" ht="12.8" hidden="false" customHeight="false" outlineLevel="0" collapsed="false">
      <c r="A19" s="21"/>
      <c r="B19" s="25"/>
      <c r="C19" s="18"/>
      <c r="D19" s="19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customFormat="false" ht="12.8" hidden="false" customHeight="false" outlineLevel="0" collapsed="false">
      <c r="A20" s="21" t="s">
        <v>12</v>
      </c>
      <c r="B20" s="24" t="n">
        <f aca="false">'Design Calculations'!B15</f>
        <v>27.6438836363636</v>
      </c>
      <c r="C20" s="18" t="s">
        <v>4</v>
      </c>
      <c r="D20" s="19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customFormat="false" ht="12.8" hidden="false" customHeight="false" outlineLevel="0" collapsed="false">
      <c r="A21" s="21" t="s">
        <v>13</v>
      </c>
      <c r="B21" s="24" t="n">
        <f aca="false">'Design Calculations'!B16</f>
        <v>26.0727968316832</v>
      </c>
      <c r="C21" s="18" t="s">
        <v>4</v>
      </c>
      <c r="D21" s="19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customFormat="false" ht="12.8" hidden="false" customHeight="false" outlineLevel="0" collapsed="false">
      <c r="A22" s="17"/>
      <c r="B22" s="20"/>
      <c r="C22" s="20"/>
      <c r="D22" s="19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customFormat="false" ht="12.8" hidden="false" customHeight="false" outlineLevel="0" collapsed="false">
      <c r="A23" s="26"/>
      <c r="B23" s="27"/>
      <c r="C23" s="27"/>
      <c r="D23" s="28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customFormat="false" ht="12.8" hidden="false" customHeight="false" outlineLevel="0" collapsed="false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customFormat="false" ht="12.8" hidden="false" customHeight="false" outlineLevel="0" collapsed="false">
      <c r="A25" s="29"/>
      <c r="B25" s="30"/>
      <c r="C25" s="31" t="s">
        <v>14</v>
      </c>
      <c r="D25" s="32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customFormat="false" ht="12.8" hidden="false" customHeight="false" outlineLevel="0" collapsed="false">
      <c r="A26" s="33" t="str">
        <f aca="false">'Design Calculations'!A18</f>
        <v>CURRENT LIMIT</v>
      </c>
      <c r="B26" s="34"/>
      <c r="C26" s="34"/>
      <c r="D26" s="3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customFormat="false" ht="12.8" hidden="false" customHeight="false" outlineLevel="0" collapsed="false">
      <c r="A27" s="36" t="str">
        <f aca="false">'Design Calculations'!A19</f>
        <v>Desired Current Limit</v>
      </c>
      <c r="B27" s="8" t="n">
        <v>10</v>
      </c>
      <c r="C27" s="37" t="s">
        <v>15</v>
      </c>
      <c r="D27" s="3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customFormat="false" ht="12.8" hidden="false" customHeight="false" outlineLevel="0" collapsed="false">
      <c r="A28" s="36" t="str">
        <f aca="false">'Design Calculations'!A20</f>
        <v>Set Rsense</v>
      </c>
      <c r="B28" s="8" t="n">
        <v>0.005</v>
      </c>
      <c r="C28" s="37" t="s">
        <v>16</v>
      </c>
      <c r="D28" s="3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customFormat="false" ht="12.8" hidden="false" customHeight="false" outlineLevel="0" collapsed="false">
      <c r="A29" s="36" t="str">
        <f aca="false">'Design Calculations'!A23</f>
        <v>Set R5 in Kohms</v>
      </c>
      <c r="B29" s="8" t="n">
        <v>10</v>
      </c>
      <c r="C29" s="37" t="s">
        <v>17</v>
      </c>
      <c r="D29" s="3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customFormat="false" ht="12.8" hidden="false" customHeight="false" outlineLevel="0" collapsed="false">
      <c r="A30" s="36"/>
      <c r="B30" s="34"/>
      <c r="C30" s="34"/>
      <c r="D30" s="3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customFormat="false" ht="12.8" hidden="false" customHeight="false" outlineLevel="0" collapsed="false">
      <c r="A31" s="38" t="s">
        <v>18</v>
      </c>
      <c r="B31" s="22" t="n">
        <f aca="false">ActR4/1000</f>
        <v>8.06</v>
      </c>
      <c r="C31" s="37" t="s">
        <v>17</v>
      </c>
      <c r="D31" s="3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customFormat="false" ht="12.8" hidden="false" customHeight="false" outlineLevel="0" collapsed="false">
      <c r="A32" s="36" t="str">
        <f aca="false">'Design Calculations'!A25</f>
        <v>Calc actual OC</v>
      </c>
      <c r="B32" s="39" t="n">
        <f aca="false">'Design Calculations'!B25</f>
        <v>9.96677740863787</v>
      </c>
      <c r="C32" s="37" t="s">
        <v>15</v>
      </c>
      <c r="D32" s="3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customFormat="false" ht="12.8" hidden="false" customHeight="false" outlineLevel="0" collapsed="false">
      <c r="A33" s="36" t="s">
        <v>19</v>
      </c>
      <c r="B33" s="22" t="n">
        <f aca="false">VI</f>
        <v>2</v>
      </c>
      <c r="C33" s="34" t="s">
        <v>4</v>
      </c>
      <c r="D33" s="3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customFormat="false" ht="12.8" hidden="false" customHeight="false" outlineLevel="0" collapsed="false">
      <c r="A34" s="40" t="str">
        <f aca="false">'Design Calculations'!C22</f>
        <v/>
      </c>
      <c r="B34" s="34"/>
      <c r="C34" s="34"/>
      <c r="D34" s="3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customFormat="false" ht="12.8" hidden="false" customHeight="false" outlineLevel="0" collapsed="false">
      <c r="A35" s="36" t="s">
        <v>20</v>
      </c>
      <c r="B35" s="41" t="n">
        <f aca="false">'Design Calculations'!B27</f>
        <v>10.8146243344314</v>
      </c>
      <c r="C35" s="37" t="s">
        <v>15</v>
      </c>
      <c r="D35" s="3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customFormat="false" ht="12.8" hidden="false" customHeight="false" outlineLevel="0" collapsed="false">
      <c r="A36" s="36" t="s">
        <v>21</v>
      </c>
      <c r="B36" s="41" t="n">
        <f aca="false">'Design Calculations'!B28</f>
        <v>9.13817272218669</v>
      </c>
      <c r="C36" s="37" t="s">
        <v>15</v>
      </c>
      <c r="D36" s="3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customFormat="false" ht="12.8" hidden="false" customHeight="false" outlineLevel="0" collapsed="false">
      <c r="A37" s="42"/>
      <c r="B37" s="43"/>
      <c r="C37" s="43"/>
      <c r="D37" s="44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customFormat="false" ht="12.8" hidden="false" customHeight="false" outlineLevel="0" collapsed="false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customFormat="false" ht="12.8" hidden="false" customHeight="false" outlineLevel="0" collapsed="false">
      <c r="A39" s="45"/>
      <c r="B39" s="46"/>
      <c r="C39" s="47" t="s">
        <v>22</v>
      </c>
      <c r="D39" s="48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customFormat="false" ht="12.8" hidden="false" customHeight="false" outlineLevel="0" collapsed="false">
      <c r="A40" s="49" t="str">
        <f aca="false">'Design Calculations'!A32</f>
        <v>FOLDBACK and PG</v>
      </c>
      <c r="B40" s="50"/>
      <c r="C40" s="50"/>
      <c r="D40" s="51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customFormat="false" ht="12.8" hidden="false" customHeight="false" outlineLevel="0" collapsed="false">
      <c r="A41" s="52" t="str">
        <f aca="false">'Design Calculations'!A33</f>
        <v>Set PG Threshold</v>
      </c>
      <c r="B41" s="8" t="n">
        <v>24</v>
      </c>
      <c r="C41" s="53" t="s">
        <v>4</v>
      </c>
      <c r="D41" s="51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customFormat="false" ht="12.8" hidden="false" customHeight="false" outlineLevel="0" collapsed="false">
      <c r="A42" s="52" t="str">
        <f aca="false">'Design Calculations'!A36</f>
        <v>Set FLB Threshold</v>
      </c>
      <c r="B42" s="8" t="n">
        <v>26</v>
      </c>
      <c r="C42" s="53" t="s">
        <v>4</v>
      </c>
      <c r="D42" s="51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customFormat="false" ht="12.8" hidden="false" customHeight="false" outlineLevel="0" collapsed="false">
      <c r="A43" s="52"/>
      <c r="B43" s="50"/>
      <c r="C43" s="53"/>
      <c r="D43" s="51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customFormat="false" ht="12.8" hidden="false" customHeight="false" outlineLevel="0" collapsed="false">
      <c r="A44" s="54" t="str">
        <f aca="false">'Design Calculations'!J30</f>
        <v>Ignore these calculations, use next section</v>
      </c>
      <c r="B44" s="50"/>
      <c r="C44" s="53"/>
      <c r="D44" s="51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customFormat="false" ht="12.8" hidden="false" customHeight="false" outlineLevel="0" collapsed="false">
      <c r="A45" s="52" t="str">
        <f aca="false">'Design Calculations'!A34</f>
        <v>Set R9 in Kohms</v>
      </c>
      <c r="B45" s="8" t="n">
        <v>4.75</v>
      </c>
      <c r="C45" s="53" t="s">
        <v>17</v>
      </c>
      <c r="D45" s="51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customFormat="false" ht="12.8" hidden="false" customHeight="false" outlineLevel="0" collapsed="false">
      <c r="A46" s="55" t="s">
        <v>23</v>
      </c>
      <c r="B46" s="22" t="e">
        <f aca="false">ActR7/1000</f>
        <v>#N/A</v>
      </c>
      <c r="C46" s="53" t="s">
        <v>17</v>
      </c>
      <c r="D46" s="51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customFormat="false" ht="12.8" hidden="false" customHeight="false" outlineLevel="0" collapsed="false">
      <c r="A47" s="55" t="s">
        <v>24</v>
      </c>
      <c r="B47" s="22" t="n">
        <f aca="false">ActR8/1000</f>
        <v>110</v>
      </c>
      <c r="C47" s="53" t="s">
        <v>17</v>
      </c>
      <c r="D47" s="51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customFormat="false" ht="12.8" hidden="false" customHeight="false" outlineLevel="0" collapsed="false">
      <c r="A48" s="52" t="str">
        <f aca="false">'Design Calculations'!A39</f>
        <v>Calc actual PG</v>
      </c>
      <c r="B48" s="23" t="e">
        <f aca="false">'Design Calculations'!B39</f>
        <v>#N/A</v>
      </c>
      <c r="C48" s="53" t="s">
        <v>4</v>
      </c>
      <c r="D48" s="51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customFormat="false" ht="12.8" hidden="false" customHeight="false" outlineLevel="0" collapsed="false">
      <c r="A49" s="52"/>
      <c r="B49" s="56"/>
      <c r="C49" s="53"/>
      <c r="D49" s="51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customFormat="false" ht="12.8" hidden="false" customHeight="false" outlineLevel="0" collapsed="false">
      <c r="A50" s="52" t="s">
        <v>25</v>
      </c>
      <c r="B50" s="24" t="e">
        <f aca="false">'Design Calculations'!B42</f>
        <v>#N/A</v>
      </c>
      <c r="C50" s="53"/>
      <c r="D50" s="51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customFormat="false" ht="12.8" hidden="false" customHeight="false" outlineLevel="0" collapsed="false">
      <c r="A51" s="52" t="s">
        <v>26</v>
      </c>
      <c r="B51" s="24" t="e">
        <f aca="false">'Design Calculations'!B43</f>
        <v>#N/A</v>
      </c>
      <c r="C51" s="53"/>
      <c r="D51" s="51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customFormat="false" ht="12.8" hidden="false" customHeight="false" outlineLevel="0" collapsed="false">
      <c r="A52" s="52"/>
      <c r="B52" s="57"/>
      <c r="C52" s="53"/>
      <c r="D52" s="51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customFormat="false" ht="12.8" hidden="false" customHeight="false" outlineLevel="0" collapsed="false">
      <c r="A53" s="54" t="str">
        <f aca="false">'Design Calculations'!J31</f>
        <v>Reverse FB and FLB connections, Set R8</v>
      </c>
      <c r="B53" s="50"/>
      <c r="C53" s="50"/>
      <c r="D53" s="51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customFormat="false" ht="12.8" hidden="false" customHeight="false" outlineLevel="0" collapsed="false">
      <c r="A54" s="52" t="str">
        <f aca="false">'Design Calculations'!J34</f>
        <v>Set R8 in Kohms</v>
      </c>
      <c r="B54" s="8" t="n">
        <v>100</v>
      </c>
      <c r="C54" s="53" t="s">
        <v>17</v>
      </c>
      <c r="D54" s="51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customFormat="false" ht="12.8" hidden="false" customHeight="false" outlineLevel="0" collapsed="false">
      <c r="A55" s="55" t="s">
        <v>23</v>
      </c>
      <c r="B55" s="22" t="n">
        <f aca="false">ActR7_sw/1000</f>
        <v>0.332</v>
      </c>
      <c r="C55" s="53" t="s">
        <v>17</v>
      </c>
      <c r="D55" s="51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customFormat="false" ht="12.8" hidden="false" customHeight="false" outlineLevel="0" collapsed="false">
      <c r="A56" s="55" t="s">
        <v>27</v>
      </c>
      <c r="B56" s="22" t="n">
        <f aca="false">ActR9_sw/1000</f>
        <v>4.02</v>
      </c>
      <c r="C56" s="53" t="s">
        <v>17</v>
      </c>
      <c r="D56" s="51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customFormat="false" ht="12.8" hidden="false" customHeight="false" outlineLevel="0" collapsed="false">
      <c r="A57" s="52" t="str">
        <f aca="false">'Design Calculations'!J39</f>
        <v>Calc actual PG</v>
      </c>
      <c r="B57" s="23" t="n">
        <f aca="false">'Design Calculations'!K39</f>
        <v>23.9779411764706</v>
      </c>
      <c r="C57" s="53" t="s">
        <v>4</v>
      </c>
      <c r="D57" s="51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customFormat="false" ht="12.8" hidden="false" customHeight="false" outlineLevel="0" collapsed="false">
      <c r="A58" s="52"/>
      <c r="B58" s="56"/>
      <c r="C58" s="53"/>
      <c r="D58" s="51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customFormat="false" ht="12.8" hidden="false" customHeight="false" outlineLevel="0" collapsed="false">
      <c r="A59" s="52" t="s">
        <v>25</v>
      </c>
      <c r="B59" s="24" t="n">
        <f aca="false">'Design Calculations'!K42</f>
        <v>24.6865634284017</v>
      </c>
      <c r="C59" s="53" t="s">
        <v>4</v>
      </c>
      <c r="D59" s="51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customFormat="false" ht="12.8" hidden="false" customHeight="false" outlineLevel="0" collapsed="false">
      <c r="A60" s="52" t="s">
        <v>26</v>
      </c>
      <c r="B60" s="24" t="n">
        <f aca="false">'Design Calculations'!K43</f>
        <v>23.2877031158998</v>
      </c>
      <c r="C60" s="53" t="s">
        <v>4</v>
      </c>
      <c r="D60" s="51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customFormat="false" ht="12.8" hidden="false" customHeight="false" outlineLevel="0" collapsed="false">
      <c r="A61" s="58"/>
      <c r="B61" s="59"/>
      <c r="C61" s="59"/>
      <c r="D61" s="60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customFormat="false" ht="12.8" hidden="false" customHeight="false" outlineLevel="0" collapsed="false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customFormat="false" ht="12.8" hidden="false" customHeight="false" outlineLevel="0" collapsed="false">
      <c r="A63" s="61"/>
      <c r="B63" s="62"/>
      <c r="C63" s="63" t="s">
        <v>28</v>
      </c>
      <c r="D63" s="64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customFormat="false" ht="12.8" hidden="false" customHeight="false" outlineLevel="0" collapsed="false">
      <c r="A64" s="65" t="s">
        <v>29</v>
      </c>
      <c r="B64" s="8" t="n">
        <v>0.1</v>
      </c>
      <c r="C64" s="66"/>
      <c r="D64" s="67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customFormat="false" ht="12.8" hidden="false" customHeight="false" outlineLevel="0" collapsed="false">
      <c r="A65" s="65"/>
      <c r="B65" s="66"/>
      <c r="C65" s="66"/>
      <c r="D65" s="67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customFormat="false" ht="12.8" hidden="false" customHeight="false" outlineLevel="0" collapsed="false">
      <c r="A66" s="65" t="str">
        <f aca="false">'Design Calculations'!A46</f>
        <v>TIMER</v>
      </c>
      <c r="B66" s="66"/>
      <c r="C66" s="66"/>
      <c r="D66" s="67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customFormat="false" ht="12.8" hidden="false" customHeight="false" outlineLevel="0" collapsed="false">
      <c r="A67" s="65" t="str">
        <f aca="false">'Design Calculations'!A47</f>
        <v>Set Timer in milliseconds</v>
      </c>
      <c r="B67" s="8" t="n">
        <v>47</v>
      </c>
      <c r="C67" s="68" t="s">
        <v>30</v>
      </c>
      <c r="D67" s="67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9"/>
    </row>
    <row r="68" customFormat="false" ht="12.8" hidden="false" customHeight="false" outlineLevel="0" collapsed="false">
      <c r="A68" s="65" t="str">
        <f aca="false">'Design Calculations'!A48</f>
        <v>Calc Ctimer</v>
      </c>
      <c r="B68" s="22" t="n">
        <f aca="false">'Design Calculations'!B48</f>
        <v>470</v>
      </c>
      <c r="C68" s="68" t="s">
        <v>31</v>
      </c>
      <c r="D68" s="67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customFormat="false" ht="12.8" hidden="false" customHeight="false" outlineLevel="0" collapsed="false">
      <c r="A69" s="65"/>
      <c r="B69" s="66"/>
      <c r="C69" s="68"/>
      <c r="D69" s="67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9"/>
    </row>
    <row r="70" customFormat="false" ht="12.8" hidden="false" customHeight="false" outlineLevel="0" collapsed="false">
      <c r="A70" s="65" t="s">
        <v>32</v>
      </c>
      <c r="B70" s="24" t="n">
        <f aca="false">'Design Calculations'!B50</f>
        <v>58.5933333333333</v>
      </c>
      <c r="C70" s="68" t="s">
        <v>30</v>
      </c>
      <c r="D70" s="67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customFormat="false" ht="12.8" hidden="false" customHeight="false" outlineLevel="0" collapsed="false">
      <c r="A71" s="65" t="s">
        <v>33</v>
      </c>
      <c r="B71" s="24" t="n">
        <f aca="false">'Design Calculations'!B51</f>
        <v>41.86854</v>
      </c>
      <c r="C71" s="68" t="s">
        <v>30</v>
      </c>
      <c r="D71" s="67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customFormat="false" ht="12.8" hidden="false" customHeight="false" outlineLevel="0" collapsed="false">
      <c r="A72" s="65"/>
      <c r="B72" s="66"/>
      <c r="C72" s="66"/>
      <c r="D72" s="67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customFormat="false" ht="12.8" hidden="false" customHeight="false" outlineLevel="0" collapsed="false">
      <c r="A73" s="65" t="str">
        <f aca="false">'Design Calculations'!A53</f>
        <v>Set TimerOff in milliseconds</v>
      </c>
      <c r="B73" s="8" t="n">
        <v>940</v>
      </c>
      <c r="C73" s="68" t="s">
        <v>30</v>
      </c>
      <c r="D73" s="67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customFormat="false" ht="12.8" hidden="false" customHeight="false" outlineLevel="0" collapsed="false">
      <c r="A74" s="65" t="str">
        <f aca="false">'Design Calculations'!A54</f>
        <v>Cal CtimerOff</v>
      </c>
      <c r="B74" s="22" t="n">
        <f aca="false">'Design Calculations'!B54</f>
        <v>470</v>
      </c>
      <c r="C74" s="68" t="s">
        <v>31</v>
      </c>
      <c r="D74" s="67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customFormat="false" ht="12.8" hidden="false" customHeight="false" outlineLevel="0" collapsed="false">
      <c r="A75" s="65"/>
      <c r="B75" s="66"/>
      <c r="C75" s="68"/>
      <c r="D75" s="67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customFormat="false" ht="12.8" hidden="false" customHeight="false" outlineLevel="0" collapsed="false">
      <c r="A76" s="65" t="s">
        <v>34</v>
      </c>
      <c r="B76" s="70" t="n">
        <f aca="false">'Design Calculations'!B56</f>
        <v>1318.35</v>
      </c>
      <c r="C76" s="68" t="s">
        <v>30</v>
      </c>
      <c r="D76" s="67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customFormat="false" ht="12.8" hidden="false" customHeight="false" outlineLevel="0" collapsed="false">
      <c r="A77" s="65" t="s">
        <v>35</v>
      </c>
      <c r="B77" s="70" t="n">
        <f aca="false">'Design Calculations'!B57</f>
        <v>690.9</v>
      </c>
      <c r="C77" s="68" t="s">
        <v>30</v>
      </c>
      <c r="D77" s="67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customFormat="false" ht="12.8" hidden="false" customHeight="false" outlineLevel="0" collapsed="false">
      <c r="A78" s="65"/>
      <c r="B78" s="66"/>
      <c r="C78" s="66"/>
      <c r="D78" s="67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customFormat="false" ht="12.8" hidden="false" customHeight="false" outlineLevel="0" collapsed="false">
      <c r="A79" s="65" t="s">
        <v>36</v>
      </c>
      <c r="B79" s="66"/>
      <c r="C79" s="66"/>
      <c r="D79" s="67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customFormat="false" ht="12.8" hidden="false" customHeight="false" outlineLevel="0" collapsed="false">
      <c r="A80" s="65" t="s">
        <v>37</v>
      </c>
      <c r="B80" s="70" t="n">
        <f aca="false">'Design Calculations'!B56/20</f>
        <v>65.9175</v>
      </c>
      <c r="C80" s="68" t="s">
        <v>30</v>
      </c>
      <c r="D80" s="67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customFormat="false" ht="12.8" hidden="false" customHeight="false" outlineLevel="0" collapsed="false">
      <c r="A81" s="65" t="s">
        <v>38</v>
      </c>
      <c r="B81" s="70" t="n">
        <f aca="false">'Design Calculations'!B57/20</f>
        <v>34.545</v>
      </c>
      <c r="C81" s="68" t="s">
        <v>30</v>
      </c>
      <c r="D81" s="67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customFormat="false" ht="12.8" hidden="false" customHeight="false" outlineLevel="0" collapsed="false">
      <c r="A82" s="65"/>
      <c r="B82" s="66"/>
      <c r="C82" s="66"/>
      <c r="D82" s="67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customFormat="false" ht="12.8" hidden="false" customHeight="false" outlineLevel="0" collapsed="false">
      <c r="A83" s="65"/>
      <c r="B83" s="66"/>
      <c r="C83" s="66"/>
      <c r="D83" s="67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customFormat="false" ht="12.8" hidden="false" customHeight="false" outlineLevel="0" collapsed="false">
      <c r="A84" s="71"/>
      <c r="B84" s="72"/>
      <c r="C84" s="72"/>
      <c r="D84" s="73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customFormat="false" ht="12.8" hidden="false" customHeight="false" outlineLevel="0" collapsed="false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customFormat="false" ht="12.8" hidden="false" customHeight="false" outlineLevel="0" collapsed="false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customFormat="false" ht="12.8" hidden="false" customHeight="false" outlineLevel="0" collapsed="false">
      <c r="A87" s="29"/>
      <c r="B87" s="30"/>
      <c r="C87" s="31" t="s">
        <v>39</v>
      </c>
      <c r="D87" s="32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customFormat="false" ht="12.8" hidden="false" customHeight="false" outlineLevel="0" collapsed="false">
      <c r="A88" s="36" t="s">
        <v>40</v>
      </c>
      <c r="B88" s="8" t="n">
        <v>3500</v>
      </c>
      <c r="C88" s="34" t="s">
        <v>41</v>
      </c>
      <c r="D88" s="3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customFormat="false" ht="12.8" hidden="false" customHeight="false" outlineLevel="0" collapsed="false">
      <c r="A89" s="36" t="s">
        <v>42</v>
      </c>
      <c r="B89" s="74" t="n">
        <f aca="false">0.000001*B88*B20/B36</f>
        <v>0.0105878489790813</v>
      </c>
      <c r="C89" s="34" t="s">
        <v>43</v>
      </c>
      <c r="D89" s="3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customFormat="false" ht="12.8" hidden="false" customHeight="false" outlineLevel="0" collapsed="false">
      <c r="A90" s="36"/>
      <c r="B90" s="34" t="s">
        <v>44</v>
      </c>
      <c r="C90" s="34" t="s">
        <v>45</v>
      </c>
      <c r="D90" s="3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customFormat="false" ht="12.8" hidden="false" customHeight="false" outlineLevel="0" collapsed="false">
      <c r="A91" s="36"/>
      <c r="B91" s="74" t="n">
        <f aca="false">B89</f>
        <v>0.0105878489790813</v>
      </c>
      <c r="C91" s="75" t="n">
        <f aca="false">B36</f>
        <v>9.13817272218669</v>
      </c>
      <c r="D91" s="3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customFormat="false" ht="12.8" hidden="false" customHeight="false" outlineLevel="0" collapsed="false">
      <c r="A92" s="36"/>
      <c r="B92" s="34"/>
      <c r="C92" s="34"/>
      <c r="D92" s="3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customFormat="false" ht="12.8" hidden="false" customHeight="false" outlineLevel="0" collapsed="false">
      <c r="A93" s="36"/>
      <c r="B93" s="34" t="s">
        <v>4</v>
      </c>
      <c r="C93" s="34" t="s">
        <v>45</v>
      </c>
      <c r="D93" s="3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customFormat="false" ht="12.8" hidden="false" customHeight="false" outlineLevel="0" collapsed="false">
      <c r="A94" s="34"/>
      <c r="B94" s="76" t="n">
        <f aca="false">B20</f>
        <v>27.6438836363636</v>
      </c>
      <c r="C94" s="75" t="n">
        <f aca="false">C91</f>
        <v>9.13817272218669</v>
      </c>
      <c r="D94" s="3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customFormat="false" ht="12.8" hidden="false" customHeight="false" outlineLevel="0" collapsed="false">
      <c r="A95" s="42"/>
      <c r="B95" s="43"/>
      <c r="C95" s="43"/>
      <c r="D95" s="44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customFormat="false" ht="12.8" hidden="false" customHeight="false" outlineLevel="0" collapsed="false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customFormat="false" ht="12.8" hidden="false" customHeight="false" outlineLevel="0" collapsed="false">
      <c r="A97" s="77"/>
      <c r="B97" s="78"/>
      <c r="C97" s="79" t="s">
        <v>46</v>
      </c>
      <c r="D97" s="80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customFormat="false" ht="12.8" hidden="false" customHeight="false" outlineLevel="0" collapsed="false">
      <c r="A98" s="81" t="s">
        <v>47</v>
      </c>
      <c r="B98" s="82"/>
      <c r="C98" s="82"/>
      <c r="D98" s="83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customFormat="false" ht="12.8" hidden="false" customHeight="false" outlineLevel="0" collapsed="false">
      <c r="A99" s="81"/>
      <c r="B99" s="82"/>
      <c r="C99" s="82"/>
      <c r="D99" s="83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customFormat="false" ht="12.8" hidden="false" customHeight="false" outlineLevel="0" collapsed="false">
      <c r="A100" s="81" t="s">
        <v>48</v>
      </c>
      <c r="B100" s="8" t="n">
        <v>150</v>
      </c>
      <c r="C100" s="82" t="s">
        <v>49</v>
      </c>
      <c r="D100" s="83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customFormat="false" ht="12.8" hidden="false" customHeight="false" outlineLevel="0" collapsed="false">
      <c r="A101" s="81" t="s">
        <v>50</v>
      </c>
      <c r="B101" s="8" t="n">
        <v>40</v>
      </c>
      <c r="C101" s="82" t="s">
        <v>49</v>
      </c>
      <c r="D101" s="83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customFormat="false" ht="12.8" hidden="false" customHeight="false" outlineLevel="0" collapsed="false">
      <c r="A102" s="81" t="s">
        <v>51</v>
      </c>
      <c r="B102" s="8" t="n">
        <v>54</v>
      </c>
      <c r="C102" s="82" t="s">
        <v>52</v>
      </c>
      <c r="D102" s="83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customFormat="false" ht="12.8" hidden="false" customHeight="false" outlineLevel="0" collapsed="false">
      <c r="A103" s="81"/>
      <c r="B103" s="82"/>
      <c r="C103" s="82"/>
      <c r="D103" s="83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customFormat="false" ht="12.8" hidden="false" customHeight="false" outlineLevel="0" collapsed="false">
      <c r="A104" s="81" t="s">
        <v>53</v>
      </c>
      <c r="B104" s="84" t="n">
        <f aca="false">(TJmax-Tamb)/ThetaJA</f>
        <v>2.03703703703704</v>
      </c>
      <c r="C104" s="82" t="s">
        <v>54</v>
      </c>
      <c r="D104" s="83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customFormat="false" ht="12.8" hidden="false" customHeight="false" outlineLevel="0" collapsed="false">
      <c r="A105" s="81" t="s">
        <v>55</v>
      </c>
      <c r="B105" s="84" t="n">
        <f aca="false">B104/B35^2</f>
        <v>0.0174171081784947</v>
      </c>
      <c r="C105" s="82" t="s">
        <v>56</v>
      </c>
      <c r="D105" s="83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customFormat="false" ht="12.8" hidden="false" customHeight="false" outlineLevel="0" collapsed="false">
      <c r="A106" s="81"/>
      <c r="B106" s="82"/>
      <c r="C106" s="82"/>
      <c r="D106" s="83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customFormat="false" ht="12.8" hidden="false" customHeight="false" outlineLevel="0" collapsed="false">
      <c r="A107" s="81" t="s">
        <v>57</v>
      </c>
      <c r="B107" s="8" t="n">
        <v>1.6</v>
      </c>
      <c r="C107" s="82"/>
      <c r="D107" s="83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customFormat="false" ht="12.8" hidden="false" customHeight="false" outlineLevel="0" collapsed="false">
      <c r="A108" s="81" t="s">
        <v>58</v>
      </c>
      <c r="B108" s="84" t="n">
        <f aca="false">B105/B107</f>
        <v>0.0108856926115592</v>
      </c>
      <c r="C108" s="82" t="s">
        <v>56</v>
      </c>
      <c r="D108" s="83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customFormat="false" ht="12.8" hidden="false" customHeight="false" outlineLevel="0" collapsed="false">
      <c r="A109" s="81"/>
      <c r="B109" s="84"/>
      <c r="C109" s="82"/>
      <c r="D109" s="83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customFormat="false" ht="12.8" hidden="false" customHeight="false" outlineLevel="0" collapsed="false">
      <c r="A110" s="81" t="s">
        <v>59</v>
      </c>
      <c r="B110" s="85" t="n">
        <v>0.007</v>
      </c>
      <c r="C110" s="82" t="s">
        <v>56</v>
      </c>
      <c r="D110" s="83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customFormat="false" ht="12.8" hidden="false" customHeight="false" outlineLevel="0" collapsed="false">
      <c r="A111" s="81" t="s">
        <v>60</v>
      </c>
      <c r="B111" s="84" t="n">
        <f aca="false">B110*B107</f>
        <v>0.0112</v>
      </c>
      <c r="C111" s="82" t="s">
        <v>56</v>
      </c>
      <c r="D111" s="83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customFormat="false" ht="12.8" hidden="false" customHeight="false" outlineLevel="0" collapsed="false">
      <c r="A112" s="81" t="s">
        <v>61</v>
      </c>
      <c r="B112" s="84" t="n">
        <f aca="false">(1.1*B35)^2*B111</f>
        <v>1.58498906035456</v>
      </c>
      <c r="C112" s="82" t="s">
        <v>54</v>
      </c>
      <c r="D112" s="83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customFormat="false" ht="12.8" hidden="false" customHeight="false" outlineLevel="0" collapsed="false">
      <c r="A113" s="81"/>
      <c r="B113" s="84"/>
      <c r="C113" s="82"/>
      <c r="D113" s="83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customFormat="false" ht="12.8" hidden="false" customHeight="false" outlineLevel="0" collapsed="false">
      <c r="A114" s="81" t="s">
        <v>62</v>
      </c>
      <c r="B114" s="84" t="n">
        <f aca="false">B112*ThetaJA</f>
        <v>85.5894092591462</v>
      </c>
      <c r="C114" s="82" t="s">
        <v>49</v>
      </c>
      <c r="D114" s="83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customFormat="false" ht="12.8" hidden="false" customHeight="false" outlineLevel="0" collapsed="false">
      <c r="A115" s="81" t="s">
        <v>63</v>
      </c>
      <c r="B115" s="84" t="n">
        <f aca="false">Tamb+B114</f>
        <v>125.589409259146</v>
      </c>
      <c r="C115" s="82" t="s">
        <v>49</v>
      </c>
      <c r="D115" s="83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customFormat="false" ht="12.8" hidden="false" customHeight="false" outlineLevel="0" collapsed="false">
      <c r="A116" s="81"/>
      <c r="B116" s="82"/>
      <c r="C116" s="82"/>
      <c r="D116" s="83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customFormat="false" ht="12.8" hidden="false" customHeight="false" outlineLevel="0" collapsed="false">
      <c r="A117" s="81" t="s">
        <v>64</v>
      </c>
      <c r="B117" s="86" t="n">
        <f aca="false">(150-25)/(150-B101)</f>
        <v>1.13636363636364</v>
      </c>
      <c r="C117" s="82"/>
      <c r="D117" s="83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customFormat="false" ht="12.8" hidden="false" customHeight="false" outlineLevel="0" collapsed="false">
      <c r="A118" s="87"/>
      <c r="B118" s="88"/>
      <c r="C118" s="88"/>
      <c r="D118" s="89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D234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4" activeCellId="0" sqref="A4"/>
    </sheetView>
  </sheetViews>
  <sheetFormatPr defaultColWidth="8.6796875" defaultRowHeight="12.8" customHeight="true" zeroHeight="false" outlineLevelRow="0" outlineLevelCol="0"/>
  <sheetData>
    <row r="1" customFormat="false" ht="12.8" hidden="false" customHeight="false" outlineLevel="0" collapsed="false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 t="s">
        <v>65</v>
      </c>
      <c r="M1" s="5" t="s">
        <v>66</v>
      </c>
      <c r="N1" s="5"/>
      <c r="O1" s="5" t="s">
        <v>65</v>
      </c>
      <c r="P1" s="5" t="s">
        <v>67</v>
      </c>
      <c r="Q1" s="5"/>
      <c r="R1" s="5" t="s">
        <v>65</v>
      </c>
      <c r="S1" s="5" t="s">
        <v>68</v>
      </c>
      <c r="T1" s="5"/>
      <c r="U1" s="5" t="s">
        <v>65</v>
      </c>
      <c r="V1" s="5" t="s">
        <v>69</v>
      </c>
      <c r="W1" s="5"/>
      <c r="X1" s="5" t="s">
        <v>65</v>
      </c>
      <c r="Y1" s="5" t="s">
        <v>70</v>
      </c>
      <c r="Z1" s="5"/>
      <c r="AA1" s="5" t="s">
        <v>65</v>
      </c>
      <c r="AB1" s="5" t="s">
        <v>71</v>
      </c>
      <c r="AC1" s="5"/>
      <c r="AD1" s="5"/>
    </row>
    <row r="2" customFormat="false" ht="12.8" hidden="false" customHeight="false" outlineLevel="0" collapsed="false">
      <c r="A2" s="5" t="e">
        <f aca="false">MAX(A4:A300)</f>
        <v>#N/A</v>
      </c>
      <c r="B2" s="5" t="e">
        <f aca="false">VLOOKUP($A$2,$A$4:$C$300,2,0)</f>
        <v>#N/A</v>
      </c>
      <c r="C2" s="5" t="e">
        <f aca="false">VLOOKUP($A$2,$A$4:$C$300,3,0)</f>
        <v>#N/A</v>
      </c>
      <c r="D2" s="5"/>
      <c r="E2" s="5" t="n">
        <f aca="false">MAX(E4:E300)</f>
        <v>93.7506899724011</v>
      </c>
      <c r="F2" s="5" t="n">
        <f aca="false">VLOOKUP($E$2,$E$4:$G$300,2,0)</f>
        <v>15.6000000000003</v>
      </c>
      <c r="G2" s="5" t="n">
        <f aca="false">VLOOKUP($E$2,$E$4:$G$300,3,0)</f>
        <v>6.00965961361557</v>
      </c>
      <c r="H2" s="5"/>
      <c r="I2" s="5" t="s">
        <v>72</v>
      </c>
      <c r="J2" s="5"/>
      <c r="K2" s="5"/>
      <c r="L2" s="5" t="n">
        <v>0.1</v>
      </c>
      <c r="M2" s="5" t="n">
        <v>1</v>
      </c>
      <c r="N2" s="5"/>
      <c r="O2" s="5" t="n">
        <v>0.1</v>
      </c>
      <c r="P2" s="5" t="n">
        <v>1</v>
      </c>
      <c r="Q2" s="5"/>
      <c r="R2" s="5" t="n">
        <v>0.1</v>
      </c>
      <c r="S2" s="5" t="n">
        <v>1</v>
      </c>
      <c r="T2" s="5"/>
      <c r="U2" s="5" t="n">
        <v>0.1</v>
      </c>
      <c r="V2" s="5" t="n">
        <v>1</v>
      </c>
      <c r="W2" s="5"/>
      <c r="X2" s="5" t="n">
        <v>0.1</v>
      </c>
      <c r="Y2" s="5" t="n">
        <v>1</v>
      </c>
      <c r="Z2" s="5"/>
      <c r="AA2" s="5" t="n">
        <v>0.1</v>
      </c>
      <c r="AB2" s="5" t="n">
        <v>1</v>
      </c>
      <c r="AC2" s="5"/>
      <c r="AD2" s="5"/>
    </row>
    <row r="3" customFormat="false" ht="12.8" hidden="false" customHeight="false" outlineLevel="0" collapsed="false">
      <c r="A3" s="5" t="str">
        <f aca="false">'Design Calculations'!G59</f>
        <v>Power</v>
      </c>
      <c r="B3" s="5" t="str">
        <f aca="false">'Design Calculations'!C59</f>
        <v>Vout</v>
      </c>
      <c r="C3" s="5" t="str">
        <f aca="false">'Design Calculations'!E59</f>
        <v>OC</v>
      </c>
      <c r="D3" s="5"/>
      <c r="E3" s="5" t="str">
        <f aca="false">'Design Calculations'!M59</f>
        <v>Power</v>
      </c>
      <c r="F3" s="5" t="str">
        <f aca="false">'Design Calculations'!I59</f>
        <v>Vout</v>
      </c>
      <c r="G3" s="5" t="str">
        <f aca="false">'Design Calculations'!K59</f>
        <v>OC</v>
      </c>
      <c r="H3" s="5"/>
      <c r="I3" s="5" t="s">
        <v>4</v>
      </c>
      <c r="J3" s="5" t="s">
        <v>73</v>
      </c>
      <c r="K3" s="5"/>
      <c r="L3" s="5" t="n">
        <v>1.25</v>
      </c>
      <c r="M3" s="5" t="n">
        <v>12</v>
      </c>
      <c r="N3" s="5"/>
      <c r="O3" s="5" t="n">
        <v>1.25</v>
      </c>
      <c r="P3" s="5" t="n">
        <v>12</v>
      </c>
      <c r="Q3" s="5"/>
      <c r="R3" s="5" t="n">
        <v>1.25</v>
      </c>
      <c r="S3" s="5" t="n">
        <v>12</v>
      </c>
      <c r="T3" s="5"/>
      <c r="U3" s="5" t="n">
        <v>0.85</v>
      </c>
      <c r="V3" s="5" t="n">
        <v>8.2</v>
      </c>
      <c r="W3" s="5"/>
      <c r="X3" s="5" t="n">
        <v>0.46</v>
      </c>
      <c r="Y3" s="5" t="n">
        <v>4.5</v>
      </c>
      <c r="Z3" s="5"/>
      <c r="AA3" s="5" t="n">
        <v>0.23</v>
      </c>
      <c r="AB3" s="5" t="n">
        <v>2.25</v>
      </c>
      <c r="AC3" s="5"/>
      <c r="AD3" s="5"/>
    </row>
    <row r="4" customFormat="false" ht="12.8" hidden="false" customHeight="false" outlineLevel="0" collapsed="false">
      <c r="A4" s="5" t="e">
        <f aca="false">'Design Calculations'!G60</f>
        <v>#N/A</v>
      </c>
      <c r="B4" s="5" t="n">
        <f aca="false">'Design Calculations'!C60</f>
        <v>28.6</v>
      </c>
      <c r="C4" s="90" t="e">
        <f aca="false">'Design Calculations'!E60</f>
        <v>#N/A</v>
      </c>
      <c r="D4" s="5"/>
      <c r="E4" s="5" t="n">
        <f aca="false">'Design Calculations'!M60</f>
        <v>0</v>
      </c>
      <c r="F4" s="5" t="n">
        <f aca="false">'Design Calculations'!I60</f>
        <v>31.2</v>
      </c>
      <c r="G4" s="91" t="n">
        <f aca="false">'Design Calculations'!K60</f>
        <v>9.96677740863787</v>
      </c>
      <c r="H4" s="5"/>
      <c r="I4" s="5" t="e">
        <f aca="false">B2</f>
        <v>#N/A</v>
      </c>
      <c r="J4" s="5" t="e">
        <f aca="false">C2</f>
        <v>#N/A</v>
      </c>
      <c r="K4" s="5"/>
      <c r="L4" s="5" t="n">
        <v>50</v>
      </c>
      <c r="M4" s="5" t="n">
        <v>12</v>
      </c>
      <c r="N4" s="5"/>
      <c r="O4" s="5" t="n">
        <v>9</v>
      </c>
      <c r="P4" s="5" t="n">
        <v>12</v>
      </c>
      <c r="Q4" s="5"/>
      <c r="R4" s="5" t="n">
        <v>3</v>
      </c>
      <c r="S4" s="5" t="n">
        <v>12</v>
      </c>
      <c r="T4" s="5"/>
      <c r="U4" s="5" t="n">
        <v>1.5</v>
      </c>
      <c r="V4" s="5" t="n">
        <v>8.2</v>
      </c>
      <c r="W4" s="5"/>
      <c r="X4" s="5" t="n">
        <v>0.85</v>
      </c>
      <c r="Y4" s="5" t="n">
        <v>4.5</v>
      </c>
      <c r="Z4" s="5"/>
      <c r="AA4" s="5" t="n">
        <v>0.4</v>
      </c>
      <c r="AB4" s="5" t="n">
        <v>2.25</v>
      </c>
      <c r="AC4" s="5"/>
      <c r="AD4" s="5"/>
    </row>
    <row r="5" customFormat="false" ht="12.8" hidden="false" customHeight="false" outlineLevel="0" collapsed="false">
      <c r="A5" s="5" t="e">
        <f aca="false">'Design Calculations'!G61</f>
        <v>#N/A</v>
      </c>
      <c r="B5" s="5" t="n">
        <f aca="false">'Design Calculations'!C61</f>
        <v>28.47</v>
      </c>
      <c r="C5" s="90" t="e">
        <f aca="false">'Design Calculations'!E61</f>
        <v>#N/A</v>
      </c>
      <c r="D5" s="5"/>
      <c r="E5" s="5" t="n">
        <f aca="false">'Design Calculations'!M61</f>
        <v>1.29568106312291</v>
      </c>
      <c r="F5" s="5" t="n">
        <f aca="false">'Design Calculations'!I61</f>
        <v>31.07</v>
      </c>
      <c r="G5" s="91" t="n">
        <f aca="false">'Design Calculations'!K61</f>
        <v>9.96677740863787</v>
      </c>
      <c r="H5" s="5"/>
      <c r="I5" s="5"/>
      <c r="J5" s="5"/>
      <c r="K5" s="5"/>
      <c r="L5" s="5" t="n">
        <v>60</v>
      </c>
      <c r="M5" s="5" t="n">
        <v>10</v>
      </c>
      <c r="N5" s="5"/>
      <c r="O5" s="5" t="n">
        <v>60</v>
      </c>
      <c r="P5" s="5" t="n">
        <v>1.9</v>
      </c>
      <c r="Q5" s="5"/>
      <c r="R5" s="5" t="n">
        <v>60</v>
      </c>
      <c r="S5" s="5" t="n">
        <v>0.6</v>
      </c>
      <c r="T5" s="5"/>
      <c r="U5" s="5" t="n">
        <v>60</v>
      </c>
      <c r="V5" s="5" t="n">
        <v>0.2</v>
      </c>
      <c r="W5" s="5"/>
      <c r="X5" s="5" t="n">
        <v>60</v>
      </c>
      <c r="Y5" s="5" t="n">
        <v>0.06</v>
      </c>
      <c r="Z5" s="5"/>
      <c r="AA5" s="5" t="n">
        <v>60</v>
      </c>
      <c r="AB5" s="5" t="n">
        <v>0.015</v>
      </c>
      <c r="AC5" s="5"/>
      <c r="AD5" s="5"/>
    </row>
    <row r="6" customFormat="false" ht="12.8" hidden="false" customHeight="false" outlineLevel="0" collapsed="false">
      <c r="A6" s="5" t="e">
        <f aca="false">'Design Calculations'!G62</f>
        <v>#N/A</v>
      </c>
      <c r="B6" s="5" t="n">
        <f aca="false">'Design Calculations'!C62</f>
        <v>28.34</v>
      </c>
      <c r="C6" s="90" t="e">
        <f aca="false">'Design Calculations'!E62</f>
        <v>#N/A</v>
      </c>
      <c r="D6" s="5"/>
      <c r="E6" s="5" t="n">
        <f aca="false">'Design Calculations'!M62</f>
        <v>2.59136212624583</v>
      </c>
      <c r="F6" s="5" t="n">
        <f aca="false">'Design Calculations'!I62</f>
        <v>30.94</v>
      </c>
      <c r="G6" s="91" t="n">
        <f aca="false">'Design Calculations'!K62</f>
        <v>9.96677740863787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customFormat="false" ht="12.8" hidden="false" customHeight="false" outlineLevel="0" collapsed="false">
      <c r="A7" s="5" t="e">
        <f aca="false">'Design Calculations'!G63</f>
        <v>#N/A</v>
      </c>
      <c r="B7" s="5" t="n">
        <f aca="false">'Design Calculations'!C63</f>
        <v>28.21</v>
      </c>
      <c r="C7" s="90" t="e">
        <f aca="false">'Design Calculations'!E63</f>
        <v>#N/A</v>
      </c>
      <c r="D7" s="5"/>
      <c r="E7" s="5" t="n">
        <f aca="false">'Design Calculations'!M63</f>
        <v>3.88704318936878</v>
      </c>
      <c r="F7" s="5" t="n">
        <f aca="false">'Design Calculations'!I63</f>
        <v>30.81</v>
      </c>
      <c r="G7" s="91" t="n">
        <f aca="false">'Design Calculations'!K63</f>
        <v>9.96677740863787</v>
      </c>
      <c r="H7" s="5"/>
      <c r="I7" s="5" t="s">
        <v>72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</row>
    <row r="8" customFormat="false" ht="12.8" hidden="false" customHeight="false" outlineLevel="0" collapsed="false">
      <c r="A8" s="5" t="e">
        <f aca="false">'Design Calculations'!G64</f>
        <v>#N/A</v>
      </c>
      <c r="B8" s="5" t="n">
        <f aca="false">'Design Calculations'!C64</f>
        <v>28.08</v>
      </c>
      <c r="C8" s="90" t="e">
        <f aca="false">'Design Calculations'!E64</f>
        <v>#N/A</v>
      </c>
      <c r="D8" s="5"/>
      <c r="E8" s="5" t="n">
        <f aca="false">'Design Calculations'!M64</f>
        <v>5.18272425249169</v>
      </c>
      <c r="F8" s="5" t="n">
        <f aca="false">'Design Calculations'!I64</f>
        <v>30.68</v>
      </c>
      <c r="G8" s="91" t="n">
        <f aca="false">'Design Calculations'!K64</f>
        <v>9.96677740863787</v>
      </c>
      <c r="H8" s="5"/>
      <c r="I8" s="5" t="s">
        <v>4</v>
      </c>
      <c r="J8" s="5" t="s">
        <v>73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</row>
    <row r="9" customFormat="false" ht="12.8" hidden="false" customHeight="false" outlineLevel="0" collapsed="false">
      <c r="A9" s="5" t="e">
        <f aca="false">'Design Calculations'!G65</f>
        <v>#N/A</v>
      </c>
      <c r="B9" s="5" t="n">
        <f aca="false">'Design Calculations'!C65</f>
        <v>27.95</v>
      </c>
      <c r="C9" s="90" t="e">
        <f aca="false">'Design Calculations'!E65</f>
        <v>#N/A</v>
      </c>
      <c r="D9" s="5"/>
      <c r="E9" s="5" t="n">
        <f aca="false">'Design Calculations'!M65</f>
        <v>6.4784053156146</v>
      </c>
      <c r="F9" s="5" t="n">
        <f aca="false">'Design Calculations'!I65</f>
        <v>30.55</v>
      </c>
      <c r="G9" s="91" t="n">
        <f aca="false">'Design Calculations'!K65</f>
        <v>9.96677740863787</v>
      </c>
      <c r="H9" s="5"/>
      <c r="I9" s="5" t="n">
        <f aca="false">F2</f>
        <v>15.6000000000003</v>
      </c>
      <c r="J9" s="5" t="n">
        <f aca="false">G2</f>
        <v>6.00965961361557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</row>
    <row r="10" customFormat="false" ht="12.8" hidden="false" customHeight="false" outlineLevel="0" collapsed="false">
      <c r="A10" s="5" t="e">
        <f aca="false">'Design Calculations'!G66</f>
        <v>#N/A</v>
      </c>
      <c r="B10" s="5" t="n">
        <f aca="false">'Design Calculations'!C66</f>
        <v>27.82</v>
      </c>
      <c r="C10" s="90" t="e">
        <f aca="false">'Design Calculations'!E66</f>
        <v>#N/A</v>
      </c>
      <c r="D10" s="5"/>
      <c r="E10" s="5" t="n">
        <f aca="false">'Design Calculations'!M66</f>
        <v>7.77408637873752</v>
      </c>
      <c r="F10" s="5" t="n">
        <f aca="false">'Design Calculations'!I66</f>
        <v>30.42</v>
      </c>
      <c r="G10" s="91" t="n">
        <f aca="false">'Design Calculations'!K66</f>
        <v>9.96677740863787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customFormat="false" ht="12.8" hidden="false" customHeight="false" outlineLevel="0" collapsed="false">
      <c r="A11" s="5" t="e">
        <f aca="false">'Design Calculations'!G67</f>
        <v>#N/A</v>
      </c>
      <c r="B11" s="5" t="n">
        <f aca="false">'Design Calculations'!C67</f>
        <v>27.69</v>
      </c>
      <c r="C11" s="90" t="e">
        <f aca="false">'Design Calculations'!E67</f>
        <v>#N/A</v>
      </c>
      <c r="D11" s="5"/>
      <c r="E11" s="5" t="n">
        <f aca="false">'Design Calculations'!M67</f>
        <v>9.06976744186047</v>
      </c>
      <c r="F11" s="5" t="n">
        <f aca="false">'Design Calculations'!I67</f>
        <v>30.29</v>
      </c>
      <c r="G11" s="91" t="n">
        <f aca="false">'Design Calculations'!K67</f>
        <v>9.96677740863787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</row>
    <row r="12" customFormat="false" ht="12.8" hidden="false" customHeight="false" outlineLevel="0" collapsed="false">
      <c r="A12" s="5" t="e">
        <f aca="false">'Design Calculations'!G68</f>
        <v>#N/A</v>
      </c>
      <c r="B12" s="5" t="n">
        <f aca="false">'Design Calculations'!C68</f>
        <v>27.56</v>
      </c>
      <c r="C12" s="90" t="e">
        <f aca="false">'Design Calculations'!E68</f>
        <v>#N/A</v>
      </c>
      <c r="D12" s="5"/>
      <c r="E12" s="5" t="n">
        <f aca="false">'Design Calculations'!M68</f>
        <v>10.3654485049834</v>
      </c>
      <c r="F12" s="5" t="n">
        <f aca="false">'Design Calculations'!I68</f>
        <v>30.16</v>
      </c>
      <c r="G12" s="91" t="n">
        <f aca="false">'Design Calculations'!K68</f>
        <v>9.96677740863787</v>
      </c>
      <c r="H12" s="5"/>
      <c r="I12" s="5" t="s">
        <v>74</v>
      </c>
      <c r="J12" s="5" t="s">
        <v>75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</row>
    <row r="13" customFormat="false" ht="12.8" hidden="false" customHeight="false" outlineLevel="0" collapsed="false">
      <c r="A13" s="5" t="e">
        <f aca="false">'Design Calculations'!G69</f>
        <v>#N/A</v>
      </c>
      <c r="B13" s="5" t="n">
        <f aca="false">'Design Calculations'!C69</f>
        <v>27.43</v>
      </c>
      <c r="C13" s="90" t="e">
        <f aca="false">'Design Calculations'!E69</f>
        <v>#N/A</v>
      </c>
      <c r="D13" s="5"/>
      <c r="E13" s="5" t="n">
        <f aca="false">'Design Calculations'!M69</f>
        <v>11.6611295681063</v>
      </c>
      <c r="F13" s="5" t="n">
        <f aca="false">'Design Calculations'!I69</f>
        <v>30.03</v>
      </c>
      <c r="G13" s="91" t="n">
        <f aca="false">'Design Calculations'!K69</f>
        <v>9.96677740863787</v>
      </c>
      <c r="H13" s="5"/>
      <c r="I13" s="5" t="e">
        <f aca="false">I4</f>
        <v>#N/A</v>
      </c>
      <c r="J13" s="5" t="e">
        <f aca="false">J4*'Design Worksheet'!B71/'Design Worksheet'!B77</f>
        <v>#N/A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customFormat="false" ht="12.8" hidden="false" customHeight="false" outlineLevel="0" collapsed="false">
      <c r="A14" s="5" t="e">
        <f aca="false">'Design Calculations'!G70</f>
        <v>#N/A</v>
      </c>
      <c r="B14" s="5" t="n">
        <f aca="false">'Design Calculations'!C70</f>
        <v>27.3</v>
      </c>
      <c r="C14" s="90" t="e">
        <f aca="false">'Design Calculations'!E70</f>
        <v>#N/A</v>
      </c>
      <c r="D14" s="5"/>
      <c r="E14" s="5" t="n">
        <f aca="false">'Design Calculations'!M70</f>
        <v>12.9568106312292</v>
      </c>
      <c r="F14" s="5" t="n">
        <f aca="false">'Design Calculations'!I70</f>
        <v>29.9</v>
      </c>
      <c r="G14" s="91" t="n">
        <f aca="false">'Design Calculations'!K70</f>
        <v>9.96677740863787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</row>
    <row r="15" customFormat="false" ht="12.8" hidden="false" customHeight="false" outlineLevel="0" collapsed="false">
      <c r="A15" s="5" t="e">
        <f aca="false">'Design Calculations'!G71</f>
        <v>#N/A</v>
      </c>
      <c r="B15" s="5" t="n">
        <f aca="false">'Design Calculations'!C71</f>
        <v>27.17</v>
      </c>
      <c r="C15" s="90" t="e">
        <f aca="false">'Design Calculations'!E71</f>
        <v>#N/A</v>
      </c>
      <c r="D15" s="5"/>
      <c r="E15" s="5" t="n">
        <f aca="false">'Design Calculations'!M71</f>
        <v>14.2524916943522</v>
      </c>
      <c r="F15" s="5" t="n">
        <f aca="false">'Design Calculations'!I71</f>
        <v>29.77</v>
      </c>
      <c r="G15" s="91" t="n">
        <f aca="false">'Design Calculations'!K71</f>
        <v>9.96677740863787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</row>
    <row r="16" customFormat="false" ht="12.8" hidden="false" customHeight="false" outlineLevel="0" collapsed="false">
      <c r="A16" s="5" t="e">
        <f aca="false">'Design Calculations'!G72</f>
        <v>#N/A</v>
      </c>
      <c r="B16" s="5" t="n">
        <f aca="false">'Design Calculations'!C72</f>
        <v>27.04</v>
      </c>
      <c r="C16" s="90" t="e">
        <f aca="false">'Design Calculations'!E72</f>
        <v>#N/A</v>
      </c>
      <c r="D16" s="5"/>
      <c r="E16" s="5" t="n">
        <f aca="false">'Design Calculations'!M72</f>
        <v>15.5481727574751</v>
      </c>
      <c r="F16" s="5" t="n">
        <f aca="false">'Design Calculations'!I72</f>
        <v>29.64</v>
      </c>
      <c r="G16" s="91" t="n">
        <f aca="false">'Design Calculations'!K72</f>
        <v>9.96677740863787</v>
      </c>
      <c r="H16" s="5"/>
      <c r="I16" s="5" t="s">
        <v>76</v>
      </c>
      <c r="J16" s="5" t="s">
        <v>77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</row>
    <row r="17" customFormat="false" ht="12.8" hidden="false" customHeight="false" outlineLevel="0" collapsed="false">
      <c r="A17" s="5" t="e">
        <f aca="false">'Design Calculations'!G73</f>
        <v>#N/A</v>
      </c>
      <c r="B17" s="5" t="n">
        <f aca="false">'Design Calculations'!C73</f>
        <v>26.91</v>
      </c>
      <c r="C17" s="90" t="e">
        <f aca="false">'Design Calculations'!E73</f>
        <v>#N/A</v>
      </c>
      <c r="D17" s="5"/>
      <c r="E17" s="5" t="n">
        <f aca="false">'Design Calculations'!M73</f>
        <v>16.843853820598</v>
      </c>
      <c r="F17" s="5" t="n">
        <f aca="false">'Design Calculations'!I73</f>
        <v>29.51</v>
      </c>
      <c r="G17" s="91" t="n">
        <f aca="false">'Design Calculations'!K73</f>
        <v>9.96677740863787</v>
      </c>
      <c r="H17" s="5"/>
      <c r="I17" s="5" t="e">
        <f aca="false">C2</f>
        <v>#N/A</v>
      </c>
      <c r="J17" s="5" t="n">
        <f aca="false">'Design Worksheet'!B70/1000</f>
        <v>0.0585933333333333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</row>
    <row r="18" customFormat="false" ht="12.8" hidden="false" customHeight="false" outlineLevel="0" collapsed="false">
      <c r="A18" s="5" t="e">
        <f aca="false">'Design Calculations'!G74</f>
        <v>#N/A</v>
      </c>
      <c r="B18" s="5" t="n">
        <f aca="false">'Design Calculations'!C74</f>
        <v>26.78</v>
      </c>
      <c r="C18" s="90" t="e">
        <f aca="false">'Design Calculations'!E74</f>
        <v>#N/A</v>
      </c>
      <c r="D18" s="5"/>
      <c r="E18" s="5" t="n">
        <f aca="false">'Design Calculations'!M74</f>
        <v>18.1395348837209</v>
      </c>
      <c r="F18" s="5" t="n">
        <f aca="false">'Design Calculations'!I74</f>
        <v>29.38</v>
      </c>
      <c r="G18" s="91" t="n">
        <f aca="false">'Design Calculations'!K74</f>
        <v>9.96677740863787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</row>
    <row r="19" customFormat="false" ht="12.8" hidden="false" customHeight="false" outlineLevel="0" collapsed="false">
      <c r="A19" s="5" t="e">
        <f aca="false">'Design Calculations'!G75</f>
        <v>#N/A</v>
      </c>
      <c r="B19" s="5" t="n">
        <f aca="false">'Design Calculations'!C75</f>
        <v>26.65</v>
      </c>
      <c r="C19" s="90" t="e">
        <f aca="false">'Design Calculations'!E75</f>
        <v>#N/A</v>
      </c>
      <c r="D19" s="5"/>
      <c r="E19" s="5" t="n">
        <f aca="false">'Design Calculations'!M75</f>
        <v>19.4352159468438</v>
      </c>
      <c r="F19" s="5" t="n">
        <f aca="false">'Design Calculations'!I75</f>
        <v>29.25</v>
      </c>
      <c r="G19" s="91" t="n">
        <f aca="false">'Design Calculations'!K75</f>
        <v>9.96677740863787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</row>
    <row r="20" customFormat="false" ht="12.8" hidden="false" customHeight="false" outlineLevel="0" collapsed="false">
      <c r="A20" s="5" t="e">
        <f aca="false">'Design Calculations'!G76</f>
        <v>#N/A</v>
      </c>
      <c r="B20" s="5" t="n">
        <f aca="false">'Design Calculations'!C76</f>
        <v>26.52</v>
      </c>
      <c r="C20" s="90" t="e">
        <f aca="false">'Design Calculations'!E76</f>
        <v>#N/A</v>
      </c>
      <c r="D20" s="5"/>
      <c r="E20" s="5" t="n">
        <f aca="false">'Design Calculations'!M76</f>
        <v>20.7308970099668</v>
      </c>
      <c r="F20" s="5" t="n">
        <f aca="false">'Design Calculations'!I76</f>
        <v>29.12</v>
      </c>
      <c r="G20" s="91" t="n">
        <f aca="false">'Design Calculations'!K76</f>
        <v>9.96677740863787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</row>
    <row r="21" customFormat="false" ht="12.8" hidden="false" customHeight="false" outlineLevel="0" collapsed="false">
      <c r="A21" s="5" t="e">
        <f aca="false">'Design Calculations'!G77</f>
        <v>#N/A</v>
      </c>
      <c r="B21" s="5" t="n">
        <f aca="false">'Design Calculations'!C77</f>
        <v>26.39</v>
      </c>
      <c r="C21" s="90" t="e">
        <f aca="false">'Design Calculations'!E77</f>
        <v>#N/A</v>
      </c>
      <c r="D21" s="5"/>
      <c r="E21" s="5" t="n">
        <f aca="false">'Design Calculations'!M77</f>
        <v>22.0265780730897</v>
      </c>
      <c r="F21" s="5" t="n">
        <f aca="false">'Design Calculations'!I77</f>
        <v>28.99</v>
      </c>
      <c r="G21" s="91" t="n">
        <f aca="false">'Design Calculations'!K77</f>
        <v>9.96677740863787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</row>
    <row r="22" customFormat="false" ht="12.8" hidden="false" customHeight="false" outlineLevel="0" collapsed="false">
      <c r="A22" s="5" t="e">
        <f aca="false">'Design Calculations'!G78</f>
        <v>#N/A</v>
      </c>
      <c r="B22" s="5" t="n">
        <f aca="false">'Design Calculations'!C78</f>
        <v>26.26</v>
      </c>
      <c r="C22" s="90" t="e">
        <f aca="false">'Design Calculations'!E78</f>
        <v>#N/A</v>
      </c>
      <c r="D22" s="5"/>
      <c r="E22" s="5" t="n">
        <f aca="false">'Design Calculations'!M78</f>
        <v>23.3222591362126</v>
      </c>
      <c r="F22" s="5" t="n">
        <f aca="false">'Design Calculations'!I78</f>
        <v>28.86</v>
      </c>
      <c r="G22" s="91" t="n">
        <f aca="false">'Design Calculations'!K78</f>
        <v>9.96677740863787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</row>
    <row r="23" customFormat="false" ht="12.8" hidden="false" customHeight="false" outlineLevel="0" collapsed="false">
      <c r="A23" s="5" t="e">
        <f aca="false">'Design Calculations'!G79</f>
        <v>#N/A</v>
      </c>
      <c r="B23" s="5" t="n">
        <f aca="false">'Design Calculations'!C79</f>
        <v>26.13</v>
      </c>
      <c r="C23" s="90" t="e">
        <f aca="false">'Design Calculations'!E79</f>
        <v>#N/A</v>
      </c>
      <c r="D23" s="5"/>
      <c r="E23" s="5" t="n">
        <f aca="false">'Design Calculations'!M79</f>
        <v>24.6179401993355</v>
      </c>
      <c r="F23" s="5" t="n">
        <f aca="false">'Design Calculations'!I79</f>
        <v>28.73</v>
      </c>
      <c r="G23" s="91" t="n">
        <f aca="false">'Design Calculations'!K79</f>
        <v>9.96677740863787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</row>
    <row r="24" customFormat="false" ht="12.8" hidden="false" customHeight="false" outlineLevel="0" collapsed="false">
      <c r="A24" s="5" t="e">
        <f aca="false">'Design Calculations'!G80</f>
        <v>#N/A</v>
      </c>
      <c r="B24" s="5" t="n">
        <f aca="false">'Design Calculations'!C80</f>
        <v>26</v>
      </c>
      <c r="C24" s="90" t="e">
        <f aca="false">'Design Calculations'!E80</f>
        <v>#N/A</v>
      </c>
      <c r="D24" s="5"/>
      <c r="E24" s="5" t="n">
        <f aca="false">'Design Calculations'!M80</f>
        <v>25.9136212624585</v>
      </c>
      <c r="F24" s="5" t="n">
        <f aca="false">'Design Calculations'!I80</f>
        <v>28.6</v>
      </c>
      <c r="G24" s="91" t="n">
        <f aca="false">'Design Calculations'!K80</f>
        <v>9.96677740863787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</row>
    <row r="25" customFormat="false" ht="12.8" hidden="false" customHeight="false" outlineLevel="0" collapsed="false">
      <c r="A25" s="5" t="e">
        <f aca="false">'Design Calculations'!G81</f>
        <v>#N/A</v>
      </c>
      <c r="B25" s="5" t="n">
        <f aca="false">'Design Calculations'!C81</f>
        <v>25.87</v>
      </c>
      <c r="C25" s="90" t="e">
        <f aca="false">'Design Calculations'!E81</f>
        <v>#N/A</v>
      </c>
      <c r="D25" s="5"/>
      <c r="E25" s="5" t="n">
        <f aca="false">'Design Calculations'!M81</f>
        <v>27.2093023255814</v>
      </c>
      <c r="F25" s="5" t="n">
        <f aca="false">'Design Calculations'!I81</f>
        <v>28.47</v>
      </c>
      <c r="G25" s="91" t="n">
        <f aca="false">'Design Calculations'!K81</f>
        <v>9.96677740863787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customFormat="false" ht="12.8" hidden="false" customHeight="false" outlineLevel="0" collapsed="false">
      <c r="A26" s="5" t="e">
        <f aca="false">'Design Calculations'!G82</f>
        <v>#N/A</v>
      </c>
      <c r="B26" s="5" t="n">
        <f aca="false">'Design Calculations'!C82</f>
        <v>25.74</v>
      </c>
      <c r="C26" s="90" t="e">
        <f aca="false">'Design Calculations'!E82</f>
        <v>#N/A</v>
      </c>
      <c r="D26" s="5"/>
      <c r="E26" s="5" t="n">
        <f aca="false">'Design Calculations'!M82</f>
        <v>28.5049833887043</v>
      </c>
      <c r="F26" s="5" t="n">
        <f aca="false">'Design Calculations'!I82</f>
        <v>28.34</v>
      </c>
      <c r="G26" s="91" t="n">
        <f aca="false">'Design Calculations'!K82</f>
        <v>9.96677740863787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customFormat="false" ht="12.8" hidden="false" customHeight="false" outlineLevel="0" collapsed="false">
      <c r="A27" s="5" t="e">
        <f aca="false">'Design Calculations'!G83</f>
        <v>#N/A</v>
      </c>
      <c r="B27" s="5" t="n">
        <f aca="false">'Design Calculations'!C83</f>
        <v>25.61</v>
      </c>
      <c r="C27" s="90" t="e">
        <f aca="false">'Design Calculations'!E83</f>
        <v>#N/A</v>
      </c>
      <c r="D27" s="5"/>
      <c r="E27" s="5" t="n">
        <f aca="false">'Design Calculations'!M83</f>
        <v>29.8006644518272</v>
      </c>
      <c r="F27" s="5" t="n">
        <f aca="false">'Design Calculations'!I83</f>
        <v>28.21</v>
      </c>
      <c r="G27" s="91" t="n">
        <f aca="false">'Design Calculations'!K83</f>
        <v>9.96677740863787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customFormat="false" ht="12.8" hidden="false" customHeight="false" outlineLevel="0" collapsed="false">
      <c r="A28" s="5" t="e">
        <f aca="false">'Design Calculations'!G84</f>
        <v>#N/A</v>
      </c>
      <c r="B28" s="5" t="n">
        <f aca="false">'Design Calculations'!C84</f>
        <v>25.48</v>
      </c>
      <c r="C28" s="90" t="e">
        <f aca="false">'Design Calculations'!E84</f>
        <v>#N/A</v>
      </c>
      <c r="D28" s="5"/>
      <c r="E28" s="5" t="n">
        <f aca="false">'Design Calculations'!M84</f>
        <v>31.0963455149502</v>
      </c>
      <c r="F28" s="5" t="n">
        <f aca="false">'Design Calculations'!I84</f>
        <v>28.08</v>
      </c>
      <c r="G28" s="91" t="n">
        <f aca="false">'Design Calculations'!K84</f>
        <v>9.96677740863787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</row>
    <row r="29" customFormat="false" ht="12.8" hidden="false" customHeight="false" outlineLevel="0" collapsed="false">
      <c r="A29" s="5" t="e">
        <f aca="false">'Design Calculations'!G85</f>
        <v>#N/A</v>
      </c>
      <c r="B29" s="5" t="n">
        <f aca="false">'Design Calculations'!C85</f>
        <v>25.35</v>
      </c>
      <c r="C29" s="90" t="e">
        <f aca="false">'Design Calculations'!E85</f>
        <v>#N/A</v>
      </c>
      <c r="D29" s="5"/>
      <c r="E29" s="5" t="n">
        <f aca="false">'Design Calculations'!M85</f>
        <v>32.3920265780731</v>
      </c>
      <c r="F29" s="5" t="n">
        <f aca="false">'Design Calculations'!I85</f>
        <v>27.95</v>
      </c>
      <c r="G29" s="91" t="n">
        <f aca="false">'Design Calculations'!K85</f>
        <v>9.96677740863787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</row>
    <row r="30" customFormat="false" ht="12.8" hidden="false" customHeight="false" outlineLevel="0" collapsed="false">
      <c r="A30" s="5" t="e">
        <f aca="false">'Design Calculations'!G86</f>
        <v>#N/A</v>
      </c>
      <c r="B30" s="5" t="n">
        <f aca="false">'Design Calculations'!C86</f>
        <v>25.22</v>
      </c>
      <c r="C30" s="90" t="e">
        <f aca="false">'Design Calculations'!E86</f>
        <v>#N/A</v>
      </c>
      <c r="D30" s="5"/>
      <c r="E30" s="5" t="n">
        <f aca="false">'Design Calculations'!M86</f>
        <v>33.687707641196</v>
      </c>
      <c r="F30" s="5" t="n">
        <f aca="false">'Design Calculations'!I86</f>
        <v>27.82</v>
      </c>
      <c r="G30" s="91" t="n">
        <f aca="false">'Design Calculations'!K86</f>
        <v>9.96677740863787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</row>
    <row r="31" customFormat="false" ht="12.8" hidden="false" customHeight="false" outlineLevel="0" collapsed="false">
      <c r="A31" s="5" t="e">
        <f aca="false">'Design Calculations'!G87</f>
        <v>#N/A</v>
      </c>
      <c r="B31" s="5" t="n">
        <f aca="false">'Design Calculations'!C87</f>
        <v>25.09</v>
      </c>
      <c r="C31" s="90" t="e">
        <f aca="false">'Design Calculations'!E87</f>
        <v>#N/A</v>
      </c>
      <c r="D31" s="5"/>
      <c r="E31" s="5" t="n">
        <f aca="false">'Design Calculations'!M87</f>
        <v>34.9833887043189</v>
      </c>
      <c r="F31" s="5" t="n">
        <f aca="false">'Design Calculations'!I87</f>
        <v>27.69</v>
      </c>
      <c r="G31" s="91" t="n">
        <f aca="false">'Design Calculations'!K87</f>
        <v>9.96677740863787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</row>
    <row r="32" customFormat="false" ht="12.8" hidden="false" customHeight="false" outlineLevel="0" collapsed="false">
      <c r="A32" s="5" t="e">
        <f aca="false">'Design Calculations'!G88</f>
        <v>#N/A</v>
      </c>
      <c r="B32" s="5" t="n">
        <f aca="false">'Design Calculations'!C88</f>
        <v>24.96</v>
      </c>
      <c r="C32" s="90" t="e">
        <f aca="false">'Design Calculations'!E88</f>
        <v>#N/A</v>
      </c>
      <c r="D32" s="5"/>
      <c r="E32" s="5" t="n">
        <f aca="false">'Design Calculations'!M88</f>
        <v>36.2790697674419</v>
      </c>
      <c r="F32" s="5" t="n">
        <f aca="false">'Design Calculations'!I88</f>
        <v>27.56</v>
      </c>
      <c r="G32" s="91" t="n">
        <f aca="false">'Design Calculations'!K88</f>
        <v>9.96677740863787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</row>
    <row r="33" customFormat="false" ht="12.8" hidden="false" customHeight="false" outlineLevel="0" collapsed="false">
      <c r="A33" s="5" t="e">
        <f aca="false">'Design Calculations'!G89</f>
        <v>#N/A</v>
      </c>
      <c r="B33" s="5" t="n">
        <f aca="false">'Design Calculations'!C89</f>
        <v>24.83</v>
      </c>
      <c r="C33" s="90" t="e">
        <f aca="false">'Design Calculations'!E89</f>
        <v>#N/A</v>
      </c>
      <c r="D33" s="5"/>
      <c r="E33" s="5" t="n">
        <f aca="false">'Design Calculations'!M89</f>
        <v>37.5747508305648</v>
      </c>
      <c r="F33" s="5" t="n">
        <f aca="false">'Design Calculations'!I89</f>
        <v>27.43</v>
      </c>
      <c r="G33" s="91" t="n">
        <f aca="false">'Design Calculations'!K89</f>
        <v>9.96677740863787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</row>
    <row r="34" customFormat="false" ht="12.8" hidden="false" customHeight="false" outlineLevel="0" collapsed="false">
      <c r="A34" s="5" t="e">
        <f aca="false">'Design Calculations'!G90</f>
        <v>#N/A</v>
      </c>
      <c r="B34" s="5" t="n">
        <f aca="false">'Design Calculations'!C90</f>
        <v>24.7</v>
      </c>
      <c r="C34" s="90" t="e">
        <f aca="false">'Design Calculations'!E90</f>
        <v>#N/A</v>
      </c>
      <c r="D34" s="5"/>
      <c r="E34" s="5" t="n">
        <f aca="false">'Design Calculations'!M90</f>
        <v>38.8704318936877</v>
      </c>
      <c r="F34" s="5" t="n">
        <f aca="false">'Design Calculations'!I90</f>
        <v>27.3</v>
      </c>
      <c r="G34" s="91" t="n">
        <f aca="false">'Design Calculations'!K90</f>
        <v>9.96677740863787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</row>
    <row r="35" customFormat="false" ht="12.8" hidden="false" customHeight="false" outlineLevel="0" collapsed="false">
      <c r="A35" s="5" t="e">
        <f aca="false">'Design Calculations'!G91</f>
        <v>#N/A</v>
      </c>
      <c r="B35" s="5" t="n">
        <f aca="false">'Design Calculations'!C91</f>
        <v>24.57</v>
      </c>
      <c r="C35" s="90" t="e">
        <f aca="false">'Design Calculations'!E91</f>
        <v>#N/A</v>
      </c>
      <c r="D35" s="5"/>
      <c r="E35" s="5" t="n">
        <f aca="false">'Design Calculations'!M91</f>
        <v>40.1661129568106</v>
      </c>
      <c r="F35" s="5" t="n">
        <f aca="false">'Design Calculations'!I91</f>
        <v>27.17</v>
      </c>
      <c r="G35" s="91" t="n">
        <f aca="false">'Design Calculations'!K91</f>
        <v>9.96677740863787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</row>
    <row r="36" customFormat="false" ht="12.8" hidden="false" customHeight="false" outlineLevel="0" collapsed="false">
      <c r="A36" s="5" t="e">
        <f aca="false">'Design Calculations'!G92</f>
        <v>#N/A</v>
      </c>
      <c r="B36" s="5" t="n">
        <f aca="false">'Design Calculations'!C92</f>
        <v>24.44</v>
      </c>
      <c r="C36" s="90" t="e">
        <f aca="false">'Design Calculations'!E92</f>
        <v>#N/A</v>
      </c>
      <c r="D36" s="5"/>
      <c r="E36" s="5" t="n">
        <f aca="false">'Design Calculations'!M92</f>
        <v>41.4617940199336</v>
      </c>
      <c r="F36" s="5" t="n">
        <f aca="false">'Design Calculations'!I92</f>
        <v>27.04</v>
      </c>
      <c r="G36" s="91" t="n">
        <f aca="false">'Design Calculations'!K92</f>
        <v>9.96677740863787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</row>
    <row r="37" customFormat="false" ht="12.8" hidden="false" customHeight="false" outlineLevel="0" collapsed="false">
      <c r="A37" s="5" t="e">
        <f aca="false">'Design Calculations'!G93</f>
        <v>#N/A</v>
      </c>
      <c r="B37" s="5" t="n">
        <f aca="false">'Design Calculations'!C93</f>
        <v>24.31</v>
      </c>
      <c r="C37" s="90" t="e">
        <f aca="false">'Design Calculations'!E93</f>
        <v>#N/A</v>
      </c>
      <c r="D37" s="5"/>
      <c r="E37" s="5" t="n">
        <f aca="false">'Design Calculations'!M93</f>
        <v>42.7574750830565</v>
      </c>
      <c r="F37" s="5" t="n">
        <f aca="false">'Design Calculations'!I93</f>
        <v>26.91</v>
      </c>
      <c r="G37" s="91" t="n">
        <f aca="false">'Design Calculations'!K93</f>
        <v>9.96677740863787</v>
      </c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</row>
    <row r="38" customFormat="false" ht="12.8" hidden="false" customHeight="false" outlineLevel="0" collapsed="false">
      <c r="A38" s="5" t="e">
        <f aca="false">'Design Calculations'!G94</f>
        <v>#N/A</v>
      </c>
      <c r="B38" s="5" t="n">
        <f aca="false">'Design Calculations'!C94</f>
        <v>24.18</v>
      </c>
      <c r="C38" s="90" t="e">
        <f aca="false">'Design Calculations'!E94</f>
        <v>#N/A</v>
      </c>
      <c r="D38" s="5"/>
      <c r="E38" s="5" t="n">
        <f aca="false">'Design Calculations'!M94</f>
        <v>44.0531561461794</v>
      </c>
      <c r="F38" s="5" t="n">
        <f aca="false">'Design Calculations'!I94</f>
        <v>26.78</v>
      </c>
      <c r="G38" s="91" t="n">
        <f aca="false">'Design Calculations'!K94</f>
        <v>9.96677740863787</v>
      </c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</row>
    <row r="39" customFormat="false" ht="12.8" hidden="false" customHeight="false" outlineLevel="0" collapsed="false">
      <c r="A39" s="5" t="e">
        <f aca="false">'Design Calculations'!G95</f>
        <v>#N/A</v>
      </c>
      <c r="B39" s="5" t="n">
        <f aca="false">'Design Calculations'!C95</f>
        <v>24.05</v>
      </c>
      <c r="C39" s="90" t="e">
        <f aca="false">'Design Calculations'!E95</f>
        <v>#N/A</v>
      </c>
      <c r="D39" s="5"/>
      <c r="E39" s="5" t="n">
        <f aca="false">'Design Calculations'!M95</f>
        <v>45.3488372093023</v>
      </c>
      <c r="F39" s="5" t="n">
        <f aca="false">'Design Calculations'!I95</f>
        <v>26.65</v>
      </c>
      <c r="G39" s="91" t="n">
        <f aca="false">'Design Calculations'!K95</f>
        <v>9.96677740863787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 t="s">
        <v>4</v>
      </c>
      <c r="AA39" s="5" t="s">
        <v>68</v>
      </c>
      <c r="AB39" s="5" t="s">
        <v>69</v>
      </c>
      <c r="AC39" s="5" t="s">
        <v>70</v>
      </c>
      <c r="AD39" s="5" t="s">
        <v>71</v>
      </c>
    </row>
    <row r="40" customFormat="false" ht="12.8" hidden="false" customHeight="false" outlineLevel="0" collapsed="false">
      <c r="A40" s="5" t="e">
        <f aca="false">'Design Calculations'!G96</f>
        <v>#N/A</v>
      </c>
      <c r="B40" s="5" t="n">
        <f aca="false">'Design Calculations'!C96</f>
        <v>23.92</v>
      </c>
      <c r="C40" s="90" t="e">
        <f aca="false">'Design Calculations'!E96</f>
        <v>#N/A</v>
      </c>
      <c r="D40" s="5"/>
      <c r="E40" s="5" t="n">
        <f aca="false">'Design Calculations'!M96</f>
        <v>46.6445182724253</v>
      </c>
      <c r="F40" s="5" t="n">
        <f aca="false">'Design Calculations'!I96</f>
        <v>26.52</v>
      </c>
      <c r="G40" s="91" t="n">
        <f aca="false">'Design Calculations'!K96</f>
        <v>9.96677740863787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 t="n">
        <v>1</v>
      </c>
      <c r="AA40" s="5" t="str">
        <f aca="false">IF(36/Z40&gt;12,"",36/Z40)</f>
        <v/>
      </c>
      <c r="AB40" s="5" t="str">
        <f aca="false">IF(12.3/Z40&gt;12,"",12.3/Z40)</f>
        <v/>
      </c>
      <c r="AC40" s="5" t="n">
        <f aca="false">IF(3.825/Z40&gt;12,"",3.825/Z40)</f>
        <v>3.825</v>
      </c>
      <c r="AD40" s="5" t="n">
        <f aca="false">IF(0.9/Z40&gt;12,"",0.9/Z40)</f>
        <v>0.9</v>
      </c>
    </row>
    <row r="41" customFormat="false" ht="12.8" hidden="false" customHeight="false" outlineLevel="0" collapsed="false">
      <c r="A41" s="5" t="e">
        <f aca="false">'Design Calculations'!G97</f>
        <v>#N/A</v>
      </c>
      <c r="B41" s="5" t="n">
        <f aca="false">'Design Calculations'!C97</f>
        <v>23.79</v>
      </c>
      <c r="C41" s="90" t="e">
        <f aca="false">'Design Calculations'!E97</f>
        <v>#N/A</v>
      </c>
      <c r="D41" s="5"/>
      <c r="E41" s="5" t="n">
        <f aca="false">'Design Calculations'!M97</f>
        <v>47.9401993355482</v>
      </c>
      <c r="F41" s="5" t="n">
        <f aca="false">'Design Calculations'!I97</f>
        <v>26.39</v>
      </c>
      <c r="G41" s="91" t="n">
        <f aca="false">'Design Calculations'!K97</f>
        <v>9.96677740863787</v>
      </c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 t="n">
        <v>2</v>
      </c>
      <c r="AA41" s="5" t="str">
        <f aca="false">IF(36/Z41&gt;12,"",36/Z41)</f>
        <v/>
      </c>
      <c r="AB41" s="5" t="n">
        <f aca="false">IF(12.3/Z41&gt;12,"",12.3/Z41)</f>
        <v>6.15</v>
      </c>
      <c r="AC41" s="5" t="n">
        <f aca="false">IF(3.825/Z41&gt;12,"",3.825/Z41)</f>
        <v>1.9125</v>
      </c>
      <c r="AD41" s="5" t="n">
        <f aca="false">IF(0.9/Z41&gt;12,"",0.9/Z41)</f>
        <v>0.45</v>
      </c>
    </row>
    <row r="42" customFormat="false" ht="12.8" hidden="false" customHeight="false" outlineLevel="0" collapsed="false">
      <c r="A42" s="5" t="e">
        <f aca="false">'Design Calculations'!G98</f>
        <v>#N/A</v>
      </c>
      <c r="B42" s="5" t="n">
        <f aca="false">'Design Calculations'!C98</f>
        <v>23.66</v>
      </c>
      <c r="C42" s="90" t="e">
        <f aca="false">'Design Calculations'!E98</f>
        <v>#N/A</v>
      </c>
      <c r="D42" s="5"/>
      <c r="E42" s="5" t="n">
        <f aca="false">'Design Calculations'!M98</f>
        <v>49.2358803986711</v>
      </c>
      <c r="F42" s="5" t="n">
        <f aca="false">'Design Calculations'!I98</f>
        <v>26.26</v>
      </c>
      <c r="G42" s="91" t="n">
        <f aca="false">'Design Calculations'!K98</f>
        <v>9.96677740863787</v>
      </c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 t="n">
        <v>3</v>
      </c>
      <c r="AA42" s="5" t="n">
        <f aca="false">IF(36/Z42&gt;12,"",36/Z42)</f>
        <v>12</v>
      </c>
      <c r="AB42" s="5" t="n">
        <f aca="false">IF(12.3/Z42&gt;12,"",12.3/Z42)</f>
        <v>4.1</v>
      </c>
      <c r="AC42" s="5" t="n">
        <f aca="false">IF(3.825/Z42&gt;12,"",3.825/Z42)</f>
        <v>1.275</v>
      </c>
      <c r="AD42" s="5" t="n">
        <f aca="false">IF(0.9/Z42&gt;12,"",0.9/Z42)</f>
        <v>0.3</v>
      </c>
    </row>
    <row r="43" customFormat="false" ht="12.8" hidden="false" customHeight="false" outlineLevel="0" collapsed="false">
      <c r="A43" s="5" t="e">
        <f aca="false">'Design Calculations'!G99</f>
        <v>#N/A</v>
      </c>
      <c r="B43" s="5" t="n">
        <f aca="false">'Design Calculations'!C99</f>
        <v>23.53</v>
      </c>
      <c r="C43" s="90" t="e">
        <f aca="false">'Design Calculations'!E99</f>
        <v>#N/A</v>
      </c>
      <c r="D43" s="5"/>
      <c r="E43" s="5" t="n">
        <f aca="false">'Design Calculations'!M99</f>
        <v>50.531561461794</v>
      </c>
      <c r="F43" s="5" t="n">
        <f aca="false">'Design Calculations'!I99</f>
        <v>26.13</v>
      </c>
      <c r="G43" s="91" t="n">
        <f aca="false">'Design Calculations'!K99</f>
        <v>9.96677740863787</v>
      </c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 t="n">
        <v>4</v>
      </c>
      <c r="AA43" s="5" t="n">
        <f aca="false">IF(36/Z43&gt;12,"",36/Z43)</f>
        <v>9</v>
      </c>
      <c r="AB43" s="5" t="n">
        <f aca="false">IF(12.3/Z43&gt;12,"",12.3/Z43)</f>
        <v>3.075</v>
      </c>
      <c r="AC43" s="5" t="n">
        <f aca="false">IF(3.825/Z43&gt;12,"",3.825/Z43)</f>
        <v>0.95625</v>
      </c>
      <c r="AD43" s="5" t="n">
        <f aca="false">IF(0.9/Z43&gt;12,"",0.9/Z43)</f>
        <v>0.225</v>
      </c>
    </row>
    <row r="44" customFormat="false" ht="12.8" hidden="false" customHeight="false" outlineLevel="0" collapsed="false">
      <c r="A44" s="5" t="e">
        <f aca="false">'Design Calculations'!G100</f>
        <v>#N/A</v>
      </c>
      <c r="B44" s="5" t="n">
        <f aca="false">'Design Calculations'!C100</f>
        <v>23.4</v>
      </c>
      <c r="C44" s="90" t="e">
        <f aca="false">'Design Calculations'!E100</f>
        <v>#N/A</v>
      </c>
      <c r="D44" s="5"/>
      <c r="E44" s="5" t="n">
        <f aca="false">'Design Calculations'!M100</f>
        <v>51.8272425249169</v>
      </c>
      <c r="F44" s="5" t="n">
        <f aca="false">'Design Calculations'!I100</f>
        <v>26</v>
      </c>
      <c r="G44" s="91" t="n">
        <f aca="false">'Design Calculations'!K100</f>
        <v>9.96677740863787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 t="n">
        <v>5</v>
      </c>
      <c r="AA44" s="5" t="n">
        <f aca="false">IF(36/Z44&gt;12,"",36/Z44)</f>
        <v>7.2</v>
      </c>
      <c r="AB44" s="5" t="n">
        <f aca="false">IF(12.3/Z44&gt;12,"",12.3/Z44)</f>
        <v>2.46</v>
      </c>
      <c r="AC44" s="5" t="n">
        <f aca="false">IF(3.825/Z44&gt;12,"",3.825/Z44)</f>
        <v>0.765</v>
      </c>
      <c r="AD44" s="5" t="n">
        <f aca="false">IF(0.9/Z44&gt;12,"",0.9/Z44)</f>
        <v>0.18</v>
      </c>
    </row>
    <row r="45" customFormat="false" ht="12.8" hidden="false" customHeight="false" outlineLevel="0" collapsed="false">
      <c r="A45" s="5" t="e">
        <f aca="false">'Design Calculations'!G101</f>
        <v>#N/A</v>
      </c>
      <c r="B45" s="5" t="n">
        <f aca="false">'Design Calculations'!C101</f>
        <v>23.27</v>
      </c>
      <c r="C45" s="90" t="e">
        <f aca="false">'Design Calculations'!E101</f>
        <v>#N/A</v>
      </c>
      <c r="D45" s="5"/>
      <c r="E45" s="5" t="n">
        <f aca="false">'Design Calculations'!M101</f>
        <v>53.1188805197784</v>
      </c>
      <c r="F45" s="5" t="n">
        <f aca="false">'Design Calculations'!I101</f>
        <v>25.8700000000001</v>
      </c>
      <c r="G45" s="91" t="n">
        <f aca="false">'Design Calculations'!K101</f>
        <v>9.96601885924567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 t="n">
        <v>6</v>
      </c>
      <c r="AA45" s="5" t="n">
        <f aca="false">IF(36/Z45&gt;12,"",36/Z45)</f>
        <v>6</v>
      </c>
      <c r="AB45" s="5" t="n">
        <f aca="false">IF(12.3/Z45&gt;12,"",12.3/Z45)</f>
        <v>2.05</v>
      </c>
      <c r="AC45" s="5" t="n">
        <f aca="false">IF(3.825/Z45&gt;12,"",3.825/Z45)</f>
        <v>0.6375</v>
      </c>
      <c r="AD45" s="5" t="n">
        <f aca="false">IF(0.9/Z45&gt;12,"",0.9/Z45)</f>
        <v>0.15</v>
      </c>
    </row>
    <row r="46" customFormat="false" ht="12.8" hidden="false" customHeight="false" outlineLevel="0" collapsed="false">
      <c r="A46" s="5" t="e">
        <f aca="false">'Design Calculations'!G102</f>
        <v>#N/A</v>
      </c>
      <c r="B46" s="5" t="n">
        <f aca="false">'Design Calculations'!C102</f>
        <v>23.14</v>
      </c>
      <c r="C46" s="90" t="e">
        <f aca="false">'Design Calculations'!E102</f>
        <v>#N/A</v>
      </c>
      <c r="D46" s="5"/>
      <c r="E46" s="5" t="n">
        <f aca="false">'Design Calculations'!M102</f>
        <v>54.1410234590608</v>
      </c>
      <c r="F46" s="5" t="n">
        <f aca="false">'Design Calculations'!I102</f>
        <v>25.7400000000001</v>
      </c>
      <c r="G46" s="91" t="n">
        <f aca="false">'Design Calculations'!K102</f>
        <v>9.91593836246554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 t="n">
        <v>7</v>
      </c>
      <c r="AA46" s="5" t="n">
        <f aca="false">IF(36/Z46&gt;12,"",36/Z46)</f>
        <v>5.14285714285714</v>
      </c>
      <c r="AB46" s="5" t="n">
        <f aca="false">IF(12.3/Z46&gt;12,"",12.3/Z46)</f>
        <v>1.75714285714286</v>
      </c>
      <c r="AC46" s="5" t="n">
        <f aca="false">IF(3.825/Z46&gt;12,"",3.825/Z46)</f>
        <v>0.546428571428572</v>
      </c>
      <c r="AD46" s="5" t="n">
        <f aca="false">IF(0.9/Z46&gt;12,"",0.9/Z46)</f>
        <v>0.128571428571429</v>
      </c>
    </row>
    <row r="47" customFormat="false" ht="12.8" hidden="false" customHeight="false" outlineLevel="0" collapsed="false">
      <c r="A47" s="5" t="e">
        <f aca="false">'Design Calculations'!G103</f>
        <v>#N/A</v>
      </c>
      <c r="B47" s="5" t="n">
        <f aca="false">'Design Calculations'!C103</f>
        <v>23.01</v>
      </c>
      <c r="C47" s="90" t="e">
        <f aca="false">'Design Calculations'!E103</f>
        <v>#N/A</v>
      </c>
      <c r="D47" s="5"/>
      <c r="E47" s="5" t="n">
        <f aca="false">'Design Calculations'!M103</f>
        <v>55.1501454691805</v>
      </c>
      <c r="F47" s="5" t="n">
        <f aca="false">'Design Calculations'!I103</f>
        <v>25.6100000000001</v>
      </c>
      <c r="G47" s="91" t="n">
        <f aca="false">'Design Calculations'!K103</f>
        <v>9.86585786568541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 t="n">
        <v>8</v>
      </c>
      <c r="AA47" s="5" t="n">
        <f aca="false">IF(36/Z47&gt;12,"",36/Z47)</f>
        <v>4.5</v>
      </c>
      <c r="AB47" s="5" t="n">
        <f aca="false">IF(12.3/Z47&gt;12,"",12.3/Z47)</f>
        <v>1.5375</v>
      </c>
      <c r="AC47" s="5" t="n">
        <f aca="false">IF(3.825/Z47&gt;12,"",3.825/Z47)</f>
        <v>0.478125</v>
      </c>
      <c r="AD47" s="5" t="n">
        <f aca="false">IF(0.9/Z47&gt;12,"",0.9/Z47)</f>
        <v>0.1125</v>
      </c>
    </row>
    <row r="48" customFormat="false" ht="12.8" hidden="false" customHeight="false" outlineLevel="0" collapsed="false">
      <c r="A48" s="5" t="e">
        <f aca="false">'Design Calculations'!G104</f>
        <v>#N/A</v>
      </c>
      <c r="B48" s="5" t="n">
        <f aca="false">'Design Calculations'!C104</f>
        <v>22.88</v>
      </c>
      <c r="C48" s="90" t="e">
        <f aca="false">'Design Calculations'!E104</f>
        <v>#N/A</v>
      </c>
      <c r="D48" s="5"/>
      <c r="E48" s="5" t="n">
        <f aca="false">'Design Calculations'!M104</f>
        <v>56.1462465501372</v>
      </c>
      <c r="F48" s="5" t="n">
        <f aca="false">'Design Calculations'!I104</f>
        <v>25.4800000000001</v>
      </c>
      <c r="G48" s="91" t="n">
        <f aca="false">'Design Calculations'!K104</f>
        <v>9.81577736890528</v>
      </c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 t="n">
        <v>9</v>
      </c>
      <c r="AA48" s="5" t="n">
        <f aca="false">IF(36/Z48&gt;12,"",36/Z48)</f>
        <v>4</v>
      </c>
      <c r="AB48" s="5" t="n">
        <f aca="false">IF(12.3/Z48&gt;12,"",12.3/Z48)</f>
        <v>1.36666666666667</v>
      </c>
      <c r="AC48" s="5" t="n">
        <f aca="false">IF(3.825/Z48&gt;12,"",3.825/Z48)</f>
        <v>0.425</v>
      </c>
      <c r="AD48" s="5" t="n">
        <f aca="false">IF(0.9/Z48&gt;12,"",0.9/Z48)</f>
        <v>0.1</v>
      </c>
    </row>
    <row r="49" customFormat="false" ht="12.8" hidden="false" customHeight="false" outlineLevel="0" collapsed="false">
      <c r="A49" s="5" t="e">
        <f aca="false">'Design Calculations'!G105</f>
        <v>#N/A</v>
      </c>
      <c r="B49" s="5" t="n">
        <f aca="false">'Design Calculations'!C105</f>
        <v>22.75</v>
      </c>
      <c r="C49" s="90" t="e">
        <f aca="false">'Design Calculations'!E105</f>
        <v>#N/A</v>
      </c>
      <c r="D49" s="5"/>
      <c r="E49" s="5" t="n">
        <f aca="false">'Design Calculations'!M105</f>
        <v>57.1293267019312</v>
      </c>
      <c r="F49" s="5" t="n">
        <f aca="false">'Design Calculations'!I105</f>
        <v>25.3500000000001</v>
      </c>
      <c r="G49" s="91" t="n">
        <f aca="false">'Design Calculations'!K105</f>
        <v>9.76569687212515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 t="n">
        <v>10</v>
      </c>
      <c r="AA49" s="5" t="n">
        <f aca="false">IF(36/Z49&gt;12,"",36/Z49)</f>
        <v>3.6</v>
      </c>
      <c r="AB49" s="5" t="n">
        <f aca="false">IF(12.3/Z49&gt;12,"",12.3/Z49)</f>
        <v>1.23</v>
      </c>
      <c r="AC49" s="5" t="n">
        <f aca="false">IF(3.825/Z49&gt;12,"",3.825/Z49)</f>
        <v>0.3825</v>
      </c>
      <c r="AD49" s="5" t="n">
        <f aca="false">IF(0.9/Z49&gt;12,"",0.9/Z49)</f>
        <v>0.09</v>
      </c>
    </row>
    <row r="50" customFormat="false" ht="12.8" hidden="false" customHeight="false" outlineLevel="0" collapsed="false">
      <c r="A50" s="5" t="e">
        <f aca="false">'Design Calculations'!G106</f>
        <v>#N/A</v>
      </c>
      <c r="B50" s="5" t="n">
        <f aca="false">'Design Calculations'!C106</f>
        <v>22.62</v>
      </c>
      <c r="C50" s="90" t="e">
        <f aca="false">'Design Calculations'!E106</f>
        <v>#N/A</v>
      </c>
      <c r="D50" s="5"/>
      <c r="E50" s="5" t="n">
        <f aca="false">'Design Calculations'!M106</f>
        <v>58.0993859245623</v>
      </c>
      <c r="F50" s="5" t="n">
        <f aca="false">'Design Calculations'!I106</f>
        <v>25.2200000000001</v>
      </c>
      <c r="G50" s="91" t="n">
        <f aca="false">'Design Calculations'!K106</f>
        <v>9.71561637534502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 t="n">
        <v>11</v>
      </c>
      <c r="AA50" s="5" t="n">
        <f aca="false">IF(36/Z50&gt;12,"",36/Z50)</f>
        <v>3.27272727272727</v>
      </c>
      <c r="AB50" s="5" t="n">
        <f aca="false">IF(12.3/Z50&gt;12,"",12.3/Z50)</f>
        <v>1.11818181818182</v>
      </c>
      <c r="AC50" s="5" t="n">
        <f aca="false">IF(3.825/Z50&gt;12,"",3.825/Z50)</f>
        <v>0.347727272727273</v>
      </c>
      <c r="AD50" s="5" t="n">
        <f aca="false">IF(0.9/Z50&gt;12,"",0.9/Z50)</f>
        <v>0.0818181818181818</v>
      </c>
    </row>
    <row r="51" customFormat="false" ht="12.8" hidden="false" customHeight="false" outlineLevel="0" collapsed="false">
      <c r="A51" s="5" t="e">
        <f aca="false">'Design Calculations'!G107</f>
        <v>#N/A</v>
      </c>
      <c r="B51" s="5" t="n">
        <f aca="false">'Design Calculations'!C107</f>
        <v>22.49</v>
      </c>
      <c r="C51" s="90" t="e">
        <f aca="false">'Design Calculations'!E107</f>
        <v>#N/A</v>
      </c>
      <c r="D51" s="5"/>
      <c r="E51" s="5" t="n">
        <f aca="false">'Design Calculations'!M107</f>
        <v>59.0564242180305</v>
      </c>
      <c r="F51" s="5" t="n">
        <f aca="false">'Design Calculations'!I107</f>
        <v>25.0900000000001</v>
      </c>
      <c r="G51" s="91" t="n">
        <f aca="false">'Design Calculations'!K107</f>
        <v>9.66553587856489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 t="n">
        <v>12</v>
      </c>
      <c r="AA51" s="5" t="n">
        <f aca="false">IF(36/Z51&gt;12,"",36/Z51)</f>
        <v>3</v>
      </c>
      <c r="AB51" s="5" t="n">
        <f aca="false">IF(12.3/Z51&gt;12,"",12.3/Z51)</f>
        <v>1.025</v>
      </c>
      <c r="AC51" s="5" t="n">
        <f aca="false">IF(3.825/Z51&gt;12,"",3.825/Z51)</f>
        <v>0.31875</v>
      </c>
      <c r="AD51" s="5" t="n">
        <f aca="false">IF(0.9/Z51&gt;12,"",0.9/Z51)</f>
        <v>0.075</v>
      </c>
    </row>
    <row r="52" customFormat="false" ht="12.8" hidden="false" customHeight="false" outlineLevel="0" collapsed="false">
      <c r="A52" s="5" t="e">
        <f aca="false">'Design Calculations'!G108</f>
        <v>#N/A</v>
      </c>
      <c r="B52" s="5" t="n">
        <f aca="false">'Design Calculations'!C108</f>
        <v>22.36</v>
      </c>
      <c r="C52" s="90" t="e">
        <f aca="false">'Design Calculations'!E108</f>
        <v>#N/A</v>
      </c>
      <c r="D52" s="5"/>
      <c r="E52" s="5" t="n">
        <f aca="false">'Design Calculations'!M108</f>
        <v>60.000441582336</v>
      </c>
      <c r="F52" s="5" t="n">
        <f aca="false">'Design Calculations'!I108</f>
        <v>24.9600000000001</v>
      </c>
      <c r="G52" s="91" t="n">
        <f aca="false">'Design Calculations'!K108</f>
        <v>9.61545538178477</v>
      </c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 t="n">
        <v>13</v>
      </c>
      <c r="AA52" s="5" t="n">
        <f aca="false">IF(36/Z52&gt;12,"",36/Z52)</f>
        <v>2.76923076923077</v>
      </c>
      <c r="AB52" s="5" t="n">
        <f aca="false">IF(12.3/Z52&gt;12,"",12.3/Z52)</f>
        <v>0.946153846153846</v>
      </c>
      <c r="AC52" s="5" t="n">
        <f aca="false">IF(3.825/Z52&gt;12,"",3.825/Z52)</f>
        <v>0.294230769230769</v>
      </c>
      <c r="AD52" s="5" t="n">
        <f aca="false">IF(0.9/Z52&gt;12,"",0.9/Z52)</f>
        <v>0.0692307692307692</v>
      </c>
    </row>
    <row r="53" customFormat="false" ht="12.8" hidden="false" customHeight="false" outlineLevel="0" collapsed="false">
      <c r="A53" s="5" t="e">
        <f aca="false">'Design Calculations'!G109</f>
        <v>#N/A</v>
      </c>
      <c r="B53" s="5" t="n">
        <f aca="false">'Design Calculations'!C109</f>
        <v>22.23</v>
      </c>
      <c r="C53" s="90" t="e">
        <f aca="false">'Design Calculations'!E109</f>
        <v>#N/A</v>
      </c>
      <c r="D53" s="5"/>
      <c r="E53" s="5" t="n">
        <f aca="false">'Design Calculations'!M109</f>
        <v>60.9314380174786</v>
      </c>
      <c r="F53" s="5" t="n">
        <f aca="false">'Design Calculations'!I109</f>
        <v>24.8300000000001</v>
      </c>
      <c r="G53" s="91" t="n">
        <f aca="false">'Design Calculations'!K109</f>
        <v>9.56537488500464</v>
      </c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 t="n">
        <v>14</v>
      </c>
      <c r="AA53" s="5" t="n">
        <f aca="false">IF(36/Z53&gt;12,"",36/Z53)</f>
        <v>2.57142857142857</v>
      </c>
      <c r="AB53" s="5" t="n">
        <f aca="false">IF(12.3/Z53&gt;12,"",12.3/Z53)</f>
        <v>0.878571428571429</v>
      </c>
      <c r="AC53" s="5" t="n">
        <f aca="false">IF(3.825/Z53&gt;12,"",3.825/Z53)</f>
        <v>0.273214285714286</v>
      </c>
      <c r="AD53" s="5" t="n">
        <f aca="false">IF(0.9/Z53&gt;12,"",0.9/Z53)</f>
        <v>0.0642857142857143</v>
      </c>
    </row>
    <row r="54" customFormat="false" ht="12.8" hidden="false" customHeight="false" outlineLevel="0" collapsed="false">
      <c r="A54" s="5" t="e">
        <f aca="false">'Design Calculations'!G110</f>
        <v>#N/A</v>
      </c>
      <c r="B54" s="5" t="n">
        <f aca="false">'Design Calculations'!C110</f>
        <v>22.1</v>
      </c>
      <c r="C54" s="90" t="e">
        <f aca="false">'Design Calculations'!E110</f>
        <v>#N/A</v>
      </c>
      <c r="D54" s="5"/>
      <c r="E54" s="5" t="n">
        <f aca="false">'Design Calculations'!M110</f>
        <v>61.8494135234584</v>
      </c>
      <c r="F54" s="5" t="n">
        <f aca="false">'Design Calculations'!I110</f>
        <v>24.7000000000001</v>
      </c>
      <c r="G54" s="91" t="n">
        <f aca="false">'Design Calculations'!K110</f>
        <v>9.51529438822451</v>
      </c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 t="n">
        <v>15</v>
      </c>
      <c r="AA54" s="5" t="n">
        <f aca="false">IF(36/Z54&gt;12,"",36/Z54)</f>
        <v>2.4</v>
      </c>
      <c r="AB54" s="5" t="n">
        <f aca="false">IF(12.3/Z54&gt;12,"",12.3/Z54)</f>
        <v>0.82</v>
      </c>
      <c r="AC54" s="5" t="n">
        <f aca="false">IF(3.825/Z54&gt;12,"",3.825/Z54)</f>
        <v>0.255</v>
      </c>
      <c r="AD54" s="5" t="n">
        <f aca="false">IF(0.9/Z54&gt;12,"",0.9/Z54)</f>
        <v>0.06</v>
      </c>
    </row>
    <row r="55" customFormat="false" ht="12.8" hidden="false" customHeight="false" outlineLevel="0" collapsed="false">
      <c r="A55" s="5" t="e">
        <f aca="false">'Design Calculations'!G111</f>
        <v>#N/A</v>
      </c>
      <c r="B55" s="5" t="n">
        <f aca="false">'Design Calculations'!C111</f>
        <v>21.97</v>
      </c>
      <c r="C55" s="90" t="e">
        <f aca="false">'Design Calculations'!E111</f>
        <v>#N/A</v>
      </c>
      <c r="D55" s="5"/>
      <c r="E55" s="5" t="n">
        <f aca="false">'Design Calculations'!M111</f>
        <v>62.7543681002753</v>
      </c>
      <c r="F55" s="5" t="n">
        <f aca="false">'Design Calculations'!I111</f>
        <v>24.5700000000001</v>
      </c>
      <c r="G55" s="91" t="n">
        <f aca="false">'Design Calculations'!K111</f>
        <v>9.46521389144438</v>
      </c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 t="n">
        <v>16</v>
      </c>
      <c r="AA55" s="5" t="n">
        <f aca="false">IF(36/Z55&gt;12,"",36/Z55)</f>
        <v>2.25</v>
      </c>
      <c r="AB55" s="5" t="n">
        <f aca="false">IF(12.3/Z55&gt;12,"",12.3/Z55)</f>
        <v>0.76875</v>
      </c>
      <c r="AC55" s="5" t="n">
        <f aca="false">IF(3.825/Z55&gt;12,"",3.825/Z55)</f>
        <v>0.2390625</v>
      </c>
      <c r="AD55" s="5" t="n">
        <f aca="false">IF(0.9/Z55&gt;12,"",0.9/Z55)</f>
        <v>0.05625</v>
      </c>
    </row>
    <row r="56" customFormat="false" ht="12.8" hidden="false" customHeight="false" outlineLevel="0" collapsed="false">
      <c r="A56" s="5" t="e">
        <f aca="false">'Design Calculations'!G112</f>
        <v>#N/A</v>
      </c>
      <c r="B56" s="5" t="n">
        <f aca="false">'Design Calculations'!C112</f>
        <v>21.84</v>
      </c>
      <c r="C56" s="90" t="e">
        <f aca="false">'Design Calculations'!E112</f>
        <v>#N/A</v>
      </c>
      <c r="D56" s="5"/>
      <c r="E56" s="5" t="n">
        <f aca="false">'Design Calculations'!M112</f>
        <v>63.6463017479287</v>
      </c>
      <c r="F56" s="5" t="n">
        <f aca="false">'Design Calculations'!I112</f>
        <v>24.4400000000002</v>
      </c>
      <c r="G56" s="91" t="n">
        <f aca="false">'Design Calculations'!K112</f>
        <v>9.41513339466429</v>
      </c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 t="n">
        <v>17</v>
      </c>
      <c r="AA56" s="5" t="n">
        <f aca="false">IF(36/Z56&gt;12,"",36/Z56)</f>
        <v>2.11764705882353</v>
      </c>
      <c r="AB56" s="5" t="n">
        <f aca="false">IF(12.3/Z56&gt;12,"",12.3/Z56)</f>
        <v>0.723529411764706</v>
      </c>
      <c r="AC56" s="5" t="n">
        <f aca="false">IF(3.825/Z56&gt;12,"",3.825/Z56)</f>
        <v>0.225</v>
      </c>
      <c r="AD56" s="5" t="n">
        <f aca="false">IF(0.9/Z56&gt;12,"",0.9/Z56)</f>
        <v>0.0529411764705882</v>
      </c>
    </row>
    <row r="57" customFormat="false" ht="12.8" hidden="false" customHeight="false" outlineLevel="0" collapsed="false">
      <c r="A57" s="5" t="e">
        <f aca="false">'Design Calculations'!G113</f>
        <v>#N/A</v>
      </c>
      <c r="B57" s="5" t="n">
        <f aca="false">'Design Calculations'!C113</f>
        <v>21.71</v>
      </c>
      <c r="C57" s="90" t="e">
        <f aca="false">'Design Calculations'!E113</f>
        <v>#N/A</v>
      </c>
      <c r="D57" s="5"/>
      <c r="E57" s="5" t="n">
        <f aca="false">'Design Calculations'!M113</f>
        <v>64.52521446642</v>
      </c>
      <c r="F57" s="5" t="n">
        <f aca="false">'Design Calculations'!I113</f>
        <v>24.3100000000002</v>
      </c>
      <c r="G57" s="91" t="n">
        <f aca="false">'Design Calculations'!K113</f>
        <v>9.36505289788416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 t="n">
        <v>18</v>
      </c>
      <c r="AA57" s="5" t="n">
        <f aca="false">IF(36/Z57&gt;12,"",36/Z57)</f>
        <v>2</v>
      </c>
      <c r="AB57" s="5" t="n">
        <f aca="false">IF(12.3/Z57&gt;12,"",12.3/Z57)</f>
        <v>0.683333333333333</v>
      </c>
      <c r="AC57" s="5" t="n">
        <f aca="false">IF(3.825/Z57&gt;12,"",3.825/Z57)</f>
        <v>0.2125</v>
      </c>
      <c r="AD57" s="5" t="n">
        <f aca="false">IF(0.9/Z57&gt;12,"",0.9/Z57)</f>
        <v>0.05</v>
      </c>
    </row>
    <row r="58" customFormat="false" ht="12.8" hidden="false" customHeight="false" outlineLevel="0" collapsed="false">
      <c r="A58" s="5" t="e">
        <f aca="false">'Design Calculations'!G114</f>
        <v>#N/A</v>
      </c>
      <c r="B58" s="5" t="n">
        <f aca="false">'Design Calculations'!C114</f>
        <v>21.58</v>
      </c>
      <c r="C58" s="90" t="e">
        <f aca="false">'Design Calculations'!E114</f>
        <v>#N/A</v>
      </c>
      <c r="D58" s="5"/>
      <c r="E58" s="5" t="n">
        <f aca="false">'Design Calculations'!M114</f>
        <v>65.3911062557484</v>
      </c>
      <c r="F58" s="5" t="n">
        <f aca="false">'Design Calculations'!I114</f>
        <v>24.1800000000002</v>
      </c>
      <c r="G58" s="91" t="n">
        <f aca="false">'Design Calculations'!K114</f>
        <v>9.31497240110403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 t="n">
        <v>19</v>
      </c>
      <c r="AA58" s="5" t="n">
        <f aca="false">IF(36/Z58&gt;12,"",36/Z58)</f>
        <v>1.89473684210526</v>
      </c>
      <c r="AB58" s="5" t="n">
        <f aca="false">IF(12.3/Z58&gt;12,"",12.3/Z58)</f>
        <v>0.647368421052632</v>
      </c>
      <c r="AC58" s="5" t="n">
        <f aca="false">IF(3.825/Z58&gt;12,"",3.825/Z58)</f>
        <v>0.201315789473684</v>
      </c>
      <c r="AD58" s="5" t="n">
        <f aca="false">IF(0.9/Z58&gt;12,"",0.9/Z58)</f>
        <v>0.0473684210526316</v>
      </c>
    </row>
    <row r="59" customFormat="false" ht="12.8" hidden="false" customHeight="false" outlineLevel="0" collapsed="false">
      <c r="A59" s="5" t="e">
        <f aca="false">'Design Calculations'!G115</f>
        <v>#N/A</v>
      </c>
      <c r="B59" s="5" t="n">
        <f aca="false">'Design Calculations'!C115</f>
        <v>21.45</v>
      </c>
      <c r="C59" s="90" t="e">
        <f aca="false">'Design Calculations'!E115</f>
        <v>#N/A</v>
      </c>
      <c r="D59" s="5"/>
      <c r="E59" s="5" t="n">
        <f aca="false">'Design Calculations'!M115</f>
        <v>66.2439771159141</v>
      </c>
      <c r="F59" s="5" t="n">
        <f aca="false">'Design Calculations'!I115</f>
        <v>24.0500000000002</v>
      </c>
      <c r="G59" s="91" t="n">
        <f aca="false">'Design Calculations'!K115</f>
        <v>9.2648919043239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 t="n">
        <v>20</v>
      </c>
      <c r="AA59" s="5" t="n">
        <f aca="false">IF(36/Z59&gt;12,"",36/Z59)</f>
        <v>1.8</v>
      </c>
      <c r="AB59" s="5" t="n">
        <f aca="false">IF(12.3/Z59&gt;12,"",12.3/Z59)</f>
        <v>0.615</v>
      </c>
      <c r="AC59" s="5" t="n">
        <f aca="false">IF(3.825/Z59&gt;12,"",3.825/Z59)</f>
        <v>0.19125</v>
      </c>
      <c r="AD59" s="5" t="n">
        <f aca="false">IF(0.9/Z59&gt;12,"",0.9/Z59)</f>
        <v>0.045</v>
      </c>
    </row>
    <row r="60" customFormat="false" ht="12.8" hidden="false" customHeight="false" outlineLevel="0" collapsed="false">
      <c r="A60" s="5" t="e">
        <f aca="false">'Design Calculations'!G116</f>
        <v>#N/A</v>
      </c>
      <c r="B60" s="5" t="n">
        <f aca="false">'Design Calculations'!C116</f>
        <v>21.32</v>
      </c>
      <c r="C60" s="90" t="e">
        <f aca="false">'Design Calculations'!E116</f>
        <v>#N/A</v>
      </c>
      <c r="D60" s="5"/>
      <c r="E60" s="5" t="n">
        <f aca="false">'Design Calculations'!M116</f>
        <v>67.0838270469168</v>
      </c>
      <c r="F60" s="5" t="n">
        <f aca="false">'Design Calculations'!I116</f>
        <v>23.9200000000002</v>
      </c>
      <c r="G60" s="91" t="n">
        <f aca="false">'Design Calculations'!K116</f>
        <v>9.21481140754378</v>
      </c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 t="n">
        <v>21</v>
      </c>
      <c r="AA60" s="5" t="n">
        <f aca="false">IF(36/Z60&gt;12,"",36/Z60)</f>
        <v>1.71428571428571</v>
      </c>
      <c r="AB60" s="5" t="n">
        <f aca="false">IF(12.3/Z60&gt;12,"",12.3/Z60)</f>
        <v>0.585714285714286</v>
      </c>
      <c r="AC60" s="5" t="n">
        <f aca="false">IF(3.825/Z60&gt;12,"",3.825/Z60)</f>
        <v>0.182142857142857</v>
      </c>
      <c r="AD60" s="5" t="n">
        <f aca="false">IF(0.9/Z60&gt;12,"",0.9/Z60)</f>
        <v>0.0428571428571429</v>
      </c>
    </row>
    <row r="61" customFormat="false" ht="12.8" hidden="false" customHeight="false" outlineLevel="0" collapsed="false">
      <c r="A61" s="5" t="e">
        <f aca="false">'Design Calculations'!G117</f>
        <v>#N/A</v>
      </c>
      <c r="B61" s="5" t="n">
        <f aca="false">'Design Calculations'!C117</f>
        <v>21.19</v>
      </c>
      <c r="C61" s="90" t="e">
        <f aca="false">'Design Calculations'!E117</f>
        <v>#N/A</v>
      </c>
      <c r="D61" s="5"/>
      <c r="E61" s="5" t="n">
        <f aca="false">'Design Calculations'!M117</f>
        <v>67.9106560487568</v>
      </c>
      <c r="F61" s="5" t="n">
        <f aca="false">'Design Calculations'!I117</f>
        <v>23.7900000000002</v>
      </c>
      <c r="G61" s="91" t="n">
        <f aca="false">'Design Calculations'!K117</f>
        <v>9.16473091076365</v>
      </c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 t="n">
        <v>22</v>
      </c>
      <c r="AA61" s="5" t="n">
        <f aca="false">IF(36/Z61&gt;12,"",36/Z61)</f>
        <v>1.63636363636364</v>
      </c>
      <c r="AB61" s="5" t="n">
        <f aca="false">IF(12.3/Z61&gt;12,"",12.3/Z61)</f>
        <v>0.559090909090909</v>
      </c>
      <c r="AC61" s="5" t="n">
        <f aca="false">IF(3.825/Z61&gt;12,"",3.825/Z61)</f>
        <v>0.173863636363636</v>
      </c>
      <c r="AD61" s="5" t="n">
        <f aca="false">IF(0.9/Z61&gt;12,"",0.9/Z61)</f>
        <v>0.0409090909090909</v>
      </c>
    </row>
    <row r="62" customFormat="false" ht="12.8" hidden="false" customHeight="false" outlineLevel="0" collapsed="false">
      <c r="A62" s="5" t="e">
        <f aca="false">'Design Calculations'!G118</f>
        <v>#N/A</v>
      </c>
      <c r="B62" s="5" t="n">
        <f aca="false">'Design Calculations'!C118</f>
        <v>21.06</v>
      </c>
      <c r="C62" s="90" t="e">
        <f aca="false">'Design Calculations'!E118</f>
        <v>#N/A</v>
      </c>
      <c r="D62" s="5"/>
      <c r="E62" s="5" t="n">
        <f aca="false">'Design Calculations'!M118</f>
        <v>68.7244641214339</v>
      </c>
      <c r="F62" s="5" t="n">
        <f aca="false">'Design Calculations'!I118</f>
        <v>23.6600000000002</v>
      </c>
      <c r="G62" s="91" t="n">
        <f aca="false">'Design Calculations'!K118</f>
        <v>9.11465041398352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 t="n">
        <v>23</v>
      </c>
      <c r="AA62" s="5" t="n">
        <f aca="false">IF(36/Z62&gt;12,"",36/Z62)</f>
        <v>1.56521739130435</v>
      </c>
      <c r="AB62" s="5" t="n">
        <f aca="false">IF(12.3/Z62&gt;12,"",12.3/Z62)</f>
        <v>0.534782608695652</v>
      </c>
      <c r="AC62" s="5" t="n">
        <f aca="false">IF(3.825/Z62&gt;12,"",3.825/Z62)</f>
        <v>0.166304347826087</v>
      </c>
      <c r="AD62" s="5" t="n">
        <f aca="false">IF(0.9/Z62&gt;12,"",0.9/Z62)</f>
        <v>0.0391304347826087</v>
      </c>
    </row>
    <row r="63" customFormat="false" ht="12.8" hidden="false" customHeight="false" outlineLevel="0" collapsed="false">
      <c r="A63" s="5" t="e">
        <f aca="false">'Design Calculations'!G119</f>
        <v>#N/A</v>
      </c>
      <c r="B63" s="5" t="n">
        <f aca="false">'Design Calculations'!C119</f>
        <v>20.93</v>
      </c>
      <c r="C63" s="90" t="e">
        <f aca="false">'Design Calculations'!E119</f>
        <v>#N/A</v>
      </c>
      <c r="D63" s="5"/>
      <c r="E63" s="5" t="n">
        <f aca="false">'Design Calculations'!M119</f>
        <v>69.5252512649482</v>
      </c>
      <c r="F63" s="5" t="n">
        <f aca="false">'Design Calculations'!I119</f>
        <v>23.5300000000002</v>
      </c>
      <c r="G63" s="91" t="n">
        <f aca="false">'Design Calculations'!K119</f>
        <v>9.06456991720339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 t="n">
        <v>24</v>
      </c>
      <c r="AA63" s="5" t="n">
        <f aca="false">IF(36/Z63&gt;12,"",36/Z63)</f>
        <v>1.5</v>
      </c>
      <c r="AB63" s="5" t="n">
        <f aca="false">IF(12.3/Z63&gt;12,"",12.3/Z63)</f>
        <v>0.5125</v>
      </c>
      <c r="AC63" s="5" t="n">
        <f aca="false">IF(3.825/Z63&gt;12,"",3.825/Z63)</f>
        <v>0.159375</v>
      </c>
      <c r="AD63" s="5" t="n">
        <f aca="false">IF(0.9/Z63&gt;12,"",0.9/Z63)</f>
        <v>0.0375</v>
      </c>
    </row>
    <row r="64" customFormat="false" ht="12.8" hidden="false" customHeight="false" outlineLevel="0" collapsed="false">
      <c r="A64" s="5" t="e">
        <f aca="false">'Design Calculations'!G120</f>
        <v>#N/A</v>
      </c>
      <c r="B64" s="5" t="n">
        <f aca="false">'Design Calculations'!C120</f>
        <v>20.8</v>
      </c>
      <c r="C64" s="90" t="e">
        <f aca="false">'Design Calculations'!E120</f>
        <v>#N/A</v>
      </c>
      <c r="D64" s="5"/>
      <c r="E64" s="5" t="n">
        <f aca="false">'Design Calculations'!M120</f>
        <v>70.3130174792996</v>
      </c>
      <c r="F64" s="5" t="n">
        <f aca="false">'Design Calculations'!I120</f>
        <v>23.4000000000002</v>
      </c>
      <c r="G64" s="91" t="n">
        <f aca="false">'Design Calculations'!K120</f>
        <v>9.01448942042326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 t="n">
        <v>25</v>
      </c>
      <c r="AA64" s="5" t="n">
        <f aca="false">IF(36/Z64&gt;12,"",36/Z64)</f>
        <v>1.44</v>
      </c>
      <c r="AB64" s="5" t="n">
        <f aca="false">IF(12.3/Z64&gt;12,"",12.3/Z64)</f>
        <v>0.492</v>
      </c>
      <c r="AC64" s="5" t="n">
        <f aca="false">IF(3.825/Z64&gt;12,"",3.825/Z64)</f>
        <v>0.153</v>
      </c>
      <c r="AD64" s="5" t="n">
        <f aca="false">IF(0.9/Z64&gt;12,"",0.9/Z64)</f>
        <v>0.036</v>
      </c>
    </row>
    <row r="65" customFormat="false" ht="12.8" hidden="false" customHeight="false" outlineLevel="0" collapsed="false">
      <c r="A65" s="5" t="e">
        <f aca="false">'Design Calculations'!G121</f>
        <v>#N/A</v>
      </c>
      <c r="B65" s="5" t="n">
        <f aca="false">'Design Calculations'!C121</f>
        <v>20.67</v>
      </c>
      <c r="C65" s="90" t="e">
        <f aca="false">'Design Calculations'!E121</f>
        <v>#N/A</v>
      </c>
      <c r="D65" s="5"/>
      <c r="E65" s="5" t="n">
        <f aca="false">'Design Calculations'!M121</f>
        <v>71.0877627644882</v>
      </c>
      <c r="F65" s="5" t="n">
        <f aca="false">'Design Calculations'!I121</f>
        <v>23.2700000000002</v>
      </c>
      <c r="G65" s="91" t="n">
        <f aca="false">'Design Calculations'!K121</f>
        <v>8.96440892364313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 t="n">
        <v>26</v>
      </c>
      <c r="AA65" s="5" t="n">
        <f aca="false">IF(36/Z65&gt;12,"",36/Z65)</f>
        <v>1.38461538461538</v>
      </c>
      <c r="AB65" s="5" t="n">
        <f aca="false">IF(12.3/Z65&gt;12,"",12.3/Z65)</f>
        <v>0.473076923076923</v>
      </c>
      <c r="AC65" s="5" t="n">
        <f aca="false">IF(3.825/Z65&gt;12,"",3.825/Z65)</f>
        <v>0.147115384615385</v>
      </c>
      <c r="AD65" s="5" t="n">
        <f aca="false">IF(0.9/Z65&gt;12,"",0.9/Z65)</f>
        <v>0.0346153846153846</v>
      </c>
    </row>
    <row r="66" customFormat="false" ht="12.8" hidden="false" customHeight="false" outlineLevel="0" collapsed="false">
      <c r="A66" s="5" t="e">
        <f aca="false">'Design Calculations'!G122</f>
        <v>#N/A</v>
      </c>
      <c r="B66" s="5" t="n">
        <f aca="false">'Design Calculations'!C122</f>
        <v>20.54</v>
      </c>
      <c r="C66" s="90" t="e">
        <f aca="false">'Design Calculations'!E122</f>
        <v>#N/A</v>
      </c>
      <c r="D66" s="5"/>
      <c r="E66" s="5" t="n">
        <f aca="false">'Design Calculations'!M122</f>
        <v>71.849487120514</v>
      </c>
      <c r="F66" s="5" t="n">
        <f aca="false">'Design Calculations'!I122</f>
        <v>23.1400000000002</v>
      </c>
      <c r="G66" s="91" t="n">
        <f aca="false">'Design Calculations'!K122</f>
        <v>8.914328426863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 t="n">
        <v>27</v>
      </c>
      <c r="AA66" s="5" t="n">
        <f aca="false">IF(36/Z66&gt;12,"",36/Z66)</f>
        <v>1.33333333333333</v>
      </c>
      <c r="AB66" s="5" t="n">
        <f aca="false">IF(12.3/Z66&gt;12,"",12.3/Z66)</f>
        <v>0.455555555555556</v>
      </c>
      <c r="AC66" s="5" t="n">
        <f aca="false">IF(3.825/Z66&gt;12,"",3.825/Z66)</f>
        <v>0.141666666666667</v>
      </c>
      <c r="AD66" s="5" t="n">
        <f aca="false">IF(0.9/Z66&gt;12,"",0.9/Z66)</f>
        <v>0.0333333333333333</v>
      </c>
    </row>
    <row r="67" customFormat="false" ht="12.8" hidden="false" customHeight="false" outlineLevel="0" collapsed="false">
      <c r="A67" s="5" t="e">
        <f aca="false">'Design Calculations'!G123</f>
        <v>#N/A</v>
      </c>
      <c r="B67" s="5" t="n">
        <f aca="false">'Design Calculations'!C123</f>
        <v>20.41</v>
      </c>
      <c r="C67" s="90" t="e">
        <f aca="false">'Design Calculations'!E123</f>
        <v>#N/A</v>
      </c>
      <c r="D67" s="5"/>
      <c r="E67" s="5" t="n">
        <f aca="false">'Design Calculations'!M123</f>
        <v>72.5981905473769</v>
      </c>
      <c r="F67" s="5" t="n">
        <f aca="false">'Design Calculations'!I123</f>
        <v>23.0100000000002</v>
      </c>
      <c r="G67" s="91" t="n">
        <f aca="false">'Design Calculations'!K123</f>
        <v>8.86424793008287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 t="n">
        <v>28</v>
      </c>
      <c r="AA67" s="5" t="n">
        <f aca="false">IF(36/Z67&gt;12,"",36/Z67)</f>
        <v>1.28571428571429</v>
      </c>
      <c r="AB67" s="5" t="n">
        <f aca="false">IF(12.3/Z67&gt;12,"",12.3/Z67)</f>
        <v>0.439285714285714</v>
      </c>
      <c r="AC67" s="5" t="n">
        <f aca="false">IF(3.825/Z67&gt;12,"",3.825/Z67)</f>
        <v>0.136607142857143</v>
      </c>
      <c r="AD67" s="5" t="n">
        <f aca="false">IF(0.9/Z67&gt;12,"",0.9/Z67)</f>
        <v>0.0321428571428572</v>
      </c>
    </row>
    <row r="68" customFormat="false" ht="12.8" hidden="false" customHeight="false" outlineLevel="0" collapsed="false">
      <c r="A68" s="5" t="e">
        <f aca="false">'Design Calculations'!G124</f>
        <v>#N/A</v>
      </c>
      <c r="B68" s="5" t="n">
        <f aca="false">'Design Calculations'!C124</f>
        <v>20.28</v>
      </c>
      <c r="C68" s="90" t="e">
        <f aca="false">'Design Calculations'!E124</f>
        <v>#N/A</v>
      </c>
      <c r="D68" s="5"/>
      <c r="E68" s="5" t="n">
        <f aca="false">'Design Calculations'!M124</f>
        <v>73.3338730450771</v>
      </c>
      <c r="F68" s="5" t="n">
        <f aca="false">'Design Calculations'!I124</f>
        <v>22.8800000000002</v>
      </c>
      <c r="G68" s="91" t="n">
        <f aca="false">'Design Calculations'!K124</f>
        <v>8.81416743330274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 t="n">
        <v>29</v>
      </c>
      <c r="AA68" s="5" t="n">
        <f aca="false">IF(36/Z68&gt;12,"",36/Z68)</f>
        <v>1.24137931034483</v>
      </c>
      <c r="AB68" s="5" t="n">
        <f aca="false">IF(12.3/Z68&gt;12,"",12.3/Z68)</f>
        <v>0.424137931034483</v>
      </c>
      <c r="AC68" s="5" t="n">
        <f aca="false">IF(3.825/Z68&gt;12,"",3.825/Z68)</f>
        <v>0.131896551724138</v>
      </c>
      <c r="AD68" s="5" t="n">
        <f aca="false">IF(0.9/Z68&gt;12,"",0.9/Z68)</f>
        <v>0.0310344827586207</v>
      </c>
    </row>
    <row r="69" customFormat="false" ht="12.8" hidden="false" customHeight="false" outlineLevel="0" collapsed="false">
      <c r="A69" s="5" t="e">
        <f aca="false">'Design Calculations'!G125</f>
        <v>#N/A</v>
      </c>
      <c r="B69" s="5" t="n">
        <f aca="false">'Design Calculations'!C125</f>
        <v>20.15</v>
      </c>
      <c r="C69" s="90" t="e">
        <f aca="false">'Design Calculations'!E125</f>
        <v>#N/A</v>
      </c>
      <c r="D69" s="5"/>
      <c r="E69" s="5" t="n">
        <f aca="false">'Design Calculations'!M125</f>
        <v>74.0565346136144</v>
      </c>
      <c r="F69" s="5" t="n">
        <f aca="false">'Design Calculations'!I125</f>
        <v>22.7500000000002</v>
      </c>
      <c r="G69" s="91" t="n">
        <f aca="false">'Design Calculations'!K125</f>
        <v>8.76408693652262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 t="n">
        <v>30</v>
      </c>
      <c r="AA69" s="5" t="n">
        <f aca="false">IF(36/Z69&gt;12,"",36/Z69)</f>
        <v>1.2</v>
      </c>
      <c r="AB69" s="5" t="n">
        <f aca="false">IF(12.3/Z69&gt;12,"",12.3/Z69)</f>
        <v>0.41</v>
      </c>
      <c r="AC69" s="5" t="n">
        <f aca="false">IF(3.825/Z69&gt;12,"",3.825/Z69)</f>
        <v>0.1275</v>
      </c>
      <c r="AD69" s="5" t="n">
        <f aca="false">IF(0.9/Z69&gt;12,"",0.9/Z69)</f>
        <v>0.03</v>
      </c>
    </row>
    <row r="70" customFormat="false" ht="12.8" hidden="false" customHeight="false" outlineLevel="0" collapsed="false">
      <c r="A70" s="5" t="e">
        <f aca="false">'Design Calculations'!G126</f>
        <v>#N/A</v>
      </c>
      <c r="B70" s="5" t="n">
        <f aca="false">'Design Calculations'!C126</f>
        <v>20.02</v>
      </c>
      <c r="C70" s="90" t="e">
        <f aca="false">'Design Calculations'!E126</f>
        <v>#N/A</v>
      </c>
      <c r="D70" s="5"/>
      <c r="E70" s="5" t="n">
        <f aca="false">'Design Calculations'!M126</f>
        <v>74.7661752529888</v>
      </c>
      <c r="F70" s="5" t="n">
        <f aca="false">'Design Calculations'!I126</f>
        <v>22.6200000000002</v>
      </c>
      <c r="G70" s="91" t="n">
        <f aca="false">'Design Calculations'!K126</f>
        <v>8.71400643974249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 t="n">
        <v>31</v>
      </c>
      <c r="AA70" s="5" t="n">
        <f aca="false">IF(36/Z70&gt;12,"",36/Z70)</f>
        <v>1.16129032258065</v>
      </c>
      <c r="AB70" s="5" t="n">
        <f aca="false">IF(12.3/Z70&gt;12,"",12.3/Z70)</f>
        <v>0.396774193548387</v>
      </c>
      <c r="AC70" s="5" t="n">
        <f aca="false">IF(3.825/Z70&gt;12,"",3.825/Z70)</f>
        <v>0.123387096774194</v>
      </c>
      <c r="AD70" s="5" t="n">
        <f aca="false">IF(0.9/Z70&gt;12,"",0.9/Z70)</f>
        <v>0.0290322580645161</v>
      </c>
    </row>
    <row r="71" customFormat="false" ht="12.8" hidden="false" customHeight="false" outlineLevel="0" collapsed="false">
      <c r="A71" s="5" t="e">
        <f aca="false">'Design Calculations'!G127</f>
        <v>#N/A</v>
      </c>
      <c r="B71" s="5" t="n">
        <f aca="false">'Design Calculations'!C127</f>
        <v>19.89</v>
      </c>
      <c r="C71" s="90" t="e">
        <f aca="false">'Design Calculations'!E127</f>
        <v>#N/A</v>
      </c>
      <c r="D71" s="5"/>
      <c r="E71" s="5" t="n">
        <f aca="false">'Design Calculations'!M127</f>
        <v>75.4627949632004</v>
      </c>
      <c r="F71" s="5" t="n">
        <f aca="false">'Design Calculations'!I127</f>
        <v>22.4900000000002</v>
      </c>
      <c r="G71" s="91" t="n">
        <f aca="false">'Design Calculations'!K127</f>
        <v>8.66392594296236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 t="n">
        <v>32</v>
      </c>
      <c r="AA71" s="5" t="n">
        <f aca="false">IF(36/Z71&gt;12,"",36/Z71)</f>
        <v>1.125</v>
      </c>
      <c r="AB71" s="5" t="n">
        <f aca="false">IF(12.3/Z71&gt;12,"",12.3/Z71)</f>
        <v>0.384375</v>
      </c>
      <c r="AC71" s="5" t="n">
        <f aca="false">IF(3.825/Z71&gt;12,"",3.825/Z71)</f>
        <v>0.11953125</v>
      </c>
      <c r="AD71" s="5" t="n">
        <f aca="false">IF(0.9/Z71&gt;12,"",0.9/Z71)</f>
        <v>0.028125</v>
      </c>
    </row>
    <row r="72" customFormat="false" ht="12.8" hidden="false" customHeight="false" outlineLevel="0" collapsed="false">
      <c r="A72" s="5" t="e">
        <f aca="false">'Design Calculations'!G128</f>
        <v>#N/A</v>
      </c>
      <c r="B72" s="5" t="n">
        <f aca="false">'Design Calculations'!C128</f>
        <v>19.76</v>
      </c>
      <c r="C72" s="90" t="e">
        <f aca="false">'Design Calculations'!E128</f>
        <v>#N/A</v>
      </c>
      <c r="D72" s="5"/>
      <c r="E72" s="5" t="n">
        <f aca="false">'Design Calculations'!M128</f>
        <v>76.1463937442492</v>
      </c>
      <c r="F72" s="5" t="n">
        <f aca="false">'Design Calculations'!I128</f>
        <v>22.3600000000002</v>
      </c>
      <c r="G72" s="91" t="n">
        <f aca="false">'Design Calculations'!K128</f>
        <v>8.61384544618223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 t="n">
        <v>33</v>
      </c>
      <c r="AA72" s="5" t="n">
        <f aca="false">IF(36/Z72&gt;12,"",36/Z72)</f>
        <v>1.09090909090909</v>
      </c>
      <c r="AB72" s="5" t="n">
        <f aca="false">IF(12.3/Z72&gt;12,"",12.3/Z72)</f>
        <v>0.372727272727273</v>
      </c>
      <c r="AC72" s="5" t="n">
        <f aca="false">IF(3.825/Z72&gt;12,"",3.825/Z72)</f>
        <v>0.115909090909091</v>
      </c>
      <c r="AD72" s="5" t="n">
        <f aca="false">IF(0.9/Z72&gt;12,"",0.9/Z72)</f>
        <v>0.0272727272727273</v>
      </c>
    </row>
    <row r="73" customFormat="false" ht="12.8" hidden="false" customHeight="false" outlineLevel="0" collapsed="false">
      <c r="A73" s="5" t="e">
        <f aca="false">'Design Calculations'!G129</f>
        <v>#N/A</v>
      </c>
      <c r="B73" s="5" t="n">
        <f aca="false">'Design Calculations'!C129</f>
        <v>19.63</v>
      </c>
      <c r="C73" s="90" t="e">
        <f aca="false">'Design Calculations'!E129</f>
        <v>#N/A</v>
      </c>
      <c r="D73" s="5"/>
      <c r="E73" s="5" t="n">
        <f aca="false">'Design Calculations'!M129</f>
        <v>76.8169715961351</v>
      </c>
      <c r="F73" s="5" t="n">
        <f aca="false">'Design Calculations'!I129</f>
        <v>22.2300000000002</v>
      </c>
      <c r="G73" s="91" t="n">
        <f aca="false">'Design Calculations'!K129</f>
        <v>8.5637649494021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 t="n">
        <v>34</v>
      </c>
      <c r="AA73" s="5" t="n">
        <f aca="false">IF(36/Z73&gt;12,"",36/Z73)</f>
        <v>1.05882352941176</v>
      </c>
      <c r="AB73" s="5" t="n">
        <f aca="false">IF(12.3/Z73&gt;12,"",12.3/Z73)</f>
        <v>0.361764705882353</v>
      </c>
      <c r="AC73" s="5" t="n">
        <f aca="false">IF(3.825/Z73&gt;12,"",3.825/Z73)</f>
        <v>0.1125</v>
      </c>
      <c r="AD73" s="5" t="n">
        <f aca="false">IF(0.9/Z73&gt;12,"",0.9/Z73)</f>
        <v>0.0264705882352941</v>
      </c>
    </row>
    <row r="74" customFormat="false" ht="12.8" hidden="false" customHeight="false" outlineLevel="0" collapsed="false">
      <c r="A74" s="5" t="e">
        <f aca="false">'Design Calculations'!G130</f>
        <v>#N/A</v>
      </c>
      <c r="B74" s="5" t="n">
        <f aca="false">'Design Calculations'!C130</f>
        <v>19.5</v>
      </c>
      <c r="C74" s="90" t="e">
        <f aca="false">'Design Calculations'!E130</f>
        <v>#N/A</v>
      </c>
      <c r="D74" s="5"/>
      <c r="E74" s="5" t="n">
        <f aca="false">'Design Calculations'!M130</f>
        <v>77.4745285188582</v>
      </c>
      <c r="F74" s="5" t="n">
        <f aca="false">'Design Calculations'!I130</f>
        <v>22.1000000000002</v>
      </c>
      <c r="G74" s="91" t="n">
        <f aca="false">'Design Calculations'!K130</f>
        <v>8.51368445262197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 t="n">
        <v>35</v>
      </c>
      <c r="AA74" s="5" t="n">
        <f aca="false">IF(36/Z74&gt;12,"",36/Z74)</f>
        <v>1.02857142857143</v>
      </c>
      <c r="AB74" s="5" t="n">
        <f aca="false">IF(12.3/Z74&gt;12,"",12.3/Z74)</f>
        <v>0.351428571428571</v>
      </c>
      <c r="AC74" s="5" t="n">
        <f aca="false">IF(3.825/Z74&gt;12,"",3.825/Z74)</f>
        <v>0.109285714285714</v>
      </c>
      <c r="AD74" s="5" t="n">
        <f aca="false">IF(0.9/Z74&gt;12,"",0.9/Z74)</f>
        <v>0.0257142857142857</v>
      </c>
    </row>
    <row r="75" customFormat="false" ht="12.8" hidden="false" customHeight="false" outlineLevel="0" collapsed="false">
      <c r="A75" s="5" t="e">
        <f aca="false">'Design Calculations'!G131</f>
        <v>#N/A</v>
      </c>
      <c r="B75" s="5" t="n">
        <f aca="false">'Design Calculations'!C131</f>
        <v>19.37</v>
      </c>
      <c r="C75" s="90" t="e">
        <f aca="false">'Design Calculations'!E131</f>
        <v>#N/A</v>
      </c>
      <c r="D75" s="5"/>
      <c r="E75" s="5" t="n">
        <f aca="false">'Design Calculations'!M131</f>
        <v>78.1190645124185</v>
      </c>
      <c r="F75" s="5" t="n">
        <f aca="false">'Design Calculations'!I131</f>
        <v>21.9700000000002</v>
      </c>
      <c r="G75" s="91" t="n">
        <f aca="false">'Design Calculations'!K131</f>
        <v>8.46360395584184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 t="n">
        <v>36</v>
      </c>
      <c r="AA75" s="5" t="n">
        <f aca="false">IF(36/Z75&gt;12,"",36/Z75)</f>
        <v>1</v>
      </c>
      <c r="AB75" s="5" t="n">
        <f aca="false">IF(12.3/Z75&gt;12,"",12.3/Z75)</f>
        <v>0.341666666666667</v>
      </c>
      <c r="AC75" s="5" t="n">
        <f aca="false">IF(3.825/Z75&gt;12,"",3.825/Z75)</f>
        <v>0.10625</v>
      </c>
      <c r="AD75" s="5" t="n">
        <f aca="false">IF(0.9/Z75&gt;12,"",0.9/Z75)</f>
        <v>0.025</v>
      </c>
    </row>
    <row r="76" customFormat="false" ht="12.8" hidden="false" customHeight="false" outlineLevel="0" collapsed="false">
      <c r="A76" s="5" t="e">
        <f aca="false">'Design Calculations'!G132</f>
        <v>#N/A</v>
      </c>
      <c r="B76" s="5" t="n">
        <f aca="false">'Design Calculations'!C132</f>
        <v>19.24</v>
      </c>
      <c r="C76" s="90" t="e">
        <f aca="false">'Design Calculations'!E132</f>
        <v>#N/A</v>
      </c>
      <c r="D76" s="5"/>
      <c r="E76" s="5" t="n">
        <f aca="false">'Design Calculations'!M132</f>
        <v>78.750579576816</v>
      </c>
      <c r="F76" s="5" t="n">
        <f aca="false">'Design Calculations'!I132</f>
        <v>21.8400000000002</v>
      </c>
      <c r="G76" s="91" t="n">
        <f aca="false">'Design Calculations'!K132</f>
        <v>8.41352345906172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 t="n">
        <v>37</v>
      </c>
      <c r="AA76" s="5" t="n">
        <f aca="false">IF(36/Z76&gt;12,"",36/Z76)</f>
        <v>0.972972972972973</v>
      </c>
      <c r="AB76" s="5" t="n">
        <f aca="false">IF(12.3/Z76&gt;12,"",12.3/Z76)</f>
        <v>0.332432432432433</v>
      </c>
      <c r="AC76" s="5" t="n">
        <f aca="false">IF(3.825/Z76&gt;12,"",3.825/Z76)</f>
        <v>0.103378378378378</v>
      </c>
      <c r="AD76" s="5" t="n">
        <f aca="false">IF(0.9/Z76&gt;12,"",0.9/Z76)</f>
        <v>0.0243243243243243</v>
      </c>
    </row>
    <row r="77" customFormat="false" ht="12.8" hidden="false" customHeight="false" outlineLevel="0" collapsed="false">
      <c r="A77" s="5" t="e">
        <f aca="false">'Design Calculations'!G133</f>
        <v>#N/A</v>
      </c>
      <c r="B77" s="5" t="n">
        <f aca="false">'Design Calculations'!C133</f>
        <v>19.11</v>
      </c>
      <c r="C77" s="90" t="e">
        <f aca="false">'Design Calculations'!E133</f>
        <v>#N/A</v>
      </c>
      <c r="D77" s="5"/>
      <c r="E77" s="5" t="n">
        <f aca="false">'Design Calculations'!M133</f>
        <v>79.3690737120506</v>
      </c>
      <c r="F77" s="5" t="n">
        <f aca="false">'Design Calculations'!I133</f>
        <v>21.7100000000002</v>
      </c>
      <c r="G77" s="91" t="n">
        <f aca="false">'Design Calculations'!K133</f>
        <v>8.36344296228159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 t="n">
        <v>38</v>
      </c>
      <c r="AA77" s="5" t="n">
        <f aca="false">IF(36/Z77&gt;12,"",36/Z77)</f>
        <v>0.947368421052632</v>
      </c>
      <c r="AB77" s="5" t="n">
        <f aca="false">IF(12.3/Z77&gt;12,"",12.3/Z77)</f>
        <v>0.323684210526316</v>
      </c>
      <c r="AC77" s="5" t="n">
        <f aca="false">IF(3.825/Z77&gt;12,"",3.825/Z77)</f>
        <v>0.100657894736842</v>
      </c>
      <c r="AD77" s="5" t="n">
        <f aca="false">IF(0.9/Z77&gt;12,"",0.9/Z77)</f>
        <v>0.0236842105263158</v>
      </c>
    </row>
    <row r="78" customFormat="false" ht="12.8" hidden="false" customHeight="false" outlineLevel="0" collapsed="false">
      <c r="A78" s="5" t="e">
        <f aca="false">'Design Calculations'!G134</f>
        <v>#N/A</v>
      </c>
      <c r="B78" s="5" t="n">
        <f aca="false">'Design Calculations'!C134</f>
        <v>18.98</v>
      </c>
      <c r="C78" s="90" t="e">
        <f aca="false">'Design Calculations'!E134</f>
        <v>#N/A</v>
      </c>
      <c r="D78" s="5"/>
      <c r="E78" s="5" t="n">
        <f aca="false">'Design Calculations'!M134</f>
        <v>79.9745469181223</v>
      </c>
      <c r="F78" s="5" t="n">
        <f aca="false">'Design Calculations'!I134</f>
        <v>21.5800000000002</v>
      </c>
      <c r="G78" s="91" t="n">
        <f aca="false">'Design Calculations'!K134</f>
        <v>8.31336246550146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 t="n">
        <v>39</v>
      </c>
      <c r="AA78" s="5" t="n">
        <f aca="false">IF(36/Z78&gt;12,"",36/Z78)</f>
        <v>0.923076923076923</v>
      </c>
      <c r="AB78" s="5" t="n">
        <f aca="false">IF(12.3/Z78&gt;12,"",12.3/Z78)</f>
        <v>0.315384615384615</v>
      </c>
      <c r="AC78" s="5" t="n">
        <f aca="false">IF(3.825/Z78&gt;12,"",3.825/Z78)</f>
        <v>0.0980769230769231</v>
      </c>
      <c r="AD78" s="5" t="n">
        <f aca="false">IF(0.9/Z78&gt;12,"",0.9/Z78)</f>
        <v>0.0230769230769231</v>
      </c>
    </row>
    <row r="79" customFormat="false" ht="12.8" hidden="false" customHeight="false" outlineLevel="0" collapsed="false">
      <c r="A79" s="5" t="e">
        <f aca="false">'Design Calculations'!G135</f>
        <v>#N/A</v>
      </c>
      <c r="B79" s="5" t="n">
        <f aca="false">'Design Calculations'!C135</f>
        <v>18.85</v>
      </c>
      <c r="C79" s="90" t="e">
        <f aca="false">'Design Calculations'!E135</f>
        <v>#N/A</v>
      </c>
      <c r="D79" s="5"/>
      <c r="E79" s="5" t="n">
        <f aca="false">'Design Calculations'!M135</f>
        <v>80.5669991950313</v>
      </c>
      <c r="F79" s="5" t="n">
        <f aca="false">'Design Calculations'!I135</f>
        <v>21.4500000000002</v>
      </c>
      <c r="G79" s="91" t="n">
        <f aca="false">'Design Calculations'!K135</f>
        <v>8.26328196872133</v>
      </c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 t="n">
        <v>40</v>
      </c>
      <c r="AA79" s="5" t="n">
        <f aca="false">IF(36/Z79&gt;12,"",36/Z79)</f>
        <v>0.9</v>
      </c>
      <c r="AB79" s="5" t="n">
        <f aca="false">IF(12.3/Z79&gt;12,"",12.3/Z79)</f>
        <v>0.3075</v>
      </c>
      <c r="AC79" s="5" t="n">
        <f aca="false">IF(3.825/Z79&gt;12,"",3.825/Z79)</f>
        <v>0.095625</v>
      </c>
      <c r="AD79" s="5" t="n">
        <f aca="false">IF(0.9/Z79&gt;12,"",0.9/Z79)</f>
        <v>0.0225</v>
      </c>
    </row>
    <row r="80" customFormat="false" ht="12.8" hidden="false" customHeight="false" outlineLevel="0" collapsed="false">
      <c r="A80" s="5" t="e">
        <f aca="false">'Design Calculations'!G136</f>
        <v>#N/A</v>
      </c>
      <c r="B80" s="5" t="n">
        <f aca="false">'Design Calculations'!C136</f>
        <v>18.72</v>
      </c>
      <c r="C80" s="90" t="e">
        <f aca="false">'Design Calculations'!E136</f>
        <v>#N/A</v>
      </c>
      <c r="D80" s="5"/>
      <c r="E80" s="5" t="n">
        <f aca="false">'Design Calculations'!M136</f>
        <v>81.1464305427774</v>
      </c>
      <c r="F80" s="5" t="n">
        <f aca="false">'Design Calculations'!I136</f>
        <v>21.3200000000002</v>
      </c>
      <c r="G80" s="91" t="n">
        <f aca="false">'Design Calculations'!K136</f>
        <v>8.2132014719412</v>
      </c>
      <c r="H80" s="5"/>
      <c r="I80" s="5"/>
      <c r="J80" s="5"/>
      <c r="K80" s="5"/>
      <c r="L80" s="5"/>
      <c r="M80" s="5"/>
      <c r="N80" s="5"/>
      <c r="O80" s="5"/>
      <c r="P80" s="5" t="s">
        <v>44</v>
      </c>
      <c r="Q80" s="5" t="s">
        <v>78</v>
      </c>
      <c r="R80" s="5" t="s">
        <v>79</v>
      </c>
      <c r="S80" s="5" t="s">
        <v>80</v>
      </c>
      <c r="T80" s="5" t="s">
        <v>81</v>
      </c>
      <c r="U80" s="5" t="s">
        <v>82</v>
      </c>
      <c r="V80" s="5" t="s">
        <v>83</v>
      </c>
      <c r="W80" s="5" t="s">
        <v>84</v>
      </c>
      <c r="X80" s="5" t="s">
        <v>85</v>
      </c>
      <c r="Y80" s="5"/>
      <c r="Z80" s="5" t="n">
        <v>41</v>
      </c>
      <c r="AA80" s="5" t="n">
        <f aca="false">IF(36/Z80&gt;12,"",36/Z80)</f>
        <v>0.878048780487805</v>
      </c>
      <c r="AB80" s="5" t="n">
        <f aca="false">IF(12.3/Z80&gt;12,"",12.3/Z80)</f>
        <v>0.3</v>
      </c>
      <c r="AC80" s="5" t="n">
        <f aca="false">IF(3.825/Z80&gt;12,"",3.825/Z80)</f>
        <v>0.0932926829268293</v>
      </c>
      <c r="AD80" s="5" t="n">
        <f aca="false">IF(0.9/Z80&gt;12,"",0.9/Z80)</f>
        <v>0.0219512195121951</v>
      </c>
    </row>
    <row r="81" customFormat="false" ht="12.8" hidden="false" customHeight="false" outlineLevel="0" collapsed="false">
      <c r="A81" s="5" t="e">
        <f aca="false">'Design Calculations'!G137</f>
        <v>#N/A</v>
      </c>
      <c r="B81" s="5" t="n">
        <f aca="false">'Design Calculations'!C137</f>
        <v>18.59</v>
      </c>
      <c r="C81" s="90" t="e">
        <f aca="false">'Design Calculations'!E137</f>
        <v>#N/A</v>
      </c>
      <c r="D81" s="5"/>
      <c r="E81" s="5" t="n">
        <f aca="false">'Design Calculations'!M137</f>
        <v>81.7128409613607</v>
      </c>
      <c r="F81" s="5" t="n">
        <f aca="false">'Design Calculations'!I137</f>
        <v>21.1900000000002</v>
      </c>
      <c r="G81" s="91" t="n">
        <f aca="false">'Design Calculations'!K137</f>
        <v>8.16312097516107</v>
      </c>
      <c r="H81" s="5"/>
      <c r="I81" s="5"/>
      <c r="J81" s="5"/>
      <c r="K81" s="5"/>
      <c r="L81" s="5"/>
      <c r="M81" s="5"/>
      <c r="N81" s="5"/>
      <c r="O81" s="5"/>
      <c r="P81" s="92" t="n">
        <v>0.01</v>
      </c>
      <c r="Q81" s="5" t="n">
        <f aca="false">AA94</f>
        <v>0.654545454545455</v>
      </c>
      <c r="R81" s="5" t="n">
        <f aca="false">AA79</f>
        <v>0.9</v>
      </c>
      <c r="S81" s="5" t="n">
        <f aca="false">AA69</f>
        <v>1.2</v>
      </c>
      <c r="T81" s="5" t="n">
        <f aca="false">AA59</f>
        <v>1.8</v>
      </c>
      <c r="U81" s="5" t="n">
        <f aca="false">AA49</f>
        <v>3.6</v>
      </c>
      <c r="V81" s="5" t="n">
        <f aca="false">AA44</f>
        <v>7.2</v>
      </c>
      <c r="W81" s="5" t="n">
        <f aca="false">AB41</f>
        <v>6.15</v>
      </c>
      <c r="X81" s="5" t="str">
        <f aca="false">AB40</f>
        <v/>
      </c>
      <c r="Y81" s="5"/>
      <c r="Z81" s="5" t="n">
        <v>42</v>
      </c>
      <c r="AA81" s="5" t="n">
        <f aca="false">IF(36/Z81&gt;12,"",36/Z81)</f>
        <v>0.857142857142857</v>
      </c>
      <c r="AB81" s="5" t="n">
        <f aca="false">IF(12.3/Z81&gt;12,"",12.3/Z81)</f>
        <v>0.292857142857143</v>
      </c>
      <c r="AC81" s="5" t="n">
        <f aca="false">IF(3.825/Z81&gt;12,"",3.825/Z81)</f>
        <v>0.0910714285714286</v>
      </c>
      <c r="AD81" s="5" t="n">
        <f aca="false">IF(0.9/Z81&gt;12,"",0.9/Z81)</f>
        <v>0.0214285714285714</v>
      </c>
    </row>
    <row r="82" customFormat="false" ht="12.8" hidden="false" customHeight="false" outlineLevel="0" collapsed="false">
      <c r="A82" s="5" t="e">
        <f aca="false">'Design Calculations'!G138</f>
        <v>#N/A</v>
      </c>
      <c r="B82" s="5" t="n">
        <f aca="false">'Design Calculations'!C138</f>
        <v>18.46</v>
      </c>
      <c r="C82" s="90" t="e">
        <f aca="false">'Design Calculations'!E138</f>
        <v>#N/A</v>
      </c>
      <c r="D82" s="5"/>
      <c r="E82" s="5" t="n">
        <f aca="false">'Design Calculations'!M138</f>
        <v>82.2662304507811</v>
      </c>
      <c r="F82" s="5" t="n">
        <f aca="false">'Design Calculations'!I138</f>
        <v>21.0600000000002</v>
      </c>
      <c r="G82" s="91" t="n">
        <f aca="false">'Design Calculations'!K138</f>
        <v>8.11304047838094</v>
      </c>
      <c r="H82" s="5"/>
      <c r="I82" s="5"/>
      <c r="J82" s="5"/>
      <c r="K82" s="5"/>
      <c r="L82" s="5"/>
      <c r="M82" s="5"/>
      <c r="N82" s="5"/>
      <c r="O82" s="5"/>
      <c r="P82" s="5" t="n">
        <v>0.1</v>
      </c>
      <c r="Q82" s="5" t="n">
        <f aca="false">AB94</f>
        <v>0.223636363636364</v>
      </c>
      <c r="R82" s="5" t="n">
        <f aca="false">AB79</f>
        <v>0.3075</v>
      </c>
      <c r="S82" s="5" t="n">
        <f aca="false">AB69</f>
        <v>0.41</v>
      </c>
      <c r="T82" s="5" t="n">
        <f aca="false">AB59</f>
        <v>0.615</v>
      </c>
      <c r="U82" s="5" t="n">
        <f aca="false">AB49</f>
        <v>1.23</v>
      </c>
      <c r="V82" s="5" t="n">
        <f aca="false">AB44</f>
        <v>2.46</v>
      </c>
      <c r="W82" s="5" t="n">
        <f aca="false">AB42</f>
        <v>4.1</v>
      </c>
      <c r="X82" s="5" t="n">
        <f aca="false">AB41</f>
        <v>6.15</v>
      </c>
      <c r="Y82" s="5"/>
      <c r="Z82" s="5" t="n">
        <v>43</v>
      </c>
      <c r="AA82" s="5" t="n">
        <f aca="false">IF(36/Z82&gt;12,"",36/Z82)</f>
        <v>0.837209302325581</v>
      </c>
      <c r="AB82" s="5" t="n">
        <f aca="false">IF(12.3/Z82&gt;12,"",12.3/Z82)</f>
        <v>0.286046511627907</v>
      </c>
      <c r="AC82" s="5" t="n">
        <f aca="false">IF(3.825/Z82&gt;12,"",3.825/Z82)</f>
        <v>0.088953488372093</v>
      </c>
      <c r="AD82" s="5" t="n">
        <f aca="false">IF(0.9/Z82&gt;12,"",0.9/Z82)</f>
        <v>0.0209302325581395</v>
      </c>
    </row>
    <row r="83" customFormat="false" ht="12.8" hidden="false" customHeight="false" outlineLevel="0" collapsed="false">
      <c r="A83" s="5" t="e">
        <f aca="false">'Design Calculations'!G139</f>
        <v>#N/A</v>
      </c>
      <c r="B83" s="5" t="n">
        <f aca="false">'Design Calculations'!C139</f>
        <v>18.33</v>
      </c>
      <c r="C83" s="90" t="e">
        <f aca="false">'Design Calculations'!E139</f>
        <v>#N/A</v>
      </c>
      <c r="D83" s="5"/>
      <c r="E83" s="5" t="n">
        <f aca="false">'Design Calculations'!M139</f>
        <v>82.8065990110387</v>
      </c>
      <c r="F83" s="5" t="n">
        <f aca="false">'Design Calculations'!I139</f>
        <v>20.9300000000002</v>
      </c>
      <c r="G83" s="91" t="n">
        <f aca="false">'Design Calculations'!K139</f>
        <v>8.06295998160081</v>
      </c>
      <c r="H83" s="5"/>
      <c r="I83" s="5"/>
      <c r="J83" s="5"/>
      <c r="K83" s="5"/>
      <c r="L83" s="5"/>
      <c r="M83" s="5"/>
      <c r="N83" s="5"/>
      <c r="O83" s="5"/>
      <c r="P83" s="5" t="n">
        <v>1</v>
      </c>
      <c r="Q83" s="5" t="n">
        <f aca="false">AC94</f>
        <v>0.0695454545454546</v>
      </c>
      <c r="R83" s="5" t="n">
        <f aca="false">AC79</f>
        <v>0.095625</v>
      </c>
      <c r="S83" s="5" t="n">
        <f aca="false">AC69</f>
        <v>0.1275</v>
      </c>
      <c r="T83" s="5" t="n">
        <f aca="false">AC59</f>
        <v>0.19125</v>
      </c>
      <c r="U83" s="5" t="n">
        <f aca="false">AC49</f>
        <v>0.3825</v>
      </c>
      <c r="V83" s="5" t="n">
        <f aca="false">AC44</f>
        <v>0.765</v>
      </c>
      <c r="W83" s="5" t="n">
        <f aca="false">AC42</f>
        <v>1.275</v>
      </c>
      <c r="X83" s="5" t="n">
        <f aca="false">AC41</f>
        <v>1.9125</v>
      </c>
      <c r="Y83" s="5"/>
      <c r="Z83" s="5" t="n">
        <v>44</v>
      </c>
      <c r="AA83" s="5" t="n">
        <f aca="false">IF(36/Z83&gt;12,"",36/Z83)</f>
        <v>0.818181818181818</v>
      </c>
      <c r="AB83" s="5" t="n">
        <f aca="false">IF(12.3/Z83&gt;12,"",12.3/Z83)</f>
        <v>0.279545454545455</v>
      </c>
      <c r="AC83" s="5" t="n">
        <f aca="false">IF(3.825/Z83&gt;12,"",3.825/Z83)</f>
        <v>0.0869318181818182</v>
      </c>
      <c r="AD83" s="5" t="n">
        <f aca="false">IF(0.9/Z83&gt;12,"",0.9/Z83)</f>
        <v>0.0204545454545455</v>
      </c>
    </row>
    <row r="84" customFormat="false" ht="12.8" hidden="false" customHeight="false" outlineLevel="0" collapsed="false">
      <c r="A84" s="5" t="e">
        <f aca="false">'Design Calculations'!G140</f>
        <v>#N/A</v>
      </c>
      <c r="B84" s="5" t="n">
        <f aca="false">'Design Calculations'!C140</f>
        <v>18.2</v>
      </c>
      <c r="C84" s="90" t="e">
        <f aca="false">'Design Calculations'!E140</f>
        <v>#N/A</v>
      </c>
      <c r="D84" s="5"/>
      <c r="E84" s="5" t="n">
        <f aca="false">'Design Calculations'!M140</f>
        <v>83.3339466421335</v>
      </c>
      <c r="F84" s="5" t="n">
        <f aca="false">'Design Calculations'!I140</f>
        <v>20.8000000000002</v>
      </c>
      <c r="G84" s="91" t="n">
        <f aca="false">'Design Calculations'!K140</f>
        <v>8.01287948482068</v>
      </c>
      <c r="H84" s="5"/>
      <c r="I84" s="5"/>
      <c r="J84" s="5"/>
      <c r="K84" s="5"/>
      <c r="L84" s="5"/>
      <c r="M84" s="5"/>
      <c r="N84" s="5"/>
      <c r="O84" s="5"/>
      <c r="P84" s="5" t="n">
        <v>1000</v>
      </c>
      <c r="Q84" s="5" t="n">
        <f aca="false">AD94</f>
        <v>0.0163636363636364</v>
      </c>
      <c r="R84" s="5" t="n">
        <f aca="false">AD79</f>
        <v>0.0225</v>
      </c>
      <c r="S84" s="5" t="n">
        <f aca="false">AD69</f>
        <v>0.03</v>
      </c>
      <c r="T84" s="5" t="n">
        <f aca="false">AD59</f>
        <v>0.045</v>
      </c>
      <c r="U84" s="5" t="n">
        <f aca="false">AD49</f>
        <v>0.09</v>
      </c>
      <c r="V84" s="5" t="n">
        <f aca="false">AD44</f>
        <v>0.18</v>
      </c>
      <c r="W84" s="5" t="n">
        <f aca="false">AD42</f>
        <v>0.3</v>
      </c>
      <c r="X84" s="5" t="n">
        <f aca="false">AD41</f>
        <v>0.45</v>
      </c>
      <c r="Y84" s="5"/>
      <c r="Z84" s="5" t="n">
        <v>45</v>
      </c>
      <c r="AA84" s="5" t="n">
        <f aca="false">IF(36/Z84&gt;12,"",36/Z84)</f>
        <v>0.8</v>
      </c>
      <c r="AB84" s="5" t="n">
        <f aca="false">IF(12.3/Z84&gt;12,"",12.3/Z84)</f>
        <v>0.273333333333333</v>
      </c>
      <c r="AC84" s="5" t="n">
        <f aca="false">IF(3.825/Z84&gt;12,"",3.825/Z84)</f>
        <v>0.085</v>
      </c>
      <c r="AD84" s="5" t="n">
        <f aca="false">IF(0.9/Z84&gt;12,"",0.9/Z84)</f>
        <v>0.02</v>
      </c>
    </row>
    <row r="85" customFormat="false" ht="12.8" hidden="false" customHeight="false" outlineLevel="0" collapsed="false">
      <c r="A85" s="5" t="e">
        <f aca="false">'Design Calculations'!G141</f>
        <v>#N/A</v>
      </c>
      <c r="B85" s="5" t="n">
        <f aca="false">'Design Calculations'!C141</f>
        <v>18.07</v>
      </c>
      <c r="C85" s="90" t="e">
        <f aca="false">'Design Calculations'!E141</f>
        <v>#N/A</v>
      </c>
      <c r="D85" s="5"/>
      <c r="E85" s="5" t="n">
        <f aca="false">'Design Calculations'!M141</f>
        <v>83.8482733440655</v>
      </c>
      <c r="F85" s="5" t="n">
        <f aca="false">'Design Calculations'!I141</f>
        <v>20.6700000000002</v>
      </c>
      <c r="G85" s="91" t="n">
        <f aca="false">'Design Calculations'!K141</f>
        <v>7.96279898804056</v>
      </c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 t="n">
        <v>46</v>
      </c>
      <c r="AA85" s="5" t="n">
        <f aca="false">IF(36/Z85&gt;12,"",36/Z85)</f>
        <v>0.782608695652174</v>
      </c>
      <c r="AB85" s="5" t="n">
        <f aca="false">IF(12.3/Z85&gt;12,"",12.3/Z85)</f>
        <v>0.267391304347826</v>
      </c>
      <c r="AC85" s="5" t="n">
        <f aca="false">IF(3.825/Z85&gt;12,"",3.825/Z85)</f>
        <v>0.0831521739130435</v>
      </c>
      <c r="AD85" s="5" t="n">
        <f aca="false">IF(0.9/Z85&gt;12,"",0.9/Z85)</f>
        <v>0.0195652173913044</v>
      </c>
    </row>
    <row r="86" customFormat="false" ht="12.8" hidden="false" customHeight="false" outlineLevel="0" collapsed="false">
      <c r="A86" s="5" t="e">
        <f aca="false">'Design Calculations'!G142</f>
        <v>#N/A</v>
      </c>
      <c r="B86" s="5" t="n">
        <f aca="false">'Design Calculations'!C142</f>
        <v>17.94</v>
      </c>
      <c r="C86" s="90" t="e">
        <f aca="false">'Design Calculations'!E142</f>
        <v>#N/A</v>
      </c>
      <c r="D86" s="5"/>
      <c r="E86" s="5" t="n">
        <f aca="false">'Design Calculations'!M142</f>
        <v>84.3495791168346</v>
      </c>
      <c r="F86" s="5" t="n">
        <f aca="false">'Design Calculations'!I142</f>
        <v>20.5400000000002</v>
      </c>
      <c r="G86" s="91" t="n">
        <f aca="false">'Design Calculations'!K142</f>
        <v>7.91271849126043</v>
      </c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 t="n">
        <v>47</v>
      </c>
      <c r="AA86" s="5" t="n">
        <f aca="false">IF(36/Z86&gt;12,"",36/Z86)</f>
        <v>0.765957446808511</v>
      </c>
      <c r="AB86" s="5" t="n">
        <f aca="false">IF(12.3/Z86&gt;12,"",12.3/Z86)</f>
        <v>0.261702127659574</v>
      </c>
      <c r="AC86" s="5" t="n">
        <f aca="false">IF(3.825/Z86&gt;12,"",3.825/Z86)</f>
        <v>0.0813829787234043</v>
      </c>
      <c r="AD86" s="5" t="n">
        <f aca="false">IF(0.9/Z86&gt;12,"",0.9/Z86)</f>
        <v>0.0191489361702128</v>
      </c>
    </row>
    <row r="87" customFormat="false" ht="12.8" hidden="false" customHeight="false" outlineLevel="0" collapsed="false">
      <c r="A87" s="5" t="e">
        <f aca="false">'Design Calculations'!G143</f>
        <v>#N/A</v>
      </c>
      <c r="B87" s="5" t="n">
        <f aca="false">'Design Calculations'!C143</f>
        <v>17.81</v>
      </c>
      <c r="C87" s="90" t="e">
        <f aca="false">'Design Calculations'!E143</f>
        <v>#N/A</v>
      </c>
      <c r="D87" s="5"/>
      <c r="E87" s="5" t="n">
        <f aca="false">'Design Calculations'!M143</f>
        <v>84.8378639604408</v>
      </c>
      <c r="F87" s="5" t="n">
        <f aca="false">'Design Calculations'!I143</f>
        <v>20.4100000000002</v>
      </c>
      <c r="G87" s="91" t="n">
        <f aca="false">'Design Calculations'!K143</f>
        <v>7.8626379944803</v>
      </c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 t="n">
        <v>48</v>
      </c>
      <c r="AA87" s="5" t="n">
        <f aca="false">IF(36/Z87&gt;12,"",36/Z87)</f>
        <v>0.75</v>
      </c>
      <c r="AB87" s="5" t="n">
        <f aca="false">IF(12.3/Z87&gt;12,"",12.3/Z87)</f>
        <v>0.25625</v>
      </c>
      <c r="AC87" s="5" t="n">
        <f aca="false">IF(3.825/Z87&gt;12,"",3.825/Z87)</f>
        <v>0.0796875</v>
      </c>
      <c r="AD87" s="5" t="n">
        <f aca="false">IF(0.9/Z87&gt;12,"",0.9/Z87)</f>
        <v>0.01875</v>
      </c>
    </row>
    <row r="88" customFormat="false" ht="12.8" hidden="false" customHeight="false" outlineLevel="0" collapsed="false">
      <c r="A88" s="5" t="e">
        <f aca="false">'Design Calculations'!G144</f>
        <v>#N/A</v>
      </c>
      <c r="B88" s="5" t="n">
        <f aca="false">'Design Calculations'!C144</f>
        <v>17.68</v>
      </c>
      <c r="C88" s="90" t="e">
        <f aca="false">'Design Calculations'!E144</f>
        <v>#N/A</v>
      </c>
      <c r="D88" s="5"/>
      <c r="E88" s="5" t="n">
        <f aca="false">'Design Calculations'!M144</f>
        <v>85.3131278748843</v>
      </c>
      <c r="F88" s="5" t="n">
        <f aca="false">'Design Calculations'!I144</f>
        <v>20.2800000000002</v>
      </c>
      <c r="G88" s="91" t="n">
        <f aca="false">'Design Calculations'!K144</f>
        <v>7.81255749770017</v>
      </c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 t="n">
        <v>49</v>
      </c>
      <c r="AA88" s="5" t="n">
        <f aca="false">IF(36/Z88&gt;12,"",36/Z88)</f>
        <v>0.73469387755102</v>
      </c>
      <c r="AB88" s="5" t="n">
        <f aca="false">IF(12.3/Z88&gt;12,"",12.3/Z88)</f>
        <v>0.251020408163265</v>
      </c>
      <c r="AC88" s="5" t="n">
        <f aca="false">IF(3.825/Z88&gt;12,"",3.825/Z88)</f>
        <v>0.0780612244897959</v>
      </c>
      <c r="AD88" s="5" t="n">
        <f aca="false">IF(0.9/Z88&gt;12,"",0.9/Z88)</f>
        <v>0.0183673469387755</v>
      </c>
    </row>
    <row r="89" customFormat="false" ht="12.8" hidden="false" customHeight="false" outlineLevel="0" collapsed="false">
      <c r="A89" s="5" t="e">
        <f aca="false">'Design Calculations'!G145</f>
        <v>#N/A</v>
      </c>
      <c r="B89" s="5" t="n">
        <f aca="false">'Design Calculations'!C145</f>
        <v>17.55</v>
      </c>
      <c r="C89" s="90" t="e">
        <f aca="false">'Design Calculations'!E145</f>
        <v>#N/A</v>
      </c>
      <c r="D89" s="5"/>
      <c r="E89" s="5" t="n">
        <f aca="false">'Design Calculations'!M145</f>
        <v>85.7753708601649</v>
      </c>
      <c r="F89" s="5" t="n">
        <f aca="false">'Design Calculations'!I145</f>
        <v>20.1500000000002</v>
      </c>
      <c r="G89" s="91" t="n">
        <f aca="false">'Design Calculations'!K145</f>
        <v>7.76247700092004</v>
      </c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 t="n">
        <v>50</v>
      </c>
      <c r="AA89" s="5" t="n">
        <f aca="false">IF(36/Z89&gt;12,"",36/Z89)</f>
        <v>0.72</v>
      </c>
      <c r="AB89" s="5" t="n">
        <f aca="false">IF(12.3/Z89&gt;12,"",12.3/Z89)</f>
        <v>0.246</v>
      </c>
      <c r="AC89" s="5" t="n">
        <f aca="false">IF(3.825/Z89&gt;12,"",3.825/Z89)</f>
        <v>0.0765</v>
      </c>
      <c r="AD89" s="5" t="n">
        <f aca="false">IF(0.9/Z89&gt;12,"",0.9/Z89)</f>
        <v>0.018</v>
      </c>
    </row>
    <row r="90" customFormat="false" ht="12.8" hidden="false" customHeight="false" outlineLevel="0" collapsed="false">
      <c r="A90" s="5" t="e">
        <f aca="false">'Design Calculations'!G146</f>
        <v>#N/A</v>
      </c>
      <c r="B90" s="5" t="n">
        <f aca="false">'Design Calculations'!C146</f>
        <v>17.42</v>
      </c>
      <c r="C90" s="90" t="e">
        <f aca="false">'Design Calculations'!E146</f>
        <v>#N/A</v>
      </c>
      <c r="D90" s="5"/>
      <c r="E90" s="5" t="n">
        <f aca="false">'Design Calculations'!M146</f>
        <v>86.2245929162827</v>
      </c>
      <c r="F90" s="5" t="n">
        <f aca="false">'Design Calculations'!I146</f>
        <v>20.0200000000002</v>
      </c>
      <c r="G90" s="91" t="n">
        <f aca="false">'Design Calculations'!K146</f>
        <v>7.71239650413991</v>
      </c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 t="n">
        <v>51</v>
      </c>
      <c r="AA90" s="5" t="n">
        <f aca="false">IF(36/Z90&gt;12,"",36/Z90)</f>
        <v>0.705882352941177</v>
      </c>
      <c r="AB90" s="5" t="n">
        <f aca="false">IF(12.3/Z90&gt;12,"",12.3/Z90)</f>
        <v>0.241176470588235</v>
      </c>
      <c r="AC90" s="5" t="n">
        <f aca="false">IF(3.825/Z90&gt;12,"",3.825/Z90)</f>
        <v>0.075</v>
      </c>
      <c r="AD90" s="5" t="n">
        <f aca="false">IF(0.9/Z90&gt;12,"",0.9/Z90)</f>
        <v>0.0176470588235294</v>
      </c>
    </row>
    <row r="91" customFormat="false" ht="12.8" hidden="false" customHeight="false" outlineLevel="0" collapsed="false">
      <c r="A91" s="5" t="e">
        <f aca="false">'Design Calculations'!G147</f>
        <v>#N/A</v>
      </c>
      <c r="B91" s="5" t="n">
        <f aca="false">'Design Calculations'!C147</f>
        <v>17.29</v>
      </c>
      <c r="C91" s="90" t="e">
        <f aca="false">'Design Calculations'!E147</f>
        <v>#N/A</v>
      </c>
      <c r="D91" s="5"/>
      <c r="E91" s="5" t="n">
        <f aca="false">'Design Calculations'!M147</f>
        <v>86.6607940432376</v>
      </c>
      <c r="F91" s="5" t="n">
        <f aca="false">'Design Calculations'!I147</f>
        <v>19.8900000000002</v>
      </c>
      <c r="G91" s="91" t="n">
        <f aca="false">'Design Calculations'!K147</f>
        <v>7.66231600735978</v>
      </c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 t="n">
        <v>52</v>
      </c>
      <c r="AA91" s="5" t="n">
        <f aca="false">IF(36/Z91&gt;12,"",36/Z91)</f>
        <v>0.692307692307692</v>
      </c>
      <c r="AB91" s="5" t="n">
        <f aca="false">IF(12.3/Z91&gt;12,"",12.3/Z91)</f>
        <v>0.236538461538462</v>
      </c>
      <c r="AC91" s="5" t="n">
        <f aca="false">IF(3.825/Z91&gt;12,"",3.825/Z91)</f>
        <v>0.0735576923076923</v>
      </c>
      <c r="AD91" s="5" t="n">
        <f aca="false">IF(0.9/Z91&gt;12,"",0.9/Z91)</f>
        <v>0.0173076923076923</v>
      </c>
    </row>
    <row r="92" customFormat="false" ht="12.8" hidden="false" customHeight="false" outlineLevel="0" collapsed="false">
      <c r="A92" s="5" t="e">
        <f aca="false">'Design Calculations'!G148</f>
        <v>#N/A</v>
      </c>
      <c r="B92" s="5" t="n">
        <f aca="false">'Design Calculations'!C148</f>
        <v>17.16</v>
      </c>
      <c r="C92" s="90" t="e">
        <f aca="false">'Design Calculations'!E148</f>
        <v>#N/A</v>
      </c>
      <c r="D92" s="5"/>
      <c r="E92" s="5" t="n">
        <f aca="false">'Design Calculations'!M148</f>
        <v>87.0839742410297</v>
      </c>
      <c r="F92" s="5" t="n">
        <f aca="false">'Design Calculations'!I148</f>
        <v>19.7600000000002</v>
      </c>
      <c r="G92" s="91" t="n">
        <f aca="false">'Design Calculations'!K148</f>
        <v>7.61223551057965</v>
      </c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 t="n">
        <v>53</v>
      </c>
      <c r="AA92" s="5" t="n">
        <f aca="false">IF(36/Z92&gt;12,"",36/Z92)</f>
        <v>0.679245283018868</v>
      </c>
      <c r="AB92" s="5" t="n">
        <f aca="false">IF(12.3/Z92&gt;12,"",12.3/Z92)</f>
        <v>0.232075471698113</v>
      </c>
      <c r="AC92" s="5" t="n">
        <f aca="false">IF(3.825/Z92&gt;12,"",3.825/Z92)</f>
        <v>0.0721698113207547</v>
      </c>
      <c r="AD92" s="5" t="n">
        <f aca="false">IF(0.9/Z92&gt;12,"",0.9/Z92)</f>
        <v>0.0169811320754717</v>
      </c>
    </row>
    <row r="93" customFormat="false" ht="12.8" hidden="false" customHeight="false" outlineLevel="0" collapsed="false">
      <c r="A93" s="5" t="e">
        <f aca="false">'Design Calculations'!G149</f>
        <v>#N/A</v>
      </c>
      <c r="B93" s="5" t="n">
        <f aca="false">'Design Calculations'!C149</f>
        <v>17.03</v>
      </c>
      <c r="C93" s="90" t="e">
        <f aca="false">'Design Calculations'!E149</f>
        <v>#N/A</v>
      </c>
      <c r="D93" s="5"/>
      <c r="E93" s="5" t="n">
        <f aca="false">'Design Calculations'!M149</f>
        <v>87.494133509659</v>
      </c>
      <c r="F93" s="5" t="n">
        <f aca="false">'Design Calculations'!I149</f>
        <v>19.6300000000002</v>
      </c>
      <c r="G93" s="91" t="n">
        <f aca="false">'Design Calculations'!K149</f>
        <v>7.56215501379953</v>
      </c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 t="n">
        <v>54</v>
      </c>
      <c r="AA93" s="5" t="n">
        <f aca="false">IF(36/Z93&gt;12,"",36/Z93)</f>
        <v>0.666666666666667</v>
      </c>
      <c r="AB93" s="5" t="n">
        <f aca="false">IF(12.3/Z93&gt;12,"",12.3/Z93)</f>
        <v>0.227777777777778</v>
      </c>
      <c r="AC93" s="5" t="n">
        <f aca="false">IF(3.825/Z93&gt;12,"",3.825/Z93)</f>
        <v>0.0708333333333333</v>
      </c>
      <c r="AD93" s="5" t="n">
        <f aca="false">IF(0.9/Z93&gt;12,"",0.9/Z93)</f>
        <v>0.0166666666666667</v>
      </c>
    </row>
    <row r="94" customFormat="false" ht="12.8" hidden="false" customHeight="false" outlineLevel="0" collapsed="false">
      <c r="A94" s="5" t="e">
        <f aca="false">'Design Calculations'!G150</f>
        <v>#N/A</v>
      </c>
      <c r="B94" s="5" t="n">
        <f aca="false">'Design Calculations'!C150</f>
        <v>16.9</v>
      </c>
      <c r="C94" s="90" t="e">
        <f aca="false">'Design Calculations'!E150</f>
        <v>#N/A</v>
      </c>
      <c r="D94" s="5"/>
      <c r="E94" s="5" t="n">
        <f aca="false">'Design Calculations'!M150</f>
        <v>87.8912718491251</v>
      </c>
      <c r="F94" s="5" t="n">
        <f aca="false">'Design Calculations'!I150</f>
        <v>19.5000000000003</v>
      </c>
      <c r="G94" s="91" t="n">
        <f aca="false">'Design Calculations'!K150</f>
        <v>7.51207451701943</v>
      </c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 t="n">
        <v>55</v>
      </c>
      <c r="AA94" s="5" t="n">
        <f aca="false">IF(36/Z94&gt;12,"",36/Z94)</f>
        <v>0.654545454545455</v>
      </c>
      <c r="AB94" s="5" t="n">
        <f aca="false">IF(12.3/Z94&gt;12,"",12.3/Z94)</f>
        <v>0.223636363636364</v>
      </c>
      <c r="AC94" s="5" t="n">
        <f aca="false">IF(3.825/Z94&gt;12,"",3.825/Z94)</f>
        <v>0.0695454545454546</v>
      </c>
      <c r="AD94" s="5" t="n">
        <f aca="false">IF(0.9/Z94&gt;12,"",0.9/Z94)</f>
        <v>0.0163636363636364</v>
      </c>
    </row>
    <row r="95" customFormat="false" ht="12.8" hidden="false" customHeight="false" outlineLevel="0" collapsed="false">
      <c r="A95" s="5" t="e">
        <f aca="false">'Design Calculations'!G151</f>
        <v>#N/A</v>
      </c>
      <c r="B95" s="5" t="n">
        <f aca="false">'Design Calculations'!C151</f>
        <v>16.77</v>
      </c>
      <c r="C95" s="90" t="e">
        <f aca="false">'Design Calculations'!E151</f>
        <v>#N/A</v>
      </c>
      <c r="D95" s="5"/>
      <c r="E95" s="5" t="n">
        <f aca="false">'Design Calculations'!M151</f>
        <v>88.2753892594287</v>
      </c>
      <c r="F95" s="5" t="n">
        <f aca="false">'Design Calculations'!I151</f>
        <v>19.3700000000003</v>
      </c>
      <c r="G95" s="91" t="n">
        <f aca="false">'Design Calculations'!K151</f>
        <v>7.46199402023931</v>
      </c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 t="n">
        <v>56</v>
      </c>
      <c r="AA95" s="5" t="n">
        <f aca="false">IF(36/Z95&gt;12,"",36/Z95)</f>
        <v>0.642857142857143</v>
      </c>
      <c r="AB95" s="5" t="n">
        <f aca="false">IF(12.3/Z95&gt;12,"",12.3/Z95)</f>
        <v>0.219642857142857</v>
      </c>
      <c r="AC95" s="5" t="n">
        <f aca="false">IF(3.825/Z95&gt;12,"",3.825/Z95)</f>
        <v>0.0683035714285714</v>
      </c>
      <c r="AD95" s="5" t="n">
        <f aca="false">IF(0.9/Z95&gt;12,"",0.9/Z95)</f>
        <v>0.0160714285714286</v>
      </c>
    </row>
    <row r="96" customFormat="false" ht="12.8" hidden="false" customHeight="false" outlineLevel="0" collapsed="false">
      <c r="A96" s="5" t="e">
        <f aca="false">'Design Calculations'!G152</f>
        <v>#N/A</v>
      </c>
      <c r="B96" s="5" t="n">
        <f aca="false">'Design Calculations'!C152</f>
        <v>16.64</v>
      </c>
      <c r="C96" s="90" t="e">
        <f aca="false">'Design Calculations'!E152</f>
        <v>#N/A</v>
      </c>
      <c r="D96" s="5"/>
      <c r="E96" s="5" t="n">
        <f aca="false">'Design Calculations'!M152</f>
        <v>88.6464857405695</v>
      </c>
      <c r="F96" s="5" t="n">
        <f aca="false">'Design Calculations'!I152</f>
        <v>19.2400000000003</v>
      </c>
      <c r="G96" s="91" t="n">
        <f aca="false">'Design Calculations'!K152</f>
        <v>7.41191352345918</v>
      </c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 t="n">
        <v>57</v>
      </c>
      <c r="AA96" s="5" t="n">
        <f aca="false">IF(36/Z96&gt;12,"",36/Z96)</f>
        <v>0.631578947368421</v>
      </c>
      <c r="AB96" s="5" t="n">
        <f aca="false">IF(12.3/Z96&gt;12,"",12.3/Z96)</f>
        <v>0.215789473684211</v>
      </c>
      <c r="AC96" s="5" t="n">
        <f aca="false">IF(3.825/Z96&gt;12,"",3.825/Z96)</f>
        <v>0.0671052631578947</v>
      </c>
      <c r="AD96" s="5" t="n">
        <f aca="false">IF(0.9/Z96&gt;12,"",0.9/Z96)</f>
        <v>0.0157894736842105</v>
      </c>
    </row>
    <row r="97" customFormat="false" ht="12.8" hidden="false" customHeight="false" outlineLevel="0" collapsed="false">
      <c r="A97" s="5" t="e">
        <f aca="false">'Design Calculations'!G153</f>
        <v>#N/A</v>
      </c>
      <c r="B97" s="5" t="n">
        <f aca="false">'Design Calculations'!C153</f>
        <v>16.51</v>
      </c>
      <c r="C97" s="90" t="e">
        <f aca="false">'Design Calculations'!E153</f>
        <v>#N/A</v>
      </c>
      <c r="D97" s="5"/>
      <c r="E97" s="5" t="n">
        <f aca="false">'Design Calculations'!M153</f>
        <v>89.0045612925475</v>
      </c>
      <c r="F97" s="5" t="n">
        <f aca="false">'Design Calculations'!I153</f>
        <v>19.1100000000003</v>
      </c>
      <c r="G97" s="91" t="n">
        <f aca="false">'Design Calculations'!K153</f>
        <v>7.36183302667905</v>
      </c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 t="n">
        <v>58</v>
      </c>
      <c r="AA97" s="5" t="n">
        <f aca="false">IF(36/Z97&gt;12,"",36/Z97)</f>
        <v>0.620689655172414</v>
      </c>
      <c r="AB97" s="5" t="n">
        <f aca="false">IF(12.3/Z97&gt;12,"",12.3/Z97)</f>
        <v>0.212068965517241</v>
      </c>
      <c r="AC97" s="5" t="n">
        <f aca="false">IF(3.825/Z97&gt;12,"",3.825/Z97)</f>
        <v>0.065948275862069</v>
      </c>
      <c r="AD97" s="5" t="n">
        <f aca="false">IF(0.9/Z97&gt;12,"",0.9/Z97)</f>
        <v>0.0155172413793103</v>
      </c>
    </row>
    <row r="98" customFormat="false" ht="12.8" hidden="false" customHeight="false" outlineLevel="0" collapsed="false">
      <c r="A98" s="5" t="e">
        <f aca="false">'Design Calculations'!G154</f>
        <v>#N/A</v>
      </c>
      <c r="B98" s="5" t="n">
        <f aca="false">'Design Calculations'!C154</f>
        <v>16.38</v>
      </c>
      <c r="C98" s="90" t="e">
        <f aca="false">'Design Calculations'!E154</f>
        <v>#N/A</v>
      </c>
      <c r="D98" s="5"/>
      <c r="E98" s="5" t="n">
        <f aca="false">'Design Calculations'!M154</f>
        <v>89.3496159153626</v>
      </c>
      <c r="F98" s="5" t="n">
        <f aca="false">'Design Calculations'!I154</f>
        <v>18.9800000000003</v>
      </c>
      <c r="G98" s="91" t="n">
        <f aca="false">'Design Calculations'!K154</f>
        <v>7.31175252989892</v>
      </c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 t="n">
        <v>59</v>
      </c>
      <c r="AA98" s="5" t="n">
        <f aca="false">IF(36/Z98&gt;12,"",36/Z98)</f>
        <v>0.610169491525424</v>
      </c>
      <c r="AB98" s="5" t="n">
        <f aca="false">IF(12.3/Z98&gt;12,"",12.3/Z98)</f>
        <v>0.208474576271186</v>
      </c>
      <c r="AC98" s="5" t="n">
        <f aca="false">IF(3.825/Z98&gt;12,"",3.825/Z98)</f>
        <v>0.0648305084745763</v>
      </c>
      <c r="AD98" s="5" t="n">
        <f aca="false">IF(0.9/Z98&gt;12,"",0.9/Z98)</f>
        <v>0.0152542372881356</v>
      </c>
    </row>
    <row r="99" customFormat="false" ht="12.8" hidden="false" customHeight="false" outlineLevel="0" collapsed="false">
      <c r="A99" s="5" t="e">
        <f aca="false">'Design Calculations'!G155</f>
        <v>#N/A</v>
      </c>
      <c r="B99" s="5" t="n">
        <f aca="false">'Design Calculations'!C155</f>
        <v>16.25</v>
      </c>
      <c r="C99" s="90" t="e">
        <f aca="false">'Design Calculations'!E155</f>
        <v>#N/A</v>
      </c>
      <c r="D99" s="5"/>
      <c r="E99" s="5" t="n">
        <f aca="false">'Design Calculations'!M155</f>
        <v>89.6816496090149</v>
      </c>
      <c r="F99" s="5" t="n">
        <f aca="false">'Design Calculations'!I155</f>
        <v>18.8500000000003</v>
      </c>
      <c r="G99" s="91" t="n">
        <f aca="false">'Design Calculations'!K155</f>
        <v>7.26167203311879</v>
      </c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 t="n">
        <v>60</v>
      </c>
      <c r="AA99" s="5" t="n">
        <f aca="false">IF(36/Z99&gt;12,"",36/Z99)</f>
        <v>0.6</v>
      </c>
      <c r="AB99" s="5" t="n">
        <f aca="false">IF(12.3/Z99&gt;12,"",12.3/Z99)</f>
        <v>0.205</v>
      </c>
      <c r="AC99" s="5" t="n">
        <f aca="false">IF(3.825/Z99&gt;12,"",3.825/Z99)</f>
        <v>0.06375</v>
      </c>
      <c r="AD99" s="5" t="n">
        <f aca="false">IF(0.9/Z99&gt;12,"",0.9/Z99)</f>
        <v>0.015</v>
      </c>
    </row>
    <row r="100" customFormat="false" ht="12.8" hidden="false" customHeight="false" outlineLevel="0" collapsed="false">
      <c r="A100" s="5" t="e">
        <f aca="false">'Design Calculations'!G156</f>
        <v>#N/A</v>
      </c>
      <c r="B100" s="5" t="n">
        <f aca="false">'Design Calculations'!C156</f>
        <v>16.12</v>
      </c>
      <c r="C100" s="90" t="e">
        <f aca="false">'Design Calculations'!E156</f>
        <v>#N/A</v>
      </c>
      <c r="D100" s="5"/>
      <c r="E100" s="5" t="n">
        <f aca="false">'Design Calculations'!M156</f>
        <v>90.0006623735043</v>
      </c>
      <c r="F100" s="5" t="n">
        <f aca="false">'Design Calculations'!I156</f>
        <v>18.7200000000003</v>
      </c>
      <c r="G100" s="91" t="n">
        <f aca="false">'Design Calculations'!K156</f>
        <v>7.21159153633866</v>
      </c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</row>
    <row r="101" customFormat="false" ht="12.8" hidden="false" customHeight="false" outlineLevel="0" collapsed="false">
      <c r="A101" s="5" t="e">
        <f aca="false">'Design Calculations'!G157</f>
        <v>#N/A</v>
      </c>
      <c r="B101" s="5" t="n">
        <f aca="false">'Design Calculations'!C157</f>
        <v>15.99</v>
      </c>
      <c r="C101" s="90" t="e">
        <f aca="false">'Design Calculations'!E157</f>
        <v>#N/A</v>
      </c>
      <c r="D101" s="5"/>
      <c r="E101" s="5" t="n">
        <f aca="false">'Design Calculations'!M157</f>
        <v>90.306654208831</v>
      </c>
      <c r="F101" s="5" t="n">
        <f aca="false">'Design Calculations'!I157</f>
        <v>18.5900000000003</v>
      </c>
      <c r="G101" s="91" t="n">
        <f aca="false">'Design Calculations'!K157</f>
        <v>7.16151103955853</v>
      </c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</row>
    <row r="102" customFormat="false" ht="12.8" hidden="false" customHeight="false" outlineLevel="0" collapsed="false">
      <c r="A102" s="5" t="e">
        <f aca="false">'Design Calculations'!G158</f>
        <v>#N/A</v>
      </c>
      <c r="B102" s="5" t="n">
        <f aca="false">'Design Calculations'!C158</f>
        <v>15.86</v>
      </c>
      <c r="C102" s="90" t="e">
        <f aca="false">'Design Calculations'!E158</f>
        <v>#N/A</v>
      </c>
      <c r="D102" s="5"/>
      <c r="E102" s="5" t="n">
        <f aca="false">'Design Calculations'!M158</f>
        <v>90.5996251149947</v>
      </c>
      <c r="F102" s="5" t="n">
        <f aca="false">'Design Calculations'!I158</f>
        <v>18.4600000000003</v>
      </c>
      <c r="G102" s="91" t="n">
        <f aca="false">'Design Calculations'!K158</f>
        <v>7.1114305427784</v>
      </c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</row>
    <row r="103" customFormat="false" ht="12.8" hidden="false" customHeight="false" outlineLevel="0" collapsed="false">
      <c r="A103" s="5" t="e">
        <f aca="false">'Design Calculations'!G159</f>
        <v>#N/A</v>
      </c>
      <c r="B103" s="5" t="n">
        <f aca="false">'Design Calculations'!C159</f>
        <v>15.73</v>
      </c>
      <c r="C103" s="90" t="e">
        <f aca="false">'Design Calculations'!E159</f>
        <v>#N/A</v>
      </c>
      <c r="D103" s="5"/>
      <c r="E103" s="5" t="n">
        <f aca="false">'Design Calculations'!M159</f>
        <v>90.8795750919957</v>
      </c>
      <c r="F103" s="5" t="n">
        <f aca="false">'Design Calculations'!I159</f>
        <v>18.3300000000003</v>
      </c>
      <c r="G103" s="91" t="n">
        <f aca="false">'Design Calculations'!K159</f>
        <v>7.06135004599828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</row>
    <row r="104" customFormat="false" ht="12.8" hidden="false" customHeight="false" outlineLevel="0" collapsed="false">
      <c r="A104" s="5" t="e">
        <f aca="false">'Design Calculations'!G160</f>
        <v>#N/A</v>
      </c>
      <c r="B104" s="5" t="n">
        <f aca="false">'Design Calculations'!C160</f>
        <v>15.6</v>
      </c>
      <c r="C104" s="90" t="e">
        <f aca="false">'Design Calculations'!E160</f>
        <v>#N/A</v>
      </c>
      <c r="D104" s="5"/>
      <c r="E104" s="5" t="n">
        <f aca="false">'Design Calculations'!M160</f>
        <v>91.1465041398338</v>
      </c>
      <c r="F104" s="5" t="n">
        <f aca="false">'Design Calculations'!I160</f>
        <v>18.2000000000003</v>
      </c>
      <c r="G104" s="91" t="n">
        <f aca="false">'Design Calculations'!K160</f>
        <v>7.01126954921815</v>
      </c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</row>
    <row r="105" customFormat="false" ht="12.8" hidden="false" customHeight="false" outlineLevel="0" collapsed="false">
      <c r="A105" s="5" t="e">
        <f aca="false">'Design Calculations'!G161</f>
        <v>#N/A</v>
      </c>
      <c r="B105" s="5" t="n">
        <f aca="false">'Design Calculations'!C161</f>
        <v>15.47</v>
      </c>
      <c r="C105" s="90" t="e">
        <f aca="false">'Design Calculations'!E161</f>
        <v>#N/A</v>
      </c>
      <c r="D105" s="5"/>
      <c r="E105" s="5" t="n">
        <f aca="false">'Design Calculations'!M161</f>
        <v>91.4004122585091</v>
      </c>
      <c r="F105" s="5" t="n">
        <f aca="false">'Design Calculations'!I161</f>
        <v>18.0700000000003</v>
      </c>
      <c r="G105" s="91" t="n">
        <f aca="false">'Design Calculations'!K161</f>
        <v>6.96118905243802</v>
      </c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</row>
    <row r="106" customFormat="false" ht="12.8" hidden="false" customHeight="false" outlineLevel="0" collapsed="false">
      <c r="A106" s="5" t="e">
        <f aca="false">'Design Calculations'!G162</f>
        <v>#N/A</v>
      </c>
      <c r="B106" s="5" t="n">
        <f aca="false">'Design Calculations'!C162</f>
        <v>15.34</v>
      </c>
      <c r="C106" s="90" t="e">
        <f aca="false">'Design Calculations'!E162</f>
        <v>#N/A</v>
      </c>
      <c r="D106" s="5"/>
      <c r="E106" s="5" t="n">
        <f aca="false">'Design Calculations'!M162</f>
        <v>91.6412994480215</v>
      </c>
      <c r="F106" s="5" t="n">
        <f aca="false">'Design Calculations'!I162</f>
        <v>17.9400000000003</v>
      </c>
      <c r="G106" s="91" t="n">
        <f aca="false">'Design Calculations'!K162</f>
        <v>6.91110855565789</v>
      </c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</row>
    <row r="107" customFormat="false" ht="12.8" hidden="false" customHeight="false" outlineLevel="0" collapsed="false">
      <c r="A107" s="5" t="e">
        <f aca="false">'Design Calculations'!G163</f>
        <v>#N/A</v>
      </c>
      <c r="B107" s="5" t="n">
        <f aca="false">'Design Calculations'!C163</f>
        <v>15.21</v>
      </c>
      <c r="C107" s="90" t="e">
        <f aca="false">'Design Calculations'!E163</f>
        <v>#N/A</v>
      </c>
      <c r="D107" s="5"/>
      <c r="E107" s="5" t="n">
        <f aca="false">'Design Calculations'!M163</f>
        <v>91.8691657083711</v>
      </c>
      <c r="F107" s="5" t="n">
        <f aca="false">'Design Calculations'!I163</f>
        <v>17.8100000000003</v>
      </c>
      <c r="G107" s="91" t="n">
        <f aca="false">'Design Calculations'!K163</f>
        <v>6.86102805887776</v>
      </c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</row>
    <row r="108" customFormat="false" ht="12.8" hidden="false" customHeight="false" outlineLevel="0" collapsed="false">
      <c r="A108" s="5" t="e">
        <f aca="false">'Design Calculations'!G164</f>
        <v>#N/A</v>
      </c>
      <c r="B108" s="5" t="n">
        <f aca="false">'Design Calculations'!C164</f>
        <v>15.08</v>
      </c>
      <c r="C108" s="90" t="e">
        <f aca="false">'Design Calculations'!E164</f>
        <v>#N/A</v>
      </c>
      <c r="D108" s="5"/>
      <c r="E108" s="5" t="n">
        <f aca="false">'Design Calculations'!M164</f>
        <v>92.0840110395579</v>
      </c>
      <c r="F108" s="5" t="n">
        <f aca="false">'Design Calculations'!I164</f>
        <v>17.6800000000003</v>
      </c>
      <c r="G108" s="91" t="n">
        <f aca="false">'Design Calculations'!K164</f>
        <v>6.81094756209763</v>
      </c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</row>
    <row r="109" customFormat="false" ht="12.8" hidden="false" customHeight="false" outlineLevel="0" collapsed="false">
      <c r="A109" s="5" t="e">
        <f aca="false">'Design Calculations'!G165</f>
        <v>#N/A</v>
      </c>
      <c r="B109" s="5" t="n">
        <f aca="false">'Design Calculations'!C165</f>
        <v>14.95</v>
      </c>
      <c r="C109" s="90" t="e">
        <f aca="false">'Design Calculations'!E165</f>
        <v>#N/A</v>
      </c>
      <c r="D109" s="5"/>
      <c r="E109" s="5" t="n">
        <f aca="false">'Design Calculations'!M165</f>
        <v>92.2858354415819</v>
      </c>
      <c r="F109" s="5" t="n">
        <f aca="false">'Design Calculations'!I165</f>
        <v>17.5500000000003</v>
      </c>
      <c r="G109" s="91" t="n">
        <f aca="false">'Design Calculations'!K165</f>
        <v>6.7608670653175</v>
      </c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</row>
    <row r="110" customFormat="false" ht="12.8" hidden="false" customHeight="false" outlineLevel="0" collapsed="false">
      <c r="A110" s="5" t="e">
        <f aca="false">'Design Calculations'!G166</f>
        <v>#N/A</v>
      </c>
      <c r="B110" s="5" t="n">
        <f aca="false">'Design Calculations'!C166</f>
        <v>14.82</v>
      </c>
      <c r="C110" s="90" t="e">
        <f aca="false">'Design Calculations'!E166</f>
        <v>#N/A</v>
      </c>
      <c r="D110" s="5"/>
      <c r="E110" s="5" t="n">
        <f aca="false">'Design Calculations'!M166</f>
        <v>92.474638914443</v>
      </c>
      <c r="F110" s="5" t="n">
        <f aca="false">'Design Calculations'!I166</f>
        <v>17.4200000000003</v>
      </c>
      <c r="G110" s="91" t="n">
        <f aca="false">'Design Calculations'!K166</f>
        <v>6.71078656853737</v>
      </c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</row>
    <row r="111" customFormat="false" ht="12.8" hidden="false" customHeight="false" outlineLevel="0" collapsed="false">
      <c r="A111" s="5" t="e">
        <f aca="false">'Design Calculations'!G167</f>
        <v>#N/A</v>
      </c>
      <c r="B111" s="5" t="n">
        <f aca="false">'Design Calculations'!C167</f>
        <v>14.69</v>
      </c>
      <c r="C111" s="90" t="e">
        <f aca="false">'Design Calculations'!E167</f>
        <v>#N/A</v>
      </c>
      <c r="D111" s="5"/>
      <c r="E111" s="5" t="n">
        <f aca="false">'Design Calculations'!M167</f>
        <v>92.6504214581413</v>
      </c>
      <c r="F111" s="5" t="n">
        <f aca="false">'Design Calculations'!I167</f>
        <v>17.2900000000003</v>
      </c>
      <c r="G111" s="91" t="n">
        <f aca="false">'Design Calculations'!K167</f>
        <v>6.66070607175725</v>
      </c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</row>
    <row r="112" customFormat="false" ht="12.8" hidden="false" customHeight="false" outlineLevel="0" collapsed="false">
      <c r="A112" s="5" t="e">
        <f aca="false">'Design Calculations'!G168</f>
        <v>#N/A</v>
      </c>
      <c r="B112" s="5" t="n">
        <f aca="false">'Design Calculations'!C168</f>
        <v>14.56</v>
      </c>
      <c r="C112" s="90" t="e">
        <f aca="false">'Design Calculations'!E168</f>
        <v>#N/A</v>
      </c>
      <c r="D112" s="5"/>
      <c r="E112" s="5" t="n">
        <f aca="false">'Design Calculations'!M168</f>
        <v>92.8131830726767</v>
      </c>
      <c r="F112" s="5" t="n">
        <f aca="false">'Design Calculations'!I168</f>
        <v>17.1600000000003</v>
      </c>
      <c r="G112" s="91" t="n">
        <f aca="false">'Design Calculations'!K168</f>
        <v>6.61062557497712</v>
      </c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</row>
    <row r="113" customFormat="false" ht="12.8" hidden="false" customHeight="false" outlineLevel="0" collapsed="false">
      <c r="A113" s="5" t="e">
        <f aca="false">'Design Calculations'!G169</f>
        <v>#N/A</v>
      </c>
      <c r="B113" s="5" t="n">
        <f aca="false">'Design Calculations'!C169</f>
        <v>14.43</v>
      </c>
      <c r="C113" s="90" t="e">
        <f aca="false">'Design Calculations'!E169</f>
        <v>#N/A</v>
      </c>
      <c r="D113" s="5"/>
      <c r="E113" s="5" t="n">
        <f aca="false">'Design Calculations'!M169</f>
        <v>92.9629237580493</v>
      </c>
      <c r="F113" s="5" t="n">
        <f aca="false">'Design Calculations'!I169</f>
        <v>17.0300000000003</v>
      </c>
      <c r="G113" s="91" t="n">
        <f aca="false">'Design Calculations'!K169</f>
        <v>6.56054507819699</v>
      </c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</row>
    <row r="114" customFormat="false" ht="12.8" hidden="false" customHeight="false" outlineLevel="0" collapsed="false">
      <c r="A114" s="5" t="e">
        <f aca="false">'Design Calculations'!G170</f>
        <v>#N/A</v>
      </c>
      <c r="B114" s="5" t="n">
        <f aca="false">'Design Calculations'!C170</f>
        <v>14.3</v>
      </c>
      <c r="C114" s="90" t="e">
        <f aca="false">'Design Calculations'!E170</f>
        <v>#N/A</v>
      </c>
      <c r="D114" s="5"/>
      <c r="E114" s="5" t="n">
        <f aca="false">'Design Calculations'!M170</f>
        <v>93.0996435142591</v>
      </c>
      <c r="F114" s="5" t="n">
        <f aca="false">'Design Calculations'!I170</f>
        <v>16.9000000000003</v>
      </c>
      <c r="G114" s="91" t="n">
        <f aca="false">'Design Calculations'!K170</f>
        <v>6.51046458141686</v>
      </c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</row>
    <row r="115" customFormat="false" ht="12.8" hidden="false" customHeight="false" outlineLevel="0" collapsed="false">
      <c r="A115" s="5" t="e">
        <f aca="false">'Design Calculations'!G171</f>
        <v>#N/A</v>
      </c>
      <c r="B115" s="5" t="n">
        <f aca="false">'Design Calculations'!C171</f>
        <v>14.17</v>
      </c>
      <c r="C115" s="90" t="e">
        <f aca="false">'Design Calculations'!E171</f>
        <v>#N/A</v>
      </c>
      <c r="D115" s="5"/>
      <c r="E115" s="5" t="n">
        <f aca="false">'Design Calculations'!M171</f>
        <v>93.2233423413061</v>
      </c>
      <c r="F115" s="5" t="n">
        <f aca="false">'Design Calculations'!I171</f>
        <v>16.7700000000003</v>
      </c>
      <c r="G115" s="91" t="n">
        <f aca="false">'Design Calculations'!K171</f>
        <v>6.46038408463673</v>
      </c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</row>
    <row r="116" customFormat="false" ht="12.8" hidden="false" customHeight="false" outlineLevel="0" collapsed="false">
      <c r="A116" s="5" t="e">
        <f aca="false">'Design Calculations'!G172</f>
        <v>#N/A</v>
      </c>
      <c r="B116" s="5" t="n">
        <f aca="false">'Design Calculations'!C172</f>
        <v>14.04</v>
      </c>
      <c r="C116" s="90" t="e">
        <f aca="false">'Design Calculations'!E172</f>
        <v>#N/A</v>
      </c>
      <c r="D116" s="5"/>
      <c r="E116" s="5" t="n">
        <f aca="false">'Design Calculations'!M172</f>
        <v>93.3340202391902</v>
      </c>
      <c r="F116" s="5" t="n">
        <f aca="false">'Design Calculations'!I172</f>
        <v>16.6400000000003</v>
      </c>
      <c r="G116" s="91" t="n">
        <f aca="false">'Design Calculations'!K172</f>
        <v>6.4103035878566</v>
      </c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</row>
    <row r="117" customFormat="false" ht="12.8" hidden="false" customHeight="false" outlineLevel="0" collapsed="false">
      <c r="A117" s="5" t="e">
        <f aca="false">'Design Calculations'!G173</f>
        <v>#N/A</v>
      </c>
      <c r="B117" s="5" t="n">
        <f aca="false">'Design Calculations'!C173</f>
        <v>13.91</v>
      </c>
      <c r="C117" s="90" t="e">
        <f aca="false">'Design Calculations'!E173</f>
        <v>#N/A</v>
      </c>
      <c r="D117" s="5"/>
      <c r="E117" s="5" t="n">
        <f aca="false">'Design Calculations'!M173</f>
        <v>93.4316772079115</v>
      </c>
      <c r="F117" s="5" t="n">
        <f aca="false">'Design Calculations'!I173</f>
        <v>16.5100000000003</v>
      </c>
      <c r="G117" s="91" t="n">
        <f aca="false">'Design Calculations'!K173</f>
        <v>6.36022309107647</v>
      </c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</row>
    <row r="118" customFormat="false" ht="12.8" hidden="false" customHeight="false" outlineLevel="0" collapsed="false">
      <c r="A118" s="5" t="e">
        <f aca="false">'Design Calculations'!G174</f>
        <v>#N/A</v>
      </c>
      <c r="B118" s="5" t="n">
        <f aca="false">'Design Calculations'!C174</f>
        <v>13.78</v>
      </c>
      <c r="C118" s="90" t="e">
        <f aca="false">'Design Calculations'!E174</f>
        <v>#N/A</v>
      </c>
      <c r="D118" s="5"/>
      <c r="E118" s="5" t="n">
        <f aca="false">'Design Calculations'!M174</f>
        <v>93.5163132474699</v>
      </c>
      <c r="F118" s="5" t="n">
        <f aca="false">'Design Calculations'!I174</f>
        <v>16.3800000000003</v>
      </c>
      <c r="G118" s="91" t="n">
        <f aca="false">'Design Calculations'!K174</f>
        <v>6.31014259429634</v>
      </c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</row>
    <row r="119" customFormat="false" ht="12.8" hidden="false" customHeight="false" outlineLevel="0" collapsed="false">
      <c r="A119" s="5" t="e">
        <f aca="false">'Design Calculations'!G175</f>
        <v>#N/A</v>
      </c>
      <c r="B119" s="5" t="n">
        <f aca="false">'Design Calculations'!C175</f>
        <v>13.65</v>
      </c>
      <c r="C119" s="90" t="e">
        <f aca="false">'Design Calculations'!E175</f>
        <v>#N/A</v>
      </c>
      <c r="D119" s="5"/>
      <c r="E119" s="5" t="n">
        <f aca="false">'Design Calculations'!M175</f>
        <v>93.5879283578655</v>
      </c>
      <c r="F119" s="5" t="n">
        <f aca="false">'Design Calculations'!I175</f>
        <v>16.2500000000003</v>
      </c>
      <c r="G119" s="91" t="n">
        <f aca="false">'Design Calculations'!K175</f>
        <v>6.26006209751621</v>
      </c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</row>
    <row r="120" customFormat="false" ht="12.8" hidden="false" customHeight="false" outlineLevel="0" collapsed="false">
      <c r="A120" s="5" t="e">
        <f aca="false">'Design Calculations'!G176</f>
        <v>#N/A</v>
      </c>
      <c r="B120" s="5" t="n">
        <f aca="false">'Design Calculations'!C176</f>
        <v>13.52</v>
      </c>
      <c r="C120" s="90" t="e">
        <f aca="false">'Design Calculations'!E176</f>
        <v>#N/A</v>
      </c>
      <c r="D120" s="5"/>
      <c r="E120" s="5" t="n">
        <f aca="false">'Design Calculations'!M176</f>
        <v>93.6465225390983</v>
      </c>
      <c r="F120" s="5" t="n">
        <f aca="false">'Design Calculations'!I176</f>
        <v>16.1200000000003</v>
      </c>
      <c r="G120" s="91" t="n">
        <f aca="false">'Design Calculations'!K176</f>
        <v>6.20998160073609</v>
      </c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</row>
    <row r="121" customFormat="false" ht="12.8" hidden="false" customHeight="false" outlineLevel="0" collapsed="false">
      <c r="A121" s="5" t="e">
        <f aca="false">'Design Calculations'!G177</f>
        <v>#N/A</v>
      </c>
      <c r="B121" s="5" t="n">
        <f aca="false">'Design Calculations'!C177</f>
        <v>13.39</v>
      </c>
      <c r="C121" s="90" t="e">
        <f aca="false">'Design Calculations'!E177</f>
        <v>#N/A</v>
      </c>
      <c r="D121" s="5"/>
      <c r="E121" s="5" t="n">
        <f aca="false">'Design Calculations'!M177</f>
        <v>93.6920957911683</v>
      </c>
      <c r="F121" s="5" t="n">
        <f aca="false">'Design Calculations'!I177</f>
        <v>15.9900000000003</v>
      </c>
      <c r="G121" s="91" t="n">
        <f aca="false">'Design Calculations'!K177</f>
        <v>6.15990110395596</v>
      </c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</row>
    <row r="122" customFormat="false" ht="12.8" hidden="false" customHeight="false" outlineLevel="0" collapsed="false">
      <c r="A122" s="5" t="e">
        <f aca="false">'Design Calculations'!G178</f>
        <v>#N/A</v>
      </c>
      <c r="B122" s="5" t="n">
        <f aca="false">'Design Calculations'!C178</f>
        <v>13.26</v>
      </c>
      <c r="C122" s="90" t="e">
        <f aca="false">'Design Calculations'!E178</f>
        <v>#N/A</v>
      </c>
      <c r="D122" s="5"/>
      <c r="E122" s="5" t="n">
        <f aca="false">'Design Calculations'!M178</f>
        <v>93.7246481140754</v>
      </c>
      <c r="F122" s="5" t="n">
        <f aca="false">'Design Calculations'!I178</f>
        <v>15.8600000000003</v>
      </c>
      <c r="G122" s="91" t="n">
        <f aca="false">'Design Calculations'!K178</f>
        <v>6.10982060717583</v>
      </c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</row>
    <row r="123" customFormat="false" ht="12.8" hidden="false" customHeight="false" outlineLevel="0" collapsed="false">
      <c r="A123" s="5" t="e">
        <f aca="false">'Design Calculations'!G179</f>
        <v>#N/A</v>
      </c>
      <c r="B123" s="5" t="n">
        <f aca="false">'Design Calculations'!C179</f>
        <v>13.13</v>
      </c>
      <c r="C123" s="90" t="e">
        <f aca="false">'Design Calculations'!E179</f>
        <v>#N/A</v>
      </c>
      <c r="D123" s="5"/>
      <c r="E123" s="5" t="n">
        <f aca="false">'Design Calculations'!M179</f>
        <v>93.7441795078196</v>
      </c>
      <c r="F123" s="5" t="n">
        <f aca="false">'Design Calculations'!I179</f>
        <v>15.7300000000003</v>
      </c>
      <c r="G123" s="91" t="n">
        <f aca="false">'Design Calculations'!K179</f>
        <v>6.0597401103957</v>
      </c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</row>
    <row r="124" customFormat="false" ht="12.8" hidden="false" customHeight="false" outlineLevel="0" collapsed="false">
      <c r="A124" s="5" t="e">
        <f aca="false">'Design Calculations'!G180</f>
        <v>#N/A</v>
      </c>
      <c r="B124" s="5" t="n">
        <f aca="false">'Design Calculations'!C180</f>
        <v>13</v>
      </c>
      <c r="C124" s="90" t="e">
        <f aca="false">'Design Calculations'!E180</f>
        <v>#N/A</v>
      </c>
      <c r="D124" s="5"/>
      <c r="E124" s="5" t="n">
        <f aca="false">'Design Calculations'!M180</f>
        <v>93.7506899724011</v>
      </c>
      <c r="F124" s="5" t="n">
        <f aca="false">'Design Calculations'!I180</f>
        <v>15.6000000000003</v>
      </c>
      <c r="G124" s="91" t="n">
        <f aca="false">'Design Calculations'!K180</f>
        <v>6.00965961361557</v>
      </c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</row>
    <row r="125" customFormat="false" ht="12.8" hidden="false" customHeight="false" outlineLevel="0" collapsed="false">
      <c r="A125" s="5" t="e">
        <f aca="false">'Design Calculations'!G181</f>
        <v>#N/A</v>
      </c>
      <c r="B125" s="5" t="n">
        <f aca="false">'Design Calculations'!C181</f>
        <v>12.87</v>
      </c>
      <c r="C125" s="90" t="e">
        <f aca="false">'Design Calculations'!E181</f>
        <v>#N/A</v>
      </c>
      <c r="D125" s="5"/>
      <c r="E125" s="5" t="n">
        <f aca="false">'Design Calculations'!M181</f>
        <v>93.7441795078197</v>
      </c>
      <c r="F125" s="5" t="n">
        <f aca="false">'Design Calculations'!I181</f>
        <v>15.4700000000003</v>
      </c>
      <c r="G125" s="91" t="n">
        <f aca="false">'Design Calculations'!K181</f>
        <v>5.95957911683544</v>
      </c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</row>
    <row r="126" customFormat="false" ht="12.8" hidden="false" customHeight="false" outlineLevel="0" collapsed="false">
      <c r="A126" s="5" t="e">
        <f aca="false">'Design Calculations'!G182</f>
        <v>#N/A</v>
      </c>
      <c r="B126" s="5" t="n">
        <f aca="false">'Design Calculations'!C182</f>
        <v>12.74</v>
      </c>
      <c r="C126" s="90" t="e">
        <f aca="false">'Design Calculations'!E182</f>
        <v>#N/A</v>
      </c>
      <c r="D126" s="5"/>
      <c r="E126" s="5" t="n">
        <f aca="false">'Design Calculations'!M182</f>
        <v>93.7246481140755</v>
      </c>
      <c r="F126" s="5" t="n">
        <f aca="false">'Design Calculations'!I182</f>
        <v>15.3400000000003</v>
      </c>
      <c r="G126" s="91" t="n">
        <f aca="false">'Design Calculations'!K182</f>
        <v>5.90949862005531</v>
      </c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</row>
    <row r="127" customFormat="false" ht="12.8" hidden="false" customHeight="false" outlineLevel="0" collapsed="false">
      <c r="A127" s="5" t="e">
        <f aca="false">'Design Calculations'!G183</f>
        <v>#N/A</v>
      </c>
      <c r="B127" s="5" t="n">
        <f aca="false">'Design Calculations'!C183</f>
        <v>12.61</v>
      </c>
      <c r="C127" s="90" t="e">
        <f aca="false">'Design Calculations'!E183</f>
        <v>#N/A</v>
      </c>
      <c r="D127" s="5"/>
      <c r="E127" s="5" t="n">
        <f aca="false">'Design Calculations'!M183</f>
        <v>93.6920957911684</v>
      </c>
      <c r="F127" s="5" t="n">
        <f aca="false">'Design Calculations'!I183</f>
        <v>15.2100000000003</v>
      </c>
      <c r="G127" s="91" t="n">
        <f aca="false">'Design Calculations'!K183</f>
        <v>5.85941812327518</v>
      </c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</row>
    <row r="128" customFormat="false" ht="12.8" hidden="false" customHeight="false" outlineLevel="0" collapsed="false">
      <c r="A128" s="5" t="e">
        <f aca="false">'Design Calculations'!G184</f>
        <v>#N/A</v>
      </c>
      <c r="B128" s="5" t="n">
        <f aca="false">'Design Calculations'!C184</f>
        <v>12.48</v>
      </c>
      <c r="C128" s="90" t="e">
        <f aca="false">'Design Calculations'!E184</f>
        <v>#N/A</v>
      </c>
      <c r="D128" s="5"/>
      <c r="E128" s="5" t="n">
        <f aca="false">'Design Calculations'!M184</f>
        <v>93.6465225390985</v>
      </c>
      <c r="F128" s="5" t="n">
        <f aca="false">'Design Calculations'!I184</f>
        <v>15.0800000000003</v>
      </c>
      <c r="G128" s="91" t="n">
        <f aca="false">'Design Calculations'!K184</f>
        <v>5.80933762649506</v>
      </c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</row>
    <row r="129" customFormat="false" ht="12.8" hidden="false" customHeight="false" outlineLevel="0" collapsed="false">
      <c r="A129" s="5" t="e">
        <f aca="false">'Design Calculations'!G185</f>
        <v>#N/A</v>
      </c>
      <c r="B129" s="5" t="n">
        <f aca="false">'Design Calculations'!C185</f>
        <v>12.35</v>
      </c>
      <c r="C129" s="90" t="e">
        <f aca="false">'Design Calculations'!E185</f>
        <v>#N/A</v>
      </c>
      <c r="D129" s="5"/>
      <c r="E129" s="5" t="n">
        <f aca="false">'Design Calculations'!M185</f>
        <v>93.5879283578658</v>
      </c>
      <c r="F129" s="5" t="n">
        <f aca="false">'Design Calculations'!I185</f>
        <v>14.9500000000003</v>
      </c>
      <c r="G129" s="91" t="n">
        <f aca="false">'Design Calculations'!K185</f>
        <v>5.75925712971493</v>
      </c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</row>
    <row r="130" customFormat="false" ht="12.8" hidden="false" customHeight="false" outlineLevel="0" collapsed="false">
      <c r="A130" s="5" t="e">
        <f aca="false">'Design Calculations'!G186</f>
        <v>#N/A</v>
      </c>
      <c r="B130" s="5" t="n">
        <f aca="false">'Design Calculations'!C186</f>
        <v>12.22</v>
      </c>
      <c r="C130" s="90" t="e">
        <f aca="false">'Design Calculations'!E186</f>
        <v>#N/A</v>
      </c>
      <c r="D130" s="5"/>
      <c r="E130" s="5" t="n">
        <f aca="false">'Design Calculations'!M186</f>
        <v>93.5163132474703</v>
      </c>
      <c r="F130" s="5" t="n">
        <f aca="false">'Design Calculations'!I186</f>
        <v>14.8200000000003</v>
      </c>
      <c r="G130" s="91" t="n">
        <f aca="false">'Design Calculations'!K186</f>
        <v>5.7091766329348</v>
      </c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</row>
    <row r="131" customFormat="false" ht="12.8" hidden="false" customHeight="false" outlineLevel="0" collapsed="false">
      <c r="A131" s="5" t="e">
        <f aca="false">'Design Calculations'!G187</f>
        <v>#N/A</v>
      </c>
      <c r="B131" s="5" t="n">
        <f aca="false">'Design Calculations'!C187</f>
        <v>12.09</v>
      </c>
      <c r="C131" s="90" t="e">
        <f aca="false">'Design Calculations'!E187</f>
        <v>#N/A</v>
      </c>
      <c r="D131" s="5"/>
      <c r="E131" s="5" t="n">
        <f aca="false">'Design Calculations'!M187</f>
        <v>93.431677207912</v>
      </c>
      <c r="F131" s="5" t="n">
        <f aca="false">'Design Calculations'!I187</f>
        <v>14.6900000000004</v>
      </c>
      <c r="G131" s="91" t="n">
        <f aca="false">'Design Calculations'!K187</f>
        <v>5.65909613615471</v>
      </c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</row>
    <row r="132" customFormat="false" ht="12.8" hidden="false" customHeight="false" outlineLevel="0" collapsed="false">
      <c r="A132" s="5" t="e">
        <f aca="false">'Design Calculations'!G188</f>
        <v>#N/A</v>
      </c>
      <c r="B132" s="5" t="n">
        <f aca="false">'Design Calculations'!C188</f>
        <v>11.96</v>
      </c>
      <c r="C132" s="90" t="e">
        <f aca="false">'Design Calculations'!E188</f>
        <v>#N/A</v>
      </c>
      <c r="D132" s="5"/>
      <c r="E132" s="5" t="n">
        <f aca="false">'Design Calculations'!M188</f>
        <v>93.3340202391908</v>
      </c>
      <c r="F132" s="5" t="n">
        <f aca="false">'Design Calculations'!I188</f>
        <v>14.5600000000004</v>
      </c>
      <c r="G132" s="91" t="n">
        <f aca="false">'Design Calculations'!K188</f>
        <v>5.60901563937458</v>
      </c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</row>
    <row r="133" customFormat="false" ht="12.8" hidden="false" customHeight="false" outlineLevel="0" collapsed="false">
      <c r="A133" s="5" t="e">
        <f aca="false">'Design Calculations'!G189</f>
        <v>#N/A</v>
      </c>
      <c r="B133" s="5" t="n">
        <f aca="false">'Design Calculations'!C189</f>
        <v>11.83</v>
      </c>
      <c r="C133" s="90" t="e">
        <f aca="false">'Design Calculations'!E189</f>
        <v>#N/A</v>
      </c>
      <c r="D133" s="5"/>
      <c r="E133" s="5" t="n">
        <f aca="false">'Design Calculations'!M189</f>
        <v>93.2233423413067</v>
      </c>
      <c r="F133" s="5" t="n">
        <f aca="false">'Design Calculations'!I189</f>
        <v>14.4300000000004</v>
      </c>
      <c r="G133" s="91" t="n">
        <f aca="false">'Design Calculations'!K189</f>
        <v>5.55893514259445</v>
      </c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</row>
    <row r="134" customFormat="false" ht="12.8" hidden="false" customHeight="false" outlineLevel="0" collapsed="false">
      <c r="A134" s="5" t="e">
        <f aca="false">'Design Calculations'!G190</f>
        <v>#N/A</v>
      </c>
      <c r="B134" s="5" t="n">
        <f aca="false">'Design Calculations'!C190</f>
        <v>11.7</v>
      </c>
      <c r="C134" s="90" t="e">
        <f aca="false">'Design Calculations'!E190</f>
        <v>#N/A</v>
      </c>
      <c r="D134" s="5"/>
      <c r="E134" s="5" t="n">
        <f aca="false">'Design Calculations'!M190</f>
        <v>93.0996435142598</v>
      </c>
      <c r="F134" s="5" t="n">
        <f aca="false">'Design Calculations'!I190</f>
        <v>14.3000000000004</v>
      </c>
      <c r="G134" s="91" t="n">
        <f aca="false">'Design Calculations'!K190</f>
        <v>5.50885464581432</v>
      </c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</row>
    <row r="135" customFormat="false" ht="12.8" hidden="false" customHeight="false" outlineLevel="0" collapsed="false">
      <c r="A135" s="5" t="e">
        <f aca="false">'Design Calculations'!G191</f>
        <v>#N/A</v>
      </c>
      <c r="B135" s="5" t="n">
        <f aca="false">'Design Calculations'!C191</f>
        <v>11.57</v>
      </c>
      <c r="C135" s="90" t="e">
        <f aca="false">'Design Calculations'!E191</f>
        <v>#N/A</v>
      </c>
      <c r="D135" s="5"/>
      <c r="E135" s="5" t="n">
        <f aca="false">'Design Calculations'!M191</f>
        <v>92.9629237580501</v>
      </c>
      <c r="F135" s="5" t="n">
        <f aca="false">'Design Calculations'!I191</f>
        <v>14.1700000000004</v>
      </c>
      <c r="G135" s="91" t="n">
        <f aca="false">'Design Calculations'!K191</f>
        <v>5.45877414903419</v>
      </c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</row>
    <row r="136" customFormat="false" ht="12.8" hidden="false" customHeight="false" outlineLevel="0" collapsed="false">
      <c r="A136" s="5" t="e">
        <f aca="false">'Design Calculations'!G192</f>
        <v>#N/A</v>
      </c>
      <c r="B136" s="5" t="n">
        <f aca="false">'Design Calculations'!C192</f>
        <v>11.44</v>
      </c>
      <c r="C136" s="90" t="e">
        <f aca="false">'Design Calculations'!E192</f>
        <v>#N/A</v>
      </c>
      <c r="D136" s="5"/>
      <c r="E136" s="5" t="n">
        <f aca="false">'Design Calculations'!M192</f>
        <v>92.8131830726776</v>
      </c>
      <c r="F136" s="5" t="n">
        <f aca="false">'Design Calculations'!I192</f>
        <v>14.0400000000004</v>
      </c>
      <c r="G136" s="91" t="n">
        <f aca="false">'Design Calculations'!K192</f>
        <v>5.40869365225406</v>
      </c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</row>
    <row r="137" customFormat="false" ht="12.8" hidden="false" customHeight="false" outlineLevel="0" collapsed="false">
      <c r="A137" s="5" t="e">
        <f aca="false">'Design Calculations'!G193</f>
        <v>#N/A</v>
      </c>
      <c r="B137" s="5" t="n">
        <f aca="false">'Design Calculations'!C193</f>
        <v>11.31</v>
      </c>
      <c r="C137" s="90" t="e">
        <f aca="false">'Design Calculations'!E193</f>
        <v>#N/A</v>
      </c>
      <c r="D137" s="5"/>
      <c r="E137" s="5" t="n">
        <f aca="false">'Design Calculations'!M193</f>
        <v>92.6504214581422</v>
      </c>
      <c r="F137" s="5" t="n">
        <f aca="false">'Design Calculations'!I193</f>
        <v>13.9100000000004</v>
      </c>
      <c r="G137" s="91" t="n">
        <f aca="false">'Design Calculations'!K193</f>
        <v>5.35861315547393</v>
      </c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</row>
    <row r="138" customFormat="false" ht="12.8" hidden="false" customHeight="false" outlineLevel="0" collapsed="false">
      <c r="A138" s="5" t="e">
        <f aca="false">'Design Calculations'!G194</f>
        <v>#N/A</v>
      </c>
      <c r="B138" s="5" t="n">
        <f aca="false">'Design Calculations'!C194</f>
        <v>11.18</v>
      </c>
      <c r="C138" s="90" t="e">
        <f aca="false">'Design Calculations'!E194</f>
        <v>#N/A</v>
      </c>
      <c r="D138" s="5"/>
      <c r="E138" s="5" t="n">
        <f aca="false">'Design Calculations'!M194</f>
        <v>92.474638914444</v>
      </c>
      <c r="F138" s="5" t="n">
        <f aca="false">'Design Calculations'!I194</f>
        <v>13.7800000000004</v>
      </c>
      <c r="G138" s="91" t="n">
        <f aca="false">'Design Calculations'!K194</f>
        <v>5.30853265869381</v>
      </c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</row>
    <row r="139" customFormat="false" ht="12.8" hidden="false" customHeight="false" outlineLevel="0" collapsed="false">
      <c r="A139" s="5" t="e">
        <f aca="false">'Design Calculations'!G195</f>
        <v>#N/A</v>
      </c>
      <c r="B139" s="5" t="n">
        <f aca="false">'Design Calculations'!C195</f>
        <v>11.05</v>
      </c>
      <c r="C139" s="90" t="e">
        <f aca="false">'Design Calculations'!E195</f>
        <v>#N/A</v>
      </c>
      <c r="D139" s="5"/>
      <c r="E139" s="5" t="n">
        <f aca="false">'Design Calculations'!M195</f>
        <v>92.2858354415829</v>
      </c>
      <c r="F139" s="5" t="n">
        <f aca="false">'Design Calculations'!I195</f>
        <v>13.6500000000004</v>
      </c>
      <c r="G139" s="91" t="n">
        <f aca="false">'Design Calculations'!K195</f>
        <v>5.25845216191368</v>
      </c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</row>
    <row r="140" customFormat="false" ht="12.8" hidden="false" customHeight="false" outlineLevel="0" collapsed="false">
      <c r="A140" s="5" t="e">
        <f aca="false">'Design Calculations'!G196</f>
        <v>#N/A</v>
      </c>
      <c r="B140" s="5" t="n">
        <f aca="false">'Design Calculations'!C196</f>
        <v>10.92</v>
      </c>
      <c r="C140" s="90" t="e">
        <f aca="false">'Design Calculations'!E196</f>
        <v>#N/A</v>
      </c>
      <c r="D140" s="5"/>
      <c r="E140" s="5" t="n">
        <f aca="false">'Design Calculations'!M196</f>
        <v>92.084011039559</v>
      </c>
      <c r="F140" s="5" t="n">
        <f aca="false">'Design Calculations'!I196</f>
        <v>13.5200000000004</v>
      </c>
      <c r="G140" s="91" t="n">
        <f aca="false">'Design Calculations'!K196</f>
        <v>5.20837166513355</v>
      </c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</row>
    <row r="141" customFormat="false" ht="12.8" hidden="false" customHeight="false" outlineLevel="0" collapsed="false">
      <c r="A141" s="5" t="e">
        <f aca="false">'Design Calculations'!G197</f>
        <v>#N/A</v>
      </c>
      <c r="B141" s="5" t="n">
        <f aca="false">'Design Calculations'!C197</f>
        <v>10.79</v>
      </c>
      <c r="C141" s="90" t="e">
        <f aca="false">'Design Calculations'!E197</f>
        <v>#N/A</v>
      </c>
      <c r="D141" s="5"/>
      <c r="E141" s="5" t="n">
        <f aca="false">'Design Calculations'!M197</f>
        <v>91.8691657083723</v>
      </c>
      <c r="F141" s="5" t="n">
        <f aca="false">'Design Calculations'!I197</f>
        <v>13.3900000000004</v>
      </c>
      <c r="G141" s="91" t="n">
        <f aca="false">'Design Calculations'!K197</f>
        <v>5.15829116835342</v>
      </c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</row>
    <row r="142" customFormat="false" ht="12.8" hidden="false" customHeight="false" outlineLevel="0" collapsed="false">
      <c r="A142" s="5" t="e">
        <f aca="false">'Design Calculations'!G198</f>
        <v>#N/A</v>
      </c>
      <c r="B142" s="5" t="n">
        <f aca="false">'Design Calculations'!C198</f>
        <v>10.66</v>
      </c>
      <c r="C142" s="90" t="e">
        <f aca="false">'Design Calculations'!E198</f>
        <v>#N/A</v>
      </c>
      <c r="D142" s="5"/>
      <c r="E142" s="5" t="n">
        <f aca="false">'Design Calculations'!M198</f>
        <v>91.6412994480228</v>
      </c>
      <c r="F142" s="5" t="n">
        <f aca="false">'Design Calculations'!I198</f>
        <v>13.2600000000004</v>
      </c>
      <c r="G142" s="91" t="n">
        <f aca="false">'Design Calculations'!K198</f>
        <v>5.10821067157329</v>
      </c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</row>
    <row r="143" customFormat="false" ht="12.8" hidden="false" customHeight="false" outlineLevel="0" collapsed="false">
      <c r="A143" s="5" t="e">
        <f aca="false">'Design Calculations'!G199</f>
        <v>#N/A</v>
      </c>
      <c r="B143" s="5" t="n">
        <f aca="false">'Design Calculations'!C199</f>
        <v>10.53</v>
      </c>
      <c r="C143" s="90" t="e">
        <f aca="false">'Design Calculations'!E199</f>
        <v>#N/A</v>
      </c>
      <c r="D143" s="5"/>
      <c r="E143" s="5" t="n">
        <f aca="false">'Design Calculations'!M199</f>
        <v>91.4004122585104</v>
      </c>
      <c r="F143" s="5" t="n">
        <f aca="false">'Design Calculations'!I199</f>
        <v>13.1300000000004</v>
      </c>
      <c r="G143" s="91" t="n">
        <f aca="false">'Design Calculations'!K199</f>
        <v>5.05813017479316</v>
      </c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</row>
    <row r="144" customFormat="false" ht="12.8" hidden="false" customHeight="false" outlineLevel="0" collapsed="false">
      <c r="A144" s="5" t="e">
        <f aca="false">'Design Calculations'!G200</f>
        <v>#N/A</v>
      </c>
      <c r="B144" s="5" t="n">
        <f aca="false">'Design Calculations'!C200</f>
        <v>10.4</v>
      </c>
      <c r="C144" s="90" t="e">
        <f aca="false">'Design Calculations'!E200</f>
        <v>#N/A</v>
      </c>
      <c r="D144" s="5"/>
      <c r="E144" s="5" t="n">
        <f aca="false">'Design Calculations'!M200</f>
        <v>91.1465041398352</v>
      </c>
      <c r="F144" s="5" t="n">
        <f aca="false">'Design Calculations'!I200</f>
        <v>13.0000000000004</v>
      </c>
      <c r="G144" s="91" t="n">
        <f aca="false">'Design Calculations'!K200</f>
        <v>5.00804967801303</v>
      </c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</row>
    <row r="145" customFormat="false" ht="12.8" hidden="false" customHeight="false" outlineLevel="0" collapsed="false">
      <c r="A145" s="5" t="e">
        <f aca="false">'Design Calculations'!G201</f>
        <v>#N/A</v>
      </c>
      <c r="B145" s="5" t="n">
        <f aca="false">'Design Calculations'!C201</f>
        <v>10.27</v>
      </c>
      <c r="C145" s="90" t="e">
        <f aca="false">'Design Calculations'!E201</f>
        <v>#N/A</v>
      </c>
      <c r="D145" s="5"/>
      <c r="E145" s="5" t="n">
        <f aca="false">'Design Calculations'!M201</f>
        <v>90.8795750919972</v>
      </c>
      <c r="F145" s="5" t="n">
        <f aca="false">'Design Calculations'!I201</f>
        <v>12.8700000000004</v>
      </c>
      <c r="G145" s="91" t="n">
        <f aca="false">'Design Calculations'!K201</f>
        <v>4.9579691812329</v>
      </c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</row>
    <row r="146" customFormat="false" ht="12.8" hidden="false" customHeight="false" outlineLevel="0" collapsed="false">
      <c r="A146" s="5" t="e">
        <f aca="false">'Design Calculations'!G202</f>
        <v>#N/A</v>
      </c>
      <c r="B146" s="5" t="n">
        <f aca="false">'Design Calculations'!C202</f>
        <v>10.14</v>
      </c>
      <c r="C146" s="90" t="e">
        <f aca="false">'Design Calculations'!E202</f>
        <v>#N/A</v>
      </c>
      <c r="D146" s="5"/>
      <c r="E146" s="5" t="n">
        <f aca="false">'Design Calculations'!M202</f>
        <v>90.5996251149963</v>
      </c>
      <c r="F146" s="5" t="n">
        <f aca="false">'Design Calculations'!I202</f>
        <v>12.7400000000004</v>
      </c>
      <c r="G146" s="91" t="n">
        <f aca="false">'Design Calculations'!K202</f>
        <v>4.90788868445278</v>
      </c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</row>
    <row r="147" customFormat="false" ht="12.8" hidden="false" customHeight="false" outlineLevel="0" collapsed="false">
      <c r="A147" s="5" t="e">
        <f aca="false">'Design Calculations'!G203</f>
        <v>#N/A</v>
      </c>
      <c r="B147" s="5" t="n">
        <f aca="false">'Design Calculations'!C203</f>
        <v>10.01</v>
      </c>
      <c r="C147" s="90" t="e">
        <f aca="false">'Design Calculations'!E203</f>
        <v>#N/A</v>
      </c>
      <c r="D147" s="5"/>
      <c r="E147" s="5" t="n">
        <f aca="false">'Design Calculations'!M203</f>
        <v>90.3066542088326</v>
      </c>
      <c r="F147" s="5" t="n">
        <f aca="false">'Design Calculations'!I203</f>
        <v>12.6100000000004</v>
      </c>
      <c r="G147" s="91" t="n">
        <f aca="false">'Design Calculations'!K203</f>
        <v>4.85780818767265</v>
      </c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</row>
    <row r="148" customFormat="false" ht="12.8" hidden="false" customHeight="false" outlineLevel="0" collapsed="false">
      <c r="A148" s="5" t="e">
        <f aca="false">'Design Calculations'!G204</f>
        <v>#N/A</v>
      </c>
      <c r="B148" s="5" t="n">
        <f aca="false">'Design Calculations'!C204</f>
        <v>9.87999999999997</v>
      </c>
      <c r="C148" s="90" t="e">
        <f aca="false">'Design Calculations'!E204</f>
        <v>#N/A</v>
      </c>
      <c r="D148" s="5"/>
      <c r="E148" s="5" t="n">
        <f aca="false">'Design Calculations'!M204</f>
        <v>90.000662373506</v>
      </c>
      <c r="F148" s="5" t="n">
        <f aca="false">'Design Calculations'!I204</f>
        <v>12.4800000000004</v>
      </c>
      <c r="G148" s="91" t="n">
        <f aca="false">'Design Calculations'!K204</f>
        <v>4.80772769089252</v>
      </c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</row>
    <row r="149" customFormat="false" ht="12.8" hidden="false" customHeight="false" outlineLevel="0" collapsed="false">
      <c r="A149" s="5" t="e">
        <f aca="false">'Design Calculations'!G205</f>
        <v>#N/A</v>
      </c>
      <c r="B149" s="5" t="n">
        <f aca="false">'Design Calculations'!C205</f>
        <v>9.74999999999997</v>
      </c>
      <c r="C149" s="90" t="e">
        <f aca="false">'Design Calculations'!E205</f>
        <v>#N/A</v>
      </c>
      <c r="D149" s="5"/>
      <c r="E149" s="5" t="n">
        <f aca="false">'Design Calculations'!M205</f>
        <v>89.6816496090166</v>
      </c>
      <c r="F149" s="5" t="n">
        <f aca="false">'Design Calculations'!I205</f>
        <v>12.3500000000004</v>
      </c>
      <c r="G149" s="91" t="n">
        <f aca="false">'Design Calculations'!K205</f>
        <v>4.75764719411239</v>
      </c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</row>
    <row r="150" customFormat="false" ht="12.8" hidden="false" customHeight="false" outlineLevel="0" collapsed="false">
      <c r="A150" s="5" t="e">
        <f aca="false">'Design Calculations'!G206</f>
        <v>#N/A</v>
      </c>
      <c r="B150" s="5" t="n">
        <f aca="false">'Design Calculations'!C206</f>
        <v>9.61999999999997</v>
      </c>
      <c r="C150" s="90" t="e">
        <f aca="false">'Design Calculations'!E206</f>
        <v>#N/A</v>
      </c>
      <c r="D150" s="5"/>
      <c r="E150" s="5" t="n">
        <f aca="false">'Design Calculations'!M206</f>
        <v>89.3496159153644</v>
      </c>
      <c r="F150" s="5" t="n">
        <f aca="false">'Design Calculations'!I206</f>
        <v>12.2200000000004</v>
      </c>
      <c r="G150" s="91" t="n">
        <f aca="false">'Design Calculations'!K206</f>
        <v>4.70756669733226</v>
      </c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</row>
    <row r="151" customFormat="false" ht="12.8" hidden="false" customHeight="false" outlineLevel="0" collapsed="false">
      <c r="A151" s="5" t="e">
        <f aca="false">'Design Calculations'!G207</f>
        <v>#N/A</v>
      </c>
      <c r="B151" s="5" t="n">
        <f aca="false">'Design Calculations'!C207</f>
        <v>9.48999999999997</v>
      </c>
      <c r="C151" s="90" t="e">
        <f aca="false">'Design Calculations'!E207</f>
        <v>#N/A</v>
      </c>
      <c r="D151" s="5"/>
      <c r="E151" s="5" t="n">
        <f aca="false">'Design Calculations'!M207</f>
        <v>89.0045612925494</v>
      </c>
      <c r="F151" s="5" t="n">
        <f aca="false">'Design Calculations'!I207</f>
        <v>12.0900000000004</v>
      </c>
      <c r="G151" s="91" t="n">
        <f aca="false">'Design Calculations'!K207</f>
        <v>4.65748620055213</v>
      </c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</row>
    <row r="152" customFormat="false" ht="12.8" hidden="false" customHeight="false" outlineLevel="0" collapsed="false">
      <c r="A152" s="5" t="e">
        <f aca="false">'Design Calculations'!G208</f>
        <v>#N/A</v>
      </c>
      <c r="B152" s="5" t="n">
        <f aca="false">'Design Calculations'!C208</f>
        <v>9.35999999999998</v>
      </c>
      <c r="C152" s="90" t="e">
        <f aca="false">'Design Calculations'!E208</f>
        <v>#N/A</v>
      </c>
      <c r="D152" s="5"/>
      <c r="E152" s="5" t="n">
        <f aca="false">'Design Calculations'!M208</f>
        <v>88.6464857405715</v>
      </c>
      <c r="F152" s="5" t="n">
        <f aca="false">'Design Calculations'!I208</f>
        <v>11.9600000000004</v>
      </c>
      <c r="G152" s="91" t="n">
        <f aca="false">'Design Calculations'!K208</f>
        <v>4.607405703772</v>
      </c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</row>
    <row r="153" customFormat="false" ht="12.8" hidden="false" customHeight="false" outlineLevel="0" collapsed="false">
      <c r="A153" s="5" t="e">
        <f aca="false">'Design Calculations'!G209</f>
        <v>#N/A</v>
      </c>
      <c r="B153" s="5" t="n">
        <f aca="false">'Design Calculations'!C209</f>
        <v>9.22999999999997</v>
      </c>
      <c r="C153" s="90" t="e">
        <f aca="false">'Design Calculations'!E209</f>
        <v>#N/A</v>
      </c>
      <c r="D153" s="5"/>
      <c r="E153" s="5" t="n">
        <f aca="false">'Design Calculations'!M209</f>
        <v>88.2753892594308</v>
      </c>
      <c r="F153" s="5" t="n">
        <f aca="false">'Design Calculations'!I209</f>
        <v>11.8300000000004</v>
      </c>
      <c r="G153" s="91" t="n">
        <f aca="false">'Design Calculations'!K209</f>
        <v>4.55732520699187</v>
      </c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</row>
    <row r="154" customFormat="false" ht="12.8" hidden="false" customHeight="false" outlineLevel="0" collapsed="false">
      <c r="A154" s="5" t="e">
        <f aca="false">'Design Calculations'!G210</f>
        <v>#N/A</v>
      </c>
      <c r="B154" s="5" t="n">
        <f aca="false">'Design Calculations'!C210</f>
        <v>9.09999999999997</v>
      </c>
      <c r="C154" s="90" t="e">
        <f aca="false">'Design Calculations'!E210</f>
        <v>#N/A</v>
      </c>
      <c r="D154" s="5"/>
      <c r="E154" s="5" t="n">
        <f aca="false">'Design Calculations'!M210</f>
        <v>87.8912718491272</v>
      </c>
      <c r="F154" s="5" t="n">
        <f aca="false">'Design Calculations'!I210</f>
        <v>11.7000000000004</v>
      </c>
      <c r="G154" s="91" t="n">
        <f aca="false">'Design Calculations'!K210</f>
        <v>4.50724471021175</v>
      </c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</row>
    <row r="155" customFormat="false" ht="12.8" hidden="false" customHeight="false" outlineLevel="0" collapsed="false">
      <c r="A155" s="5" t="e">
        <f aca="false">'Design Calculations'!G211</f>
        <v>#N/A</v>
      </c>
      <c r="B155" s="5" t="n">
        <f aca="false">'Design Calculations'!C211</f>
        <v>8.96999999999997</v>
      </c>
      <c r="C155" s="90" t="e">
        <f aca="false">'Design Calculations'!E211</f>
        <v>#N/A</v>
      </c>
      <c r="D155" s="5"/>
      <c r="E155" s="5" t="n">
        <f aca="false">'Design Calculations'!M211</f>
        <v>87.4941335096608</v>
      </c>
      <c r="F155" s="5" t="n">
        <f aca="false">'Design Calculations'!I211</f>
        <v>11.5700000000004</v>
      </c>
      <c r="G155" s="91" t="n">
        <f aca="false">'Design Calculations'!K211</f>
        <v>4.45716421343162</v>
      </c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</row>
    <row r="156" customFormat="false" ht="12.8" hidden="false" customHeight="false" outlineLevel="0" collapsed="false">
      <c r="A156" s="5" t="e">
        <f aca="false">'Design Calculations'!G212</f>
        <v>#N/A</v>
      </c>
      <c r="B156" s="5" t="n">
        <f aca="false">'Design Calculations'!C212</f>
        <v>8.83999999999998</v>
      </c>
      <c r="C156" s="90" t="e">
        <f aca="false">'Design Calculations'!E212</f>
        <v>#N/A</v>
      </c>
      <c r="D156" s="5"/>
      <c r="E156" s="5" t="n">
        <f aca="false">'Design Calculations'!M212</f>
        <v>87.0839742410316</v>
      </c>
      <c r="F156" s="5" t="n">
        <f aca="false">'Design Calculations'!I212</f>
        <v>11.4400000000004</v>
      </c>
      <c r="G156" s="91" t="n">
        <f aca="false">'Design Calculations'!K212</f>
        <v>4.40708371665149</v>
      </c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</row>
    <row r="157" customFormat="false" ht="12.8" hidden="false" customHeight="false" outlineLevel="0" collapsed="false">
      <c r="A157" s="5" t="e">
        <f aca="false">'Design Calculations'!G213</f>
        <v>#N/A</v>
      </c>
      <c r="B157" s="5" t="n">
        <f aca="false">'Design Calculations'!C213</f>
        <v>8.70999999999997</v>
      </c>
      <c r="C157" s="90" t="e">
        <f aca="false">'Design Calculations'!E213</f>
        <v>#N/A</v>
      </c>
      <c r="D157" s="5"/>
      <c r="E157" s="5" t="n">
        <f aca="false">'Design Calculations'!M213</f>
        <v>86.6607940432396</v>
      </c>
      <c r="F157" s="5" t="n">
        <f aca="false">'Design Calculations'!I213</f>
        <v>11.3100000000004</v>
      </c>
      <c r="G157" s="91" t="n">
        <f aca="false">'Design Calculations'!K213</f>
        <v>4.35700321987136</v>
      </c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</row>
    <row r="158" customFormat="false" ht="12.8" hidden="false" customHeight="false" outlineLevel="0" collapsed="false">
      <c r="A158" s="5" t="e">
        <f aca="false">'Design Calculations'!G214</f>
        <v>#N/A</v>
      </c>
      <c r="B158" s="5" t="n">
        <f aca="false">'Design Calculations'!C214</f>
        <v>8.57999999999998</v>
      </c>
      <c r="C158" s="90" t="e">
        <f aca="false">'Design Calculations'!E214</f>
        <v>#N/A</v>
      </c>
      <c r="D158" s="5"/>
      <c r="E158" s="5" t="n">
        <f aca="false">'Design Calculations'!M214</f>
        <v>86.2245929162847</v>
      </c>
      <c r="F158" s="5" t="n">
        <f aca="false">'Design Calculations'!I214</f>
        <v>11.1800000000004</v>
      </c>
      <c r="G158" s="91" t="n">
        <f aca="false">'Design Calculations'!K214</f>
        <v>4.30692272309123</v>
      </c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</row>
    <row r="159" customFormat="false" ht="12.8" hidden="false" customHeight="false" outlineLevel="0" collapsed="false">
      <c r="A159" s="5" t="e">
        <f aca="false">'Design Calculations'!G215</f>
        <v>#N/A</v>
      </c>
      <c r="B159" s="5" t="n">
        <f aca="false">'Design Calculations'!C215</f>
        <v>8.44999999999997</v>
      </c>
      <c r="C159" s="90" t="e">
        <f aca="false">'Design Calculations'!E215</f>
        <v>#N/A</v>
      </c>
      <c r="D159" s="5"/>
      <c r="E159" s="5" t="n">
        <f aca="false">'Design Calculations'!M215</f>
        <v>85.775370860167</v>
      </c>
      <c r="F159" s="5" t="n">
        <f aca="false">'Design Calculations'!I215</f>
        <v>11.0500000000004</v>
      </c>
      <c r="G159" s="91" t="n">
        <f aca="false">'Design Calculations'!K215</f>
        <v>4.2568422263111</v>
      </c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</row>
    <row r="160" customFormat="false" ht="12.8" hidden="false" customHeight="false" outlineLevel="0" collapsed="false">
      <c r="A160" s="5" t="e">
        <f aca="false">'Design Calculations'!G216</f>
        <v>#N/A</v>
      </c>
      <c r="B160" s="5" t="n">
        <f aca="false">'Design Calculations'!C216</f>
        <v>8.31999999999997</v>
      </c>
      <c r="C160" s="90" t="e">
        <f aca="false">'Design Calculations'!E216</f>
        <v>#N/A</v>
      </c>
      <c r="D160" s="5"/>
      <c r="E160" s="5" t="n">
        <f aca="false">'Design Calculations'!M216</f>
        <v>85.3131278748865</v>
      </c>
      <c r="F160" s="5" t="n">
        <f aca="false">'Design Calculations'!I216</f>
        <v>10.9200000000004</v>
      </c>
      <c r="G160" s="91" t="n">
        <f aca="false">'Design Calculations'!K216</f>
        <v>4.20676172953097</v>
      </c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</row>
    <row r="161" customFormat="false" ht="12.8" hidden="false" customHeight="false" outlineLevel="0" collapsed="false">
      <c r="A161" s="5" t="e">
        <f aca="false">'Design Calculations'!G217</f>
        <v>#N/A</v>
      </c>
      <c r="B161" s="5" t="n">
        <f aca="false">'Design Calculations'!C217</f>
        <v>8.18999999999998</v>
      </c>
      <c r="C161" s="90" t="e">
        <f aca="false">'Design Calculations'!E217</f>
        <v>#N/A</v>
      </c>
      <c r="D161" s="5"/>
      <c r="E161" s="5" t="n">
        <f aca="false">'Design Calculations'!M217</f>
        <v>84.8378639604431</v>
      </c>
      <c r="F161" s="5" t="n">
        <f aca="false">'Design Calculations'!I217</f>
        <v>10.7900000000004</v>
      </c>
      <c r="G161" s="91" t="n">
        <f aca="false">'Design Calculations'!K217</f>
        <v>4.15668123275084</v>
      </c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</row>
    <row r="162" customFormat="false" ht="12.8" hidden="false" customHeight="false" outlineLevel="0" collapsed="false">
      <c r="A162" s="5" t="e">
        <f aca="false">'Design Calculations'!G218</f>
        <v>#N/A</v>
      </c>
      <c r="B162" s="5" t="n">
        <f aca="false">'Design Calculations'!C218</f>
        <v>8.05999999999997</v>
      </c>
      <c r="C162" s="90" t="e">
        <f aca="false">'Design Calculations'!E218</f>
        <v>#N/A</v>
      </c>
      <c r="D162" s="5"/>
      <c r="E162" s="5" t="n">
        <f aca="false">'Design Calculations'!M218</f>
        <v>84.3495791168369</v>
      </c>
      <c r="F162" s="5" t="n">
        <f aca="false">'Design Calculations'!I218</f>
        <v>10.6600000000004</v>
      </c>
      <c r="G162" s="91" t="n">
        <f aca="false">'Design Calculations'!K218</f>
        <v>4.10660073597072</v>
      </c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</row>
    <row r="163" customFormat="false" ht="12.8" hidden="false" customHeight="false" outlineLevel="0" collapsed="false">
      <c r="A163" s="5" t="e">
        <f aca="false">'Design Calculations'!G219</f>
        <v>#N/A</v>
      </c>
      <c r="B163" s="5" t="n">
        <f aca="false">'Design Calculations'!C219</f>
        <v>7.92999999999997</v>
      </c>
      <c r="C163" s="90" t="e">
        <f aca="false">'Design Calculations'!E219</f>
        <v>#N/A</v>
      </c>
      <c r="D163" s="5"/>
      <c r="E163" s="5" t="n">
        <f aca="false">'Design Calculations'!M219</f>
        <v>83.8482733440678</v>
      </c>
      <c r="F163" s="5" t="n">
        <f aca="false">'Design Calculations'!I219</f>
        <v>10.5300000000004</v>
      </c>
      <c r="G163" s="91" t="n">
        <f aca="false">'Design Calculations'!K219</f>
        <v>4.05652023919059</v>
      </c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</row>
    <row r="164" customFormat="false" ht="12.8" hidden="false" customHeight="false" outlineLevel="0" collapsed="false">
      <c r="A164" s="5" t="e">
        <f aca="false">'Design Calculations'!G220</f>
        <v>#N/A</v>
      </c>
      <c r="B164" s="5" t="n">
        <f aca="false">'Design Calculations'!C220</f>
        <v>7.79999999999997</v>
      </c>
      <c r="C164" s="90" t="e">
        <f aca="false">'Design Calculations'!E220</f>
        <v>#N/A</v>
      </c>
      <c r="D164" s="5"/>
      <c r="E164" s="5" t="n">
        <f aca="false">'Design Calculations'!M220</f>
        <v>83.3339466421359</v>
      </c>
      <c r="F164" s="5" t="n">
        <f aca="false">'Design Calculations'!I220</f>
        <v>10.4000000000004</v>
      </c>
      <c r="G164" s="91" t="n">
        <f aca="false">'Design Calculations'!K220</f>
        <v>4.00643974241046</v>
      </c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</row>
    <row r="165" customFormat="false" ht="12.8" hidden="false" customHeight="false" outlineLevel="0" collapsed="false">
      <c r="A165" s="5" t="e">
        <f aca="false">'Design Calculations'!G221</f>
        <v>#N/A</v>
      </c>
      <c r="B165" s="5" t="n">
        <f aca="false">'Design Calculations'!C221</f>
        <v>7.66999999999997</v>
      </c>
      <c r="C165" s="90" t="e">
        <f aca="false">'Design Calculations'!E221</f>
        <v>#N/A</v>
      </c>
      <c r="D165" s="5"/>
      <c r="E165" s="5" t="n">
        <f aca="false">'Design Calculations'!M221</f>
        <v>82.8065990110412</v>
      </c>
      <c r="F165" s="5" t="n">
        <f aca="false">'Design Calculations'!I221</f>
        <v>10.2700000000004</v>
      </c>
      <c r="G165" s="91" t="n">
        <f aca="false">'Design Calculations'!K221</f>
        <v>3.95635924563033</v>
      </c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</row>
    <row r="166" customFormat="false" ht="12.8" hidden="false" customHeight="false" outlineLevel="0" collapsed="false">
      <c r="A166" s="5" t="e">
        <f aca="false">'Design Calculations'!G222</f>
        <v>#N/A</v>
      </c>
      <c r="B166" s="5" t="n">
        <f aca="false">'Design Calculations'!C222</f>
        <v>7.53999999999997</v>
      </c>
      <c r="C166" s="90" t="e">
        <f aca="false">'Design Calculations'!E222</f>
        <v>#N/A</v>
      </c>
      <c r="D166" s="5"/>
      <c r="E166" s="5" t="n">
        <f aca="false">'Design Calculations'!M222</f>
        <v>82.2662304507837</v>
      </c>
      <c r="F166" s="5" t="n">
        <f aca="false">'Design Calculations'!I222</f>
        <v>10.1400000000004</v>
      </c>
      <c r="G166" s="91" t="n">
        <f aca="false">'Design Calculations'!K222</f>
        <v>3.9062787488502</v>
      </c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</row>
    <row r="167" customFormat="false" ht="12.8" hidden="false" customHeight="false" outlineLevel="0" collapsed="false">
      <c r="A167" s="5" t="e">
        <f aca="false">'Design Calculations'!G223</f>
        <v>#N/A</v>
      </c>
      <c r="B167" s="5" t="n">
        <f aca="false">'Design Calculations'!C223</f>
        <v>7.40999999999997</v>
      </c>
      <c r="C167" s="90" t="e">
        <f aca="false">'Design Calculations'!E223</f>
        <v>#N/A</v>
      </c>
      <c r="D167" s="5"/>
      <c r="E167" s="5" t="n">
        <f aca="false">'Design Calculations'!M223</f>
        <v>81.7128409613633</v>
      </c>
      <c r="F167" s="5" t="n">
        <f aca="false">'Design Calculations'!I223</f>
        <v>10.0100000000004</v>
      </c>
      <c r="G167" s="91" t="n">
        <f aca="false">'Design Calculations'!K223</f>
        <v>3.85619825207007</v>
      </c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</row>
    <row r="168" customFormat="false" ht="12.8" hidden="false" customHeight="false" outlineLevel="0" collapsed="false">
      <c r="A168" s="5" t="e">
        <f aca="false">'Design Calculations'!G224</f>
        <v>#N/A</v>
      </c>
      <c r="B168" s="5" t="n">
        <f aca="false">'Design Calculations'!C224</f>
        <v>7.27999999999997</v>
      </c>
      <c r="C168" s="90" t="e">
        <f aca="false">'Design Calculations'!E224</f>
        <v>#N/A</v>
      </c>
      <c r="D168" s="5"/>
      <c r="E168" s="5" t="n">
        <f aca="false">'Design Calculations'!M224</f>
        <v>81.1464305427802</v>
      </c>
      <c r="F168" s="5" t="n">
        <f aca="false">'Design Calculations'!I224</f>
        <v>9.88000000000044</v>
      </c>
      <c r="G168" s="91" t="n">
        <f aca="false">'Design Calculations'!K224</f>
        <v>3.80611775528996</v>
      </c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</row>
    <row r="169" customFormat="false" ht="12.8" hidden="false" customHeight="false" outlineLevel="0" collapsed="false">
      <c r="A169" s="5" t="e">
        <f aca="false">'Design Calculations'!G225</f>
        <v>#N/A</v>
      </c>
      <c r="B169" s="5" t="n">
        <f aca="false">'Design Calculations'!C225</f>
        <v>7.14999999999998</v>
      </c>
      <c r="C169" s="90" t="e">
        <f aca="false">'Design Calculations'!E225</f>
        <v>#N/A</v>
      </c>
      <c r="D169" s="5"/>
      <c r="E169" s="5" t="n">
        <f aca="false">'Design Calculations'!M225</f>
        <v>80.5669991950343</v>
      </c>
      <c r="F169" s="5" t="n">
        <f aca="false">'Design Calculations'!I225</f>
        <v>9.75000000000047</v>
      </c>
      <c r="G169" s="91" t="n">
        <f aca="false">'Design Calculations'!K225</f>
        <v>3.75603725850984</v>
      </c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</row>
    <row r="170" customFormat="false" ht="12.8" hidden="false" customHeight="false" outlineLevel="0" collapsed="false">
      <c r="A170" s="5" t="e">
        <f aca="false">'Design Calculations'!G226</f>
        <v>#N/A</v>
      </c>
      <c r="B170" s="5" t="n">
        <f aca="false">'Design Calculations'!C226</f>
        <v>7.01999999999998</v>
      </c>
      <c r="C170" s="90" t="e">
        <f aca="false">'Design Calculations'!E226</f>
        <v>#N/A</v>
      </c>
      <c r="D170" s="5"/>
      <c r="E170" s="5" t="n">
        <f aca="false">'Design Calculations'!M226</f>
        <v>79.9745469181254</v>
      </c>
      <c r="F170" s="5" t="n">
        <f aca="false">'Design Calculations'!I226</f>
        <v>9.62000000000047</v>
      </c>
      <c r="G170" s="91" t="n">
        <f aca="false">'Design Calculations'!K226</f>
        <v>3.70595676172971</v>
      </c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</row>
    <row r="171" customFormat="false" ht="12.8" hidden="false" customHeight="false" outlineLevel="0" collapsed="false">
      <c r="A171" s="5" t="e">
        <f aca="false">'Design Calculations'!G227</f>
        <v>#N/A</v>
      </c>
      <c r="B171" s="5" t="n">
        <f aca="false">'Design Calculations'!C227</f>
        <v>6.88999999999997</v>
      </c>
      <c r="C171" s="90" t="e">
        <f aca="false">'Design Calculations'!E227</f>
        <v>#N/A</v>
      </c>
      <c r="D171" s="5"/>
      <c r="E171" s="5" t="n">
        <f aca="false">'Design Calculations'!M227</f>
        <v>79.3690737120537</v>
      </c>
      <c r="F171" s="5" t="n">
        <f aca="false">'Design Calculations'!I227</f>
        <v>9.49000000000047</v>
      </c>
      <c r="G171" s="91" t="n">
        <f aca="false">'Design Calculations'!K227</f>
        <v>3.65587626494958</v>
      </c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</row>
    <row r="172" customFormat="false" ht="12.8" hidden="false" customHeight="false" outlineLevel="0" collapsed="false">
      <c r="A172" s="5" t="e">
        <f aca="false">'Design Calculations'!G228</f>
        <v>#N/A</v>
      </c>
      <c r="B172" s="5" t="n">
        <f aca="false">'Design Calculations'!C228</f>
        <v>6.75999999999997</v>
      </c>
      <c r="C172" s="90" t="e">
        <f aca="false">'Design Calculations'!E228</f>
        <v>#N/A</v>
      </c>
      <c r="D172" s="5"/>
      <c r="E172" s="5" t="n">
        <f aca="false">'Design Calculations'!M228</f>
        <v>78.7505795768192</v>
      </c>
      <c r="F172" s="5" t="n">
        <f aca="false">'Design Calculations'!I228</f>
        <v>9.36000000000047</v>
      </c>
      <c r="G172" s="91" t="n">
        <f aca="false">'Design Calculations'!K228</f>
        <v>3.60579576816945</v>
      </c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</row>
    <row r="173" customFormat="false" ht="12.8" hidden="false" customHeight="false" outlineLevel="0" collapsed="false">
      <c r="A173" s="5" t="e">
        <f aca="false">'Design Calculations'!G229</f>
        <v>#N/A</v>
      </c>
      <c r="B173" s="5" t="n">
        <f aca="false">'Design Calculations'!C229</f>
        <v>6.62999999999997</v>
      </c>
      <c r="C173" s="90" t="e">
        <f aca="false">'Design Calculations'!E229</f>
        <v>#N/A</v>
      </c>
      <c r="D173" s="5"/>
      <c r="E173" s="5" t="n">
        <f aca="false">'Design Calculations'!M229</f>
        <v>78.1190645124218</v>
      </c>
      <c r="F173" s="5" t="n">
        <f aca="false">'Design Calculations'!I229</f>
        <v>9.23000000000047</v>
      </c>
      <c r="G173" s="91" t="n">
        <f aca="false">'Design Calculations'!K229</f>
        <v>3.55571527138933</v>
      </c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</row>
    <row r="174" customFormat="false" ht="12.8" hidden="false" customHeight="false" outlineLevel="0" collapsed="false">
      <c r="A174" s="5" t="e">
        <f aca="false">'Design Calculations'!G230</f>
        <v>#N/A</v>
      </c>
      <c r="B174" s="5" t="n">
        <f aca="false">'Design Calculations'!C230</f>
        <v>6.49999999999997</v>
      </c>
      <c r="C174" s="90" t="e">
        <f aca="false">'Design Calculations'!E230</f>
        <v>#N/A</v>
      </c>
      <c r="D174" s="5"/>
      <c r="E174" s="5" t="n">
        <f aca="false">'Design Calculations'!M230</f>
        <v>77.4745285188616</v>
      </c>
      <c r="F174" s="5" t="n">
        <f aca="false">'Design Calculations'!I230</f>
        <v>9.10000000000047</v>
      </c>
      <c r="G174" s="91" t="n">
        <f aca="false">'Design Calculations'!K230</f>
        <v>3.5056347746092</v>
      </c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</row>
    <row r="175" customFormat="false" ht="12.8" hidden="false" customHeight="false" outlineLevel="0" collapsed="false">
      <c r="A175" s="5" t="e">
        <f aca="false">'Design Calculations'!G231</f>
        <v>#N/A</v>
      </c>
      <c r="B175" s="5" t="n">
        <f aca="false">'Design Calculations'!C231</f>
        <v>6.36999999999997</v>
      </c>
      <c r="C175" s="90" t="e">
        <f aca="false">'Design Calculations'!E231</f>
        <v>#N/A</v>
      </c>
      <c r="D175" s="5"/>
      <c r="E175" s="5" t="n">
        <f aca="false">'Design Calculations'!M231</f>
        <v>76.8169715961385</v>
      </c>
      <c r="F175" s="5" t="n">
        <f aca="false">'Design Calculations'!I231</f>
        <v>8.97000000000047</v>
      </c>
      <c r="G175" s="91" t="n">
        <f aca="false">'Design Calculations'!K231</f>
        <v>3.45555427782907</v>
      </c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</row>
    <row r="176" customFormat="false" ht="12.8" hidden="false" customHeight="false" outlineLevel="0" collapsed="false">
      <c r="A176" s="5" t="e">
        <f aca="false">'Design Calculations'!G232</f>
        <v>#N/A</v>
      </c>
      <c r="B176" s="5" t="n">
        <f aca="false">'Design Calculations'!C232</f>
        <v>6.23999999999997</v>
      </c>
      <c r="C176" s="90" t="e">
        <f aca="false">'Design Calculations'!E232</f>
        <v>#N/A</v>
      </c>
      <c r="D176" s="5"/>
      <c r="E176" s="5" t="n">
        <f aca="false">'Design Calculations'!M232</f>
        <v>76.1463937442527</v>
      </c>
      <c r="F176" s="5" t="n">
        <f aca="false">'Design Calculations'!I232</f>
        <v>8.84000000000047</v>
      </c>
      <c r="G176" s="91" t="n">
        <f aca="false">'Design Calculations'!K232</f>
        <v>3.40547378104894</v>
      </c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</row>
    <row r="177" customFormat="false" ht="12.8" hidden="false" customHeight="false" outlineLevel="0" collapsed="false">
      <c r="A177" s="5" t="e">
        <f aca="false">'Design Calculations'!G233</f>
        <v>#N/A</v>
      </c>
      <c r="B177" s="5" t="n">
        <f aca="false">'Design Calculations'!C233</f>
        <v>6.10999999999997</v>
      </c>
      <c r="C177" s="90" t="e">
        <f aca="false">'Design Calculations'!E233</f>
        <v>#N/A</v>
      </c>
      <c r="D177" s="5"/>
      <c r="E177" s="5" t="n">
        <f aca="false">'Design Calculations'!M233</f>
        <v>75.462794963204</v>
      </c>
      <c r="F177" s="5" t="n">
        <f aca="false">'Design Calculations'!I233</f>
        <v>8.71000000000047</v>
      </c>
      <c r="G177" s="91" t="n">
        <f aca="false">'Design Calculations'!K233</f>
        <v>3.35539328426881</v>
      </c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</row>
    <row r="178" customFormat="false" ht="12.8" hidden="false" customHeight="false" outlineLevel="0" collapsed="false">
      <c r="A178" s="5" t="e">
        <f aca="false">'Design Calculations'!G234</f>
        <v>#N/A</v>
      </c>
      <c r="B178" s="5" t="n">
        <f aca="false">'Design Calculations'!C234</f>
        <v>5.97999999999998</v>
      </c>
      <c r="C178" s="90" t="e">
        <f aca="false">'Design Calculations'!E234</f>
        <v>#N/A</v>
      </c>
      <c r="D178" s="5"/>
      <c r="E178" s="5" t="n">
        <f aca="false">'Design Calculations'!M234</f>
        <v>74.7661752529925</v>
      </c>
      <c r="F178" s="5" t="n">
        <f aca="false">'Design Calculations'!I234</f>
        <v>8.58000000000049</v>
      </c>
      <c r="G178" s="91" t="n">
        <f aca="false">'Design Calculations'!K234</f>
        <v>3.30531278748869</v>
      </c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</row>
    <row r="179" customFormat="false" ht="12.8" hidden="false" customHeight="false" outlineLevel="0" collapsed="false">
      <c r="A179" s="5" t="e">
        <f aca="false">'Design Calculations'!G235</f>
        <v>#N/A</v>
      </c>
      <c r="B179" s="5" t="n">
        <f aca="false">'Design Calculations'!C235</f>
        <v>5.84999999999997</v>
      </c>
      <c r="C179" s="90" t="e">
        <f aca="false">'Design Calculations'!E235</f>
        <v>#N/A</v>
      </c>
      <c r="D179" s="5"/>
      <c r="E179" s="5" t="n">
        <f aca="false">'Design Calculations'!M235</f>
        <v>74.0565346136181</v>
      </c>
      <c r="F179" s="5" t="n">
        <f aca="false">'Design Calculations'!I235</f>
        <v>8.45000000000049</v>
      </c>
      <c r="G179" s="91" t="n">
        <f aca="false">'Design Calculations'!K235</f>
        <v>3.25523229070856</v>
      </c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</row>
    <row r="180" customFormat="false" ht="12.8" hidden="false" customHeight="false" outlineLevel="0" collapsed="false">
      <c r="A180" s="5" t="e">
        <f aca="false">'Design Calculations'!G236</f>
        <v>#N/A</v>
      </c>
      <c r="B180" s="5" t="n">
        <f aca="false">'Design Calculations'!C236</f>
        <v>5.71999999999997</v>
      </c>
      <c r="C180" s="90" t="e">
        <f aca="false">'Design Calculations'!E236</f>
        <v>#N/A</v>
      </c>
      <c r="D180" s="5"/>
      <c r="E180" s="5" t="n">
        <f aca="false">'Design Calculations'!M236</f>
        <v>73.333873045081</v>
      </c>
      <c r="F180" s="5" t="n">
        <f aca="false">'Design Calculations'!I236</f>
        <v>8.32000000000049</v>
      </c>
      <c r="G180" s="91" t="n">
        <f aca="false">'Design Calculations'!K236</f>
        <v>3.20515179392843</v>
      </c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</row>
    <row r="181" customFormat="false" ht="12.8" hidden="false" customHeight="false" outlineLevel="0" collapsed="false">
      <c r="A181" s="5" t="e">
        <f aca="false">'Design Calculations'!G237</f>
        <v>#N/A</v>
      </c>
      <c r="B181" s="5" t="n">
        <f aca="false">'Design Calculations'!C237</f>
        <v>5.58999999999997</v>
      </c>
      <c r="C181" s="90" t="e">
        <f aca="false">'Design Calculations'!E237</f>
        <v>#N/A</v>
      </c>
      <c r="D181" s="5"/>
      <c r="E181" s="5" t="n">
        <f aca="false">'Design Calculations'!M237</f>
        <v>72.5981905473809</v>
      </c>
      <c r="F181" s="5" t="n">
        <f aca="false">'Design Calculations'!I237</f>
        <v>8.19000000000049</v>
      </c>
      <c r="G181" s="91" t="n">
        <f aca="false">'Design Calculations'!K237</f>
        <v>3.1550712971483</v>
      </c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</row>
    <row r="182" customFormat="false" ht="12.8" hidden="false" customHeight="false" outlineLevel="0" collapsed="false">
      <c r="A182" s="5" t="e">
        <f aca="false">'Design Calculations'!G238</f>
        <v>#N/A</v>
      </c>
      <c r="B182" s="5" t="n">
        <f aca="false">'Design Calculations'!C238</f>
        <v>5.45999999999997</v>
      </c>
      <c r="C182" s="90" t="e">
        <f aca="false">'Design Calculations'!E238</f>
        <v>#N/A</v>
      </c>
      <c r="D182" s="5"/>
      <c r="E182" s="5" t="n">
        <f aca="false">'Design Calculations'!M238</f>
        <v>71.849487120518</v>
      </c>
      <c r="F182" s="5" t="n">
        <f aca="false">'Design Calculations'!I238</f>
        <v>8.06000000000049</v>
      </c>
      <c r="G182" s="91" t="n">
        <f aca="false">'Design Calculations'!K238</f>
        <v>3.10499080036817</v>
      </c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</row>
    <row r="183" customFormat="false" ht="12.8" hidden="false" customHeight="false" outlineLevel="0" collapsed="false">
      <c r="A183" s="5" t="e">
        <f aca="false">'Design Calculations'!G239</f>
        <v>#N/A</v>
      </c>
      <c r="B183" s="5" t="n">
        <f aca="false">'Design Calculations'!C239</f>
        <v>5.32999999999997</v>
      </c>
      <c r="C183" s="90" t="e">
        <f aca="false">'Design Calculations'!E239</f>
        <v>#N/A</v>
      </c>
      <c r="D183" s="5"/>
      <c r="E183" s="5" t="n">
        <f aca="false">'Design Calculations'!M239</f>
        <v>71.0877627644923</v>
      </c>
      <c r="F183" s="5" t="n">
        <f aca="false">'Design Calculations'!I239</f>
        <v>7.93000000000049</v>
      </c>
      <c r="G183" s="91" t="n">
        <f aca="false">'Design Calculations'!K239</f>
        <v>3.05491030358805</v>
      </c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</row>
    <row r="184" customFormat="false" ht="12.8" hidden="false" customHeight="false" outlineLevel="0" collapsed="false">
      <c r="A184" s="5" t="e">
        <f aca="false">'Design Calculations'!G240</f>
        <v>#N/A</v>
      </c>
      <c r="B184" s="5" t="n">
        <f aca="false">'Design Calculations'!C240</f>
        <v>5.19999999999997</v>
      </c>
      <c r="C184" s="90" t="e">
        <f aca="false">'Design Calculations'!E240</f>
        <v>#N/A</v>
      </c>
      <c r="D184" s="5"/>
      <c r="E184" s="5" t="n">
        <f aca="false">'Design Calculations'!M240</f>
        <v>70.3130174793038</v>
      </c>
      <c r="F184" s="5" t="n">
        <f aca="false">'Design Calculations'!I240</f>
        <v>7.80000000000049</v>
      </c>
      <c r="G184" s="91" t="n">
        <f aca="false">'Design Calculations'!K240</f>
        <v>3.00482980680792</v>
      </c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</row>
    <row r="185" customFormat="false" ht="12.8" hidden="false" customHeight="false" outlineLevel="0" collapsed="false">
      <c r="A185" s="5" t="e">
        <f aca="false">'Design Calculations'!G241</f>
        <v>#N/A</v>
      </c>
      <c r="B185" s="5" t="n">
        <f aca="false">'Design Calculations'!C241</f>
        <v>5.06999999999997</v>
      </c>
      <c r="C185" s="90" t="e">
        <f aca="false">'Design Calculations'!E241</f>
        <v>#N/A</v>
      </c>
      <c r="D185" s="5"/>
      <c r="E185" s="5" t="n">
        <f aca="false">'Design Calculations'!M241</f>
        <v>69.5252512649525</v>
      </c>
      <c r="F185" s="5" t="n">
        <f aca="false">'Design Calculations'!I241</f>
        <v>7.6700000000005</v>
      </c>
      <c r="G185" s="91" t="n">
        <f aca="false">'Design Calculations'!K241</f>
        <v>2.95474931002779</v>
      </c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</row>
    <row r="186" customFormat="false" ht="12.8" hidden="false" customHeight="false" outlineLevel="0" collapsed="false">
      <c r="A186" s="5" t="e">
        <f aca="false">'Design Calculations'!G242</f>
        <v>#N/A</v>
      </c>
      <c r="B186" s="5" t="n">
        <f aca="false">'Design Calculations'!C242</f>
        <v>4.93999999999997</v>
      </c>
      <c r="C186" s="90" t="e">
        <f aca="false">'Design Calculations'!E242</f>
        <v>#N/A</v>
      </c>
      <c r="D186" s="5"/>
      <c r="E186" s="5" t="n">
        <f aca="false">'Design Calculations'!M242</f>
        <v>68.7244641214383</v>
      </c>
      <c r="F186" s="5" t="n">
        <f aca="false">'Design Calculations'!I242</f>
        <v>7.5400000000005</v>
      </c>
      <c r="G186" s="91" t="n">
        <f aca="false">'Design Calculations'!K242</f>
        <v>2.90466881324766</v>
      </c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</row>
    <row r="187" customFormat="false" ht="12.8" hidden="false" customHeight="false" outlineLevel="0" collapsed="false">
      <c r="A187" s="5" t="e">
        <f aca="false">'Design Calculations'!G243</f>
        <v>#N/A</v>
      </c>
      <c r="B187" s="5" t="n">
        <f aca="false">'Design Calculations'!C243</f>
        <v>4.80999999999997</v>
      </c>
      <c r="C187" s="90" t="e">
        <f aca="false">'Design Calculations'!E243</f>
        <v>#N/A</v>
      </c>
      <c r="D187" s="5"/>
      <c r="E187" s="5" t="n">
        <f aca="false">'Design Calculations'!M243</f>
        <v>67.9106560487613</v>
      </c>
      <c r="F187" s="5" t="n">
        <f aca="false">'Design Calculations'!I243</f>
        <v>7.41000000000052</v>
      </c>
      <c r="G187" s="91" t="n">
        <f aca="false">'Design Calculations'!K243</f>
        <v>2.85458831646754</v>
      </c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</row>
    <row r="188" customFormat="false" ht="12.8" hidden="false" customHeight="false" outlineLevel="0" collapsed="false">
      <c r="A188" s="5" t="e">
        <f aca="false">'Design Calculations'!G244</f>
        <v>#N/A</v>
      </c>
      <c r="B188" s="5" t="n">
        <f aca="false">'Design Calculations'!C244</f>
        <v>4.67999999999997</v>
      </c>
      <c r="C188" s="90" t="e">
        <f aca="false">'Design Calculations'!E244</f>
        <v>#N/A</v>
      </c>
      <c r="D188" s="5"/>
      <c r="E188" s="5" t="n">
        <f aca="false">'Design Calculations'!M244</f>
        <v>67.0838270469215</v>
      </c>
      <c r="F188" s="5" t="n">
        <f aca="false">'Design Calculations'!I244</f>
        <v>7.28000000000052</v>
      </c>
      <c r="G188" s="91" t="n">
        <f aca="false">'Design Calculations'!K244</f>
        <v>2.80450781968741</v>
      </c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</row>
    <row r="189" customFormat="false" ht="12.8" hidden="false" customHeight="false" outlineLevel="0" collapsed="false">
      <c r="A189" s="5" t="e">
        <f aca="false">'Design Calculations'!G245</f>
        <v>#N/A</v>
      </c>
      <c r="B189" s="5" t="n">
        <f aca="false">'Design Calculations'!C245</f>
        <v>4.54999999999997</v>
      </c>
      <c r="C189" s="90" t="e">
        <f aca="false">'Design Calculations'!E245</f>
        <v>#N/A</v>
      </c>
      <c r="D189" s="5"/>
      <c r="E189" s="5" t="n">
        <f aca="false">'Design Calculations'!M245</f>
        <v>66.2439771159187</v>
      </c>
      <c r="F189" s="5" t="n">
        <f aca="false">'Design Calculations'!I245</f>
        <v>7.15000000000052</v>
      </c>
      <c r="G189" s="91" t="n">
        <f aca="false">'Design Calculations'!K245</f>
        <v>2.75442732290728</v>
      </c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</row>
    <row r="190" customFormat="false" ht="12.8" hidden="false" customHeight="false" outlineLevel="0" collapsed="false">
      <c r="A190" s="5" t="e">
        <f aca="false">'Design Calculations'!G246</f>
        <v>#N/A</v>
      </c>
      <c r="B190" s="5" t="n">
        <f aca="false">'Design Calculations'!C246</f>
        <v>4.41999999999997</v>
      </c>
      <c r="C190" s="90" t="e">
        <f aca="false">'Design Calculations'!E246</f>
        <v>#N/A</v>
      </c>
      <c r="D190" s="5"/>
      <c r="E190" s="5" t="n">
        <f aca="false">'Design Calculations'!M246</f>
        <v>65.3911062557532</v>
      </c>
      <c r="F190" s="5" t="n">
        <f aca="false">'Design Calculations'!I246</f>
        <v>7.02000000000052</v>
      </c>
      <c r="G190" s="91" t="n">
        <f aca="false">'Design Calculations'!K246</f>
        <v>2.70434682612716</v>
      </c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</row>
    <row r="191" customFormat="false" ht="12.8" hidden="false" customHeight="false" outlineLevel="0" collapsed="false">
      <c r="A191" s="5" t="e">
        <f aca="false">'Design Calculations'!G247</f>
        <v>#N/A</v>
      </c>
      <c r="B191" s="5" t="n">
        <f aca="false">'Design Calculations'!C247</f>
        <v>4.28999999999997</v>
      </c>
      <c r="C191" s="90" t="e">
        <f aca="false">'Design Calculations'!E247</f>
        <v>#N/A</v>
      </c>
      <c r="D191" s="5"/>
      <c r="E191" s="5" t="n">
        <f aca="false">'Design Calculations'!M247</f>
        <v>64.5252144664248</v>
      </c>
      <c r="F191" s="5" t="n">
        <f aca="false">'Design Calculations'!I247</f>
        <v>6.89000000000052</v>
      </c>
      <c r="G191" s="91" t="n">
        <f aca="false">'Design Calculations'!K247</f>
        <v>2.65426632934703</v>
      </c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</row>
    <row r="192" customFormat="false" ht="12.8" hidden="false" customHeight="false" outlineLevel="0" collapsed="false">
      <c r="A192" s="5" t="e">
        <f aca="false">'Design Calculations'!G248</f>
        <v>#N/A</v>
      </c>
      <c r="B192" s="5" t="n">
        <f aca="false">'Design Calculations'!C248</f>
        <v>4.15999999999997</v>
      </c>
      <c r="C192" s="90" t="e">
        <f aca="false">'Design Calculations'!E248</f>
        <v>#N/A</v>
      </c>
      <c r="D192" s="5"/>
      <c r="E192" s="5" t="n">
        <f aca="false">'Design Calculations'!M248</f>
        <v>63.6463017479336</v>
      </c>
      <c r="F192" s="5" t="n">
        <f aca="false">'Design Calculations'!I248</f>
        <v>6.76000000000052</v>
      </c>
      <c r="G192" s="91" t="n">
        <f aca="false">'Design Calculations'!K248</f>
        <v>2.6041858325669</v>
      </c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</row>
    <row r="193" customFormat="false" ht="12.8" hidden="false" customHeight="false" outlineLevel="0" collapsed="false">
      <c r="A193" s="5" t="e">
        <f aca="false">'Design Calculations'!G249</f>
        <v>#N/A</v>
      </c>
      <c r="B193" s="5" t="n">
        <f aca="false">'Design Calculations'!C249</f>
        <v>4.02999999999997</v>
      </c>
      <c r="C193" s="90" t="e">
        <f aca="false">'Design Calculations'!E249</f>
        <v>#N/A</v>
      </c>
      <c r="D193" s="5"/>
      <c r="E193" s="5" t="n">
        <f aca="false">'Design Calculations'!M249</f>
        <v>62.7543681002796</v>
      </c>
      <c r="F193" s="5" t="n">
        <f aca="false">'Design Calculations'!I249</f>
        <v>6.63000000000052</v>
      </c>
      <c r="G193" s="91" t="n">
        <f aca="false">'Design Calculations'!K249</f>
        <v>2.55410533578677</v>
      </c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</row>
    <row r="194" customFormat="false" ht="12.8" hidden="false" customHeight="false" outlineLevel="0" collapsed="false">
      <c r="A194" s="5" t="e">
        <f aca="false">'Design Calculations'!G250</f>
        <v>#N/A</v>
      </c>
      <c r="B194" s="5" t="n">
        <f aca="false">'Design Calculations'!C250</f>
        <v>3.89999999999997</v>
      </c>
      <c r="C194" s="90" t="e">
        <f aca="false">'Design Calculations'!E250</f>
        <v>#N/A</v>
      </c>
      <c r="D194" s="5"/>
      <c r="E194" s="5" t="n">
        <f aca="false">'Design Calculations'!M250</f>
        <v>61.8494135234627</v>
      </c>
      <c r="F194" s="5" t="n">
        <f aca="false">'Design Calculations'!I250</f>
        <v>6.50000000000052</v>
      </c>
      <c r="G194" s="91" t="n">
        <f aca="false">'Design Calculations'!K250</f>
        <v>2.50402483900664</v>
      </c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</row>
    <row r="195" customFormat="false" ht="12.8" hidden="false" customHeight="false" outlineLevel="0" collapsed="false">
      <c r="A195" s="5" t="e">
        <f aca="false">'Design Calculations'!G251</f>
        <v>#N/A</v>
      </c>
      <c r="B195" s="5" t="n">
        <f aca="false">'Design Calculations'!C251</f>
        <v>3.76999999999997</v>
      </c>
      <c r="C195" s="90" t="e">
        <f aca="false">'Design Calculations'!E251</f>
        <v>#N/A</v>
      </c>
      <c r="D195" s="5"/>
      <c r="E195" s="5" t="n">
        <f aca="false">'Design Calculations'!M251</f>
        <v>60.931438017483</v>
      </c>
      <c r="F195" s="5" t="n">
        <f aca="false">'Design Calculations'!I251</f>
        <v>6.37000000000052</v>
      </c>
      <c r="G195" s="91" t="n">
        <f aca="false">'Design Calculations'!K251</f>
        <v>2.45394434222651</v>
      </c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</row>
    <row r="196" customFormat="false" ht="12.8" hidden="false" customHeight="false" outlineLevel="0" collapsed="false">
      <c r="A196" s="5" t="e">
        <f aca="false">'Design Calculations'!G252</f>
        <v>#N/A</v>
      </c>
      <c r="B196" s="5" t="n">
        <f aca="false">'Design Calculations'!C252</f>
        <v>3.63999999999997</v>
      </c>
      <c r="C196" s="90" t="e">
        <f aca="false">'Design Calculations'!E252</f>
        <v>#N/A</v>
      </c>
      <c r="D196" s="5"/>
      <c r="E196" s="5" t="n">
        <f aca="false">'Design Calculations'!M252</f>
        <v>60.0004415823405</v>
      </c>
      <c r="F196" s="5" t="n">
        <f aca="false">'Design Calculations'!I252</f>
        <v>6.24000000000052</v>
      </c>
      <c r="G196" s="91" t="n">
        <f aca="false">'Design Calculations'!K252</f>
        <v>2.40386384544638</v>
      </c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</row>
    <row r="197" customFormat="false" ht="12.8" hidden="false" customHeight="false" outlineLevel="0" collapsed="false">
      <c r="A197" s="5" t="e">
        <f aca="false">'Design Calculations'!G253</f>
        <v>#N/A</v>
      </c>
      <c r="B197" s="5" t="n">
        <f aca="false">'Design Calculations'!C253</f>
        <v>3.50999999999997</v>
      </c>
      <c r="C197" s="90" t="e">
        <f aca="false">'Design Calculations'!E253</f>
        <v>#N/A</v>
      </c>
      <c r="D197" s="5"/>
      <c r="E197" s="5" t="n">
        <f aca="false">'Design Calculations'!M253</f>
        <v>59.0564242180353</v>
      </c>
      <c r="F197" s="5" t="n">
        <f aca="false">'Design Calculations'!I253</f>
        <v>6.11000000000055</v>
      </c>
      <c r="G197" s="91" t="n">
        <f aca="false">'Design Calculations'!K253</f>
        <v>2.35378334866627</v>
      </c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</row>
    <row r="198" customFormat="false" ht="12.8" hidden="false" customHeight="false" outlineLevel="0" collapsed="false">
      <c r="A198" s="5" t="e">
        <f aca="false">'Design Calculations'!G254</f>
        <v>#N/A</v>
      </c>
      <c r="B198" s="5" t="n">
        <f aca="false">'Design Calculations'!C254</f>
        <v>3.37999999999997</v>
      </c>
      <c r="C198" s="90" t="e">
        <f aca="false">'Design Calculations'!E254</f>
        <v>#N/A</v>
      </c>
      <c r="D198" s="5"/>
      <c r="E198" s="5" t="n">
        <f aca="false">'Design Calculations'!M254</f>
        <v>58.0993859245671</v>
      </c>
      <c r="F198" s="5" t="n">
        <f aca="false">'Design Calculations'!I254</f>
        <v>5.98000000000055</v>
      </c>
      <c r="G198" s="91" t="n">
        <f aca="false">'Design Calculations'!K254</f>
        <v>2.30370285188614</v>
      </c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</row>
    <row r="199" customFormat="false" ht="12.8" hidden="false" customHeight="false" outlineLevel="0" collapsed="false">
      <c r="A199" s="5" t="e">
        <f aca="false">'Design Calculations'!G255</f>
        <v>#N/A</v>
      </c>
      <c r="B199" s="5" t="n">
        <f aca="false">'Design Calculations'!C255</f>
        <v>3.24999999999997</v>
      </c>
      <c r="C199" s="90" t="e">
        <f aca="false">'Design Calculations'!E255</f>
        <v>#N/A</v>
      </c>
      <c r="D199" s="5"/>
      <c r="E199" s="5" t="n">
        <f aca="false">'Design Calculations'!M255</f>
        <v>57.1293267019361</v>
      </c>
      <c r="F199" s="5" t="n">
        <f aca="false">'Design Calculations'!I255</f>
        <v>5.85000000000055</v>
      </c>
      <c r="G199" s="91" t="n">
        <f aca="false">'Design Calculations'!K255</f>
        <v>2.25362235510601</v>
      </c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</row>
    <row r="200" customFormat="false" ht="12.8" hidden="false" customHeight="false" outlineLevel="0" collapsed="false">
      <c r="A200" s="5" t="e">
        <f aca="false">'Design Calculations'!G256</f>
        <v>#N/A</v>
      </c>
      <c r="B200" s="5" t="n">
        <f aca="false">'Design Calculations'!C256</f>
        <v>3.11999999999997</v>
      </c>
      <c r="C200" s="90" t="e">
        <f aca="false">'Design Calculations'!E256</f>
        <v>#N/A</v>
      </c>
      <c r="D200" s="5"/>
      <c r="E200" s="5" t="n">
        <f aca="false">'Design Calculations'!M256</f>
        <v>56.1462465501422</v>
      </c>
      <c r="F200" s="5" t="n">
        <f aca="false">'Design Calculations'!I256</f>
        <v>5.72000000000055</v>
      </c>
      <c r="G200" s="91" t="n">
        <f aca="false">'Design Calculations'!K256</f>
        <v>2.20354185832588</v>
      </c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</row>
    <row r="201" customFormat="false" ht="12.8" hidden="false" customHeight="false" outlineLevel="0" collapsed="false">
      <c r="A201" s="5" t="e">
        <f aca="false">'Design Calculations'!G257</f>
        <v>#N/A</v>
      </c>
      <c r="B201" s="5" t="n">
        <f aca="false">'Design Calculations'!C257</f>
        <v>2.98999999999997</v>
      </c>
      <c r="C201" s="90" t="e">
        <f aca="false">'Design Calculations'!E257</f>
        <v>#N/A</v>
      </c>
      <c r="D201" s="5"/>
      <c r="E201" s="5" t="n">
        <f aca="false">'Design Calculations'!M257</f>
        <v>55.1501454691855</v>
      </c>
      <c r="F201" s="5" t="n">
        <f aca="false">'Design Calculations'!I257</f>
        <v>5.59000000000055</v>
      </c>
      <c r="G201" s="91" t="n">
        <f aca="false">'Design Calculations'!K257</f>
        <v>2.15346136154575</v>
      </c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</row>
    <row r="202" customFormat="false" ht="12.8" hidden="false" customHeight="false" outlineLevel="0" collapsed="false">
      <c r="A202" s="5" t="e">
        <f aca="false">'Design Calculations'!G258</f>
        <v>#N/A</v>
      </c>
      <c r="B202" s="5" t="n">
        <f aca="false">'Design Calculations'!C258</f>
        <v>2.85999999999997</v>
      </c>
      <c r="C202" s="90" t="e">
        <f aca="false">'Design Calculations'!E258</f>
        <v>#N/A</v>
      </c>
      <c r="D202" s="5"/>
      <c r="E202" s="5" t="n">
        <f aca="false">'Design Calculations'!M258</f>
        <v>54.1410234590659</v>
      </c>
      <c r="F202" s="5" t="n">
        <f aca="false">'Design Calculations'!I258</f>
        <v>5.46000000000055</v>
      </c>
      <c r="G202" s="91" t="n">
        <f aca="false">'Design Calculations'!K258</f>
        <v>2.10338086476562</v>
      </c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</row>
    <row r="203" customFormat="false" ht="12.8" hidden="false" customHeight="false" outlineLevel="0" collapsed="false">
      <c r="A203" s="5" t="e">
        <f aca="false">'Design Calculations'!G259</f>
        <v>#N/A</v>
      </c>
      <c r="B203" s="5" t="n">
        <f aca="false">'Design Calculations'!C259</f>
        <v>2.72999999999997</v>
      </c>
      <c r="C203" s="90" t="e">
        <f aca="false">'Design Calculations'!E259</f>
        <v>#N/A</v>
      </c>
      <c r="D203" s="5"/>
      <c r="E203" s="5" t="n">
        <f aca="false">'Design Calculations'!M259</f>
        <v>53.1188805197836</v>
      </c>
      <c r="F203" s="5" t="n">
        <f aca="false">'Design Calculations'!I259</f>
        <v>5.33000000000055</v>
      </c>
      <c r="G203" s="91" t="n">
        <f aca="false">'Design Calculations'!K259</f>
        <v>2.05330036798549</v>
      </c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</row>
    <row r="204" customFormat="false" ht="12.8" hidden="false" customHeight="false" outlineLevel="0" collapsed="false">
      <c r="A204" s="5" t="e">
        <f aca="false">'Design Calculations'!G260</f>
        <v>#N/A</v>
      </c>
      <c r="B204" s="5" t="n">
        <f aca="false">'Design Calculations'!C260</f>
        <v>2.59999999999997</v>
      </c>
      <c r="C204" s="90" t="e">
        <f aca="false">'Design Calculations'!E260</f>
        <v>#N/A</v>
      </c>
      <c r="D204" s="5"/>
      <c r="E204" s="5" t="n">
        <f aca="false">'Design Calculations'!M260</f>
        <v>52.0837166513384</v>
      </c>
      <c r="F204" s="5" t="n">
        <f aca="false">'Design Calculations'!I260</f>
        <v>5.20000000000055</v>
      </c>
      <c r="G204" s="91" t="n">
        <f aca="false">'Design Calculations'!K260</f>
        <v>2.00321987120536</v>
      </c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</row>
    <row r="205" customFormat="false" ht="12.8" hidden="false" customHeight="false" outlineLevel="0" collapsed="false">
      <c r="A205" s="5" t="e">
        <f aca="false">'Design Calculations'!G261</f>
        <v>#N/A</v>
      </c>
      <c r="B205" s="5" t="n">
        <f aca="false">'Design Calculations'!C261</f>
        <v>2.46999999999997</v>
      </c>
      <c r="C205" s="90" t="e">
        <f aca="false">'Design Calculations'!E261</f>
        <v>#N/A</v>
      </c>
      <c r="D205" s="5"/>
      <c r="E205" s="5" t="n">
        <f aca="false">'Design Calculations'!M261</f>
        <v>52.259999999999</v>
      </c>
      <c r="F205" s="5" t="n">
        <f aca="false">'Design Calculations'!I261</f>
        <v>5.07000000000052</v>
      </c>
      <c r="G205" s="91" t="n">
        <f aca="false">'Design Calculations'!K261</f>
        <v>1.95313937442522</v>
      </c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</row>
    <row r="206" customFormat="false" ht="12.8" hidden="false" customHeight="false" outlineLevel="0" collapsed="false">
      <c r="A206" s="5" t="e">
        <f aca="false">'Design Calculations'!G262</f>
        <v>#N/A</v>
      </c>
      <c r="B206" s="5" t="n">
        <f aca="false">'Design Calculations'!C262</f>
        <v>2.33999999999997</v>
      </c>
      <c r="C206" s="90" t="e">
        <f aca="false">'Design Calculations'!E262</f>
        <v>#N/A</v>
      </c>
      <c r="D206" s="5"/>
      <c r="E206" s="5" t="n">
        <f aca="false">'Design Calculations'!M262</f>
        <v>52.519999999999</v>
      </c>
      <c r="F206" s="5" t="n">
        <f aca="false">'Design Calculations'!I262</f>
        <v>4.94000000000052</v>
      </c>
      <c r="G206" s="91" t="n">
        <f aca="false">'Design Calculations'!K262</f>
        <v>1.90305887764509</v>
      </c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</row>
    <row r="207" customFormat="false" ht="12.8" hidden="false" customHeight="false" outlineLevel="0" collapsed="false">
      <c r="A207" s="5" t="e">
        <f aca="false">'Design Calculations'!G263</f>
        <v>#N/A</v>
      </c>
      <c r="B207" s="5" t="n">
        <f aca="false">'Design Calculations'!C263</f>
        <v>2.20999999999997</v>
      </c>
      <c r="C207" s="90" t="e">
        <f aca="false">'Design Calculations'!E263</f>
        <v>#N/A</v>
      </c>
      <c r="D207" s="5"/>
      <c r="E207" s="5" t="n">
        <f aca="false">'Design Calculations'!M263</f>
        <v>52.779999999999</v>
      </c>
      <c r="F207" s="5" t="n">
        <f aca="false">'Design Calculations'!I263</f>
        <v>4.81000000000052</v>
      </c>
      <c r="G207" s="91" t="n">
        <f aca="false">'Design Calculations'!K263</f>
        <v>1.85297838086497</v>
      </c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</row>
    <row r="208" customFormat="false" ht="12.8" hidden="false" customHeight="false" outlineLevel="0" collapsed="false">
      <c r="A208" s="5" t="e">
        <f aca="false">'Design Calculations'!G264</f>
        <v>#N/A</v>
      </c>
      <c r="B208" s="5" t="n">
        <f aca="false">'Design Calculations'!C264</f>
        <v>2.07999999999997</v>
      </c>
      <c r="C208" s="90" t="e">
        <f aca="false">'Design Calculations'!E264</f>
        <v>#N/A</v>
      </c>
      <c r="D208" s="5"/>
      <c r="E208" s="5" t="n">
        <f aca="false">'Design Calculations'!M264</f>
        <v>53.039999999999</v>
      </c>
      <c r="F208" s="5" t="n">
        <f aca="false">'Design Calculations'!I264</f>
        <v>4.68000000000052</v>
      </c>
      <c r="G208" s="91" t="n">
        <f aca="false">'Design Calculations'!K264</f>
        <v>1.80289788408484</v>
      </c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</row>
    <row r="209" customFormat="false" ht="12.8" hidden="false" customHeight="false" outlineLevel="0" collapsed="false">
      <c r="A209" s="5" t="e">
        <f aca="false">'Design Calculations'!G265</f>
        <v>#N/A</v>
      </c>
      <c r="B209" s="5" t="n">
        <f aca="false">'Design Calculations'!C265</f>
        <v>1.94999999999997</v>
      </c>
      <c r="C209" s="90" t="e">
        <f aca="false">'Design Calculations'!E265</f>
        <v>#N/A</v>
      </c>
      <c r="D209" s="5"/>
      <c r="E209" s="5" t="n">
        <f aca="false">'Design Calculations'!M265</f>
        <v>53.299999999999</v>
      </c>
      <c r="F209" s="5" t="n">
        <f aca="false">'Design Calculations'!I265</f>
        <v>4.55000000000052</v>
      </c>
      <c r="G209" s="91" t="n">
        <f aca="false">'Design Calculations'!K265</f>
        <v>1.75281738730471</v>
      </c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</row>
    <row r="210" customFormat="false" ht="12.8" hidden="false" customHeight="false" outlineLevel="0" collapsed="false">
      <c r="A210" s="5" t="e">
        <f aca="false">'Design Calculations'!G266</f>
        <v>#N/A</v>
      </c>
      <c r="B210" s="5" t="n">
        <f aca="false">'Design Calculations'!C266</f>
        <v>1.81999999999997</v>
      </c>
      <c r="C210" s="90" t="e">
        <f aca="false">'Design Calculations'!E266</f>
        <v>#N/A</v>
      </c>
      <c r="D210" s="5"/>
      <c r="E210" s="5" t="n">
        <f aca="false">'Design Calculations'!M266</f>
        <v>53.559999999999</v>
      </c>
      <c r="F210" s="5" t="n">
        <f aca="false">'Design Calculations'!I266</f>
        <v>4.42000000000052</v>
      </c>
      <c r="G210" s="91" t="n">
        <f aca="false">'Design Calculations'!K266</f>
        <v>1.70273689052458</v>
      </c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</row>
    <row r="211" customFormat="false" ht="12.8" hidden="false" customHeight="false" outlineLevel="0" collapsed="false">
      <c r="A211" s="5" t="e">
        <f aca="false">'Design Calculations'!G267</f>
        <v>#N/A</v>
      </c>
      <c r="B211" s="5" t="n">
        <f aca="false">'Design Calculations'!C267</f>
        <v>1.68999999999997</v>
      </c>
      <c r="C211" s="90" t="e">
        <f aca="false">'Design Calculations'!E267</f>
        <v>#N/A</v>
      </c>
      <c r="D211" s="5"/>
      <c r="E211" s="5" t="n">
        <f aca="false">'Design Calculations'!M267</f>
        <v>53.819999999999</v>
      </c>
      <c r="F211" s="5" t="n">
        <f aca="false">'Design Calculations'!I267</f>
        <v>4.29000000000052</v>
      </c>
      <c r="G211" s="91" t="n">
        <f aca="false">'Design Calculations'!K267</f>
        <v>1.65265639374445</v>
      </c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</row>
    <row r="212" customFormat="false" ht="12.8" hidden="false" customHeight="false" outlineLevel="0" collapsed="false">
      <c r="A212" s="5" t="e">
        <f aca="false">'Design Calculations'!G268</f>
        <v>#N/A</v>
      </c>
      <c r="B212" s="5" t="n">
        <f aca="false">'Design Calculations'!C268</f>
        <v>1.55999999999998</v>
      </c>
      <c r="C212" s="90" t="e">
        <f aca="false">'Design Calculations'!E268</f>
        <v>#N/A</v>
      </c>
      <c r="D212" s="5"/>
      <c r="E212" s="5" t="n">
        <f aca="false">'Design Calculations'!M268</f>
        <v>54.079999999999</v>
      </c>
      <c r="F212" s="5" t="n">
        <f aca="false">'Design Calculations'!I268</f>
        <v>4.16000000000052</v>
      </c>
      <c r="G212" s="91" t="n">
        <f aca="false">'Design Calculations'!K268</f>
        <v>1.60257589696432</v>
      </c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</row>
    <row r="213" customFormat="false" ht="12.8" hidden="false" customHeight="false" outlineLevel="0" collapsed="false">
      <c r="A213" s="5" t="e">
        <f aca="false">'Design Calculations'!G269</f>
        <v>#N/A</v>
      </c>
      <c r="B213" s="5" t="n">
        <f aca="false">'Design Calculations'!C269</f>
        <v>1.42999999999997</v>
      </c>
      <c r="C213" s="90" t="e">
        <f aca="false">'Design Calculations'!E269</f>
        <v>#N/A</v>
      </c>
      <c r="D213" s="5"/>
      <c r="E213" s="5" t="n">
        <f aca="false">'Design Calculations'!M269</f>
        <v>54.339999999999</v>
      </c>
      <c r="F213" s="5" t="n">
        <f aca="false">'Design Calculations'!I269</f>
        <v>4.03000000000052</v>
      </c>
      <c r="G213" s="91" t="n">
        <f aca="false">'Design Calculations'!K269</f>
        <v>1.55249540018419</v>
      </c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</row>
    <row r="214" customFormat="false" ht="12.8" hidden="false" customHeight="false" outlineLevel="0" collapsed="false">
      <c r="A214" s="5" t="e">
        <f aca="false">'Design Calculations'!G270</f>
        <v>#N/A</v>
      </c>
      <c r="B214" s="5" t="n">
        <f aca="false">'Design Calculations'!C270</f>
        <v>1.29999999999997</v>
      </c>
      <c r="C214" s="90" t="e">
        <f aca="false">'Design Calculations'!E270</f>
        <v>#N/A</v>
      </c>
      <c r="D214" s="5"/>
      <c r="E214" s="5" t="n">
        <f aca="false">'Design Calculations'!M270</f>
        <v>54.599999999999</v>
      </c>
      <c r="F214" s="5" t="n">
        <f aca="false">'Design Calculations'!I270</f>
        <v>3.90000000000052</v>
      </c>
      <c r="G214" s="91" t="n">
        <f aca="false">'Design Calculations'!K270</f>
        <v>1.50241490340406</v>
      </c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</row>
    <row r="215" customFormat="false" ht="12.8" hidden="false" customHeight="false" outlineLevel="0" collapsed="false">
      <c r="A215" s="5" t="e">
        <f aca="false">'Design Calculations'!G271</f>
        <v>#N/A</v>
      </c>
      <c r="B215" s="5" t="n">
        <f aca="false">'Design Calculations'!C271</f>
        <v>1.16999999999997</v>
      </c>
      <c r="C215" s="90" t="e">
        <f aca="false">'Design Calculations'!E271</f>
        <v>#N/A</v>
      </c>
      <c r="D215" s="5"/>
      <c r="E215" s="5" t="n">
        <f aca="false">'Design Calculations'!M271</f>
        <v>54.859999999999</v>
      </c>
      <c r="F215" s="5" t="n">
        <f aca="false">'Design Calculations'!I271</f>
        <v>3.77000000000052</v>
      </c>
      <c r="G215" s="91" t="n">
        <f aca="false">'Design Calculations'!K271</f>
        <v>1.45233440662394</v>
      </c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</row>
    <row r="216" customFormat="false" ht="12.8" hidden="false" customHeight="false" outlineLevel="0" collapsed="false">
      <c r="A216" s="5" t="e">
        <f aca="false">'Design Calculations'!G272</f>
        <v>#N/A</v>
      </c>
      <c r="B216" s="5" t="n">
        <f aca="false">'Design Calculations'!C272</f>
        <v>1.03999999999997</v>
      </c>
      <c r="C216" s="90" t="e">
        <f aca="false">'Design Calculations'!E272</f>
        <v>#N/A</v>
      </c>
      <c r="D216" s="5"/>
      <c r="E216" s="5" t="n">
        <f aca="false">'Design Calculations'!M272</f>
        <v>55.119999999999</v>
      </c>
      <c r="F216" s="5" t="n">
        <f aca="false">'Design Calculations'!I272</f>
        <v>3.64000000000052</v>
      </c>
      <c r="G216" s="91" t="n">
        <f aca="false">'Design Calculations'!K272</f>
        <v>1.40225390984381</v>
      </c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</row>
    <row r="217" customFormat="false" ht="12.8" hidden="false" customHeight="false" outlineLevel="0" collapsed="false">
      <c r="A217" s="5" t="e">
        <f aca="false">'Design Calculations'!G273</f>
        <v>#N/A</v>
      </c>
      <c r="B217" s="5" t="n">
        <f aca="false">'Design Calculations'!C273</f>
        <v>0.909999999999974</v>
      </c>
      <c r="C217" s="90" t="e">
        <f aca="false">'Design Calculations'!E273</f>
        <v>#N/A</v>
      </c>
      <c r="D217" s="5"/>
      <c r="E217" s="5" t="n">
        <f aca="false">'Design Calculations'!M273</f>
        <v>55.379999999999</v>
      </c>
      <c r="F217" s="5" t="n">
        <f aca="false">'Design Calculations'!I273</f>
        <v>3.51000000000052</v>
      </c>
      <c r="G217" s="91" t="n">
        <f aca="false">'Design Calculations'!K273</f>
        <v>1.35217341306368</v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</row>
    <row r="218" customFormat="false" ht="12.8" hidden="false" customHeight="false" outlineLevel="0" collapsed="false">
      <c r="A218" s="5" t="e">
        <f aca="false">'Design Calculations'!G274</f>
        <v>#N/A</v>
      </c>
      <c r="B218" s="5" t="n">
        <f aca="false">'Design Calculations'!C274</f>
        <v>0.779999999999974</v>
      </c>
      <c r="C218" s="90" t="e">
        <f aca="false">'Design Calculations'!E274</f>
        <v>#N/A</v>
      </c>
      <c r="D218" s="5"/>
      <c r="E218" s="5" t="n">
        <f aca="false">'Design Calculations'!M274</f>
        <v>55.639999999999</v>
      </c>
      <c r="F218" s="5" t="n">
        <f aca="false">'Design Calculations'!I274</f>
        <v>3.38000000000052</v>
      </c>
      <c r="G218" s="91" t="n">
        <f aca="false">'Design Calculations'!K274</f>
        <v>1.30209291628355</v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</row>
    <row r="219" customFormat="false" ht="12.8" hidden="false" customHeight="false" outlineLevel="0" collapsed="false">
      <c r="A219" s="5" t="e">
        <f aca="false">'Design Calculations'!G275</f>
        <v>#N/A</v>
      </c>
      <c r="B219" s="5" t="n">
        <f aca="false">'Design Calculations'!C275</f>
        <v>0.649999999999974</v>
      </c>
      <c r="C219" s="90" t="e">
        <f aca="false">'Design Calculations'!E275</f>
        <v>#N/A</v>
      </c>
      <c r="D219" s="5"/>
      <c r="E219" s="5" t="n">
        <f aca="false">'Design Calculations'!M275</f>
        <v>55.899999999999</v>
      </c>
      <c r="F219" s="5" t="n">
        <f aca="false">'Design Calculations'!I275</f>
        <v>3.25000000000052</v>
      </c>
      <c r="G219" s="91" t="n">
        <f aca="false">'Design Calculations'!K275</f>
        <v>1.25201241950342</v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</row>
    <row r="220" customFormat="false" ht="12.8" hidden="false" customHeight="false" outlineLevel="0" collapsed="false">
      <c r="A220" s="5" t="e">
        <f aca="false">'Design Calculations'!G276</f>
        <v>#N/A</v>
      </c>
      <c r="B220" s="5" t="n">
        <f aca="false">'Design Calculations'!C276</f>
        <v>0.519999999999974</v>
      </c>
      <c r="C220" s="90" t="e">
        <f aca="false">'Design Calculations'!E276</f>
        <v>#N/A</v>
      </c>
      <c r="D220" s="5"/>
      <c r="E220" s="5" t="n">
        <f aca="false">'Design Calculations'!M276</f>
        <v>56.159999999999</v>
      </c>
      <c r="F220" s="5" t="n">
        <f aca="false">'Design Calculations'!I276</f>
        <v>3.12000000000052</v>
      </c>
      <c r="G220" s="91" t="n">
        <f aca="false">'Design Calculations'!K276</f>
        <v>1.20193192272329</v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</row>
    <row r="221" customFormat="false" ht="12.8" hidden="false" customHeight="false" outlineLevel="0" collapsed="false">
      <c r="A221" s="5" t="e">
        <f aca="false">'Design Calculations'!G277</f>
        <v>#N/A</v>
      </c>
      <c r="B221" s="5" t="n">
        <f aca="false">'Design Calculations'!C277</f>
        <v>0.389999999999974</v>
      </c>
      <c r="C221" s="90" t="e">
        <f aca="false">'Design Calculations'!E277</f>
        <v>#N/A</v>
      </c>
      <c r="D221" s="5"/>
      <c r="E221" s="5" t="n">
        <f aca="false">'Design Calculations'!M277</f>
        <v>56.419999999999</v>
      </c>
      <c r="F221" s="5" t="n">
        <f aca="false">'Design Calculations'!I277</f>
        <v>2.99000000000052</v>
      </c>
      <c r="G221" s="91" t="n">
        <f aca="false">'Design Calculations'!K277</f>
        <v>1.15185142594316</v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</row>
    <row r="222" customFormat="false" ht="12.8" hidden="false" customHeight="false" outlineLevel="0" collapsed="false">
      <c r="A222" s="5" t="e">
        <f aca="false">'Design Calculations'!G278</f>
        <v>#N/A</v>
      </c>
      <c r="B222" s="5" t="n">
        <f aca="false">'Design Calculations'!C278</f>
        <v>0.259999999999974</v>
      </c>
      <c r="C222" s="90" t="e">
        <f aca="false">'Design Calculations'!E278</f>
        <v>#N/A</v>
      </c>
      <c r="D222" s="5"/>
      <c r="E222" s="5" t="n">
        <f aca="false">'Design Calculations'!M278</f>
        <v>56.679999999999</v>
      </c>
      <c r="F222" s="5" t="n">
        <f aca="false">'Design Calculations'!I278</f>
        <v>2.86000000000052</v>
      </c>
      <c r="G222" s="91" t="n">
        <f aca="false">'Design Calculations'!K278</f>
        <v>1.10177092916303</v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</row>
    <row r="223" customFormat="false" ht="12.8" hidden="false" customHeight="false" outlineLevel="0" collapsed="false">
      <c r="A223" s="5" t="e">
        <f aca="false">'Design Calculations'!G279</f>
        <v>#N/A</v>
      </c>
      <c r="B223" s="5" t="n">
        <f aca="false">'Design Calculations'!C279</f>
        <v>0.129999999999974</v>
      </c>
      <c r="C223" s="90" t="e">
        <f aca="false">'Design Calculations'!E279</f>
        <v>#N/A</v>
      </c>
      <c r="D223" s="5"/>
      <c r="E223" s="5" t="n">
        <f aca="false">'Design Calculations'!M279</f>
        <v>56.939999999999</v>
      </c>
      <c r="F223" s="5" t="n">
        <f aca="false">'Design Calculations'!I279</f>
        <v>2.73000000000052</v>
      </c>
      <c r="G223" s="91" t="n">
        <f aca="false">'Design Calculations'!K279</f>
        <v>1.05169043238291</v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</row>
    <row r="224" customFormat="false" ht="12.8" hidden="false" customHeight="false" outlineLevel="0" collapsed="false">
      <c r="A224" s="5" t="n">
        <f aca="false">'Design Calculations'!G280</f>
        <v>0</v>
      </c>
      <c r="B224" s="5" t="n">
        <f aca="false">'Design Calculations'!C280</f>
        <v>0</v>
      </c>
      <c r="C224" s="5" t="n">
        <f aca="false">'Design Calculations'!E280</f>
        <v>0</v>
      </c>
      <c r="D224" s="5"/>
      <c r="E224" s="5" t="n">
        <f aca="false">'Design Calculations'!M280</f>
        <v>57.199999999999</v>
      </c>
      <c r="F224" s="5" t="n">
        <f aca="false">'Design Calculations'!I280</f>
        <v>2.60000000000052</v>
      </c>
      <c r="G224" s="91" t="n">
        <f aca="false">'Design Calculations'!K280</f>
        <v>1.00160993560278</v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</row>
    <row r="225" customFormat="false" ht="12.8" hidden="false" customHeight="false" outlineLevel="0" collapsed="false">
      <c r="A225" s="5" t="n">
        <f aca="false">'Design Calculations'!G281</f>
        <v>0</v>
      </c>
      <c r="B225" s="5" t="n">
        <f aca="false">'Design Calculations'!C281</f>
        <v>0</v>
      </c>
      <c r="C225" s="5" t="n">
        <f aca="false">'Design Calculations'!E281</f>
        <v>0</v>
      </c>
      <c r="D225" s="5"/>
      <c r="E225" s="5" t="n">
        <f aca="false">'Design Calculations'!M281</f>
        <v>57.459999999999</v>
      </c>
      <c r="F225" s="5" t="n">
        <f aca="false">'Design Calculations'!I281</f>
        <v>2.47000000000052</v>
      </c>
      <c r="G225" s="91" t="n">
        <f aca="false">'Design Calculations'!K281</f>
        <v>0.951529438822647</v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</row>
    <row r="226" customFormat="false" ht="12.8" hidden="false" customHeight="false" outlineLevel="0" collapsed="false">
      <c r="A226" s="5" t="n">
        <f aca="false">'Design Calculations'!G282</f>
        <v>0</v>
      </c>
      <c r="B226" s="5" t="n">
        <f aca="false">'Design Calculations'!C282</f>
        <v>0</v>
      </c>
      <c r="C226" s="5" t="n">
        <f aca="false">'Design Calculations'!E282</f>
        <v>0</v>
      </c>
      <c r="D226" s="5"/>
      <c r="E226" s="5" t="n">
        <f aca="false">'Design Calculations'!M282</f>
        <v>57.719999999999</v>
      </c>
      <c r="F226" s="5" t="n">
        <f aca="false">'Design Calculations'!I282</f>
        <v>2.34000000000052</v>
      </c>
      <c r="G226" s="91" t="n">
        <f aca="false">'Design Calculations'!K282</f>
        <v>0.901448942042519</v>
      </c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</row>
    <row r="227" customFormat="false" ht="12.8" hidden="false" customHeight="false" outlineLevel="0" collapsed="false">
      <c r="A227" s="5" t="n">
        <f aca="false">'Design Calculations'!G283</f>
        <v>0</v>
      </c>
      <c r="B227" s="5" t="n">
        <f aca="false">'Design Calculations'!C283</f>
        <v>0</v>
      </c>
      <c r="C227" s="5" t="n">
        <f aca="false">'Design Calculations'!E283</f>
        <v>0</v>
      </c>
      <c r="D227" s="5"/>
      <c r="E227" s="5" t="n">
        <f aca="false">'Design Calculations'!M283</f>
        <v>57.979999999999</v>
      </c>
      <c r="F227" s="5" t="n">
        <f aca="false">'Design Calculations'!I283</f>
        <v>2.21000000000052</v>
      </c>
      <c r="G227" s="91" t="n">
        <f aca="false">'Design Calculations'!K283</f>
        <v>0.85136844526239</v>
      </c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</row>
    <row r="228" customFormat="false" ht="12.8" hidden="false" customHeight="false" outlineLevel="0" collapsed="false">
      <c r="A228" s="5" t="n">
        <f aca="false">'Design Calculations'!G284</f>
        <v>0</v>
      </c>
      <c r="B228" s="5" t="n">
        <f aca="false">'Design Calculations'!C284</f>
        <v>0</v>
      </c>
      <c r="C228" s="5" t="n">
        <f aca="false">'Design Calculations'!E284</f>
        <v>0</v>
      </c>
      <c r="D228" s="5"/>
      <c r="E228" s="5" t="n">
        <f aca="false">'Design Calculations'!M284</f>
        <v>58.239999999999</v>
      </c>
      <c r="F228" s="5" t="n">
        <f aca="false">'Design Calculations'!I284</f>
        <v>2.08000000000052</v>
      </c>
      <c r="G228" s="91" t="n">
        <f aca="false">'Design Calculations'!K284</f>
        <v>0.801287948482261</v>
      </c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</row>
    <row r="229" customFormat="false" ht="12.8" hidden="false" customHeight="false" outlineLevel="0" collapsed="false">
      <c r="A229" s="5" t="n">
        <f aca="false">'Design Calculations'!G285</f>
        <v>0</v>
      </c>
      <c r="B229" s="5" t="n">
        <f aca="false">'Design Calculations'!C285</f>
        <v>0</v>
      </c>
      <c r="C229" s="5" t="n">
        <f aca="false">'Design Calculations'!E285</f>
        <v>0</v>
      </c>
      <c r="D229" s="5"/>
      <c r="E229" s="5" t="n">
        <f aca="false">'Design Calculations'!M285</f>
        <v>58.499999999999</v>
      </c>
      <c r="F229" s="5" t="n">
        <f aca="false">'Design Calculations'!I285</f>
        <v>1.95000000000052</v>
      </c>
      <c r="G229" s="91" t="n">
        <f aca="false">'Design Calculations'!K285</f>
        <v>0.751207451702132</v>
      </c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</row>
    <row r="230" customFormat="false" ht="12.8" hidden="false" customHeight="false" outlineLevel="0" collapsed="false">
      <c r="A230" s="5" t="n">
        <f aca="false">'Design Calculations'!G286</f>
        <v>0</v>
      </c>
      <c r="B230" s="5" t="n">
        <f aca="false">'Design Calculations'!C286</f>
        <v>0</v>
      </c>
      <c r="C230" s="5" t="n">
        <f aca="false">'Design Calculations'!E286</f>
        <v>0</v>
      </c>
      <c r="D230" s="5"/>
      <c r="E230" s="5" t="n">
        <f aca="false">'Design Calculations'!M286</f>
        <v>58.759999999999</v>
      </c>
      <c r="F230" s="5" t="n">
        <f aca="false">'Design Calculations'!I286</f>
        <v>1.82000000000052</v>
      </c>
      <c r="G230" s="91" t="n">
        <f aca="false">'Design Calculations'!K286</f>
        <v>0.701126954922004</v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</row>
    <row r="231" customFormat="false" ht="12.8" hidden="false" customHeight="false" outlineLevel="0" collapsed="false">
      <c r="A231" s="5" t="n">
        <f aca="false">'Design Calculations'!G287</f>
        <v>0</v>
      </c>
      <c r="B231" s="5" t="n">
        <f aca="false">'Design Calculations'!C287</f>
        <v>0</v>
      </c>
      <c r="C231" s="5" t="n">
        <f aca="false">'Design Calculations'!E287</f>
        <v>0</v>
      </c>
      <c r="D231" s="5"/>
      <c r="E231" s="5" t="n">
        <f aca="false">'Design Calculations'!M287</f>
        <v>59.019999999999</v>
      </c>
      <c r="F231" s="5" t="n">
        <f aca="false">'Design Calculations'!I287</f>
        <v>1.69000000000052</v>
      </c>
      <c r="G231" s="91" t="n">
        <f aca="false">'Design Calculations'!K287</f>
        <v>0.651046458141875</v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</row>
    <row r="232" customFormat="false" ht="12.8" hidden="false" customHeight="false" outlineLevel="0" collapsed="false">
      <c r="A232" s="5" t="n">
        <f aca="false">'Design Calculations'!G288</f>
        <v>0</v>
      </c>
      <c r="B232" s="5" t="n">
        <f aca="false">'Design Calculations'!C288</f>
        <v>0</v>
      </c>
      <c r="C232" s="5" t="n">
        <f aca="false">'Design Calculations'!E288</f>
        <v>0</v>
      </c>
      <c r="D232" s="5"/>
      <c r="E232" s="5" t="n">
        <f aca="false">'Design Calculations'!M288</f>
        <v>59.279999999999</v>
      </c>
      <c r="F232" s="5" t="n">
        <f aca="false">'Design Calculations'!I288</f>
        <v>1.56000000000052</v>
      </c>
      <c r="G232" s="91" t="n">
        <f aca="false">'Design Calculations'!K288</f>
        <v>0.600965961361746</v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</row>
    <row r="233" customFormat="false" ht="12.8" hidden="false" customHeight="false" outlineLevel="0" collapsed="false">
      <c r="A233" s="5" t="n">
        <f aca="false">'Design Calculations'!G289</f>
        <v>0</v>
      </c>
      <c r="B233" s="5" t="n">
        <f aca="false">'Design Calculations'!C289</f>
        <v>0</v>
      </c>
      <c r="C233" s="5" t="n">
        <f aca="false">'Design Calculations'!E289</f>
        <v>0</v>
      </c>
      <c r="D233" s="5"/>
      <c r="E233" s="5" t="n">
        <f aca="false">'Design Calculations'!M289</f>
        <v>59.539999999999</v>
      </c>
      <c r="F233" s="5" t="n">
        <f aca="false">'Design Calculations'!I289</f>
        <v>1.43000000000052</v>
      </c>
      <c r="G233" s="91" t="n">
        <f aca="false">'Design Calculations'!K289</f>
        <v>0.550885464581617</v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</row>
    <row r="234" customFormat="false" ht="12.8" hidden="false" customHeight="false" outlineLevel="0" collapsed="false">
      <c r="A234" s="5" t="n">
        <f aca="false">'Design Calculations'!G290</f>
        <v>0</v>
      </c>
      <c r="B234" s="5" t="n">
        <f aca="false">'Design Calculations'!C290</f>
        <v>0</v>
      </c>
      <c r="C234" s="5" t="n">
        <f aca="false">'Design Calculations'!E290</f>
        <v>0</v>
      </c>
      <c r="D234" s="5"/>
      <c r="E234" s="5" t="n">
        <f aca="false">'Design Calculations'!M290</f>
        <v>59.799999999999</v>
      </c>
      <c r="F234" s="5" t="n">
        <f aca="false">'Design Calculations'!I290</f>
        <v>1.30000000000052</v>
      </c>
      <c r="G234" s="91" t="n">
        <f aca="false">'Design Calculations'!K290</f>
        <v>0.500804967801488</v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290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E60" activeCellId="0" sqref="E60"/>
    </sheetView>
  </sheetViews>
  <sheetFormatPr defaultColWidth="9.1484375" defaultRowHeight="12.75" customHeight="true" zeroHeight="false" outlineLevelRow="0" outlineLevelCol="0"/>
  <cols>
    <col collapsed="false" customWidth="true" hidden="false" outlineLevel="0" max="1" min="1" style="1" width="24.71"/>
    <col collapsed="false" customWidth="true" hidden="false" outlineLevel="0" max="2" min="2" style="1" width="8.42"/>
    <col collapsed="false" customWidth="true" hidden="false" outlineLevel="0" max="3" min="3" style="1" width="14.14"/>
    <col collapsed="false" customWidth="true" hidden="false" outlineLevel="0" max="8" min="4" style="1" width="10.71"/>
    <col collapsed="false" customWidth="false" hidden="false" outlineLevel="0" max="9" min="9" style="1" width="9.14"/>
    <col collapsed="false" customWidth="true" hidden="false" outlineLevel="0" max="10" min="10" style="1" width="19"/>
    <col collapsed="false" customWidth="false" hidden="false" outlineLevel="0" max="12" min="11" style="1" width="9.14"/>
    <col collapsed="false" customWidth="true" hidden="false" outlineLevel="0" max="17" min="13" style="1" width="10.71"/>
    <col collapsed="false" customWidth="false" hidden="false" outlineLevel="0" max="16384" min="18" style="1" width="9.14"/>
  </cols>
  <sheetData>
    <row r="1" customFormat="false" ht="12.75" hidden="false" customHeight="false" outlineLevel="0" collapsed="false">
      <c r="A1" s="69" t="s">
        <v>86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customFormat="false" ht="12.75" hidden="false" customHeight="false" outlineLevel="0" collapsed="false">
      <c r="A2" s="5" t="s">
        <v>87</v>
      </c>
      <c r="B2" s="5" t="n">
        <f aca="false">'Design Worksheet'!B7</f>
        <v>20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customFormat="false" ht="12.75" hidden="false" customHeight="false" outlineLevel="0" collapsed="false">
      <c r="A3" s="5" t="s">
        <v>88</v>
      </c>
      <c r="B3" s="5" t="n">
        <f aca="false">'Design Worksheet'!B8</f>
        <v>27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customFormat="false" ht="12.75" hidden="false" customHeight="false" outlineLevel="0" collapsed="false">
      <c r="A4" s="5" t="s">
        <v>89</v>
      </c>
      <c r="B4" s="5" t="n">
        <f aca="false">'Design Worksheet'!B9</f>
        <v>10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customFormat="false" ht="12.75" hidden="false" customHeight="false" outlineLevel="0" collapsed="false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customFormat="false" ht="12.75" hidden="false" customHeight="false" outlineLevel="0" collapsed="false">
      <c r="A6" s="5" t="s">
        <v>90</v>
      </c>
      <c r="B6" s="5" t="n">
        <f aca="false">Set_R3*(Set_OV-Ov)/Ov</f>
        <v>260</v>
      </c>
      <c r="C6" s="5"/>
      <c r="D6" s="5" t="s">
        <v>91</v>
      </c>
      <c r="E6" s="5" t="s">
        <v>92</v>
      </c>
      <c r="F6" s="5" t="s">
        <v>93</v>
      </c>
      <c r="G6" s="5" t="s">
        <v>94</v>
      </c>
      <c r="H6" s="7" t="s">
        <v>95</v>
      </c>
      <c r="I6" s="5"/>
      <c r="J6" s="5"/>
      <c r="K6" s="5"/>
      <c r="L6" s="5"/>
      <c r="M6" s="5"/>
      <c r="N6" s="5"/>
      <c r="O6" s="5"/>
      <c r="P6" s="5"/>
      <c r="Q6" s="5"/>
    </row>
    <row r="7" customFormat="false" ht="12.75" hidden="false" customHeight="false" outlineLevel="0" collapsed="false">
      <c r="A7" s="5" t="s">
        <v>96</v>
      </c>
      <c r="B7" s="5" t="n">
        <f aca="false">((B6+Set_R3)*UV-Set_UV*Set_R3)/Set_UV</f>
        <v>3.5</v>
      </c>
      <c r="C7" s="5" t="s">
        <v>97</v>
      </c>
      <c r="D7" s="5" t="n">
        <f aca="false">INDEX( 'Resistor Table'!$A$1:$A$481,MATCH(1000*$B7, 'Resistor Table'!$A$1:$A$481, 1))</f>
        <v>3480</v>
      </c>
      <c r="E7" s="5" t="n">
        <f aca="false">INDEX( 'Resistor Table'!$B$1:$B$481,MATCH(1000*$B7, 'Resistor Table'!$B$1:$B$481, -1))</f>
        <v>3570</v>
      </c>
      <c r="F7" s="5" t="n">
        <f aca="false">ABS(1-D7/(1000*B7))</f>
        <v>0.00571428571428567</v>
      </c>
      <c r="G7" s="5" t="n">
        <f aca="false">ABS(1-E7/(1000*B7))</f>
        <v>0.02</v>
      </c>
      <c r="H7" s="7" t="n">
        <f aca="false">IF(F7&lt;G7, D7, E7)</f>
        <v>3480</v>
      </c>
      <c r="I7" s="5"/>
      <c r="J7" s="5"/>
      <c r="K7" s="5"/>
      <c r="L7" s="5"/>
      <c r="M7" s="5"/>
      <c r="N7" s="5"/>
      <c r="O7" s="5"/>
      <c r="P7" s="5"/>
      <c r="Q7" s="5"/>
    </row>
    <row r="8" customFormat="false" ht="12.75" hidden="false" customHeight="false" outlineLevel="0" collapsed="false">
      <c r="A8" s="5" t="s">
        <v>98</v>
      </c>
      <c r="B8" s="5" t="n">
        <f aca="false">B6-B7</f>
        <v>256.5</v>
      </c>
      <c r="C8" s="5" t="s">
        <v>97</v>
      </c>
      <c r="D8" s="5" t="n">
        <f aca="false">INDEX( 'Resistor Table'!$A$1:$A$481,MATCH(1000*$B8, 'Resistor Table'!$A$1:$A$481, 1))</f>
        <v>255000</v>
      </c>
      <c r="E8" s="5" t="n">
        <f aca="false">INDEX( 'Resistor Table'!$B$1:$B$481,MATCH(1000*$B8, 'Resistor Table'!$B$1:$B$481, -1))</f>
        <v>261000</v>
      </c>
      <c r="F8" s="5" t="n">
        <f aca="false">ABS(1-D8/(1000*B8))</f>
        <v>0.00584795321637432</v>
      </c>
      <c r="G8" s="5" t="n">
        <f aca="false">ABS(1-E8/(1000*B8))</f>
        <v>0.0175438596491229</v>
      </c>
      <c r="H8" s="7" t="n">
        <f aca="false">IF(F8&lt;G8, D8, E8)</f>
        <v>255000</v>
      </c>
      <c r="I8" s="5"/>
      <c r="J8" s="5"/>
      <c r="K8" s="5"/>
      <c r="L8" s="5"/>
      <c r="M8" s="5"/>
      <c r="N8" s="5"/>
      <c r="O8" s="5"/>
      <c r="P8" s="5"/>
      <c r="Q8" s="5"/>
    </row>
    <row r="9" customFormat="false" ht="12.75" hidden="false" customHeight="false" outlineLevel="0" collapsed="false">
      <c r="A9" s="5" t="s">
        <v>99</v>
      </c>
      <c r="B9" s="93" t="n">
        <f aca="false">(1000*Set_R3+ActR2+ActR1)/(1000*Set_R3+ActR2)</f>
        <v>19.9169139465875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customFormat="false" ht="12.75" hidden="false" customHeight="false" outlineLevel="0" collapsed="false">
      <c r="A10" s="5" t="s">
        <v>100</v>
      </c>
      <c r="B10" s="7" t="n">
        <f aca="false">(1000*Set_R3+ActR2+ActR1)/(1000*Set_R3)</f>
        <v>26.848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customFormat="false" ht="12.75" hidden="false" customHeight="false" outlineLevel="0" collapsed="false">
      <c r="A11" s="5"/>
      <c r="B11" s="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customFormat="false" ht="12.75" hidden="false" customHeight="false" outlineLevel="0" collapsed="false">
      <c r="A12" s="94" t="s">
        <v>10</v>
      </c>
      <c r="B12" s="93" t="n">
        <f aca="false">Uvmax*((1-ResTol)*(1000*Set_R3+ActR2)+(1+ResTol)*ActR1)/((1-ResTol)*(1000*Set_R3+ActR2))</f>
        <v>20.5020645625393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customFormat="false" ht="12.75" hidden="false" customHeight="false" outlineLevel="0" collapsed="false">
      <c r="A13" s="94" t="s">
        <v>11</v>
      </c>
      <c r="B13" s="93" t="n">
        <f aca="false">Uvmin*((1+ResTol)*(1000*Set_R3+ActR2)+(1-ResTol)*ActR1)/((1+ResTol)*(1000*Set_R3+ActR2))</f>
        <v>19.3468983752975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customFormat="false" ht="12.75" hidden="false" customHeight="false" outlineLevel="0" collapsed="false">
      <c r="A14" s="94"/>
      <c r="B14" s="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customFormat="false" ht="12.75" hidden="false" customHeight="false" outlineLevel="0" collapsed="false">
      <c r="A15" s="94" t="s">
        <v>12</v>
      </c>
      <c r="B15" s="7" t="n">
        <f aca="false">Ovmax*((1-ResTol)*1000*Set_R3+(1+ResTol)*(ActR2+ActR1))/((1-ResTol)*1000*Set_R3)</f>
        <v>27.6438836363636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customFormat="false" ht="12.75" hidden="false" customHeight="false" outlineLevel="0" collapsed="false">
      <c r="A16" s="94" t="s">
        <v>13</v>
      </c>
      <c r="B16" s="7" t="n">
        <f aca="false">Ovmin*((1+ResTol)*1000*Set_R3+(1-ResTol)*(ActR2+ActR1))/((1+ResTol)*1000*Set_R3)</f>
        <v>26.0727968316832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customFormat="false" ht="12.75" hidden="false" customHeight="false" outlineLevel="0" collapsed="false">
      <c r="A17" s="9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customFormat="false" ht="12.75" hidden="false" customHeight="false" outlineLevel="0" collapsed="false">
      <c r="A18" s="69" t="s">
        <v>101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customFormat="false" ht="12.75" hidden="false" customHeight="false" outlineLevel="0" collapsed="false">
      <c r="A19" s="5" t="s">
        <v>102</v>
      </c>
      <c r="B19" s="5" t="n">
        <f aca="false">'Design Worksheet'!B27</f>
        <v>10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customFormat="false" ht="12.75" hidden="false" customHeight="false" outlineLevel="0" collapsed="false">
      <c r="A20" s="5" t="s">
        <v>103</v>
      </c>
      <c r="B20" s="5" t="n">
        <f aca="false">'Design Worksheet'!B28</f>
        <v>0.005</v>
      </c>
      <c r="C20" s="5"/>
      <c r="D20" s="5" t="s">
        <v>104</v>
      </c>
      <c r="E20" s="5" t="s">
        <v>105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customFormat="false" ht="12.75" hidden="false" customHeight="false" outlineLevel="0" collapsed="false">
      <c r="A21" s="5" t="s">
        <v>106</v>
      </c>
      <c r="B21" s="5" t="n">
        <f aca="false">Set_OC*Set_Rs</f>
        <v>0.05</v>
      </c>
      <c r="C21" s="5"/>
      <c r="D21" s="5" t="n">
        <f aca="false">$B$21-0.0025</f>
        <v>0.0475</v>
      </c>
      <c r="E21" s="5" t="n">
        <f aca="false">$B$21+0.0025</f>
        <v>0.0525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customFormat="false" ht="12.75" hidden="false" customHeight="false" outlineLevel="0" collapsed="false">
      <c r="A22" s="5" t="s">
        <v>19</v>
      </c>
      <c r="B22" s="5" t="n">
        <f aca="false">IF(Gain*B21&gt;2.6,2,Gain*B21)</f>
        <v>2</v>
      </c>
      <c r="C22" s="96" t="str">
        <f aca="false">IF(Gain*B21&gt;2.6,"R4 &amp; R5 result in VISET &gt;2.6V. Use internal 2V VISET", "")</f>
        <v/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customFormat="false" ht="12.75" hidden="false" customHeight="false" outlineLevel="0" collapsed="false">
      <c r="A23" s="5" t="s">
        <v>107</v>
      </c>
      <c r="B23" s="5" t="n">
        <f aca="false">'Design Worksheet'!B29</f>
        <v>10</v>
      </c>
      <c r="C23" s="5"/>
      <c r="D23" s="5" t="s">
        <v>91</v>
      </c>
      <c r="E23" s="5" t="s">
        <v>92</v>
      </c>
      <c r="F23" s="5" t="s">
        <v>93</v>
      </c>
      <c r="G23" s="5" t="s">
        <v>94</v>
      </c>
      <c r="H23" s="7" t="s">
        <v>95</v>
      </c>
      <c r="I23" s="5"/>
      <c r="J23" s="5"/>
      <c r="K23" s="5"/>
      <c r="L23" s="5"/>
      <c r="M23" s="5"/>
      <c r="N23" s="5"/>
      <c r="O23" s="5"/>
      <c r="P23" s="5"/>
      <c r="Q23" s="5"/>
    </row>
    <row r="24" customFormat="false" ht="12.75" hidden="false" customHeight="false" outlineLevel="0" collapsed="false">
      <c r="A24" s="5" t="s">
        <v>108</v>
      </c>
      <c r="B24" s="5" t="n">
        <f aca="false">Set_R5*(Vcap-B22)/B22</f>
        <v>8</v>
      </c>
      <c r="C24" s="5" t="s">
        <v>97</v>
      </c>
      <c r="D24" s="5" t="n">
        <f aca="false">INDEX( 'Resistor Table'!$A$1:$A$481,MATCH(1000*$B24, 'Resistor Table'!$A$1:$A$481, 1))</f>
        <v>7870</v>
      </c>
      <c r="E24" s="5" t="n">
        <f aca="false">INDEX( 'Resistor Table'!$B$1:$B$481,MATCH(1000*$B24, 'Resistor Table'!$B$1:$B$481, -1))</f>
        <v>8060</v>
      </c>
      <c r="F24" s="5" t="n">
        <f aca="false">ABS(1-D24/(1000*B24))</f>
        <v>0.01625</v>
      </c>
      <c r="G24" s="5" t="n">
        <f aca="false">ABS(1-E24/(1000*B24))</f>
        <v>0.00750000000000006</v>
      </c>
      <c r="H24" s="7" t="n">
        <f aca="false">IF(F24&lt;G24, D24, E24)</f>
        <v>8060</v>
      </c>
      <c r="I24" s="5"/>
      <c r="J24" s="5"/>
      <c r="K24" s="5"/>
      <c r="L24" s="5"/>
      <c r="M24" s="5"/>
      <c r="N24" s="5"/>
      <c r="O24" s="5"/>
      <c r="P24" s="5"/>
      <c r="Q24" s="5"/>
    </row>
    <row r="25" customFormat="false" ht="12.75" hidden="false" customHeight="false" outlineLevel="0" collapsed="false">
      <c r="A25" s="5" t="s">
        <v>109</v>
      </c>
      <c r="B25" s="97" t="n">
        <f aca="false">Vcap*Set_R5*1000/((1000*Set_R5+ActR4)*Gain*Set_Rs)</f>
        <v>9.96677740863787</v>
      </c>
      <c r="C25" s="97" t="n">
        <f aca="false">(VI/40+0.0025)*40/(Gain*Set_Rs)</f>
        <v>10.5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customFormat="false" ht="12.75" hidden="false" customHeight="false" outlineLevel="0" collapsed="false">
      <c r="A26" s="5"/>
      <c r="B26" s="9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customFormat="false" ht="12.75" hidden="false" customHeight="false" outlineLevel="0" collapsed="false">
      <c r="A27" s="5" t="s">
        <v>20</v>
      </c>
      <c r="B27" s="97" t="n">
        <f aca="false">((Vcapmax*(1+ResTol)*Set_R5*1000/(((1+ResTol)*1000*Set_R5+(1-ResTol)*ActR4))/40+0.0025)*40)/(Gain*Set_Rs*(1-CSTol))</f>
        <v>10.8146243344314</v>
      </c>
      <c r="C27" s="9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customFormat="false" ht="12.75" hidden="false" customHeight="false" outlineLevel="0" collapsed="false">
      <c r="A28" s="5" t="s">
        <v>21</v>
      </c>
      <c r="B28" s="97" t="n">
        <f aca="false">((Vcapmin*(1-ResTol)*Set_R5*1000/(((1-ResTol)*1000*Set_R5+(1+ResTol)*ActR4))/40-0.0025)*40)/(Gain*Set_Rs*(1+CSTol))</f>
        <v>9.13817272218669</v>
      </c>
      <c r="C28" s="9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customFormat="false" ht="12.75" hidden="false" customHeight="false" outlineLevel="0" collapsed="false">
      <c r="A29" s="5"/>
      <c r="B29" s="9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customFormat="false" ht="12.75" hidden="false" customHeight="false" outlineLevel="0" collapsed="false">
      <c r="A30" s="5"/>
      <c r="B30" s="5"/>
      <c r="C30" s="5"/>
      <c r="D30" s="5"/>
      <c r="E30" s="5"/>
      <c r="F30" s="5"/>
      <c r="G30" s="5"/>
      <c r="H30" s="5"/>
      <c r="I30" s="5"/>
      <c r="J30" s="96" t="str">
        <f aca="false">IF(0.5*VI*(B35+Set_R9)/VOFLB-Set_R9&gt;0, "Use this section", "Ignore these calculations, use next section")</f>
        <v>Ignore these calculations, use next section</v>
      </c>
      <c r="K30" s="5"/>
      <c r="L30" s="5"/>
      <c r="M30" s="5"/>
      <c r="N30" s="5"/>
      <c r="O30" s="5"/>
      <c r="P30" s="5"/>
      <c r="Q30" s="5"/>
    </row>
    <row r="31" customFormat="false" ht="12.75" hidden="false" customHeight="false" outlineLevel="0" collapsed="false">
      <c r="A31" s="69"/>
      <c r="B31" s="5"/>
      <c r="C31" s="5"/>
      <c r="D31" s="5"/>
      <c r="E31" s="5"/>
      <c r="F31" s="5"/>
      <c r="G31" s="5"/>
      <c r="H31" s="5"/>
      <c r="I31" s="5"/>
      <c r="J31" s="96" t="str">
        <f aca="false">IF(0.5*VI*(B35+Set_R9)/VOFLB-Set_R9&gt;0, "Ignore these calculations, use previous section", "Reverse FB and FLB connections, Set R8")</f>
        <v>Reverse FB and FLB connections, Set R8</v>
      </c>
      <c r="K31" s="5"/>
      <c r="L31" s="5"/>
      <c r="M31" s="5"/>
      <c r="N31" s="5"/>
      <c r="O31" s="5"/>
      <c r="P31" s="5"/>
      <c r="Q31" s="5"/>
    </row>
    <row r="32" customFormat="false" ht="12.75" hidden="false" customHeight="false" outlineLevel="0" collapsed="false">
      <c r="A32" s="69" t="s">
        <v>110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customFormat="false" ht="12.75" hidden="false" customHeight="false" outlineLevel="0" collapsed="false">
      <c r="A33" s="5" t="s">
        <v>111</v>
      </c>
      <c r="B33" s="5" t="n">
        <f aca="false">'Design Worksheet'!B41</f>
        <v>24</v>
      </c>
      <c r="C33" s="5" t="s">
        <v>112</v>
      </c>
      <c r="D33" s="5"/>
      <c r="E33" s="5"/>
      <c r="F33" s="5"/>
      <c r="G33" s="5"/>
      <c r="H33" s="5"/>
      <c r="I33" s="5"/>
      <c r="J33" s="5" t="str">
        <f aca="false">A36</f>
        <v>Set FLB Threshold</v>
      </c>
      <c r="K33" s="5" t="n">
        <f aca="false">VOFLB</f>
        <v>26</v>
      </c>
      <c r="L33" s="5"/>
      <c r="M33" s="5"/>
      <c r="N33" s="5"/>
      <c r="O33" s="5"/>
      <c r="P33" s="5"/>
      <c r="Q33" s="5"/>
    </row>
    <row r="34" customFormat="false" ht="12.75" hidden="false" customHeight="false" outlineLevel="0" collapsed="false">
      <c r="A34" s="98" t="s">
        <v>113</v>
      </c>
      <c r="B34" s="5" t="n">
        <f aca="false">'Design Worksheet'!B45</f>
        <v>4.75</v>
      </c>
      <c r="C34" s="5"/>
      <c r="D34" s="5"/>
      <c r="E34" s="5"/>
      <c r="F34" s="5"/>
      <c r="G34" s="5"/>
      <c r="H34" s="5"/>
      <c r="I34" s="5"/>
      <c r="J34" s="98" t="s">
        <v>114</v>
      </c>
      <c r="K34" s="5" t="n">
        <f aca="false">'Design Worksheet'!B54</f>
        <v>100</v>
      </c>
      <c r="L34" s="5"/>
      <c r="M34" s="5"/>
      <c r="N34" s="5"/>
      <c r="O34" s="5"/>
      <c r="P34" s="5"/>
      <c r="Q34" s="5"/>
    </row>
    <row r="35" customFormat="false" ht="12.75" hidden="false" customHeight="false" outlineLevel="0" collapsed="false">
      <c r="A35" s="5" t="s">
        <v>115</v>
      </c>
      <c r="B35" s="5" t="n">
        <f aca="false">B34*(VOPG-VPG)</f>
        <v>109.25</v>
      </c>
      <c r="C35" s="5"/>
      <c r="D35" s="5"/>
      <c r="E35" s="5"/>
      <c r="F35" s="5"/>
      <c r="G35" s="5"/>
      <c r="H35" s="5"/>
      <c r="I35" s="5"/>
      <c r="J35" s="5" t="s">
        <v>116</v>
      </c>
      <c r="K35" s="99" t="n">
        <f aca="false">Set_R8/(VOPG-1)</f>
        <v>4.34782608695652</v>
      </c>
      <c r="L35" s="5"/>
      <c r="M35" s="5"/>
      <c r="N35" s="5"/>
      <c r="O35" s="5"/>
      <c r="P35" s="5"/>
      <c r="Q35" s="5"/>
    </row>
    <row r="36" customFormat="false" ht="12.75" hidden="false" customHeight="false" outlineLevel="0" collapsed="false">
      <c r="A36" s="5" t="s">
        <v>117</v>
      </c>
      <c r="B36" s="5" t="n">
        <f aca="false">'Design Worksheet'!B42</f>
        <v>26</v>
      </c>
      <c r="C36" s="5" t="s">
        <v>118</v>
      </c>
      <c r="D36" s="5" t="s">
        <v>91</v>
      </c>
      <c r="E36" s="5" t="s">
        <v>92</v>
      </c>
      <c r="F36" s="5" t="s">
        <v>93</v>
      </c>
      <c r="G36" s="5" t="s">
        <v>94</v>
      </c>
      <c r="H36" s="7" t="s">
        <v>95</v>
      </c>
      <c r="I36" s="5"/>
      <c r="J36" s="5" t="s">
        <v>119</v>
      </c>
      <c r="K36" s="5" t="n">
        <f aca="false">VOPG</f>
        <v>24</v>
      </c>
      <c r="L36" s="5"/>
      <c r="M36" s="5" t="s">
        <v>91</v>
      </c>
      <c r="N36" s="5" t="s">
        <v>92</v>
      </c>
      <c r="O36" s="5" t="s">
        <v>93</v>
      </c>
      <c r="P36" s="5" t="s">
        <v>94</v>
      </c>
      <c r="Q36" s="7" t="s">
        <v>95</v>
      </c>
    </row>
    <row r="37" customFormat="false" ht="12.75" hidden="false" customHeight="false" outlineLevel="0" collapsed="false">
      <c r="A37" s="5" t="s">
        <v>120</v>
      </c>
      <c r="B37" s="99" t="n">
        <f aca="false">0.5*VI*($B$35+Set_R9)/VOFLB-Set_R9</f>
        <v>-0.365384615384615</v>
      </c>
      <c r="C37" s="5" t="s">
        <v>97</v>
      </c>
      <c r="D37" s="5" t="e">
        <f aca="false">INDEX( 'Resistor Table'!$A$1:$A$481,MATCH(1000*$B37, 'Resistor Table'!$A$1:$A$481, 1))</f>
        <v>#N/A</v>
      </c>
      <c r="E37" s="5" t="n">
        <f aca="false">INDEX( 'Resistor Table'!$B$1:$B$481,MATCH(1000*$B37, 'Resistor Table'!$B$1:$B$481, -1))</f>
        <v>100</v>
      </c>
      <c r="F37" s="5" t="e">
        <f aca="false">ABS(1-D37/(1000*B37))</f>
        <v>#N/A</v>
      </c>
      <c r="G37" s="5" t="n">
        <f aca="false">ABS(1-E37/(1000*B37))</f>
        <v>1.27368421052632</v>
      </c>
      <c r="H37" s="7" t="e">
        <f aca="false">IF(F37&lt;G37, D37, E37)</f>
        <v>#N/A</v>
      </c>
      <c r="I37" s="5"/>
      <c r="J37" s="5" t="s">
        <v>121</v>
      </c>
      <c r="K37" s="99" t="n">
        <f aca="false">0.5*VI*(K35+Set_R8)/K33</f>
        <v>4.01337792642141</v>
      </c>
      <c r="L37" s="5" t="s">
        <v>97</v>
      </c>
      <c r="M37" s="5" t="n">
        <f aca="false">INDEX( 'Resistor Table'!$A$1:$A$481,MATCH(1000*$K37, 'Resistor Table'!$A$1:$A$481, 1))</f>
        <v>3920</v>
      </c>
      <c r="N37" s="5" t="n">
        <f aca="false">INDEX( 'Resistor Table'!$B$1:$B$481,MATCH(1000*$K37, 'Resistor Table'!$B$1:$B$481, -1))</f>
        <v>4020</v>
      </c>
      <c r="O37" s="5" t="n">
        <f aca="false">ABS(1-M37/(1000*K37))</f>
        <v>0.0232666666666667</v>
      </c>
      <c r="P37" s="5" t="n">
        <f aca="false">ABS(1-N37/(1000*K37))</f>
        <v>0.00165000000000015</v>
      </c>
      <c r="Q37" s="7" t="n">
        <f aca="false">IF(O37&lt;P37, M37, N37)</f>
        <v>4020</v>
      </c>
    </row>
    <row r="38" customFormat="false" ht="12.75" hidden="false" customHeight="false" outlineLevel="0" collapsed="false">
      <c r="A38" s="5" t="s">
        <v>122</v>
      </c>
      <c r="B38" s="99" t="n">
        <f aca="false">B35-B37</f>
        <v>109.615384615385</v>
      </c>
      <c r="C38" s="5" t="s">
        <v>97</v>
      </c>
      <c r="D38" s="5" t="n">
        <f aca="false">INDEX( 'Resistor Table'!$A$1:$A$481,MATCH(1000*$B38, 'Resistor Table'!$A$1:$A$481, 1))</f>
        <v>107000</v>
      </c>
      <c r="E38" s="5" t="n">
        <f aca="false">INDEX( 'Resistor Table'!$B$1:$B$481,MATCH(1000*$B38, 'Resistor Table'!$B$1:$B$481, -1))</f>
        <v>110000</v>
      </c>
      <c r="F38" s="5" t="n">
        <f aca="false">ABS(1-D38/(1000*B38))</f>
        <v>0.0238596491228069</v>
      </c>
      <c r="G38" s="5" t="n">
        <f aca="false">ABS(1-E38/(1000*B38))</f>
        <v>0.00350877192982457</v>
      </c>
      <c r="H38" s="7" t="n">
        <f aca="false">IF(F38&lt;G38, D38, E38)</f>
        <v>110000</v>
      </c>
      <c r="I38" s="5"/>
      <c r="J38" s="5" t="s">
        <v>120</v>
      </c>
      <c r="K38" s="99" t="n">
        <f aca="false">K35-K37</f>
        <v>0.334448160535115</v>
      </c>
      <c r="L38" s="5" t="s">
        <v>97</v>
      </c>
      <c r="M38" s="5" t="n">
        <f aca="false">INDEX( 'Resistor Table'!$A$1:$A$481,MATCH(1000*$K38, 'Resistor Table'!$A$1:$A$481, 1))</f>
        <v>332</v>
      </c>
      <c r="N38" s="5" t="n">
        <f aca="false">INDEX( 'Resistor Table'!$B$1:$B$481,MATCH(1000*$K38, 'Resistor Table'!$B$1:$B$481, -1))</f>
        <v>340</v>
      </c>
      <c r="O38" s="5" t="n">
        <f aca="false">ABS(1-M38/(1000*K38))</f>
        <v>0.007319999999994</v>
      </c>
      <c r="P38" s="5" t="n">
        <f aca="false">ABS(1-N38/(1000*K38))</f>
        <v>0.0166000000000062</v>
      </c>
      <c r="Q38" s="7" t="n">
        <f aca="false">IF(O38&lt;P38, M38, N38)</f>
        <v>332</v>
      </c>
    </row>
    <row r="39" customFormat="false" ht="12.75" hidden="false" customHeight="false" outlineLevel="0" collapsed="false">
      <c r="A39" s="5" t="s">
        <v>123</v>
      </c>
      <c r="B39" s="93" t="e">
        <f aca="false">(1000*Set_R9+ActR7+ActR8)/(1000*Set_R9)</f>
        <v>#N/A</v>
      </c>
      <c r="C39" s="5"/>
      <c r="D39" s="5"/>
      <c r="E39" s="5"/>
      <c r="F39" s="5"/>
      <c r="G39" s="5"/>
      <c r="H39" s="5"/>
      <c r="I39" s="5"/>
      <c r="J39" s="5" t="str">
        <f aca="false">A39</f>
        <v>Calc actual PG</v>
      </c>
      <c r="K39" s="93" t="n">
        <f aca="false">(1000*Set_R8+ActR7_sw+ActR9_sw)/(ActR9_sw+ActR7_sw)</f>
        <v>23.9779411764706</v>
      </c>
      <c r="L39" s="5"/>
      <c r="M39" s="5"/>
      <c r="N39" s="5"/>
      <c r="O39" s="5"/>
      <c r="P39" s="5"/>
      <c r="Q39" s="5"/>
    </row>
    <row r="40" customFormat="false" ht="12.75" hidden="false" customHeight="false" outlineLevel="0" collapsed="false">
      <c r="A40" s="5" t="s">
        <v>124</v>
      </c>
      <c r="B40" s="97" t="e">
        <f aca="false">VOFLB/4*(1000*Set_R9+ActR7)/((1000*Set_R9+ActR7+ActR8)*(Set_Rs*Gain/2))</f>
        <v>#N/A</v>
      </c>
      <c r="C40" s="5"/>
      <c r="D40" s="5"/>
      <c r="E40" s="5"/>
      <c r="F40" s="5"/>
      <c r="G40" s="5"/>
      <c r="H40" s="5"/>
      <c r="I40" s="5"/>
      <c r="J40" s="5" t="str">
        <f aca="false">A40</f>
        <v>Calc OC @ VoFLB/4</v>
      </c>
      <c r="K40" s="97" t="n">
        <f aca="false">VI/4*(1000*Set_R8)/((1000*Set_R8+ActR7_sw+ActR9_sw)*(Set_Rs*Gain/2))</f>
        <v>4.79147500766636</v>
      </c>
      <c r="L40" s="5"/>
      <c r="M40" s="5"/>
      <c r="N40" s="5"/>
      <c r="O40" s="5"/>
      <c r="P40" s="5"/>
      <c r="Q40" s="5"/>
    </row>
    <row r="41" customFormat="false" ht="12.75" hidden="false" customHeight="false" outlineLevel="0" collapsed="false">
      <c r="A41" s="5"/>
      <c r="B41" s="97"/>
      <c r="C41" s="5"/>
      <c r="D41" s="5"/>
      <c r="E41" s="5"/>
      <c r="F41" s="5"/>
      <c r="G41" s="5"/>
      <c r="H41" s="5"/>
      <c r="I41" s="5"/>
      <c r="J41" s="5"/>
      <c r="K41" s="97"/>
      <c r="L41" s="5"/>
      <c r="M41" s="5"/>
      <c r="N41" s="5"/>
      <c r="O41" s="5"/>
      <c r="P41" s="5"/>
      <c r="Q41" s="5"/>
    </row>
    <row r="42" customFormat="false" ht="12.75" hidden="false" customHeight="false" outlineLevel="0" collapsed="false">
      <c r="A42" s="5" t="s">
        <v>25</v>
      </c>
      <c r="B42" s="93" t="e">
        <f aca="false">VPGmax*((1-ResTol)*1000*Set_R9+(1+ResTol)*(ActR7+ActR8))/((1-ResTol)*1000*Set_R9)</f>
        <v>#N/A</v>
      </c>
      <c r="C42" s="5"/>
      <c r="D42" s="5"/>
      <c r="E42" s="5"/>
      <c r="F42" s="5"/>
      <c r="G42" s="5"/>
      <c r="H42" s="5"/>
      <c r="I42" s="5"/>
      <c r="J42" s="5" t="s">
        <v>25</v>
      </c>
      <c r="K42" s="93" t="n">
        <f aca="false">VPGmax*((1+ResTol)*1000*Set_R8+(1-ResTol)*(ActR7_sw+ActR9_sw))/((1-ResTol)*(ActR9_sw+ActR7_sw))</f>
        <v>24.6865634284017</v>
      </c>
      <c r="L42" s="5"/>
      <c r="M42" s="5"/>
      <c r="N42" s="5"/>
      <c r="O42" s="5"/>
      <c r="P42" s="5"/>
      <c r="Q42" s="5"/>
    </row>
    <row r="43" customFormat="false" ht="12.75" hidden="false" customHeight="false" outlineLevel="0" collapsed="false">
      <c r="A43" s="5" t="s">
        <v>26</v>
      </c>
      <c r="B43" s="93" t="e">
        <f aca="false">VPGmin*((1+ResTol)*1000*Set_R9+(1-ResTol)*(ActR7+ActR8))/((1+ResTol)*1000*Set_R9)</f>
        <v>#N/A</v>
      </c>
      <c r="C43" s="5"/>
      <c r="D43" s="5"/>
      <c r="E43" s="5"/>
      <c r="F43" s="5"/>
      <c r="G43" s="5"/>
      <c r="H43" s="5"/>
      <c r="I43" s="5"/>
      <c r="J43" s="5" t="s">
        <v>26</v>
      </c>
      <c r="K43" s="93" t="n">
        <f aca="false">VPGmin*((1-ResTol)*1000*Set_R8+(1+ResTol)*(ActR7_sw+ActR9_sw))/((1+ResTol)*(ActR9_sw+ActR7_sw))</f>
        <v>23.2877031158998</v>
      </c>
      <c r="L43" s="5"/>
      <c r="M43" s="5"/>
      <c r="N43" s="5"/>
      <c r="O43" s="5"/>
      <c r="P43" s="5"/>
      <c r="Q43" s="5"/>
    </row>
    <row r="44" customFormat="false" ht="12.75" hidden="false" customHeight="false" outlineLevel="0" collapsed="false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customFormat="false" ht="12.75" hidden="false" customHeight="false" outlineLevel="0" collapsed="false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customFormat="false" ht="12.75" hidden="false" customHeight="false" outlineLevel="0" collapsed="false">
      <c r="A46" s="69" t="s">
        <v>125</v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customFormat="false" ht="12.75" hidden="false" customHeight="false" outlineLevel="0" collapsed="false">
      <c r="A47" s="98" t="s">
        <v>126</v>
      </c>
      <c r="B47" s="5" t="n">
        <f aca="false">'Design Worksheet'!B67</f>
        <v>47</v>
      </c>
      <c r="C47" s="5" t="s">
        <v>30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customFormat="false" ht="12.75" hidden="false" customHeight="false" outlineLevel="0" collapsed="false">
      <c r="A48" s="5" t="s">
        <v>127</v>
      </c>
      <c r="B48" s="5" t="n">
        <f aca="false">1000000000*(Tinit*0.001*-IPOR*0.000001/TimerOffH)</f>
        <v>470</v>
      </c>
      <c r="C48" s="5" t="s">
        <v>31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customFormat="false" ht="12.75" hidden="false" customHeight="false" outlineLevel="0" collapsed="false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customFormat="false" ht="12.75" hidden="false" customHeight="false" outlineLevel="0" collapsed="false">
      <c r="A50" s="5" t="s">
        <v>128</v>
      </c>
      <c r="B50" s="5" t="n">
        <f aca="false">1000*(1+CapTol)*B$48*0.000000001*TimerOffHmax/(-IPORmin*0.000001)</f>
        <v>58.5933333333333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customFormat="false" ht="12.75" hidden="false" customHeight="false" outlineLevel="0" collapsed="false">
      <c r="A51" s="5" t="s">
        <v>129</v>
      </c>
      <c r="B51" s="5" t="n">
        <f aca="false">(1000*1-CapTol)*B$48*0.000000001*TimerOffHmin/(-IPORmax*0.000001)</f>
        <v>41.86854</v>
      </c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customFormat="false" ht="12.75" hidden="false" customHeight="false" outlineLevel="0" collapsed="false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customFormat="false" ht="12.75" hidden="false" customHeight="false" outlineLevel="0" collapsed="false">
      <c r="A53" s="98" t="s">
        <v>130</v>
      </c>
      <c r="B53" s="5" t="n">
        <f aca="false">'Design Worksheet'!B73</f>
        <v>940</v>
      </c>
      <c r="C53" s="5" t="s">
        <v>30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customFormat="false" ht="12.75" hidden="false" customHeight="false" outlineLevel="0" collapsed="false">
      <c r="A54" s="5" t="s">
        <v>131</v>
      </c>
      <c r="B54" s="5" t="n">
        <f aca="false">1000000000*(Set_TimerOff*0.001*-TimerOff*0.000001/TimerOffH)</f>
        <v>470</v>
      </c>
      <c r="C54" s="5" t="s">
        <v>31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customFormat="false" ht="12.75" hidden="false" customHeight="false" outlineLevel="0" collapsed="false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customFormat="false" ht="12.75" hidden="false" customHeight="false" outlineLevel="0" collapsed="false">
      <c r="A56" s="5" t="s">
        <v>132</v>
      </c>
      <c r="B56" s="5" t="n">
        <f aca="false">1000*((1+CapTol)*B$54*0.000000001*TimerOffHmax)/(-TimerOffmin*0.000001)</f>
        <v>1318.35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customFormat="false" ht="12.75" hidden="false" customHeight="false" outlineLevel="0" collapsed="false">
      <c r="A57" s="5" t="s">
        <v>133</v>
      </c>
      <c r="B57" s="5" t="n">
        <f aca="false">1000*((1-CapTol)*B$54*0.000000001*TimerOffHmin)/(-TimeOffmax*0.000001)</f>
        <v>690.9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customFormat="false" ht="12.75" hidden="false" customHeight="false" outlineLevel="0" collapsed="false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customFormat="false" ht="12.75" hidden="false" customHeight="false" outlineLevel="0" collapsed="false">
      <c r="A59" s="5"/>
      <c r="B59" s="5" t="s">
        <v>134</v>
      </c>
      <c r="C59" s="98" t="s">
        <v>135</v>
      </c>
      <c r="D59" s="5" t="s">
        <v>136</v>
      </c>
      <c r="E59" s="98" t="s">
        <v>137</v>
      </c>
      <c r="F59" s="98" t="s">
        <v>138</v>
      </c>
      <c r="G59" s="98" t="s">
        <v>139</v>
      </c>
      <c r="H59" s="5" t="s">
        <v>134</v>
      </c>
      <c r="I59" s="98" t="s">
        <v>135</v>
      </c>
      <c r="J59" s="5" t="s">
        <v>136</v>
      </c>
      <c r="K59" s="5" t="s">
        <v>137</v>
      </c>
      <c r="L59" s="98" t="s">
        <v>138</v>
      </c>
      <c r="M59" s="98" t="s">
        <v>139</v>
      </c>
      <c r="N59" s="5"/>
      <c r="O59" s="5"/>
      <c r="P59" s="5"/>
      <c r="Q59" s="5"/>
    </row>
    <row r="60" customFormat="false" ht="12.75" hidden="false" customHeight="false" outlineLevel="0" collapsed="false">
      <c r="A60" s="5"/>
      <c r="B60" s="5" t="n">
        <v>1.1</v>
      </c>
      <c r="C60" s="5" t="n">
        <f aca="false">B60*VOFLB</f>
        <v>28.6</v>
      </c>
      <c r="D60" s="5" t="e">
        <f aca="false">C60*(ActR7+1000*Set_R9)/(ActR7+ActR8+Set_R9*1000)</f>
        <v>#N/A</v>
      </c>
      <c r="E60" s="90" t="e">
        <f aca="false">IF(C60*(1000*Set_R9+ActR7)/((1000*Set_R9+ActR7+ActR8)*(Set_Rs*Gain/2))&gt;B$25,B$25,C60*(1000*Set_R9+ActR7)/((1000*Set_R9+ActR7+ActR8)*(Set_Rs*Gain/2)))</f>
        <v>#N/A</v>
      </c>
      <c r="F60" s="90" t="e">
        <f aca="false">IF(D60&lt;0.2,0.2/(Set_Rs*Gain/2),E60)</f>
        <v>#N/A</v>
      </c>
      <c r="G60" s="5" t="e">
        <f aca="false">(C$60-C60)*F60</f>
        <v>#N/A</v>
      </c>
      <c r="H60" s="5" t="n">
        <v>1.2</v>
      </c>
      <c r="I60" s="5" t="n">
        <f aca="false">H60*VOFLB</f>
        <v>31.2</v>
      </c>
      <c r="J60" s="5" t="n">
        <f aca="false">I60*ActR9_sw/(ActR7_sw+ActR9_sw+Set_R8*1000)</f>
        <v>1.20193192272309</v>
      </c>
      <c r="K60" s="91" t="n">
        <f aca="false">IF(J60/(0.5*Set_Rs*Gain) &gt;B$25,B$25,J60/(0.5*Set_Rs*Gain))</f>
        <v>9.96677740863787</v>
      </c>
      <c r="L60" s="91" t="n">
        <f aca="false">IF(J60&lt;0.2,0.2/(0.5*Set_Rs*Gain),K60)</f>
        <v>9.96677740863787</v>
      </c>
      <c r="M60" s="5" t="n">
        <f aca="false">(I$60-I60)*L60</f>
        <v>0</v>
      </c>
      <c r="N60" s="5"/>
      <c r="O60" s="5"/>
      <c r="P60" s="5"/>
      <c r="Q60" s="5"/>
    </row>
    <row r="61" customFormat="false" ht="12.75" hidden="false" customHeight="false" outlineLevel="0" collapsed="false">
      <c r="A61" s="5"/>
      <c r="B61" s="5" t="n">
        <v>1.095</v>
      </c>
      <c r="C61" s="5" t="n">
        <f aca="false">B61*VOFLB</f>
        <v>28.47</v>
      </c>
      <c r="D61" s="5" t="e">
        <f aca="false">C61*(ActR7+1000*Set_R9)/(ActR7+ActR8+Set_R9*1000)</f>
        <v>#N/A</v>
      </c>
      <c r="E61" s="90" t="e">
        <f aca="false">IF(C61*(1000*Set_R9+ActR7)/((1000*Set_R9+ActR7+ActR8)*(Set_Rs*Gain/2))&gt;B$25,B$25,C61*(1000*Set_R9+ActR7)/((1000*Set_R9+ActR7+ActR8)*(Set_Rs*Gain/2)))</f>
        <v>#N/A</v>
      </c>
      <c r="F61" s="90" t="e">
        <f aca="false">IF(D61&lt;0.2,0.2/(Set_Rs*Gain/2),E61)</f>
        <v>#N/A</v>
      </c>
      <c r="G61" s="5" t="e">
        <f aca="false">(C$60-C61)*F61</f>
        <v>#N/A</v>
      </c>
      <c r="H61" s="5" t="n">
        <v>1.195</v>
      </c>
      <c r="I61" s="5" t="n">
        <f aca="false">H61*VOFLB</f>
        <v>31.07</v>
      </c>
      <c r="J61" s="5" t="n">
        <f aca="false">I61*ActR9_sw/(ActR7_sw+ActR9_sw+Set_R8*1000)</f>
        <v>1.19692387304508</v>
      </c>
      <c r="K61" s="91" t="n">
        <f aca="false">IF(J61/(0.5*Set_Rs*Gain) &gt;B$25,B$25,J61/(0.5*Set_Rs*Gain))</f>
        <v>9.96677740863787</v>
      </c>
      <c r="L61" s="91" t="n">
        <f aca="false">IF(J61&lt;0.2,0.2/(0.5*Set_Rs*Gain),K61)</f>
        <v>9.96677740863787</v>
      </c>
      <c r="M61" s="5" t="n">
        <f aca="false">(I$60-I61)*L61</f>
        <v>1.29568106312291</v>
      </c>
      <c r="N61" s="5"/>
      <c r="O61" s="5"/>
      <c r="P61" s="5"/>
      <c r="Q61" s="5"/>
    </row>
    <row r="62" customFormat="false" ht="12.75" hidden="false" customHeight="false" outlineLevel="0" collapsed="false">
      <c r="A62" s="5"/>
      <c r="B62" s="5" t="n">
        <v>1.09</v>
      </c>
      <c r="C62" s="5" t="n">
        <f aca="false">B62*VOFLB</f>
        <v>28.34</v>
      </c>
      <c r="D62" s="5" t="e">
        <f aca="false">C62*(ActR7+1000*Set_R9)/(ActR7+ActR8+Set_R9*1000)</f>
        <v>#N/A</v>
      </c>
      <c r="E62" s="90" t="e">
        <f aca="false">IF(C62*(1000*Set_R9+ActR7)/((1000*Set_R9+ActR7+ActR8)*(Set_Rs*Gain/2))&gt;B$25,B$25,C62*(1000*Set_R9+ActR7)/((1000*Set_R9+ActR7+ActR8)*(Set_Rs*Gain/2)))</f>
        <v>#N/A</v>
      </c>
      <c r="F62" s="90" t="e">
        <f aca="false">IF(D62&lt;0.2,0.2/(Set_Rs*Gain/2),E62)</f>
        <v>#N/A</v>
      </c>
      <c r="G62" s="5" t="e">
        <f aca="false">(C$60-C62)*F62</f>
        <v>#N/A</v>
      </c>
      <c r="H62" s="5" t="n">
        <v>1.19</v>
      </c>
      <c r="I62" s="5" t="n">
        <f aca="false">H62*VOFLB</f>
        <v>30.94</v>
      </c>
      <c r="J62" s="5" t="n">
        <f aca="false">I62*ActR9_sw/(ActR7_sw+ActR9_sw+Set_R8*1000)</f>
        <v>1.19191582336707</v>
      </c>
      <c r="K62" s="91" t="n">
        <f aca="false">IF(J62/(0.5*Set_Rs*Gain) &gt;B$25,B$25,J62/(0.5*Set_Rs*Gain))</f>
        <v>9.96677740863787</v>
      </c>
      <c r="L62" s="91" t="n">
        <f aca="false">IF(J62&lt;0.2,0.2/(0.5*Set_Rs*Gain),K62)</f>
        <v>9.96677740863787</v>
      </c>
      <c r="M62" s="5" t="n">
        <f aca="false">(I$60-I62)*L62</f>
        <v>2.59136212624583</v>
      </c>
      <c r="N62" s="5"/>
      <c r="O62" s="5"/>
      <c r="P62" s="5"/>
      <c r="Q62" s="5"/>
    </row>
    <row r="63" customFormat="false" ht="12.75" hidden="false" customHeight="false" outlineLevel="0" collapsed="false">
      <c r="A63" s="5"/>
      <c r="B63" s="5" t="n">
        <v>1.085</v>
      </c>
      <c r="C63" s="5" t="n">
        <f aca="false">B63*VOFLB</f>
        <v>28.21</v>
      </c>
      <c r="D63" s="5" t="e">
        <f aca="false">C63*(ActR7+1000*Set_R9)/(ActR7+ActR8+Set_R9*1000)</f>
        <v>#N/A</v>
      </c>
      <c r="E63" s="90" t="e">
        <f aca="false">IF(C63*(1000*Set_R9+ActR7)/((1000*Set_R9+ActR7+ActR8)*(Set_Rs*Gain/2))&gt;B$25,B$25,C63*(1000*Set_R9+ActR7)/((1000*Set_R9+ActR7+ActR8)*(Set_Rs*Gain/2)))</f>
        <v>#N/A</v>
      </c>
      <c r="F63" s="90" t="e">
        <f aca="false">IF(D63&lt;0.2,0.2/(Set_Rs*Gain/2),E63)</f>
        <v>#N/A</v>
      </c>
      <c r="G63" s="5" t="e">
        <f aca="false">(C$60-C63)*F63</f>
        <v>#N/A</v>
      </c>
      <c r="H63" s="5" t="n">
        <v>1.185</v>
      </c>
      <c r="I63" s="5" t="n">
        <f aca="false">H63*VOFLB</f>
        <v>30.81</v>
      </c>
      <c r="J63" s="5" t="n">
        <f aca="false">I63*ActR9_sw/(ActR7_sw+ActR9_sw+Set_R8*1000)</f>
        <v>1.18690777368905</v>
      </c>
      <c r="K63" s="91" t="n">
        <f aca="false">IF(J63/(0.5*Set_Rs*Gain) &gt;B$25,B$25,J63/(0.5*Set_Rs*Gain))</f>
        <v>9.96677740863787</v>
      </c>
      <c r="L63" s="91" t="n">
        <f aca="false">IF(J63&lt;0.2,0.2/(0.5*Set_Rs*Gain),K63)</f>
        <v>9.96677740863787</v>
      </c>
      <c r="M63" s="5" t="n">
        <f aca="false">(I$60-I63)*L63</f>
        <v>3.88704318936878</v>
      </c>
      <c r="N63" s="5"/>
      <c r="O63" s="5"/>
      <c r="P63" s="5"/>
      <c r="Q63" s="5"/>
    </row>
    <row r="64" customFormat="false" ht="12.75" hidden="false" customHeight="false" outlineLevel="0" collapsed="false">
      <c r="A64" s="5"/>
      <c r="B64" s="5" t="n">
        <v>1.08</v>
      </c>
      <c r="C64" s="5" t="n">
        <f aca="false">B64*VOFLB</f>
        <v>28.08</v>
      </c>
      <c r="D64" s="5" t="e">
        <f aca="false">C64*(ActR7+1000*Set_R9)/(ActR7+ActR8+Set_R9*1000)</f>
        <v>#N/A</v>
      </c>
      <c r="E64" s="90" t="e">
        <f aca="false">IF(C64*(1000*Set_R9+ActR7)/((1000*Set_R9+ActR7+ActR8)*(Set_Rs*Gain/2))&gt;B$25,B$25,C64*(1000*Set_R9+ActR7)/((1000*Set_R9+ActR7+ActR8)*(Set_Rs*Gain/2)))</f>
        <v>#N/A</v>
      </c>
      <c r="F64" s="90" t="e">
        <f aca="false">IF(D64&lt;0.2,0.2/(Set_Rs*Gain/2),E64)</f>
        <v>#N/A</v>
      </c>
      <c r="G64" s="5" t="e">
        <f aca="false">(C$60-C64)*F64</f>
        <v>#N/A</v>
      </c>
      <c r="H64" s="5" t="n">
        <v>1.18</v>
      </c>
      <c r="I64" s="5" t="n">
        <f aca="false">H64*VOFLB</f>
        <v>30.68</v>
      </c>
      <c r="J64" s="5" t="n">
        <f aca="false">I64*ActR9_sw/(ActR7_sw+ActR9_sw+Set_R8*1000)</f>
        <v>1.18189972401104</v>
      </c>
      <c r="K64" s="91" t="n">
        <f aca="false">IF(J64/(0.5*Set_Rs*Gain) &gt;B$25,B$25,J64/(0.5*Set_Rs*Gain))</f>
        <v>9.96677740863787</v>
      </c>
      <c r="L64" s="91" t="n">
        <f aca="false">IF(J64&lt;0.2,0.2/(0.5*Set_Rs*Gain),K64)</f>
        <v>9.96677740863787</v>
      </c>
      <c r="M64" s="5" t="n">
        <f aca="false">(I$60-I64)*L64</f>
        <v>5.18272425249169</v>
      </c>
      <c r="N64" s="5"/>
      <c r="O64" s="5"/>
      <c r="P64" s="5"/>
      <c r="Q64" s="5"/>
    </row>
    <row r="65" customFormat="false" ht="12.75" hidden="false" customHeight="false" outlineLevel="0" collapsed="false">
      <c r="A65" s="5"/>
      <c r="B65" s="5" t="n">
        <v>1.075</v>
      </c>
      <c r="C65" s="5" t="n">
        <f aca="false">B65*VOFLB</f>
        <v>27.95</v>
      </c>
      <c r="D65" s="5" t="e">
        <f aca="false">C65*(ActR7+1000*Set_R9)/(ActR7+ActR8+Set_R9*1000)</f>
        <v>#N/A</v>
      </c>
      <c r="E65" s="90" t="e">
        <f aca="false">IF(C65*(1000*Set_R9+ActR7)/((1000*Set_R9+ActR7+ActR8)*(Set_Rs*Gain/2))&gt;B$25,B$25,C65*(1000*Set_R9+ActR7)/((1000*Set_R9+ActR7+ActR8)*(Set_Rs*Gain/2)))</f>
        <v>#N/A</v>
      </c>
      <c r="F65" s="90" t="e">
        <f aca="false">IF(D65&lt;0.2,0.2/(Set_Rs*Gain/2),E65)</f>
        <v>#N/A</v>
      </c>
      <c r="G65" s="5" t="e">
        <f aca="false">(C$60-C65)*F65</f>
        <v>#N/A</v>
      </c>
      <c r="H65" s="5" t="n">
        <v>1.175</v>
      </c>
      <c r="I65" s="5" t="n">
        <f aca="false">H65*VOFLB</f>
        <v>30.55</v>
      </c>
      <c r="J65" s="5" t="n">
        <f aca="false">I65*ActR9_sw/(ActR7_sw+ActR9_sw+Set_R8*1000)</f>
        <v>1.17689167433303</v>
      </c>
      <c r="K65" s="91" t="n">
        <f aca="false">IF(J65/(0.5*Set_Rs*Gain) &gt;B$25,B$25,J65/(0.5*Set_Rs*Gain))</f>
        <v>9.96677740863787</v>
      </c>
      <c r="L65" s="91" t="n">
        <f aca="false">IF(J65&lt;0.2,0.2/(0.5*Set_Rs*Gain),K65)</f>
        <v>9.96677740863787</v>
      </c>
      <c r="M65" s="5" t="n">
        <f aca="false">(I$60-I65)*L65</f>
        <v>6.4784053156146</v>
      </c>
      <c r="N65" s="5"/>
      <c r="O65" s="5"/>
      <c r="P65" s="5"/>
      <c r="Q65" s="5"/>
    </row>
    <row r="66" customFormat="false" ht="12.75" hidden="false" customHeight="false" outlineLevel="0" collapsed="false">
      <c r="A66" s="5"/>
      <c r="B66" s="5" t="n">
        <v>1.07</v>
      </c>
      <c r="C66" s="5" t="n">
        <f aca="false">B66*VOFLB</f>
        <v>27.82</v>
      </c>
      <c r="D66" s="5" t="e">
        <f aca="false">C66*(ActR7+1000*Set_R9)/(ActR7+ActR8+Set_R9*1000)</f>
        <v>#N/A</v>
      </c>
      <c r="E66" s="90" t="e">
        <f aca="false">IF(C66*(1000*Set_R9+ActR7)/((1000*Set_R9+ActR7+ActR8)*(Set_Rs*Gain/2))&gt;B$25,B$25,C66*(1000*Set_R9+ActR7)/((1000*Set_R9+ActR7+ActR8)*(Set_Rs*Gain/2)))</f>
        <v>#N/A</v>
      </c>
      <c r="F66" s="90" t="e">
        <f aca="false">IF(D66&lt;0.2,0.2/(Set_Rs*Gain/2),E66)</f>
        <v>#N/A</v>
      </c>
      <c r="G66" s="5" t="e">
        <f aca="false">(C$60-C66)*F66</f>
        <v>#N/A</v>
      </c>
      <c r="H66" s="5" t="n">
        <v>1.17</v>
      </c>
      <c r="I66" s="5" t="n">
        <f aca="false">H66*VOFLB</f>
        <v>30.42</v>
      </c>
      <c r="J66" s="5" t="n">
        <f aca="false">I66*ActR9_sw/(ActR7_sw+ActR9_sw+Set_R8*1000)</f>
        <v>1.17188362465501</v>
      </c>
      <c r="K66" s="91" t="n">
        <f aca="false">IF(J66/(0.5*Set_Rs*Gain) &gt;B$25,B$25,J66/(0.5*Set_Rs*Gain))</f>
        <v>9.96677740863787</v>
      </c>
      <c r="L66" s="91" t="n">
        <f aca="false">IF(J66&lt;0.2,0.2/(0.5*Set_Rs*Gain),K66)</f>
        <v>9.96677740863787</v>
      </c>
      <c r="M66" s="5" t="n">
        <f aca="false">(I$60-I66)*L66</f>
        <v>7.77408637873752</v>
      </c>
      <c r="N66" s="5"/>
      <c r="O66" s="5"/>
      <c r="P66" s="5"/>
      <c r="Q66" s="5"/>
    </row>
    <row r="67" customFormat="false" ht="12.75" hidden="false" customHeight="false" outlineLevel="0" collapsed="false">
      <c r="A67" s="5"/>
      <c r="B67" s="5" t="n">
        <v>1.065</v>
      </c>
      <c r="C67" s="5" t="n">
        <f aca="false">B67*VOFLB</f>
        <v>27.69</v>
      </c>
      <c r="D67" s="5" t="e">
        <f aca="false">C67*(ActR7+1000*Set_R9)/(ActR7+ActR8+Set_R9*1000)</f>
        <v>#N/A</v>
      </c>
      <c r="E67" s="90" t="e">
        <f aca="false">IF(C67*(1000*Set_R9+ActR7)/((1000*Set_R9+ActR7+ActR8)*(Set_Rs*Gain/2))&gt;B$25,B$25,C67*(1000*Set_R9+ActR7)/((1000*Set_R9+ActR7+ActR8)*(Set_Rs*Gain/2)))</f>
        <v>#N/A</v>
      </c>
      <c r="F67" s="90" t="e">
        <f aca="false">IF(D67&lt;0.2,0.2/(Set_Rs*Gain/2),E67)</f>
        <v>#N/A</v>
      </c>
      <c r="G67" s="5" t="e">
        <f aca="false">(C$60-C67)*F67</f>
        <v>#N/A</v>
      </c>
      <c r="H67" s="5" t="n">
        <v>1.165</v>
      </c>
      <c r="I67" s="5" t="n">
        <f aca="false">H67*VOFLB</f>
        <v>30.29</v>
      </c>
      <c r="J67" s="5" t="n">
        <f aca="false">I67*ActR9_sw/(ActR7_sw+ActR9_sw+Set_R8*1000)</f>
        <v>1.166875574977</v>
      </c>
      <c r="K67" s="91" t="n">
        <f aca="false">IF(J67/(0.5*Set_Rs*Gain) &gt;B$25,B$25,J67/(0.5*Set_Rs*Gain))</f>
        <v>9.96677740863787</v>
      </c>
      <c r="L67" s="91" t="n">
        <f aca="false">IF(J67&lt;0.2,0.2/(0.5*Set_Rs*Gain),K67)</f>
        <v>9.96677740863787</v>
      </c>
      <c r="M67" s="5" t="n">
        <f aca="false">(I$60-I67)*L67</f>
        <v>9.06976744186047</v>
      </c>
      <c r="N67" s="5"/>
      <c r="O67" s="5"/>
      <c r="P67" s="5"/>
      <c r="Q67" s="5"/>
    </row>
    <row r="68" customFormat="false" ht="12.75" hidden="false" customHeight="false" outlineLevel="0" collapsed="false">
      <c r="A68" s="5"/>
      <c r="B68" s="5" t="n">
        <v>1.06</v>
      </c>
      <c r="C68" s="5" t="n">
        <f aca="false">B68*VOFLB</f>
        <v>27.56</v>
      </c>
      <c r="D68" s="5" t="e">
        <f aca="false">C68*(ActR7+1000*Set_R9)/(ActR7+ActR8+Set_R9*1000)</f>
        <v>#N/A</v>
      </c>
      <c r="E68" s="90" t="e">
        <f aca="false">IF(C68*(1000*Set_R9+ActR7)/((1000*Set_R9+ActR7+ActR8)*(Set_Rs*Gain/2))&gt;B$25,B$25,C68*(1000*Set_R9+ActR7)/((1000*Set_R9+ActR7+ActR8)*(Set_Rs*Gain/2)))</f>
        <v>#N/A</v>
      </c>
      <c r="F68" s="90" t="e">
        <f aca="false">IF(D68&lt;0.2,0.2/(Set_Rs*Gain/2),E68)</f>
        <v>#N/A</v>
      </c>
      <c r="G68" s="5" t="e">
        <f aca="false">(C$60-C68)*F68</f>
        <v>#N/A</v>
      </c>
      <c r="H68" s="5" t="n">
        <v>1.16</v>
      </c>
      <c r="I68" s="5" t="n">
        <f aca="false">H68*VOFLB</f>
        <v>30.16</v>
      </c>
      <c r="J68" s="5" t="n">
        <f aca="false">I68*ActR9_sw/(ActR7_sw+ActR9_sw+Set_R8*1000)</f>
        <v>1.16186752529899</v>
      </c>
      <c r="K68" s="91" t="n">
        <f aca="false">IF(J68/(0.5*Set_Rs*Gain) &gt;B$25,B$25,J68/(0.5*Set_Rs*Gain))</f>
        <v>9.96677740863787</v>
      </c>
      <c r="L68" s="91" t="n">
        <f aca="false">IF(J68&lt;0.2,0.2/(0.5*Set_Rs*Gain),K68)</f>
        <v>9.96677740863787</v>
      </c>
      <c r="M68" s="5" t="n">
        <f aca="false">(I$60-I68)*L68</f>
        <v>10.3654485049834</v>
      </c>
      <c r="N68" s="5"/>
      <c r="O68" s="5"/>
      <c r="P68" s="5"/>
      <c r="Q68" s="5"/>
    </row>
    <row r="69" customFormat="false" ht="12.75" hidden="false" customHeight="false" outlineLevel="0" collapsed="false">
      <c r="A69" s="5"/>
      <c r="B69" s="5" t="n">
        <v>1.055</v>
      </c>
      <c r="C69" s="5" t="n">
        <f aca="false">B69*VOFLB</f>
        <v>27.43</v>
      </c>
      <c r="D69" s="5" t="e">
        <f aca="false">C69*(ActR7+1000*Set_R9)/(ActR7+ActR8+Set_R9*1000)</f>
        <v>#N/A</v>
      </c>
      <c r="E69" s="90" t="e">
        <f aca="false">IF(C69*(1000*Set_R9+ActR7)/((1000*Set_R9+ActR7+ActR8)*(Set_Rs*Gain/2))&gt;B$25,B$25,C69*(1000*Set_R9+ActR7)/((1000*Set_R9+ActR7+ActR8)*(Set_Rs*Gain/2)))</f>
        <v>#N/A</v>
      </c>
      <c r="F69" s="90" t="e">
        <f aca="false">IF(D69&lt;0.2,0.2/(Set_Rs*Gain/2),E69)</f>
        <v>#N/A</v>
      </c>
      <c r="G69" s="5" t="e">
        <f aca="false">(C$60-C69)*F69</f>
        <v>#N/A</v>
      </c>
      <c r="H69" s="5" t="n">
        <v>1.155</v>
      </c>
      <c r="I69" s="5" t="n">
        <f aca="false">H69*VOFLB</f>
        <v>30.03</v>
      </c>
      <c r="J69" s="5" t="n">
        <f aca="false">I69*ActR9_sw/(ActR7_sw+ActR9_sw+Set_R8*1000)</f>
        <v>1.15685947562098</v>
      </c>
      <c r="K69" s="91" t="n">
        <f aca="false">IF(J69/(0.5*Set_Rs*Gain) &gt;B$25,B$25,J69/(0.5*Set_Rs*Gain))</f>
        <v>9.96677740863787</v>
      </c>
      <c r="L69" s="91" t="n">
        <f aca="false">IF(J69&lt;0.2,0.2/(0.5*Set_Rs*Gain),K69)</f>
        <v>9.96677740863787</v>
      </c>
      <c r="M69" s="5" t="n">
        <f aca="false">(I$60-I69)*L69</f>
        <v>11.6611295681063</v>
      </c>
      <c r="N69" s="5"/>
      <c r="O69" s="5"/>
      <c r="P69" s="5"/>
      <c r="Q69" s="5"/>
    </row>
    <row r="70" customFormat="false" ht="12.75" hidden="false" customHeight="false" outlineLevel="0" collapsed="false">
      <c r="A70" s="5"/>
      <c r="B70" s="5" t="n">
        <v>1.05</v>
      </c>
      <c r="C70" s="5" t="n">
        <f aca="false">B70*VOFLB</f>
        <v>27.3</v>
      </c>
      <c r="D70" s="5" t="e">
        <f aca="false">C70*(ActR7+1000*Set_R9)/(ActR7+ActR8+Set_R9*1000)</f>
        <v>#N/A</v>
      </c>
      <c r="E70" s="90" t="e">
        <f aca="false">IF(C70*(1000*Set_R9+ActR7)/((1000*Set_R9+ActR7+ActR8)*(Set_Rs*Gain/2))&gt;B$25,B$25,C70*(1000*Set_R9+ActR7)/((1000*Set_R9+ActR7+ActR8)*(Set_Rs*Gain/2)))</f>
        <v>#N/A</v>
      </c>
      <c r="F70" s="90" t="e">
        <f aca="false">IF(D70&lt;0.2,0.2/(Set_Rs*Gain/2),E70)</f>
        <v>#N/A</v>
      </c>
      <c r="G70" s="5" t="e">
        <f aca="false">(C$60-C70)*F70</f>
        <v>#N/A</v>
      </c>
      <c r="H70" s="5" t="n">
        <v>1.15</v>
      </c>
      <c r="I70" s="5" t="n">
        <f aca="false">H70*VOFLB</f>
        <v>29.9</v>
      </c>
      <c r="J70" s="5" t="n">
        <f aca="false">I70*ActR9_sw/(ActR7_sw+ActR9_sw+Set_R8*1000)</f>
        <v>1.15185142594296</v>
      </c>
      <c r="K70" s="91" t="n">
        <f aca="false">IF(J70/(0.5*Set_Rs*Gain) &gt;B$25,B$25,J70/(0.5*Set_Rs*Gain))</f>
        <v>9.96677740863787</v>
      </c>
      <c r="L70" s="91" t="n">
        <f aca="false">IF(J70&lt;0.2,0.2/(0.5*Set_Rs*Gain),K70)</f>
        <v>9.96677740863787</v>
      </c>
      <c r="M70" s="5" t="n">
        <f aca="false">(I$60-I70)*L70</f>
        <v>12.9568106312292</v>
      </c>
      <c r="N70" s="5"/>
      <c r="O70" s="5"/>
      <c r="P70" s="5"/>
      <c r="Q70" s="5"/>
    </row>
    <row r="71" customFormat="false" ht="12.75" hidden="false" customHeight="false" outlineLevel="0" collapsed="false">
      <c r="A71" s="5"/>
      <c r="B71" s="5" t="n">
        <v>1.045</v>
      </c>
      <c r="C71" s="5" t="n">
        <f aca="false">B71*VOFLB</f>
        <v>27.17</v>
      </c>
      <c r="D71" s="5" t="e">
        <f aca="false">C71*(ActR7+1000*Set_R9)/(ActR7+ActR8+Set_R9*1000)</f>
        <v>#N/A</v>
      </c>
      <c r="E71" s="90" t="e">
        <f aca="false">IF(C71*(1000*Set_R9+ActR7)/((1000*Set_R9+ActR7+ActR8)*(Set_Rs*Gain/2))&gt;B$25,B$25,C71*(1000*Set_R9+ActR7)/((1000*Set_R9+ActR7+ActR8)*(Set_Rs*Gain/2)))</f>
        <v>#N/A</v>
      </c>
      <c r="F71" s="90" t="e">
        <f aca="false">IF(D71&lt;0.2,0.2/(Set_Rs*Gain/2),E71)</f>
        <v>#N/A</v>
      </c>
      <c r="G71" s="5" t="e">
        <f aca="false">(C$60-C71)*F71</f>
        <v>#N/A</v>
      </c>
      <c r="H71" s="5" t="n">
        <v>1.145</v>
      </c>
      <c r="I71" s="5" t="n">
        <f aca="false">H71*VOFLB</f>
        <v>29.77</v>
      </c>
      <c r="J71" s="5" t="n">
        <f aca="false">I71*ActR9_sw/(ActR7_sw+ActR9_sw+Set_R8*1000)</f>
        <v>1.14684337626495</v>
      </c>
      <c r="K71" s="91" t="n">
        <f aca="false">IF(J71/(0.5*Set_Rs*Gain) &gt;B$25,B$25,J71/(0.5*Set_Rs*Gain))</f>
        <v>9.96677740863787</v>
      </c>
      <c r="L71" s="91" t="n">
        <f aca="false">IF(J71&lt;0.2,0.2/(0.5*Set_Rs*Gain),K71)</f>
        <v>9.96677740863787</v>
      </c>
      <c r="M71" s="5" t="n">
        <f aca="false">(I$60-I71)*L71</f>
        <v>14.2524916943522</v>
      </c>
      <c r="N71" s="5"/>
      <c r="O71" s="5"/>
      <c r="P71" s="5"/>
      <c r="Q71" s="5"/>
    </row>
    <row r="72" customFormat="false" ht="12.75" hidden="false" customHeight="false" outlineLevel="0" collapsed="false">
      <c r="A72" s="5"/>
      <c r="B72" s="5" t="n">
        <v>1.04</v>
      </c>
      <c r="C72" s="5" t="n">
        <f aca="false">B72*VOFLB</f>
        <v>27.04</v>
      </c>
      <c r="D72" s="5" t="e">
        <f aca="false">C72*(ActR7+1000*Set_R9)/(ActR7+ActR8+Set_R9*1000)</f>
        <v>#N/A</v>
      </c>
      <c r="E72" s="90" t="e">
        <f aca="false">IF(C72*(1000*Set_R9+ActR7)/((1000*Set_R9+ActR7+ActR8)*(Set_Rs*Gain/2))&gt;B$25,B$25,C72*(1000*Set_R9+ActR7)/((1000*Set_R9+ActR7+ActR8)*(Set_Rs*Gain/2)))</f>
        <v>#N/A</v>
      </c>
      <c r="F72" s="90" t="e">
        <f aca="false">IF(D72&lt;0.2,0.2/(Set_Rs*Gain/2),E72)</f>
        <v>#N/A</v>
      </c>
      <c r="G72" s="5" t="e">
        <f aca="false">(C$60-C72)*F72</f>
        <v>#N/A</v>
      </c>
      <c r="H72" s="5" t="n">
        <v>1.14</v>
      </c>
      <c r="I72" s="5" t="n">
        <f aca="false">H72*VOFLB</f>
        <v>29.64</v>
      </c>
      <c r="J72" s="5" t="n">
        <f aca="false">I72*ActR9_sw/(ActR7_sw+ActR9_sw+Set_R8*1000)</f>
        <v>1.14183532658694</v>
      </c>
      <c r="K72" s="91" t="n">
        <f aca="false">IF(J72/(0.5*Set_Rs*Gain) &gt;B$25,B$25,J72/(0.5*Set_Rs*Gain))</f>
        <v>9.96677740863787</v>
      </c>
      <c r="L72" s="91" t="n">
        <f aca="false">IF(J72&lt;0.2,0.2/(0.5*Set_Rs*Gain),K72)</f>
        <v>9.96677740863787</v>
      </c>
      <c r="M72" s="5" t="n">
        <f aca="false">(I$60-I72)*L72</f>
        <v>15.5481727574751</v>
      </c>
      <c r="N72" s="5"/>
      <c r="O72" s="5"/>
      <c r="P72" s="5"/>
      <c r="Q72" s="5"/>
    </row>
    <row r="73" customFormat="false" ht="12.75" hidden="false" customHeight="false" outlineLevel="0" collapsed="false">
      <c r="A73" s="5"/>
      <c r="B73" s="5" t="n">
        <v>1.035</v>
      </c>
      <c r="C73" s="5" t="n">
        <f aca="false">B73*VOFLB</f>
        <v>26.91</v>
      </c>
      <c r="D73" s="5" t="e">
        <f aca="false">C73*(ActR7+1000*Set_R9)/(ActR7+ActR8+Set_R9*1000)</f>
        <v>#N/A</v>
      </c>
      <c r="E73" s="90" t="e">
        <f aca="false">IF(C73*(1000*Set_R9+ActR7)/((1000*Set_R9+ActR7+ActR8)*(Set_Rs*Gain/2))&gt;B$25,B$25,C73*(1000*Set_R9+ActR7)/((1000*Set_R9+ActR7+ActR8)*(Set_Rs*Gain/2)))</f>
        <v>#N/A</v>
      </c>
      <c r="F73" s="90" t="e">
        <f aca="false">IF(D73&lt;0.2,0.2/(Set_Rs*Gain/2),E73)</f>
        <v>#N/A</v>
      </c>
      <c r="G73" s="5" t="e">
        <f aca="false">(C$60-C73)*F73</f>
        <v>#N/A</v>
      </c>
      <c r="H73" s="5" t="n">
        <v>1.135</v>
      </c>
      <c r="I73" s="5" t="n">
        <f aca="false">H73*VOFLB</f>
        <v>29.51</v>
      </c>
      <c r="J73" s="5" t="n">
        <f aca="false">I73*ActR9_sw/(ActR7_sw+ActR9_sw+Set_R8*1000)</f>
        <v>1.13682727690892</v>
      </c>
      <c r="K73" s="91" t="n">
        <f aca="false">IF(J73/(0.5*Set_Rs*Gain) &gt;B$25,B$25,J73/(0.5*Set_Rs*Gain))</f>
        <v>9.96677740863787</v>
      </c>
      <c r="L73" s="91" t="n">
        <f aca="false">IF(J73&lt;0.2,0.2/(0.5*Set_Rs*Gain),K73)</f>
        <v>9.96677740863787</v>
      </c>
      <c r="M73" s="5" t="n">
        <f aca="false">(I$60-I73)*L73</f>
        <v>16.843853820598</v>
      </c>
      <c r="N73" s="5"/>
      <c r="O73" s="5"/>
      <c r="P73" s="5"/>
      <c r="Q73" s="5"/>
    </row>
    <row r="74" customFormat="false" ht="12.75" hidden="false" customHeight="false" outlineLevel="0" collapsed="false">
      <c r="A74" s="5"/>
      <c r="B74" s="5" t="n">
        <v>1.03</v>
      </c>
      <c r="C74" s="5" t="n">
        <f aca="false">B74*VOFLB</f>
        <v>26.78</v>
      </c>
      <c r="D74" s="5" t="e">
        <f aca="false">C74*(ActR7+1000*Set_R9)/(ActR7+ActR8+Set_R9*1000)</f>
        <v>#N/A</v>
      </c>
      <c r="E74" s="90" t="e">
        <f aca="false">IF(C74*(1000*Set_R9+ActR7)/((1000*Set_R9+ActR7+ActR8)*(Set_Rs*Gain/2))&gt;B$25,B$25,C74*(1000*Set_R9+ActR7)/((1000*Set_R9+ActR7+ActR8)*(Set_Rs*Gain/2)))</f>
        <v>#N/A</v>
      </c>
      <c r="F74" s="90" t="e">
        <f aca="false">IF(D74&lt;0.2,0.2/(Set_Rs*Gain/2),E74)</f>
        <v>#N/A</v>
      </c>
      <c r="G74" s="5" t="e">
        <f aca="false">(C$60-C74)*F74</f>
        <v>#N/A</v>
      </c>
      <c r="H74" s="5" t="n">
        <v>1.13</v>
      </c>
      <c r="I74" s="5" t="n">
        <f aca="false">H74*VOFLB</f>
        <v>29.38</v>
      </c>
      <c r="J74" s="5" t="n">
        <f aca="false">I74*ActR9_sw/(ActR7_sw+ActR9_sw+Set_R8*1000)</f>
        <v>1.13181922723091</v>
      </c>
      <c r="K74" s="91" t="n">
        <f aca="false">IF(J74/(0.5*Set_Rs*Gain) &gt;B$25,B$25,J74/(0.5*Set_Rs*Gain))</f>
        <v>9.96677740863787</v>
      </c>
      <c r="L74" s="91" t="n">
        <f aca="false">IF(J74&lt;0.2,0.2/(0.5*Set_Rs*Gain),K74)</f>
        <v>9.96677740863787</v>
      </c>
      <c r="M74" s="5" t="n">
        <f aca="false">(I$60-I74)*L74</f>
        <v>18.1395348837209</v>
      </c>
      <c r="N74" s="5"/>
      <c r="O74" s="5"/>
      <c r="P74" s="5"/>
      <c r="Q74" s="5"/>
    </row>
    <row r="75" customFormat="false" ht="12.75" hidden="false" customHeight="false" outlineLevel="0" collapsed="false">
      <c r="A75" s="5"/>
      <c r="B75" s="5" t="n">
        <v>1.025</v>
      </c>
      <c r="C75" s="5" t="n">
        <f aca="false">B75*VOFLB</f>
        <v>26.65</v>
      </c>
      <c r="D75" s="5" t="e">
        <f aca="false">C75*(ActR7+1000*Set_R9)/(ActR7+ActR8+Set_R9*1000)</f>
        <v>#N/A</v>
      </c>
      <c r="E75" s="90" t="e">
        <f aca="false">IF(C75*(1000*Set_R9+ActR7)/((1000*Set_R9+ActR7+ActR8)*(Set_Rs*Gain/2))&gt;B$25,B$25,C75*(1000*Set_R9+ActR7)/((1000*Set_R9+ActR7+ActR8)*(Set_Rs*Gain/2)))</f>
        <v>#N/A</v>
      </c>
      <c r="F75" s="90" t="e">
        <f aca="false">IF(D75&lt;0.2,0.2/(Set_Rs*Gain/2),E75)</f>
        <v>#N/A</v>
      </c>
      <c r="G75" s="5" t="e">
        <f aca="false">(C$60-C75)*F75</f>
        <v>#N/A</v>
      </c>
      <c r="H75" s="5" t="n">
        <v>1.125</v>
      </c>
      <c r="I75" s="5" t="n">
        <f aca="false">H75*VOFLB</f>
        <v>29.25</v>
      </c>
      <c r="J75" s="5" t="n">
        <f aca="false">I75*ActR9_sw/(ActR7_sw+ActR9_sw+Set_R8*1000)</f>
        <v>1.1268111775529</v>
      </c>
      <c r="K75" s="91" t="n">
        <f aca="false">IF(J75/(0.5*Set_Rs*Gain) &gt;B$25,B$25,J75/(0.5*Set_Rs*Gain))</f>
        <v>9.96677740863787</v>
      </c>
      <c r="L75" s="91" t="n">
        <f aca="false">IF(J75&lt;0.2,0.2/(0.5*Set_Rs*Gain),K75)</f>
        <v>9.96677740863787</v>
      </c>
      <c r="M75" s="5" t="n">
        <f aca="false">(I$60-I75)*L75</f>
        <v>19.4352159468438</v>
      </c>
      <c r="N75" s="5"/>
      <c r="O75" s="5"/>
      <c r="P75" s="5"/>
      <c r="Q75" s="5"/>
    </row>
    <row r="76" customFormat="false" ht="12.75" hidden="false" customHeight="false" outlineLevel="0" collapsed="false">
      <c r="A76" s="5"/>
      <c r="B76" s="5" t="n">
        <v>1.02</v>
      </c>
      <c r="C76" s="5" t="n">
        <f aca="false">B76*VOFLB</f>
        <v>26.52</v>
      </c>
      <c r="D76" s="5" t="e">
        <f aca="false">C76*(ActR7+1000*Set_R9)/(ActR7+ActR8+Set_R9*1000)</f>
        <v>#N/A</v>
      </c>
      <c r="E76" s="90" t="e">
        <f aca="false">IF(C76*(1000*Set_R9+ActR7)/((1000*Set_R9+ActR7+ActR8)*(Set_Rs*Gain/2))&gt;B$25,B$25,C76*(1000*Set_R9+ActR7)/((1000*Set_R9+ActR7+ActR8)*(Set_Rs*Gain/2)))</f>
        <v>#N/A</v>
      </c>
      <c r="F76" s="90" t="e">
        <f aca="false">IF(D76&lt;0.2,0.2/(Set_Rs*Gain/2),E76)</f>
        <v>#N/A</v>
      </c>
      <c r="G76" s="5" t="e">
        <f aca="false">(C$60-C76)*F76</f>
        <v>#N/A</v>
      </c>
      <c r="H76" s="5" t="n">
        <v>1.12</v>
      </c>
      <c r="I76" s="5" t="n">
        <f aca="false">H76*VOFLB</f>
        <v>29.12</v>
      </c>
      <c r="J76" s="5" t="n">
        <f aca="false">I76*ActR9_sw/(ActR7_sw+ActR9_sw+Set_R8*1000)</f>
        <v>1.12180312787489</v>
      </c>
      <c r="K76" s="91" t="n">
        <f aca="false">IF(J76/(0.5*Set_Rs*Gain) &gt;B$25,B$25,J76/(0.5*Set_Rs*Gain))</f>
        <v>9.96677740863787</v>
      </c>
      <c r="L76" s="91" t="n">
        <f aca="false">IF(J76&lt;0.2,0.2/(0.5*Set_Rs*Gain),K76)</f>
        <v>9.96677740863787</v>
      </c>
      <c r="M76" s="5" t="n">
        <f aca="false">(I$60-I76)*L76</f>
        <v>20.7308970099668</v>
      </c>
      <c r="N76" s="5"/>
      <c r="O76" s="5"/>
      <c r="P76" s="5"/>
      <c r="Q76" s="5"/>
    </row>
    <row r="77" customFormat="false" ht="12.75" hidden="false" customHeight="false" outlineLevel="0" collapsed="false">
      <c r="A77" s="5"/>
      <c r="B77" s="5" t="n">
        <v>1.015</v>
      </c>
      <c r="C77" s="5" t="n">
        <f aca="false">B77*VOFLB</f>
        <v>26.39</v>
      </c>
      <c r="D77" s="5" t="e">
        <f aca="false">C77*(ActR7+1000*Set_R9)/(ActR7+ActR8+Set_R9*1000)</f>
        <v>#N/A</v>
      </c>
      <c r="E77" s="90" t="e">
        <f aca="false">IF(C77*(1000*Set_R9+ActR7)/((1000*Set_R9+ActR7+ActR8)*(Set_Rs*Gain/2))&gt;B$25,B$25,C77*(1000*Set_R9+ActR7)/((1000*Set_R9+ActR7+ActR8)*(Set_Rs*Gain/2)))</f>
        <v>#N/A</v>
      </c>
      <c r="F77" s="90" t="e">
        <f aca="false">IF(D77&lt;0.2,0.2/(Set_Rs*Gain/2),E77)</f>
        <v>#N/A</v>
      </c>
      <c r="G77" s="5" t="e">
        <f aca="false">(C$60-C77)*F77</f>
        <v>#N/A</v>
      </c>
      <c r="H77" s="5" t="n">
        <v>1.115</v>
      </c>
      <c r="I77" s="5" t="n">
        <f aca="false">H77*VOFLB</f>
        <v>28.99</v>
      </c>
      <c r="J77" s="5" t="n">
        <f aca="false">I77*ActR9_sw/(ActR7_sw+ActR9_sw+Set_R8*1000)</f>
        <v>1.11679507819687</v>
      </c>
      <c r="K77" s="91" t="n">
        <f aca="false">IF(J77/(0.5*Set_Rs*Gain) &gt;B$25,B$25,J77/(0.5*Set_Rs*Gain))</f>
        <v>9.96677740863787</v>
      </c>
      <c r="L77" s="91" t="n">
        <f aca="false">IF(J77&lt;0.2,0.2/(0.5*Set_Rs*Gain),K77)</f>
        <v>9.96677740863787</v>
      </c>
      <c r="M77" s="5" t="n">
        <f aca="false">(I$60-I77)*L77</f>
        <v>22.0265780730897</v>
      </c>
      <c r="N77" s="5"/>
      <c r="O77" s="5"/>
      <c r="P77" s="5"/>
      <c r="Q77" s="5"/>
    </row>
    <row r="78" customFormat="false" ht="12.75" hidden="false" customHeight="false" outlineLevel="0" collapsed="false">
      <c r="A78" s="5"/>
      <c r="B78" s="5" t="n">
        <v>1.01</v>
      </c>
      <c r="C78" s="5" t="n">
        <f aca="false">B78*VOFLB</f>
        <v>26.26</v>
      </c>
      <c r="D78" s="5" t="e">
        <f aca="false">C78*(ActR7+1000*Set_R9)/(ActR7+ActR8+Set_R9*1000)</f>
        <v>#N/A</v>
      </c>
      <c r="E78" s="90" t="e">
        <f aca="false">IF(C78*(1000*Set_R9+ActR7)/((1000*Set_R9+ActR7+ActR8)*(Set_Rs*Gain/2))&gt;B$25,B$25,C78*(1000*Set_R9+ActR7)/((1000*Set_R9+ActR7+ActR8)*(Set_Rs*Gain/2)))</f>
        <v>#N/A</v>
      </c>
      <c r="F78" s="90" t="e">
        <f aca="false">IF(D78&lt;0.2,0.2/(Set_Rs*Gain/2),E78)</f>
        <v>#N/A</v>
      </c>
      <c r="G78" s="5" t="e">
        <f aca="false">(C$60-C78)*F78</f>
        <v>#N/A</v>
      </c>
      <c r="H78" s="5" t="n">
        <v>1.11</v>
      </c>
      <c r="I78" s="5" t="n">
        <f aca="false">H78*VOFLB</f>
        <v>28.86</v>
      </c>
      <c r="J78" s="5" t="n">
        <f aca="false">I78*ActR9_sw/(ActR7_sw+ActR9_sw+Set_R8*1000)</f>
        <v>1.11178702851886</v>
      </c>
      <c r="K78" s="91" t="n">
        <f aca="false">IF(J78/(0.5*Set_Rs*Gain) &gt;B$25,B$25,J78/(0.5*Set_Rs*Gain))</f>
        <v>9.96677740863787</v>
      </c>
      <c r="L78" s="91" t="n">
        <f aca="false">IF(J78&lt;0.2,0.2/(0.5*Set_Rs*Gain),K78)</f>
        <v>9.96677740863787</v>
      </c>
      <c r="M78" s="5" t="n">
        <f aca="false">(I$60-I78)*L78</f>
        <v>23.3222591362126</v>
      </c>
      <c r="N78" s="5"/>
      <c r="O78" s="5"/>
      <c r="P78" s="5"/>
      <c r="Q78" s="5"/>
    </row>
    <row r="79" customFormat="false" ht="12.75" hidden="false" customHeight="false" outlineLevel="0" collapsed="false">
      <c r="A79" s="5"/>
      <c r="B79" s="5" t="n">
        <v>1.005</v>
      </c>
      <c r="C79" s="5" t="n">
        <f aca="false">B79*VOFLB</f>
        <v>26.13</v>
      </c>
      <c r="D79" s="5" t="e">
        <f aca="false">C79*(ActR7+1000*Set_R9)/(ActR7+ActR8+Set_R9*1000)</f>
        <v>#N/A</v>
      </c>
      <c r="E79" s="90" t="e">
        <f aca="false">IF(C79*(1000*Set_R9+ActR7)/((1000*Set_R9+ActR7+ActR8)*(Set_Rs*Gain/2))&gt;B$25,B$25,C79*(1000*Set_R9+ActR7)/((1000*Set_R9+ActR7+ActR8)*(Set_Rs*Gain/2)))</f>
        <v>#N/A</v>
      </c>
      <c r="F79" s="90" t="e">
        <f aca="false">IF(D79&lt;0.2,0.2/(Set_Rs*Gain/2),E79)</f>
        <v>#N/A</v>
      </c>
      <c r="G79" s="5" t="e">
        <f aca="false">(C$60-C79)*F79</f>
        <v>#N/A</v>
      </c>
      <c r="H79" s="5" t="n">
        <v>1.105</v>
      </c>
      <c r="I79" s="5" t="n">
        <f aca="false">H79*VOFLB</f>
        <v>28.73</v>
      </c>
      <c r="J79" s="5" t="n">
        <f aca="false">I79*ActR9_sw/(ActR7_sw+ActR9_sw+Set_R8*1000)</f>
        <v>1.10677897884085</v>
      </c>
      <c r="K79" s="91" t="n">
        <f aca="false">IF(J79/(0.5*Set_Rs*Gain) &gt;B$25,B$25,J79/(0.5*Set_Rs*Gain))</f>
        <v>9.96677740863787</v>
      </c>
      <c r="L79" s="91" t="n">
        <f aca="false">IF(J79&lt;0.2,0.2/(0.5*Set_Rs*Gain),K79)</f>
        <v>9.96677740863787</v>
      </c>
      <c r="M79" s="5" t="n">
        <f aca="false">(I$60-I79)*L79</f>
        <v>24.6179401993355</v>
      </c>
      <c r="N79" s="5"/>
      <c r="O79" s="5"/>
      <c r="P79" s="5"/>
      <c r="Q79" s="5"/>
    </row>
    <row r="80" customFormat="false" ht="12.75" hidden="false" customHeight="false" outlineLevel="0" collapsed="false">
      <c r="A80" s="5"/>
      <c r="B80" s="5" t="n">
        <v>1</v>
      </c>
      <c r="C80" s="5" t="n">
        <f aca="false">B80*VOFLB</f>
        <v>26</v>
      </c>
      <c r="D80" s="5" t="e">
        <f aca="false">C80*(ActR7+1000*Set_R9)/(ActR7+ActR8+Set_R9*1000)</f>
        <v>#N/A</v>
      </c>
      <c r="E80" s="90" t="e">
        <f aca="false">IF(C80*(1000*Set_R9+ActR7)/((1000*Set_R9+ActR7+ActR8)*(Set_Rs*Gain/2))&gt;B$25,B$25,C80*(1000*Set_R9+ActR7)/((1000*Set_R9+ActR7+ActR8)*(Set_Rs*Gain/2)))</f>
        <v>#N/A</v>
      </c>
      <c r="F80" s="90" t="e">
        <f aca="false">IF(D80&lt;0.2,0.2/(Set_Rs*Gain/2),E80)</f>
        <v>#N/A</v>
      </c>
      <c r="G80" s="5" t="e">
        <f aca="false">(C$60-C80)*F80</f>
        <v>#N/A</v>
      </c>
      <c r="H80" s="5" t="n">
        <v>1.1</v>
      </c>
      <c r="I80" s="5" t="n">
        <f aca="false">H80*VOFLB</f>
        <v>28.6</v>
      </c>
      <c r="J80" s="5" t="n">
        <f aca="false">I80*ActR9_sw/(ActR7_sw+ActR9_sw+Set_R8*1000)</f>
        <v>1.10177092916283</v>
      </c>
      <c r="K80" s="91" t="n">
        <f aca="false">IF(J80/(0.5*Set_Rs*Gain) &gt;B$25,B$25,J80/(0.5*Set_Rs*Gain))</f>
        <v>9.96677740863787</v>
      </c>
      <c r="L80" s="91" t="n">
        <f aca="false">IF(J80&lt;0.2,0.2/(0.5*Set_Rs*Gain),K80)</f>
        <v>9.96677740863787</v>
      </c>
      <c r="M80" s="5" t="n">
        <f aca="false">(I$60-I80)*L80</f>
        <v>25.9136212624585</v>
      </c>
      <c r="N80" s="5"/>
      <c r="O80" s="5"/>
      <c r="P80" s="5"/>
      <c r="Q80" s="5"/>
    </row>
    <row r="81" customFormat="false" ht="12.75" hidden="false" customHeight="false" outlineLevel="0" collapsed="false">
      <c r="A81" s="5"/>
      <c r="B81" s="5" t="n">
        <v>0.995</v>
      </c>
      <c r="C81" s="5" t="n">
        <f aca="false">B81*VOFLB</f>
        <v>25.87</v>
      </c>
      <c r="D81" s="5" t="e">
        <f aca="false">C81*(ActR7+1000*Set_R9)/(ActR7+ActR8+Set_R9*1000)</f>
        <v>#N/A</v>
      </c>
      <c r="E81" s="90" t="e">
        <f aca="false">IF(C81*(1000*Set_R9+ActR7)/((1000*Set_R9+ActR7+ActR8)*(Set_Rs*Gain/2))&gt;B$25,B$25,C81*(1000*Set_R9+ActR7)/((1000*Set_R9+ActR7+ActR8)*(Set_Rs*Gain/2)))</f>
        <v>#N/A</v>
      </c>
      <c r="F81" s="90" t="e">
        <f aca="false">IF(D81&lt;0.2,0.2/(Set_Rs*Gain/2),E81)</f>
        <v>#N/A</v>
      </c>
      <c r="G81" s="5" t="e">
        <f aca="false">(C$60-C81)*F81</f>
        <v>#N/A</v>
      </c>
      <c r="H81" s="5" t="n">
        <v>1.095</v>
      </c>
      <c r="I81" s="5" t="n">
        <f aca="false">H81*VOFLB</f>
        <v>28.47</v>
      </c>
      <c r="J81" s="5" t="n">
        <f aca="false">I81*ActR9_sw/(ActR7_sw+ActR9_sw+Set_R8*1000)</f>
        <v>1.09676287948482</v>
      </c>
      <c r="K81" s="91" t="n">
        <f aca="false">IF(J81/(0.5*Set_Rs*Gain) &gt;B$25,B$25,J81/(0.5*Set_Rs*Gain))</f>
        <v>9.96677740863787</v>
      </c>
      <c r="L81" s="91" t="n">
        <f aca="false">IF(J81&lt;0.2,0.2/(0.5*Set_Rs*Gain),K81)</f>
        <v>9.96677740863787</v>
      </c>
      <c r="M81" s="5" t="n">
        <f aca="false">(I$60-I81)*L81</f>
        <v>27.2093023255814</v>
      </c>
      <c r="N81" s="5"/>
      <c r="O81" s="5"/>
      <c r="P81" s="5"/>
      <c r="Q81" s="5"/>
    </row>
    <row r="82" customFormat="false" ht="12.75" hidden="false" customHeight="false" outlineLevel="0" collapsed="false">
      <c r="A82" s="5"/>
      <c r="B82" s="5" t="n">
        <v>0.99</v>
      </c>
      <c r="C82" s="5" t="n">
        <f aca="false">B82*VOFLB</f>
        <v>25.74</v>
      </c>
      <c r="D82" s="5" t="e">
        <f aca="false">C82*(ActR7+1000*Set_R9)/(ActR7+ActR8+Set_R9*1000)</f>
        <v>#N/A</v>
      </c>
      <c r="E82" s="90" t="e">
        <f aca="false">IF(C82*(1000*Set_R9+ActR7)/((1000*Set_R9+ActR7+ActR8)*(Set_Rs*Gain/2))&gt;B$25,B$25,C82*(1000*Set_R9+ActR7)/((1000*Set_R9+ActR7+ActR8)*(Set_Rs*Gain/2)))</f>
        <v>#N/A</v>
      </c>
      <c r="F82" s="90" t="e">
        <f aca="false">IF(D82&lt;0.2,0.2/(Set_Rs*Gain/2),E82)</f>
        <v>#N/A</v>
      </c>
      <c r="G82" s="5" t="e">
        <f aca="false">(C$60-C82)*F82</f>
        <v>#N/A</v>
      </c>
      <c r="H82" s="5" t="n">
        <v>1.09</v>
      </c>
      <c r="I82" s="5" t="n">
        <f aca="false">H82*VOFLB</f>
        <v>28.34</v>
      </c>
      <c r="J82" s="5" t="n">
        <f aca="false">I82*ActR9_sw/(ActR7_sw+ActR9_sw+Set_R8*1000)</f>
        <v>1.09175482980681</v>
      </c>
      <c r="K82" s="91" t="n">
        <f aca="false">IF(J82/(0.5*Set_Rs*Gain) &gt;B$25,B$25,J82/(0.5*Set_Rs*Gain))</f>
        <v>9.96677740863787</v>
      </c>
      <c r="L82" s="91" t="n">
        <f aca="false">IF(J82&lt;0.2,0.2/(0.5*Set_Rs*Gain),K82)</f>
        <v>9.96677740863787</v>
      </c>
      <c r="M82" s="5" t="n">
        <f aca="false">(I$60-I82)*L82</f>
        <v>28.5049833887043</v>
      </c>
      <c r="N82" s="5"/>
      <c r="O82" s="5"/>
      <c r="P82" s="5"/>
      <c r="Q82" s="5"/>
    </row>
    <row r="83" customFormat="false" ht="12.75" hidden="false" customHeight="false" outlineLevel="0" collapsed="false">
      <c r="A83" s="5"/>
      <c r="B83" s="5" t="n">
        <v>0.985</v>
      </c>
      <c r="C83" s="5" t="n">
        <f aca="false">B83*VOFLB</f>
        <v>25.61</v>
      </c>
      <c r="D83" s="5" t="e">
        <f aca="false">C83*(ActR7+1000*Set_R9)/(ActR7+ActR8+Set_R9*1000)</f>
        <v>#N/A</v>
      </c>
      <c r="E83" s="90" t="e">
        <f aca="false">IF(C83*(1000*Set_R9+ActR7)/((1000*Set_R9+ActR7+ActR8)*(Set_Rs*Gain/2))&gt;B$25,B$25,C83*(1000*Set_R9+ActR7)/((1000*Set_R9+ActR7+ActR8)*(Set_Rs*Gain/2)))</f>
        <v>#N/A</v>
      </c>
      <c r="F83" s="90" t="e">
        <f aca="false">IF(D83&lt;0.2,0.2/(Set_Rs*Gain/2),E83)</f>
        <v>#N/A</v>
      </c>
      <c r="G83" s="5" t="e">
        <f aca="false">(C$60-C83)*F83</f>
        <v>#N/A</v>
      </c>
      <c r="H83" s="5" t="n">
        <v>1.085</v>
      </c>
      <c r="I83" s="5" t="n">
        <f aca="false">H83*VOFLB</f>
        <v>28.21</v>
      </c>
      <c r="J83" s="5" t="n">
        <f aca="false">I83*ActR9_sw/(ActR7_sw+ActR9_sw+Set_R8*1000)</f>
        <v>1.08674678012879</v>
      </c>
      <c r="K83" s="91" t="n">
        <f aca="false">IF(J83/(0.5*Set_Rs*Gain) &gt;B$25,B$25,J83/(0.5*Set_Rs*Gain))</f>
        <v>9.96677740863787</v>
      </c>
      <c r="L83" s="91" t="n">
        <f aca="false">IF(J83&lt;0.2,0.2/(0.5*Set_Rs*Gain),K83)</f>
        <v>9.96677740863787</v>
      </c>
      <c r="M83" s="5" t="n">
        <f aca="false">(I$60-I83)*L83</f>
        <v>29.8006644518272</v>
      </c>
      <c r="N83" s="5"/>
      <c r="O83" s="5"/>
      <c r="P83" s="5"/>
      <c r="Q83" s="5"/>
    </row>
    <row r="84" customFormat="false" ht="12.75" hidden="false" customHeight="false" outlineLevel="0" collapsed="false">
      <c r="A84" s="5"/>
      <c r="B84" s="5" t="n">
        <v>0.98</v>
      </c>
      <c r="C84" s="5" t="n">
        <f aca="false">B84*VOFLB</f>
        <v>25.48</v>
      </c>
      <c r="D84" s="5" t="e">
        <f aca="false">C84*(ActR7+1000*Set_R9)/(ActR7+ActR8+Set_R9*1000)</f>
        <v>#N/A</v>
      </c>
      <c r="E84" s="90" t="e">
        <f aca="false">IF(C84*(1000*Set_R9+ActR7)/((1000*Set_R9+ActR7+ActR8)*(Set_Rs*Gain/2))&gt;B$25,B$25,C84*(1000*Set_R9+ActR7)/((1000*Set_R9+ActR7+ActR8)*(Set_Rs*Gain/2)))</f>
        <v>#N/A</v>
      </c>
      <c r="F84" s="90" t="e">
        <f aca="false">IF(D84&lt;0.2,0.2/(Set_Rs*Gain/2),E84)</f>
        <v>#N/A</v>
      </c>
      <c r="G84" s="5" t="e">
        <f aca="false">(C$60-C84)*F84</f>
        <v>#N/A</v>
      </c>
      <c r="H84" s="5" t="n">
        <v>1.08</v>
      </c>
      <c r="I84" s="5" t="n">
        <f aca="false">H84*VOFLB</f>
        <v>28.08</v>
      </c>
      <c r="J84" s="5" t="n">
        <f aca="false">I84*ActR9_sw/(ActR7_sw+ActR9_sw+Set_R8*1000)</f>
        <v>1.08173873045078</v>
      </c>
      <c r="K84" s="91" t="n">
        <f aca="false">IF(J84/(0.5*Set_Rs*Gain) &gt;B$25,B$25,J84/(0.5*Set_Rs*Gain))</f>
        <v>9.96677740863787</v>
      </c>
      <c r="L84" s="91" t="n">
        <f aca="false">IF(J84&lt;0.2,0.2/(0.5*Set_Rs*Gain),K84)</f>
        <v>9.96677740863787</v>
      </c>
      <c r="M84" s="5" t="n">
        <f aca="false">(I$60-I84)*L84</f>
        <v>31.0963455149502</v>
      </c>
      <c r="N84" s="5"/>
      <c r="O84" s="5"/>
      <c r="P84" s="5"/>
      <c r="Q84" s="5"/>
    </row>
    <row r="85" customFormat="false" ht="12.75" hidden="false" customHeight="false" outlineLevel="0" collapsed="false">
      <c r="A85" s="5"/>
      <c r="B85" s="5" t="n">
        <v>0.975</v>
      </c>
      <c r="C85" s="5" t="n">
        <f aca="false">B85*VOFLB</f>
        <v>25.35</v>
      </c>
      <c r="D85" s="5" t="e">
        <f aca="false">C85*(ActR7+1000*Set_R9)/(ActR7+ActR8+Set_R9*1000)</f>
        <v>#N/A</v>
      </c>
      <c r="E85" s="90" t="e">
        <f aca="false">IF(C85*(1000*Set_R9+ActR7)/((1000*Set_R9+ActR7+ActR8)*(Set_Rs*Gain/2))&gt;B$25,B$25,C85*(1000*Set_R9+ActR7)/((1000*Set_R9+ActR7+ActR8)*(Set_Rs*Gain/2)))</f>
        <v>#N/A</v>
      </c>
      <c r="F85" s="90" t="e">
        <f aca="false">IF(D85&lt;0.2,0.2/(Set_Rs*Gain/2),E85)</f>
        <v>#N/A</v>
      </c>
      <c r="G85" s="5" t="e">
        <f aca="false">(C$60-C85)*F85</f>
        <v>#N/A</v>
      </c>
      <c r="H85" s="5" t="n">
        <v>1.075</v>
      </c>
      <c r="I85" s="5" t="n">
        <f aca="false">H85*VOFLB</f>
        <v>27.95</v>
      </c>
      <c r="J85" s="5" t="n">
        <f aca="false">I85*ActR9_sw/(ActR7_sw+ActR9_sw+Set_R8*1000)</f>
        <v>1.07673068077277</v>
      </c>
      <c r="K85" s="91" t="n">
        <f aca="false">IF(J85/(0.5*Set_Rs*Gain) &gt;B$25,B$25,J85/(0.5*Set_Rs*Gain))</f>
        <v>9.96677740863787</v>
      </c>
      <c r="L85" s="91" t="n">
        <f aca="false">IF(J85&lt;0.2,0.2/(0.5*Set_Rs*Gain),K85)</f>
        <v>9.96677740863787</v>
      </c>
      <c r="M85" s="5" t="n">
        <f aca="false">(I$60-I85)*L85</f>
        <v>32.3920265780731</v>
      </c>
      <c r="N85" s="5"/>
      <c r="O85" s="5"/>
      <c r="P85" s="5"/>
      <c r="Q85" s="5"/>
    </row>
    <row r="86" customFormat="false" ht="12.75" hidden="false" customHeight="false" outlineLevel="0" collapsed="false">
      <c r="A86" s="5"/>
      <c r="B86" s="5" t="n">
        <v>0.97</v>
      </c>
      <c r="C86" s="5" t="n">
        <f aca="false">B86*VOFLB</f>
        <v>25.22</v>
      </c>
      <c r="D86" s="5" t="e">
        <f aca="false">C86*(ActR7+1000*Set_R9)/(ActR7+ActR8+Set_R9*1000)</f>
        <v>#N/A</v>
      </c>
      <c r="E86" s="90" t="e">
        <f aca="false">IF(C86*(1000*Set_R9+ActR7)/((1000*Set_R9+ActR7+ActR8)*(Set_Rs*Gain/2))&gt;B$25,B$25,C86*(1000*Set_R9+ActR7)/((1000*Set_R9+ActR7+ActR8)*(Set_Rs*Gain/2)))</f>
        <v>#N/A</v>
      </c>
      <c r="F86" s="90" t="e">
        <f aca="false">IF(D86&lt;0.2,0.2/(Set_Rs*Gain/2),E86)</f>
        <v>#N/A</v>
      </c>
      <c r="G86" s="5" t="e">
        <f aca="false">(C$60-C86)*F86</f>
        <v>#N/A</v>
      </c>
      <c r="H86" s="5" t="n">
        <v>1.07</v>
      </c>
      <c r="I86" s="5" t="n">
        <f aca="false">H86*VOFLB</f>
        <v>27.82</v>
      </c>
      <c r="J86" s="5" t="n">
        <f aca="false">I86*ActR9_sw/(ActR7_sw+ActR9_sw+Set_R8*1000)</f>
        <v>1.07172263109476</v>
      </c>
      <c r="K86" s="91" t="n">
        <f aca="false">IF(J86/(0.5*Set_Rs*Gain) &gt;B$25,B$25,J86/(0.5*Set_Rs*Gain))</f>
        <v>9.96677740863787</v>
      </c>
      <c r="L86" s="91" t="n">
        <f aca="false">IF(J86&lt;0.2,0.2/(0.5*Set_Rs*Gain),K86)</f>
        <v>9.96677740863787</v>
      </c>
      <c r="M86" s="5" t="n">
        <f aca="false">(I$60-I86)*L86</f>
        <v>33.687707641196</v>
      </c>
      <c r="N86" s="5"/>
      <c r="O86" s="5"/>
      <c r="P86" s="5"/>
      <c r="Q86" s="5"/>
    </row>
    <row r="87" customFormat="false" ht="12.75" hidden="false" customHeight="false" outlineLevel="0" collapsed="false">
      <c r="A87" s="5"/>
      <c r="B87" s="5" t="n">
        <v>0.965</v>
      </c>
      <c r="C87" s="5" t="n">
        <f aca="false">B87*VOFLB</f>
        <v>25.09</v>
      </c>
      <c r="D87" s="5" t="e">
        <f aca="false">C87*(ActR7+1000*Set_R9)/(ActR7+ActR8+Set_R9*1000)</f>
        <v>#N/A</v>
      </c>
      <c r="E87" s="90" t="e">
        <f aca="false">IF(C87*(1000*Set_R9+ActR7)/((1000*Set_R9+ActR7+ActR8)*(Set_Rs*Gain/2))&gt;B$25,B$25,C87*(1000*Set_R9+ActR7)/((1000*Set_R9+ActR7+ActR8)*(Set_Rs*Gain/2)))</f>
        <v>#N/A</v>
      </c>
      <c r="F87" s="90" t="e">
        <f aca="false">IF(D87&lt;0.2,0.2/(Set_Rs*Gain/2),E87)</f>
        <v>#N/A</v>
      </c>
      <c r="G87" s="5" t="e">
        <f aca="false">(C$60-C87)*F87</f>
        <v>#N/A</v>
      </c>
      <c r="H87" s="5" t="n">
        <v>1.065</v>
      </c>
      <c r="I87" s="5" t="n">
        <f aca="false">H87*VOFLB</f>
        <v>27.69</v>
      </c>
      <c r="J87" s="5" t="n">
        <f aca="false">I87*ActR9_sw/(ActR7_sw+ActR9_sw+Set_R8*1000)</f>
        <v>1.06671458141674</v>
      </c>
      <c r="K87" s="91" t="n">
        <f aca="false">IF(J87/(0.5*Set_Rs*Gain) &gt;B$25,B$25,J87/(0.5*Set_Rs*Gain))</f>
        <v>9.96677740863787</v>
      </c>
      <c r="L87" s="91" t="n">
        <f aca="false">IF(J87&lt;0.2,0.2/(0.5*Set_Rs*Gain),K87)</f>
        <v>9.96677740863787</v>
      </c>
      <c r="M87" s="5" t="n">
        <f aca="false">(I$60-I87)*L87</f>
        <v>34.9833887043189</v>
      </c>
      <c r="N87" s="5"/>
      <c r="O87" s="5"/>
      <c r="P87" s="5"/>
      <c r="Q87" s="5"/>
    </row>
    <row r="88" customFormat="false" ht="12.75" hidden="false" customHeight="false" outlineLevel="0" collapsed="false">
      <c r="A88" s="5"/>
      <c r="B88" s="5" t="n">
        <v>0.96</v>
      </c>
      <c r="C88" s="5" t="n">
        <f aca="false">B88*VOFLB</f>
        <v>24.96</v>
      </c>
      <c r="D88" s="5" t="e">
        <f aca="false">C88*(ActR7+1000*Set_R9)/(ActR7+ActR8+Set_R9*1000)</f>
        <v>#N/A</v>
      </c>
      <c r="E88" s="90" t="e">
        <f aca="false">IF(C88*(1000*Set_R9+ActR7)/((1000*Set_R9+ActR7+ActR8)*(Set_Rs*Gain/2))&gt;B$25,B$25,C88*(1000*Set_R9+ActR7)/((1000*Set_R9+ActR7+ActR8)*(Set_Rs*Gain/2)))</f>
        <v>#N/A</v>
      </c>
      <c r="F88" s="90" t="e">
        <f aca="false">IF(D88&lt;0.2,0.2/(Set_Rs*Gain/2),E88)</f>
        <v>#N/A</v>
      </c>
      <c r="G88" s="5" t="e">
        <f aca="false">(C$60-C88)*F88</f>
        <v>#N/A</v>
      </c>
      <c r="H88" s="5" t="n">
        <v>1.06</v>
      </c>
      <c r="I88" s="5" t="n">
        <f aca="false">H88*VOFLB</f>
        <v>27.56</v>
      </c>
      <c r="J88" s="5" t="n">
        <f aca="false">I88*ActR9_sw/(ActR7_sw+ActR9_sw+Set_R8*1000)</f>
        <v>1.06170653173873</v>
      </c>
      <c r="K88" s="91" t="n">
        <f aca="false">IF(J88/(0.5*Set_Rs*Gain) &gt;B$25,B$25,J88/(0.5*Set_Rs*Gain))</f>
        <v>9.96677740863787</v>
      </c>
      <c r="L88" s="91" t="n">
        <f aca="false">IF(J88&lt;0.2,0.2/(0.5*Set_Rs*Gain),K88)</f>
        <v>9.96677740863787</v>
      </c>
      <c r="M88" s="5" t="n">
        <f aca="false">(I$60-I88)*L88</f>
        <v>36.2790697674419</v>
      </c>
      <c r="N88" s="5"/>
      <c r="O88" s="5"/>
      <c r="P88" s="5"/>
      <c r="Q88" s="5"/>
    </row>
    <row r="89" customFormat="false" ht="12.75" hidden="false" customHeight="false" outlineLevel="0" collapsed="false">
      <c r="A89" s="5"/>
      <c r="B89" s="5" t="n">
        <v>0.955</v>
      </c>
      <c r="C89" s="5" t="n">
        <f aca="false">B89*VOFLB</f>
        <v>24.83</v>
      </c>
      <c r="D89" s="5" t="e">
        <f aca="false">C89*(ActR7+1000*Set_R9)/(ActR7+ActR8+Set_R9*1000)</f>
        <v>#N/A</v>
      </c>
      <c r="E89" s="90" t="e">
        <f aca="false">IF(C89*(1000*Set_R9+ActR7)/((1000*Set_R9+ActR7+ActR8)*(Set_Rs*Gain/2))&gt;B$25,B$25,C89*(1000*Set_R9+ActR7)/((1000*Set_R9+ActR7+ActR8)*(Set_Rs*Gain/2)))</f>
        <v>#N/A</v>
      </c>
      <c r="F89" s="90" t="e">
        <f aca="false">IF(D89&lt;0.2,0.2/(Set_Rs*Gain/2),E89)</f>
        <v>#N/A</v>
      </c>
      <c r="G89" s="5" t="e">
        <f aca="false">(C$60-C89)*F89</f>
        <v>#N/A</v>
      </c>
      <c r="H89" s="5" t="n">
        <v>1.055</v>
      </c>
      <c r="I89" s="5" t="n">
        <f aca="false">H89*VOFLB</f>
        <v>27.43</v>
      </c>
      <c r="J89" s="5" t="n">
        <f aca="false">I89*ActR9_sw/(ActR7_sw+ActR9_sw+Set_R8*1000)</f>
        <v>1.05669848206072</v>
      </c>
      <c r="K89" s="91" t="n">
        <f aca="false">IF(J89/(0.5*Set_Rs*Gain) &gt;B$25,B$25,J89/(0.5*Set_Rs*Gain))</f>
        <v>9.96677740863787</v>
      </c>
      <c r="L89" s="91" t="n">
        <f aca="false">IF(J89&lt;0.2,0.2/(0.5*Set_Rs*Gain),K89)</f>
        <v>9.96677740863787</v>
      </c>
      <c r="M89" s="5" t="n">
        <f aca="false">(I$60-I89)*L89</f>
        <v>37.5747508305648</v>
      </c>
      <c r="N89" s="5"/>
      <c r="O89" s="5"/>
      <c r="P89" s="5"/>
      <c r="Q89" s="5"/>
    </row>
    <row r="90" customFormat="false" ht="12.75" hidden="false" customHeight="false" outlineLevel="0" collapsed="false">
      <c r="A90" s="5"/>
      <c r="B90" s="5" t="n">
        <v>0.95</v>
      </c>
      <c r="C90" s="5" t="n">
        <f aca="false">B90*VOFLB</f>
        <v>24.7</v>
      </c>
      <c r="D90" s="5" t="e">
        <f aca="false">C90*(ActR7+1000*Set_R9)/(ActR7+ActR8+Set_R9*1000)</f>
        <v>#N/A</v>
      </c>
      <c r="E90" s="90" t="e">
        <f aca="false">IF(C90*(1000*Set_R9+ActR7)/((1000*Set_R9+ActR7+ActR8)*(Set_Rs*Gain/2))&gt;B$25,B$25,C90*(1000*Set_R9+ActR7)/((1000*Set_R9+ActR7+ActR8)*(Set_Rs*Gain/2)))</f>
        <v>#N/A</v>
      </c>
      <c r="F90" s="90" t="e">
        <f aca="false">IF(D90&lt;0.2,0.2/(Set_Rs*Gain/2),E90)</f>
        <v>#N/A</v>
      </c>
      <c r="G90" s="5" t="e">
        <f aca="false">(C$60-C90)*F90</f>
        <v>#N/A</v>
      </c>
      <c r="H90" s="5" t="n">
        <v>1.05</v>
      </c>
      <c r="I90" s="5" t="n">
        <f aca="false">H90*VOFLB</f>
        <v>27.3</v>
      </c>
      <c r="J90" s="5" t="n">
        <f aca="false">I90*ActR9_sw/(ActR7_sw+ActR9_sw+Set_R8*1000)</f>
        <v>1.0516904323827</v>
      </c>
      <c r="K90" s="91" t="n">
        <f aca="false">IF(J90/(0.5*Set_Rs*Gain) &gt;B$25,B$25,J90/(0.5*Set_Rs*Gain))</f>
        <v>9.96677740863787</v>
      </c>
      <c r="L90" s="91" t="n">
        <f aca="false">IF(J90&lt;0.2,0.2/(0.5*Set_Rs*Gain),K90)</f>
        <v>9.96677740863787</v>
      </c>
      <c r="M90" s="5" t="n">
        <f aca="false">(I$60-I90)*L90</f>
        <v>38.8704318936877</v>
      </c>
      <c r="N90" s="5"/>
      <c r="O90" s="5"/>
      <c r="P90" s="5"/>
      <c r="Q90" s="5"/>
    </row>
    <row r="91" customFormat="false" ht="12.75" hidden="false" customHeight="false" outlineLevel="0" collapsed="false">
      <c r="A91" s="5"/>
      <c r="B91" s="5" t="n">
        <v>0.945</v>
      </c>
      <c r="C91" s="5" t="n">
        <f aca="false">B91*VOFLB</f>
        <v>24.57</v>
      </c>
      <c r="D91" s="5" t="e">
        <f aca="false">C91*(ActR7+1000*Set_R9)/(ActR7+ActR8+Set_R9*1000)</f>
        <v>#N/A</v>
      </c>
      <c r="E91" s="90" t="e">
        <f aca="false">IF(C91*(1000*Set_R9+ActR7)/((1000*Set_R9+ActR7+ActR8)*(Set_Rs*Gain/2))&gt;B$25,B$25,C91*(1000*Set_R9+ActR7)/((1000*Set_R9+ActR7+ActR8)*(Set_Rs*Gain/2)))</f>
        <v>#N/A</v>
      </c>
      <c r="F91" s="90" t="e">
        <f aca="false">IF(D91&lt;0.2,0.2/(Set_Rs*Gain/2),E91)</f>
        <v>#N/A</v>
      </c>
      <c r="G91" s="5" t="e">
        <f aca="false">(C$60-C91)*F91</f>
        <v>#N/A</v>
      </c>
      <c r="H91" s="5" t="n">
        <v>1.045</v>
      </c>
      <c r="I91" s="5" t="n">
        <f aca="false">H91*VOFLB</f>
        <v>27.17</v>
      </c>
      <c r="J91" s="5" t="n">
        <f aca="false">I91*ActR9_sw/(ActR7_sw+ActR9_sw+Set_R8*1000)</f>
        <v>1.04668238270469</v>
      </c>
      <c r="K91" s="91" t="n">
        <f aca="false">IF(J91/(0.5*Set_Rs*Gain) &gt;B$25,B$25,J91/(0.5*Set_Rs*Gain))</f>
        <v>9.96677740863787</v>
      </c>
      <c r="L91" s="91" t="n">
        <f aca="false">IF(J91&lt;0.2,0.2/(0.5*Set_Rs*Gain),K91)</f>
        <v>9.96677740863787</v>
      </c>
      <c r="M91" s="5" t="n">
        <f aca="false">(I$60-I91)*L91</f>
        <v>40.1661129568106</v>
      </c>
      <c r="N91" s="5"/>
      <c r="O91" s="5"/>
      <c r="P91" s="5"/>
      <c r="Q91" s="5"/>
    </row>
    <row r="92" customFormat="false" ht="12.75" hidden="false" customHeight="false" outlineLevel="0" collapsed="false">
      <c r="A92" s="5"/>
      <c r="B92" s="5" t="n">
        <v>0.94</v>
      </c>
      <c r="C92" s="5" t="n">
        <f aca="false">B92*VOFLB</f>
        <v>24.44</v>
      </c>
      <c r="D92" s="5" t="e">
        <f aca="false">C92*(ActR7+1000*Set_R9)/(ActR7+ActR8+Set_R9*1000)</f>
        <v>#N/A</v>
      </c>
      <c r="E92" s="90" t="e">
        <f aca="false">IF(C92*(1000*Set_R9+ActR7)/((1000*Set_R9+ActR7+ActR8)*(Set_Rs*Gain/2))&gt;B$25,B$25,C92*(1000*Set_R9+ActR7)/((1000*Set_R9+ActR7+ActR8)*(Set_Rs*Gain/2)))</f>
        <v>#N/A</v>
      </c>
      <c r="F92" s="90" t="e">
        <f aca="false">IF(D92&lt;0.2,0.2/(Set_Rs*Gain/2),E92)</f>
        <v>#N/A</v>
      </c>
      <c r="G92" s="5" t="e">
        <f aca="false">(C$60-C92)*F92</f>
        <v>#N/A</v>
      </c>
      <c r="H92" s="5" t="n">
        <v>1.04</v>
      </c>
      <c r="I92" s="5" t="n">
        <f aca="false">H92*VOFLB</f>
        <v>27.04</v>
      </c>
      <c r="J92" s="5" t="n">
        <f aca="false">I92*ActR9_sw/(ActR7_sw+ActR9_sw+Set_R8*1000)</f>
        <v>1.04167433302668</v>
      </c>
      <c r="K92" s="91" t="n">
        <f aca="false">IF(J92/(0.5*Set_Rs*Gain) &gt;B$25,B$25,J92/(0.5*Set_Rs*Gain))</f>
        <v>9.96677740863787</v>
      </c>
      <c r="L92" s="91" t="n">
        <f aca="false">IF(J92&lt;0.2,0.2/(0.5*Set_Rs*Gain),K92)</f>
        <v>9.96677740863787</v>
      </c>
      <c r="M92" s="5" t="n">
        <f aca="false">(I$60-I92)*L92</f>
        <v>41.4617940199336</v>
      </c>
      <c r="N92" s="5"/>
      <c r="O92" s="5"/>
      <c r="P92" s="5"/>
      <c r="Q92" s="5"/>
    </row>
    <row r="93" customFormat="false" ht="12.75" hidden="false" customHeight="false" outlineLevel="0" collapsed="false">
      <c r="A93" s="5"/>
      <c r="B93" s="5" t="n">
        <v>0.935</v>
      </c>
      <c r="C93" s="5" t="n">
        <f aca="false">B93*VOFLB</f>
        <v>24.31</v>
      </c>
      <c r="D93" s="5" t="e">
        <f aca="false">C93*(ActR7+1000*Set_R9)/(ActR7+ActR8+Set_R9*1000)</f>
        <v>#N/A</v>
      </c>
      <c r="E93" s="90" t="e">
        <f aca="false">IF(C93*(1000*Set_R9+ActR7)/((1000*Set_R9+ActR7+ActR8)*(Set_Rs*Gain/2))&gt;B$25,B$25,C93*(1000*Set_R9+ActR7)/((1000*Set_R9+ActR7+ActR8)*(Set_Rs*Gain/2)))</f>
        <v>#N/A</v>
      </c>
      <c r="F93" s="90" t="e">
        <f aca="false">IF(D93&lt;0.2,0.2/(Set_Rs*Gain/2),E93)</f>
        <v>#N/A</v>
      </c>
      <c r="G93" s="5" t="e">
        <f aca="false">(C$60-C93)*F93</f>
        <v>#N/A</v>
      </c>
      <c r="H93" s="5" t="n">
        <v>1.035</v>
      </c>
      <c r="I93" s="5" t="n">
        <f aca="false">H93*VOFLB</f>
        <v>26.91</v>
      </c>
      <c r="J93" s="5" t="n">
        <f aca="false">I93*ActR9_sw/(ActR7_sw+ActR9_sw+Set_R8*1000)</f>
        <v>1.03666628334867</v>
      </c>
      <c r="K93" s="91" t="n">
        <f aca="false">IF(J93/(0.5*Set_Rs*Gain) &gt;B$25,B$25,J93/(0.5*Set_Rs*Gain))</f>
        <v>9.96677740863787</v>
      </c>
      <c r="L93" s="91" t="n">
        <f aca="false">IF(J93&lt;0.2,0.2/(0.5*Set_Rs*Gain),K93)</f>
        <v>9.96677740863787</v>
      </c>
      <c r="M93" s="5" t="n">
        <f aca="false">(I$60-I93)*L93</f>
        <v>42.7574750830565</v>
      </c>
      <c r="N93" s="5"/>
      <c r="O93" s="5"/>
      <c r="P93" s="5"/>
      <c r="Q93" s="5"/>
    </row>
    <row r="94" customFormat="false" ht="12.75" hidden="false" customHeight="false" outlineLevel="0" collapsed="false">
      <c r="A94" s="5"/>
      <c r="B94" s="5" t="n">
        <v>0.93</v>
      </c>
      <c r="C94" s="5" t="n">
        <f aca="false">B94*VOFLB</f>
        <v>24.18</v>
      </c>
      <c r="D94" s="5" t="e">
        <f aca="false">C94*(ActR7+1000*Set_R9)/(ActR7+ActR8+Set_R9*1000)</f>
        <v>#N/A</v>
      </c>
      <c r="E94" s="90" t="e">
        <f aca="false">IF(C94*(1000*Set_R9+ActR7)/((1000*Set_R9+ActR7+ActR8)*(Set_Rs*Gain/2))&gt;B$25,B$25,C94*(1000*Set_R9+ActR7)/((1000*Set_R9+ActR7+ActR8)*(Set_Rs*Gain/2)))</f>
        <v>#N/A</v>
      </c>
      <c r="F94" s="90" t="e">
        <f aca="false">IF(D94&lt;0.2,0.2/(Set_Rs*Gain/2),E94)</f>
        <v>#N/A</v>
      </c>
      <c r="G94" s="5" t="e">
        <f aca="false">(C$60-C94)*F94</f>
        <v>#N/A</v>
      </c>
      <c r="H94" s="5" t="n">
        <v>1.03</v>
      </c>
      <c r="I94" s="5" t="n">
        <f aca="false">H94*VOFLB</f>
        <v>26.78</v>
      </c>
      <c r="J94" s="5" t="n">
        <f aca="false">I94*ActR9_sw/(ActR7_sw+ActR9_sw+Set_R8*1000)</f>
        <v>1.03165823367065</v>
      </c>
      <c r="K94" s="91" t="n">
        <f aca="false">IF(J94/(0.5*Set_Rs*Gain) &gt;B$25,B$25,J94/(0.5*Set_Rs*Gain))</f>
        <v>9.96677740863787</v>
      </c>
      <c r="L94" s="91" t="n">
        <f aca="false">IF(J94&lt;0.2,0.2/(0.5*Set_Rs*Gain),K94)</f>
        <v>9.96677740863787</v>
      </c>
      <c r="M94" s="5" t="n">
        <f aca="false">(I$60-I94)*L94</f>
        <v>44.0531561461794</v>
      </c>
      <c r="N94" s="5"/>
      <c r="O94" s="5"/>
      <c r="P94" s="5"/>
      <c r="Q94" s="5"/>
    </row>
    <row r="95" customFormat="false" ht="12.75" hidden="false" customHeight="false" outlineLevel="0" collapsed="false">
      <c r="A95" s="5"/>
      <c r="B95" s="5" t="n">
        <v>0.925</v>
      </c>
      <c r="C95" s="5" t="n">
        <f aca="false">B95*VOFLB</f>
        <v>24.05</v>
      </c>
      <c r="D95" s="5" t="e">
        <f aca="false">C95*(ActR7+1000*Set_R9)/(ActR7+ActR8+Set_R9*1000)</f>
        <v>#N/A</v>
      </c>
      <c r="E95" s="90" t="e">
        <f aca="false">IF(C95*(1000*Set_R9+ActR7)/((1000*Set_R9+ActR7+ActR8)*(Set_Rs*Gain/2))&gt;B$25,B$25,C95*(1000*Set_R9+ActR7)/((1000*Set_R9+ActR7+ActR8)*(Set_Rs*Gain/2)))</f>
        <v>#N/A</v>
      </c>
      <c r="F95" s="90" t="e">
        <f aca="false">IF(D95&lt;0.2,0.2/(Set_Rs*Gain/2),E95)</f>
        <v>#N/A</v>
      </c>
      <c r="G95" s="5" t="e">
        <f aca="false">(C$60-C95)*F95</f>
        <v>#N/A</v>
      </c>
      <c r="H95" s="5" t="n">
        <v>1.025</v>
      </c>
      <c r="I95" s="5" t="n">
        <f aca="false">H95*VOFLB</f>
        <v>26.65</v>
      </c>
      <c r="J95" s="5" t="n">
        <f aca="false">I95*ActR9_sw/(ActR7_sw+ActR9_sw+Set_R8*1000)</f>
        <v>1.02665018399264</v>
      </c>
      <c r="K95" s="91" t="n">
        <f aca="false">IF(J95/(0.5*Set_Rs*Gain) &gt;B$25,B$25,J95/(0.5*Set_Rs*Gain))</f>
        <v>9.96677740863787</v>
      </c>
      <c r="L95" s="91" t="n">
        <f aca="false">IF(J95&lt;0.2,0.2/(0.5*Set_Rs*Gain),K95)</f>
        <v>9.96677740863787</v>
      </c>
      <c r="M95" s="5" t="n">
        <f aca="false">(I$60-I95)*L95</f>
        <v>45.3488372093023</v>
      </c>
      <c r="N95" s="5"/>
      <c r="O95" s="5"/>
      <c r="P95" s="5"/>
      <c r="Q95" s="5"/>
    </row>
    <row r="96" customFormat="false" ht="12.75" hidden="false" customHeight="false" outlineLevel="0" collapsed="false">
      <c r="A96" s="5"/>
      <c r="B96" s="5" t="n">
        <v>0.92</v>
      </c>
      <c r="C96" s="5" t="n">
        <f aca="false">B96*VOFLB</f>
        <v>23.92</v>
      </c>
      <c r="D96" s="5" t="e">
        <f aca="false">C96*(ActR7+1000*Set_R9)/(ActR7+ActR8+Set_R9*1000)</f>
        <v>#N/A</v>
      </c>
      <c r="E96" s="90" t="e">
        <f aca="false">IF(C96*(1000*Set_R9+ActR7)/((1000*Set_R9+ActR7+ActR8)*(Set_Rs*Gain/2))&gt;B$25,B$25,C96*(1000*Set_R9+ActR7)/((1000*Set_R9+ActR7+ActR8)*(Set_Rs*Gain/2)))</f>
        <v>#N/A</v>
      </c>
      <c r="F96" s="90" t="e">
        <f aca="false">IF(D96&lt;0.2,0.2/(Set_Rs*Gain/2),E96)</f>
        <v>#N/A</v>
      </c>
      <c r="G96" s="5" t="e">
        <f aca="false">(C$60-C96)*F96</f>
        <v>#N/A</v>
      </c>
      <c r="H96" s="5" t="n">
        <v>1.02</v>
      </c>
      <c r="I96" s="5" t="n">
        <f aca="false">H96*VOFLB</f>
        <v>26.52</v>
      </c>
      <c r="J96" s="5" t="n">
        <f aca="false">I96*ActR9_sw/(ActR7_sw+ActR9_sw+Set_R8*1000)</f>
        <v>1.02164213431463</v>
      </c>
      <c r="K96" s="91" t="n">
        <f aca="false">IF(J96/(0.5*Set_Rs*Gain) &gt;B$25,B$25,J96/(0.5*Set_Rs*Gain))</f>
        <v>9.96677740863787</v>
      </c>
      <c r="L96" s="91" t="n">
        <f aca="false">IF(J96&lt;0.2,0.2/(0.5*Set_Rs*Gain),K96)</f>
        <v>9.96677740863787</v>
      </c>
      <c r="M96" s="5" t="n">
        <f aca="false">(I$60-I96)*L96</f>
        <v>46.6445182724253</v>
      </c>
      <c r="N96" s="5"/>
      <c r="O96" s="5"/>
      <c r="P96" s="5"/>
      <c r="Q96" s="5"/>
    </row>
    <row r="97" customFormat="false" ht="12.75" hidden="false" customHeight="false" outlineLevel="0" collapsed="false">
      <c r="A97" s="5"/>
      <c r="B97" s="5" t="n">
        <v>0.915</v>
      </c>
      <c r="C97" s="5" t="n">
        <f aca="false">B97*VOFLB</f>
        <v>23.79</v>
      </c>
      <c r="D97" s="5" t="e">
        <f aca="false">C97*(ActR7+1000*Set_R9)/(ActR7+ActR8+Set_R9*1000)</f>
        <v>#N/A</v>
      </c>
      <c r="E97" s="90" t="e">
        <f aca="false">IF(C97*(1000*Set_R9+ActR7)/((1000*Set_R9+ActR7+ActR8)*(Set_Rs*Gain/2))&gt;B$25,B$25,C97*(1000*Set_R9+ActR7)/((1000*Set_R9+ActR7+ActR8)*(Set_Rs*Gain/2)))</f>
        <v>#N/A</v>
      </c>
      <c r="F97" s="90" t="e">
        <f aca="false">IF(D97&lt;0.2,0.2/(Set_Rs*Gain/2),E97)</f>
        <v>#N/A</v>
      </c>
      <c r="G97" s="5" t="e">
        <f aca="false">(C$60-C97)*F97</f>
        <v>#N/A</v>
      </c>
      <c r="H97" s="5" t="n">
        <v>1.015</v>
      </c>
      <c r="I97" s="5" t="n">
        <f aca="false">H97*VOFLB</f>
        <v>26.39</v>
      </c>
      <c r="J97" s="5" t="n">
        <f aca="false">I97*ActR9_sw/(ActR7_sw+ActR9_sw+Set_R8*1000)</f>
        <v>1.01663408463661</v>
      </c>
      <c r="K97" s="91" t="n">
        <f aca="false">IF(J97/(0.5*Set_Rs*Gain) &gt;B$25,B$25,J97/(0.5*Set_Rs*Gain))</f>
        <v>9.96677740863787</v>
      </c>
      <c r="L97" s="91" t="n">
        <f aca="false">IF(J97&lt;0.2,0.2/(0.5*Set_Rs*Gain),K97)</f>
        <v>9.96677740863787</v>
      </c>
      <c r="M97" s="5" t="n">
        <f aca="false">(I$60-I97)*L97</f>
        <v>47.9401993355482</v>
      </c>
      <c r="N97" s="5"/>
      <c r="O97" s="5"/>
      <c r="P97" s="5"/>
      <c r="Q97" s="5"/>
    </row>
    <row r="98" customFormat="false" ht="12.75" hidden="false" customHeight="false" outlineLevel="0" collapsed="false">
      <c r="A98" s="5"/>
      <c r="B98" s="5" t="n">
        <v>0.91</v>
      </c>
      <c r="C98" s="5" t="n">
        <f aca="false">B98*VOFLB</f>
        <v>23.66</v>
      </c>
      <c r="D98" s="5" t="e">
        <f aca="false">C98*(ActR7+1000*Set_R9)/(ActR7+ActR8+Set_R9*1000)</f>
        <v>#N/A</v>
      </c>
      <c r="E98" s="90" t="e">
        <f aca="false">IF(C98*(1000*Set_R9+ActR7)/((1000*Set_R9+ActR7+ActR8)*(Set_Rs*Gain/2))&gt;B$25,B$25,C98*(1000*Set_R9+ActR7)/((1000*Set_R9+ActR7+ActR8)*(Set_Rs*Gain/2)))</f>
        <v>#N/A</v>
      </c>
      <c r="F98" s="90" t="e">
        <f aca="false">IF(D98&lt;0.2,0.2/(Set_Rs*Gain/2),E98)</f>
        <v>#N/A</v>
      </c>
      <c r="G98" s="5" t="e">
        <f aca="false">(C$60-C98)*F98</f>
        <v>#N/A</v>
      </c>
      <c r="H98" s="5" t="n">
        <v>1.01</v>
      </c>
      <c r="I98" s="5" t="n">
        <f aca="false">H98*VOFLB</f>
        <v>26.26</v>
      </c>
      <c r="J98" s="5" t="n">
        <f aca="false">I98*ActR9_sw/(ActR7_sw+ActR9_sw+Set_R8*1000)</f>
        <v>1.0116260349586</v>
      </c>
      <c r="K98" s="91" t="n">
        <f aca="false">IF(J98/(0.5*Set_Rs*Gain) &gt;B$25,B$25,J98/(0.5*Set_Rs*Gain))</f>
        <v>9.96677740863787</v>
      </c>
      <c r="L98" s="91" t="n">
        <f aca="false">IF(J98&lt;0.2,0.2/(0.5*Set_Rs*Gain),K98)</f>
        <v>9.96677740863787</v>
      </c>
      <c r="M98" s="5" t="n">
        <f aca="false">(I$60-I98)*L98</f>
        <v>49.2358803986711</v>
      </c>
      <c r="N98" s="5"/>
      <c r="O98" s="5"/>
      <c r="P98" s="5"/>
      <c r="Q98" s="5"/>
    </row>
    <row r="99" customFormat="false" ht="12.75" hidden="false" customHeight="false" outlineLevel="0" collapsed="false">
      <c r="A99" s="5"/>
      <c r="B99" s="5" t="n">
        <v>0.905</v>
      </c>
      <c r="C99" s="5" t="n">
        <f aca="false">B99*VOFLB</f>
        <v>23.53</v>
      </c>
      <c r="D99" s="5" t="e">
        <f aca="false">C99*(ActR7+1000*Set_R9)/(ActR7+ActR8+Set_R9*1000)</f>
        <v>#N/A</v>
      </c>
      <c r="E99" s="90" t="e">
        <f aca="false">IF(C99*(1000*Set_R9+ActR7)/((1000*Set_R9+ActR7+ActR8)*(Set_Rs*Gain/2))&gt;B$25,B$25,C99*(1000*Set_R9+ActR7)/((1000*Set_R9+ActR7+ActR8)*(Set_Rs*Gain/2)))</f>
        <v>#N/A</v>
      </c>
      <c r="F99" s="90" t="e">
        <f aca="false">IF(D99&lt;0.2,0.2/(Set_Rs*Gain/2),E99)</f>
        <v>#N/A</v>
      </c>
      <c r="G99" s="5" t="e">
        <f aca="false">(C$60-C99)*F99</f>
        <v>#N/A</v>
      </c>
      <c r="H99" s="5" t="n">
        <v>1.005</v>
      </c>
      <c r="I99" s="5" t="n">
        <f aca="false">H99*VOFLB</f>
        <v>26.13</v>
      </c>
      <c r="J99" s="5" t="n">
        <f aca="false">I99*ActR9_sw/(ActR7_sw+ActR9_sw+Set_R8*1000)</f>
        <v>1.00661798528059</v>
      </c>
      <c r="K99" s="91" t="n">
        <f aca="false">IF(J99/(0.5*Set_Rs*Gain) &gt;B$25,B$25,J99/(0.5*Set_Rs*Gain))</f>
        <v>9.96677740863787</v>
      </c>
      <c r="L99" s="91" t="n">
        <f aca="false">IF(J99&lt;0.2,0.2/(0.5*Set_Rs*Gain),K99)</f>
        <v>9.96677740863787</v>
      </c>
      <c r="M99" s="5" t="n">
        <f aca="false">(I$60-I99)*L99</f>
        <v>50.531561461794</v>
      </c>
      <c r="N99" s="5"/>
      <c r="O99" s="5"/>
      <c r="P99" s="5"/>
      <c r="Q99" s="5"/>
    </row>
    <row r="100" customFormat="false" ht="12.75" hidden="false" customHeight="false" outlineLevel="0" collapsed="false">
      <c r="A100" s="5"/>
      <c r="B100" s="5" t="n">
        <v>0.9</v>
      </c>
      <c r="C100" s="5" t="n">
        <f aca="false">B100*VOFLB</f>
        <v>23.4</v>
      </c>
      <c r="D100" s="5" t="e">
        <f aca="false">C100*(ActR7+1000*Set_R9)/(ActR7+ActR8+Set_R9*1000)</f>
        <v>#N/A</v>
      </c>
      <c r="E100" s="90" t="e">
        <f aca="false">IF(C100*(1000*Set_R9+ActR7)/((1000*Set_R9+ActR7+ActR8)*(Set_Rs*Gain/2))&gt;B$25,B$25,C100*(1000*Set_R9+ActR7)/((1000*Set_R9+ActR7+ActR8)*(Set_Rs*Gain/2)))</f>
        <v>#N/A</v>
      </c>
      <c r="F100" s="90" t="e">
        <f aca="false">IF(D100&lt;0.2,0.2/(Set_Rs*Gain/2),E100)</f>
        <v>#N/A</v>
      </c>
      <c r="G100" s="5" t="e">
        <f aca="false">(C$60-C100)*F100</f>
        <v>#N/A</v>
      </c>
      <c r="H100" s="5" t="n">
        <v>1</v>
      </c>
      <c r="I100" s="5" t="n">
        <f aca="false">H100*VOFLB</f>
        <v>26</v>
      </c>
      <c r="J100" s="5" t="n">
        <f aca="false">I100*ActR9_sw/(ActR7_sw+ActR9_sw+Set_R8*1000)</f>
        <v>1.00160993560258</v>
      </c>
      <c r="K100" s="91" t="n">
        <f aca="false">IF(J100/(0.5*Set_Rs*Gain) &gt;B$25,B$25,J100/(0.5*Set_Rs*Gain))</f>
        <v>9.96677740863787</v>
      </c>
      <c r="L100" s="91" t="n">
        <f aca="false">IF(J100&lt;0.2,0.2/(0.5*Set_Rs*Gain),K100)</f>
        <v>9.96677740863787</v>
      </c>
      <c r="M100" s="5" t="n">
        <f aca="false">(I$60-I100)*L100</f>
        <v>51.8272425249169</v>
      </c>
      <c r="N100" s="5"/>
      <c r="O100" s="5"/>
      <c r="P100" s="5"/>
      <c r="Q100" s="5"/>
    </row>
    <row r="101" customFormat="false" ht="12.75" hidden="false" customHeight="false" outlineLevel="0" collapsed="false">
      <c r="A101" s="5"/>
      <c r="B101" s="5" t="n">
        <v>0.895</v>
      </c>
      <c r="C101" s="5" t="n">
        <f aca="false">B101*VOFLB</f>
        <v>23.27</v>
      </c>
      <c r="D101" s="5" t="e">
        <f aca="false">C101*(ActR7+1000*Set_R9)/(ActR7+ActR8+Set_R9*1000)</f>
        <v>#N/A</v>
      </c>
      <c r="E101" s="90" t="e">
        <f aca="false">IF(C101*(1000*Set_R9+ActR7)/((1000*Set_R9+ActR7+ActR8)*(Set_Rs*Gain/2))&gt;B$25,B$25,C101*(1000*Set_R9+ActR7)/((1000*Set_R9+ActR7+ActR8)*(Set_Rs*Gain/2)))</f>
        <v>#N/A</v>
      </c>
      <c r="F101" s="90" t="e">
        <f aca="false">IF(D101&lt;0.2,0.2/(Set_Rs*Gain/2),E101)</f>
        <v>#N/A</v>
      </c>
      <c r="G101" s="5" t="e">
        <f aca="false">(C$60-C101)*F101</f>
        <v>#N/A</v>
      </c>
      <c r="H101" s="5" t="n">
        <v>0.995000000000004</v>
      </c>
      <c r="I101" s="5" t="n">
        <f aca="false">H101*VOFLB</f>
        <v>25.8700000000001</v>
      </c>
      <c r="J101" s="5" t="n">
        <f aca="false">I101*ActR9_sw/(ActR7_sw+ActR9_sw+Set_R8*1000)</f>
        <v>0.996601885924567</v>
      </c>
      <c r="K101" s="91" t="n">
        <f aca="false">IF(J101/(0.5*Set_Rs*Gain) &gt;B$25,B$25,J101/(0.5*Set_Rs*Gain))</f>
        <v>9.96601885924567</v>
      </c>
      <c r="L101" s="91" t="n">
        <f aca="false">IF(J101&lt;0.2,0.2/(0.5*Set_Rs*Gain),K101)</f>
        <v>9.96601885924567</v>
      </c>
      <c r="M101" s="5" t="n">
        <f aca="false">(I$60-I101)*L101</f>
        <v>53.1188805197784</v>
      </c>
      <c r="N101" s="5"/>
      <c r="O101" s="5"/>
      <c r="P101" s="5"/>
      <c r="Q101" s="5"/>
    </row>
    <row r="102" customFormat="false" ht="12.75" hidden="false" customHeight="false" outlineLevel="0" collapsed="false">
      <c r="A102" s="5"/>
      <c r="B102" s="5" t="n">
        <v>0.89</v>
      </c>
      <c r="C102" s="5" t="n">
        <f aca="false">B102*VOFLB</f>
        <v>23.14</v>
      </c>
      <c r="D102" s="5" t="e">
        <f aca="false">C102*(ActR7+1000*Set_R9)/(ActR7+ActR8+Set_R9*1000)</f>
        <v>#N/A</v>
      </c>
      <c r="E102" s="90" t="e">
        <f aca="false">IF(C102*(1000*Set_R9+ActR7)/((1000*Set_R9+ActR7+ActR8)*(Set_Rs*Gain/2))&gt;B$25,B$25,C102*(1000*Set_R9+ActR7)/((1000*Set_R9+ActR7+ActR8)*(Set_Rs*Gain/2)))</f>
        <v>#N/A</v>
      </c>
      <c r="F102" s="90" t="e">
        <f aca="false">IF(D102&lt;0.2,0.2/(Set_Rs*Gain/2),E102)</f>
        <v>#N/A</v>
      </c>
      <c r="G102" s="5" t="e">
        <f aca="false">(C$60-C102)*F102</f>
        <v>#N/A</v>
      </c>
      <c r="H102" s="5" t="n">
        <v>0.990000000000004</v>
      </c>
      <c r="I102" s="5" t="n">
        <f aca="false">H102*VOFLB</f>
        <v>25.7400000000001</v>
      </c>
      <c r="J102" s="5" t="n">
        <f aca="false">I102*ActR9_sw/(ActR7_sw+ActR9_sw+Set_R8*1000)</f>
        <v>0.991593836246554</v>
      </c>
      <c r="K102" s="91" t="n">
        <f aca="false">IF(J102/(0.5*Set_Rs*Gain) &gt;B$25,B$25,J102/(0.5*Set_Rs*Gain))</f>
        <v>9.91593836246554</v>
      </c>
      <c r="L102" s="91" t="n">
        <f aca="false">IF(J102&lt;0.2,0.2/(0.5*Set_Rs*Gain),K102)</f>
        <v>9.91593836246554</v>
      </c>
      <c r="M102" s="5" t="n">
        <f aca="false">(I$60-I102)*L102</f>
        <v>54.1410234590608</v>
      </c>
      <c r="N102" s="5"/>
      <c r="O102" s="5"/>
      <c r="P102" s="5"/>
      <c r="Q102" s="5"/>
    </row>
    <row r="103" customFormat="false" ht="12.75" hidden="false" customHeight="false" outlineLevel="0" collapsed="false">
      <c r="A103" s="5"/>
      <c r="B103" s="5" t="n">
        <v>0.885</v>
      </c>
      <c r="C103" s="5" t="n">
        <f aca="false">B103*VOFLB</f>
        <v>23.01</v>
      </c>
      <c r="D103" s="5" t="e">
        <f aca="false">C103*(ActR7+1000*Set_R9)/(ActR7+ActR8+Set_R9*1000)</f>
        <v>#N/A</v>
      </c>
      <c r="E103" s="90" t="e">
        <f aca="false">IF(C103*(1000*Set_R9+ActR7)/((1000*Set_R9+ActR7+ActR8)*(Set_Rs*Gain/2))&gt;B$25,B$25,C103*(1000*Set_R9+ActR7)/((1000*Set_R9+ActR7+ActR8)*(Set_Rs*Gain/2)))</f>
        <v>#N/A</v>
      </c>
      <c r="F103" s="90" t="e">
        <f aca="false">IF(D103&lt;0.2,0.2/(Set_Rs*Gain/2),E103)</f>
        <v>#N/A</v>
      </c>
      <c r="G103" s="5" t="e">
        <f aca="false">(C$60-C103)*F103</f>
        <v>#N/A</v>
      </c>
      <c r="H103" s="5" t="n">
        <v>0.985000000000005</v>
      </c>
      <c r="I103" s="5" t="n">
        <f aca="false">H103*VOFLB</f>
        <v>25.6100000000001</v>
      </c>
      <c r="J103" s="5" t="n">
        <f aca="false">I103*ActR9_sw/(ActR7_sw+ActR9_sw+Set_R8*1000)</f>
        <v>0.986585786568541</v>
      </c>
      <c r="K103" s="91" t="n">
        <f aca="false">IF(J103/(0.5*Set_Rs*Gain) &gt;B$25,B$25,J103/(0.5*Set_Rs*Gain))</f>
        <v>9.86585786568541</v>
      </c>
      <c r="L103" s="91" t="n">
        <f aca="false">IF(J103&lt;0.2,0.2/(0.5*Set_Rs*Gain),K103)</f>
        <v>9.86585786568541</v>
      </c>
      <c r="M103" s="5" t="n">
        <f aca="false">(I$60-I103)*L103</f>
        <v>55.1501454691805</v>
      </c>
      <c r="N103" s="5"/>
      <c r="O103" s="5"/>
      <c r="P103" s="5"/>
      <c r="Q103" s="5"/>
    </row>
    <row r="104" customFormat="false" ht="12.75" hidden="false" customHeight="false" outlineLevel="0" collapsed="false">
      <c r="A104" s="5"/>
      <c r="B104" s="5" t="n">
        <v>0.88</v>
      </c>
      <c r="C104" s="5" t="n">
        <f aca="false">B104*VOFLB</f>
        <v>22.88</v>
      </c>
      <c r="D104" s="5" t="e">
        <f aca="false">C104*(ActR7+1000*Set_R9)/(ActR7+ActR8+Set_R9*1000)</f>
        <v>#N/A</v>
      </c>
      <c r="E104" s="90" t="e">
        <f aca="false">IF(C104*(1000*Set_R9+ActR7)/((1000*Set_R9+ActR7+ActR8)*(Set_Rs*Gain/2))&gt;B$25,B$25,C104*(1000*Set_R9+ActR7)/((1000*Set_R9+ActR7+ActR8)*(Set_Rs*Gain/2)))</f>
        <v>#N/A</v>
      </c>
      <c r="F104" s="90" t="e">
        <f aca="false">IF(D104&lt;0.2,0.2/(Set_Rs*Gain/2),E104)</f>
        <v>#N/A</v>
      </c>
      <c r="G104" s="5" t="e">
        <f aca="false">(C$60-C104)*F104</f>
        <v>#N/A</v>
      </c>
      <c r="H104" s="5" t="n">
        <v>0.980000000000005</v>
      </c>
      <c r="I104" s="5" t="n">
        <f aca="false">H104*VOFLB</f>
        <v>25.4800000000001</v>
      </c>
      <c r="J104" s="5" t="n">
        <f aca="false">I104*ActR9_sw/(ActR7_sw+ActR9_sw+Set_R8*1000)</f>
        <v>0.981577736890528</v>
      </c>
      <c r="K104" s="91" t="n">
        <f aca="false">IF(J104/(0.5*Set_Rs*Gain) &gt;B$25,B$25,J104/(0.5*Set_Rs*Gain))</f>
        <v>9.81577736890528</v>
      </c>
      <c r="L104" s="91" t="n">
        <f aca="false">IF(J104&lt;0.2,0.2/(0.5*Set_Rs*Gain),K104)</f>
        <v>9.81577736890528</v>
      </c>
      <c r="M104" s="5" t="n">
        <f aca="false">(I$60-I104)*L104</f>
        <v>56.1462465501372</v>
      </c>
      <c r="N104" s="5"/>
      <c r="O104" s="5"/>
      <c r="P104" s="5"/>
      <c r="Q104" s="5"/>
    </row>
    <row r="105" customFormat="false" ht="12.75" hidden="false" customHeight="false" outlineLevel="0" collapsed="false">
      <c r="A105" s="5"/>
      <c r="B105" s="5" t="n">
        <v>0.875</v>
      </c>
      <c r="C105" s="5" t="n">
        <f aca="false">B105*VOFLB</f>
        <v>22.75</v>
      </c>
      <c r="D105" s="5" t="e">
        <f aca="false">C105*(ActR7+1000*Set_R9)/(ActR7+ActR8+Set_R9*1000)</f>
        <v>#N/A</v>
      </c>
      <c r="E105" s="90" t="e">
        <f aca="false">IF(C105*(1000*Set_R9+ActR7)/((1000*Set_R9+ActR7+ActR8)*(Set_Rs*Gain/2))&gt;B$25,B$25,C105*(1000*Set_R9+ActR7)/((1000*Set_R9+ActR7+ActR8)*(Set_Rs*Gain/2)))</f>
        <v>#N/A</v>
      </c>
      <c r="F105" s="90" t="e">
        <f aca="false">IF(D105&lt;0.2,0.2/(Set_Rs*Gain/2),E105)</f>
        <v>#N/A</v>
      </c>
      <c r="G105" s="5" t="e">
        <f aca="false">(C$60-C105)*F105</f>
        <v>#N/A</v>
      </c>
      <c r="H105" s="5" t="n">
        <v>0.975000000000005</v>
      </c>
      <c r="I105" s="5" t="n">
        <f aca="false">H105*VOFLB</f>
        <v>25.3500000000001</v>
      </c>
      <c r="J105" s="5" t="n">
        <f aca="false">I105*ActR9_sw/(ActR7_sw+ActR9_sw+Set_R8*1000)</f>
        <v>0.976569687212515</v>
      </c>
      <c r="K105" s="91" t="n">
        <f aca="false">IF(J105/(0.5*Set_Rs*Gain) &gt;B$25,B$25,J105/(0.5*Set_Rs*Gain))</f>
        <v>9.76569687212515</v>
      </c>
      <c r="L105" s="91" t="n">
        <f aca="false">IF(J105&lt;0.2,0.2/(0.5*Set_Rs*Gain),K105)</f>
        <v>9.76569687212515</v>
      </c>
      <c r="M105" s="5" t="n">
        <f aca="false">(I$60-I105)*L105</f>
        <v>57.1293267019312</v>
      </c>
      <c r="N105" s="5"/>
      <c r="O105" s="5"/>
      <c r="P105" s="5"/>
      <c r="Q105" s="5"/>
    </row>
    <row r="106" customFormat="false" ht="12.75" hidden="false" customHeight="false" outlineLevel="0" collapsed="false">
      <c r="A106" s="5"/>
      <c r="B106" s="5" t="n">
        <v>0.87</v>
      </c>
      <c r="C106" s="5" t="n">
        <f aca="false">B106*VOFLB</f>
        <v>22.62</v>
      </c>
      <c r="D106" s="5" t="e">
        <f aca="false">C106*(ActR7+1000*Set_R9)/(ActR7+ActR8+Set_R9*1000)</f>
        <v>#N/A</v>
      </c>
      <c r="E106" s="90" t="e">
        <f aca="false">IF(C106*(1000*Set_R9+ActR7)/((1000*Set_R9+ActR7+ActR8)*(Set_Rs*Gain/2))&gt;B$25,B$25,C106*(1000*Set_R9+ActR7)/((1000*Set_R9+ActR7+ActR8)*(Set_Rs*Gain/2)))</f>
        <v>#N/A</v>
      </c>
      <c r="F106" s="90" t="e">
        <f aca="false">IF(D106&lt;0.2,0.2/(Set_Rs*Gain/2),E106)</f>
        <v>#N/A</v>
      </c>
      <c r="G106" s="5" t="e">
        <f aca="false">(C$60-C106)*F106</f>
        <v>#N/A</v>
      </c>
      <c r="H106" s="5" t="n">
        <v>0.970000000000005</v>
      </c>
      <c r="I106" s="5" t="n">
        <f aca="false">H106*VOFLB</f>
        <v>25.2200000000001</v>
      </c>
      <c r="J106" s="5" t="n">
        <f aca="false">I106*ActR9_sw/(ActR7_sw+ActR9_sw+Set_R8*1000)</f>
        <v>0.971561637534502</v>
      </c>
      <c r="K106" s="91" t="n">
        <f aca="false">IF(J106/(0.5*Set_Rs*Gain) &gt;B$25,B$25,J106/(0.5*Set_Rs*Gain))</f>
        <v>9.71561637534502</v>
      </c>
      <c r="L106" s="91" t="n">
        <f aca="false">IF(J106&lt;0.2,0.2/(0.5*Set_Rs*Gain),K106)</f>
        <v>9.71561637534502</v>
      </c>
      <c r="M106" s="5" t="n">
        <f aca="false">(I$60-I106)*L106</f>
        <v>58.0993859245623</v>
      </c>
      <c r="N106" s="5"/>
      <c r="O106" s="5"/>
      <c r="P106" s="5"/>
      <c r="Q106" s="5"/>
    </row>
    <row r="107" customFormat="false" ht="12.75" hidden="false" customHeight="false" outlineLevel="0" collapsed="false">
      <c r="A107" s="5"/>
      <c r="B107" s="5" t="n">
        <v>0.865</v>
      </c>
      <c r="C107" s="5" t="n">
        <f aca="false">B107*VOFLB</f>
        <v>22.49</v>
      </c>
      <c r="D107" s="5" t="e">
        <f aca="false">C107*(ActR7+1000*Set_R9)/(ActR7+ActR8+Set_R9*1000)</f>
        <v>#N/A</v>
      </c>
      <c r="E107" s="90" t="e">
        <f aca="false">IF(C107*(1000*Set_R9+ActR7)/((1000*Set_R9+ActR7+ActR8)*(Set_Rs*Gain/2))&gt;B$25,B$25,C107*(1000*Set_R9+ActR7)/((1000*Set_R9+ActR7+ActR8)*(Set_Rs*Gain/2)))</f>
        <v>#N/A</v>
      </c>
      <c r="F107" s="90" t="e">
        <f aca="false">IF(D107&lt;0.2,0.2/(Set_Rs*Gain/2),E107)</f>
        <v>#N/A</v>
      </c>
      <c r="G107" s="5" t="e">
        <f aca="false">(C$60-C107)*F107</f>
        <v>#N/A</v>
      </c>
      <c r="H107" s="5" t="n">
        <v>0.965000000000005</v>
      </c>
      <c r="I107" s="5" t="n">
        <f aca="false">H107*VOFLB</f>
        <v>25.0900000000001</v>
      </c>
      <c r="J107" s="5" t="n">
        <f aca="false">I107*ActR9_sw/(ActR7_sw+ActR9_sw+Set_R8*1000)</f>
        <v>0.96655358785649</v>
      </c>
      <c r="K107" s="91" t="n">
        <f aca="false">IF(J107/(0.5*Set_Rs*Gain) &gt;B$25,B$25,J107/(0.5*Set_Rs*Gain))</f>
        <v>9.66553587856489</v>
      </c>
      <c r="L107" s="91" t="n">
        <f aca="false">IF(J107&lt;0.2,0.2/(0.5*Set_Rs*Gain),K107)</f>
        <v>9.66553587856489</v>
      </c>
      <c r="M107" s="5" t="n">
        <f aca="false">(I$60-I107)*L107</f>
        <v>59.0564242180305</v>
      </c>
      <c r="N107" s="5"/>
      <c r="O107" s="5"/>
      <c r="P107" s="5"/>
      <c r="Q107" s="5"/>
    </row>
    <row r="108" customFormat="false" ht="12.75" hidden="false" customHeight="false" outlineLevel="0" collapsed="false">
      <c r="A108" s="5"/>
      <c r="B108" s="5" t="n">
        <v>0.86</v>
      </c>
      <c r="C108" s="5" t="n">
        <f aca="false">B108*VOFLB</f>
        <v>22.36</v>
      </c>
      <c r="D108" s="5" t="e">
        <f aca="false">C108*(ActR7+1000*Set_R9)/(ActR7+ActR8+Set_R9*1000)</f>
        <v>#N/A</v>
      </c>
      <c r="E108" s="90" t="e">
        <f aca="false">IF(C108*(1000*Set_R9+ActR7)/((1000*Set_R9+ActR7+ActR8)*(Set_Rs*Gain/2))&gt;B$25,B$25,C108*(1000*Set_R9+ActR7)/((1000*Set_R9+ActR7+ActR8)*(Set_Rs*Gain/2)))</f>
        <v>#N/A</v>
      </c>
      <c r="F108" s="90" t="e">
        <f aca="false">IF(D108&lt;0.2,0.2/(Set_Rs*Gain/2),E108)</f>
        <v>#N/A</v>
      </c>
      <c r="G108" s="5" t="e">
        <f aca="false">(C$60-C108)*F108</f>
        <v>#N/A</v>
      </c>
      <c r="H108" s="5" t="n">
        <v>0.960000000000005</v>
      </c>
      <c r="I108" s="5" t="n">
        <f aca="false">H108*VOFLB</f>
        <v>24.9600000000001</v>
      </c>
      <c r="J108" s="5" t="n">
        <f aca="false">I108*ActR9_sw/(ActR7_sw+ActR9_sw+Set_R8*1000)</f>
        <v>0.961545538178477</v>
      </c>
      <c r="K108" s="91" t="n">
        <f aca="false">IF(J108/(0.5*Set_Rs*Gain) &gt;B$25,B$25,J108/(0.5*Set_Rs*Gain))</f>
        <v>9.61545538178477</v>
      </c>
      <c r="L108" s="91" t="n">
        <f aca="false">IF(J108&lt;0.2,0.2/(0.5*Set_Rs*Gain),K108)</f>
        <v>9.61545538178477</v>
      </c>
      <c r="M108" s="5" t="n">
        <f aca="false">(I$60-I108)*L108</f>
        <v>60.000441582336</v>
      </c>
      <c r="N108" s="5"/>
      <c r="O108" s="5"/>
      <c r="P108" s="5"/>
      <c r="Q108" s="5"/>
    </row>
    <row r="109" customFormat="false" ht="12.75" hidden="false" customHeight="false" outlineLevel="0" collapsed="false">
      <c r="A109" s="5"/>
      <c r="B109" s="5" t="n">
        <v>0.855</v>
      </c>
      <c r="C109" s="5" t="n">
        <f aca="false">B109*VOFLB</f>
        <v>22.23</v>
      </c>
      <c r="D109" s="5" t="e">
        <f aca="false">C109*(ActR7+1000*Set_R9)/(ActR7+ActR8+Set_R9*1000)</f>
        <v>#N/A</v>
      </c>
      <c r="E109" s="90" t="e">
        <f aca="false">IF(C109*(1000*Set_R9+ActR7)/((1000*Set_R9+ActR7+ActR8)*(Set_Rs*Gain/2))&gt;B$25,B$25,C109*(1000*Set_R9+ActR7)/((1000*Set_R9+ActR7+ActR8)*(Set_Rs*Gain/2)))</f>
        <v>#N/A</v>
      </c>
      <c r="F109" s="90" t="e">
        <f aca="false">IF(D109&lt;0.2,0.2/(Set_Rs*Gain/2),E109)</f>
        <v>#N/A</v>
      </c>
      <c r="G109" s="5" t="e">
        <f aca="false">(C$60-C109)*F109</f>
        <v>#N/A</v>
      </c>
      <c r="H109" s="5" t="n">
        <v>0.955000000000005</v>
      </c>
      <c r="I109" s="5" t="n">
        <f aca="false">H109*VOFLB</f>
        <v>24.8300000000001</v>
      </c>
      <c r="J109" s="5" t="n">
        <f aca="false">I109*ActR9_sw/(ActR7_sw+ActR9_sw+Set_R8*1000)</f>
        <v>0.956537488500464</v>
      </c>
      <c r="K109" s="91" t="n">
        <f aca="false">IF(J109/(0.5*Set_Rs*Gain) &gt;B$25,B$25,J109/(0.5*Set_Rs*Gain))</f>
        <v>9.56537488500464</v>
      </c>
      <c r="L109" s="91" t="n">
        <f aca="false">IF(J109&lt;0.2,0.2/(0.5*Set_Rs*Gain),K109)</f>
        <v>9.56537488500464</v>
      </c>
      <c r="M109" s="5" t="n">
        <f aca="false">(I$60-I109)*L109</f>
        <v>60.9314380174786</v>
      </c>
      <c r="N109" s="5"/>
      <c r="O109" s="5"/>
      <c r="P109" s="5"/>
      <c r="Q109" s="5"/>
    </row>
    <row r="110" customFormat="false" ht="12.75" hidden="false" customHeight="false" outlineLevel="0" collapsed="false">
      <c r="A110" s="5"/>
      <c r="B110" s="5" t="n">
        <v>0.85</v>
      </c>
      <c r="C110" s="5" t="n">
        <f aca="false">B110*VOFLB</f>
        <v>22.1</v>
      </c>
      <c r="D110" s="5" t="e">
        <f aca="false">C110*(ActR7+1000*Set_R9)/(ActR7+ActR8+Set_R9*1000)</f>
        <v>#N/A</v>
      </c>
      <c r="E110" s="90" t="e">
        <f aca="false">IF(C110*(1000*Set_R9+ActR7)/((1000*Set_R9+ActR7+ActR8)*(Set_Rs*Gain/2))&gt;B$25,B$25,C110*(1000*Set_R9+ActR7)/((1000*Set_R9+ActR7+ActR8)*(Set_Rs*Gain/2)))</f>
        <v>#N/A</v>
      </c>
      <c r="F110" s="90" t="e">
        <f aca="false">IF(D110&lt;0.2,0.2/(Set_Rs*Gain/2),E110)</f>
        <v>#N/A</v>
      </c>
      <c r="G110" s="5" t="e">
        <f aca="false">(C$60-C110)*F110</f>
        <v>#N/A</v>
      </c>
      <c r="H110" s="5" t="n">
        <v>0.950000000000005</v>
      </c>
      <c r="I110" s="5" t="n">
        <f aca="false">H110*VOFLB</f>
        <v>24.7000000000001</v>
      </c>
      <c r="J110" s="5" t="n">
        <f aca="false">I110*ActR9_sw/(ActR7_sw+ActR9_sw+Set_R8*1000)</f>
        <v>0.951529438822451</v>
      </c>
      <c r="K110" s="91" t="n">
        <f aca="false">IF(J110/(0.5*Set_Rs*Gain) &gt;B$25,B$25,J110/(0.5*Set_Rs*Gain))</f>
        <v>9.51529438822451</v>
      </c>
      <c r="L110" s="91" t="n">
        <f aca="false">IF(J110&lt;0.2,0.2/(0.5*Set_Rs*Gain),K110)</f>
        <v>9.51529438822451</v>
      </c>
      <c r="M110" s="5" t="n">
        <f aca="false">(I$60-I110)*L110</f>
        <v>61.8494135234584</v>
      </c>
      <c r="N110" s="5"/>
      <c r="O110" s="5"/>
      <c r="P110" s="5"/>
      <c r="Q110" s="5"/>
    </row>
    <row r="111" customFormat="false" ht="12.75" hidden="false" customHeight="false" outlineLevel="0" collapsed="false">
      <c r="A111" s="5"/>
      <c r="B111" s="5" t="n">
        <v>0.845</v>
      </c>
      <c r="C111" s="5" t="n">
        <f aca="false">B111*VOFLB</f>
        <v>21.97</v>
      </c>
      <c r="D111" s="5" t="e">
        <f aca="false">C111*(ActR7+1000*Set_R9)/(ActR7+ActR8+Set_R9*1000)</f>
        <v>#N/A</v>
      </c>
      <c r="E111" s="90" t="e">
        <f aca="false">IF(C111*(1000*Set_R9+ActR7)/((1000*Set_R9+ActR7+ActR8)*(Set_Rs*Gain/2))&gt;B$25,B$25,C111*(1000*Set_R9+ActR7)/((1000*Set_R9+ActR7+ActR8)*(Set_Rs*Gain/2)))</f>
        <v>#N/A</v>
      </c>
      <c r="F111" s="90" t="e">
        <f aca="false">IF(D111&lt;0.2,0.2/(Set_Rs*Gain/2),E111)</f>
        <v>#N/A</v>
      </c>
      <c r="G111" s="5" t="e">
        <f aca="false">(C$60-C111)*F111</f>
        <v>#N/A</v>
      </c>
      <c r="H111" s="5" t="n">
        <v>0.945000000000005</v>
      </c>
      <c r="I111" s="5" t="n">
        <f aca="false">H111*VOFLB</f>
        <v>24.5700000000001</v>
      </c>
      <c r="J111" s="5" t="n">
        <f aca="false">I111*ActR9_sw/(ActR7_sw+ActR9_sw+Set_R8*1000)</f>
        <v>0.946521389144438</v>
      </c>
      <c r="K111" s="91" t="n">
        <f aca="false">IF(J111/(0.5*Set_Rs*Gain) &gt;B$25,B$25,J111/(0.5*Set_Rs*Gain))</f>
        <v>9.46521389144438</v>
      </c>
      <c r="L111" s="91" t="n">
        <f aca="false">IF(J111&lt;0.2,0.2/(0.5*Set_Rs*Gain),K111)</f>
        <v>9.46521389144438</v>
      </c>
      <c r="M111" s="5" t="n">
        <f aca="false">(I$60-I111)*L111</f>
        <v>62.7543681002753</v>
      </c>
      <c r="N111" s="5"/>
      <c r="O111" s="5"/>
      <c r="P111" s="5"/>
      <c r="Q111" s="5"/>
    </row>
    <row r="112" customFormat="false" ht="12.75" hidden="false" customHeight="false" outlineLevel="0" collapsed="false">
      <c r="A112" s="5"/>
      <c r="B112" s="5" t="n">
        <v>0.84</v>
      </c>
      <c r="C112" s="5" t="n">
        <f aca="false">B112*VOFLB</f>
        <v>21.84</v>
      </c>
      <c r="D112" s="5" t="e">
        <f aca="false">C112*(ActR7+1000*Set_R9)/(ActR7+ActR8+Set_R9*1000)</f>
        <v>#N/A</v>
      </c>
      <c r="E112" s="90" t="e">
        <f aca="false">IF(C112*(1000*Set_R9+ActR7)/((1000*Set_R9+ActR7+ActR8)*(Set_Rs*Gain/2))&gt;B$25,B$25,C112*(1000*Set_R9+ActR7)/((1000*Set_R9+ActR7+ActR8)*(Set_Rs*Gain/2)))</f>
        <v>#N/A</v>
      </c>
      <c r="F112" s="90" t="e">
        <f aca="false">IF(D112&lt;0.2,0.2/(Set_Rs*Gain/2),E112)</f>
        <v>#N/A</v>
      </c>
      <c r="G112" s="5" t="e">
        <f aca="false">(C$60-C112)*F112</f>
        <v>#N/A</v>
      </c>
      <c r="H112" s="5" t="n">
        <v>0.940000000000006</v>
      </c>
      <c r="I112" s="5" t="n">
        <f aca="false">H112*VOFLB</f>
        <v>24.4400000000002</v>
      </c>
      <c r="J112" s="5" t="n">
        <f aca="false">I112*ActR9_sw/(ActR7_sw+ActR9_sw+Set_R8*1000)</f>
        <v>0.941513339466429</v>
      </c>
      <c r="K112" s="91" t="n">
        <f aca="false">IF(J112/(0.5*Set_Rs*Gain) &gt;B$25,B$25,J112/(0.5*Set_Rs*Gain))</f>
        <v>9.41513339466429</v>
      </c>
      <c r="L112" s="91" t="n">
        <f aca="false">IF(J112&lt;0.2,0.2/(0.5*Set_Rs*Gain),K112)</f>
        <v>9.41513339466429</v>
      </c>
      <c r="M112" s="5" t="n">
        <f aca="false">(I$60-I112)*L112</f>
        <v>63.6463017479287</v>
      </c>
      <c r="N112" s="5"/>
      <c r="O112" s="5"/>
      <c r="P112" s="5"/>
      <c r="Q112" s="5"/>
    </row>
    <row r="113" customFormat="false" ht="12.75" hidden="false" customHeight="false" outlineLevel="0" collapsed="false">
      <c r="A113" s="5"/>
      <c r="B113" s="5" t="n">
        <v>0.835</v>
      </c>
      <c r="C113" s="5" t="n">
        <f aca="false">B113*VOFLB</f>
        <v>21.71</v>
      </c>
      <c r="D113" s="5" t="e">
        <f aca="false">C113*(ActR7+1000*Set_R9)/(ActR7+ActR8+Set_R9*1000)</f>
        <v>#N/A</v>
      </c>
      <c r="E113" s="90" t="e">
        <f aca="false">IF(C113*(1000*Set_R9+ActR7)/((1000*Set_R9+ActR7+ActR8)*(Set_Rs*Gain/2))&gt;B$25,B$25,C113*(1000*Set_R9+ActR7)/((1000*Set_R9+ActR7+ActR8)*(Set_Rs*Gain/2)))</f>
        <v>#N/A</v>
      </c>
      <c r="F113" s="90" t="e">
        <f aca="false">IF(D113&lt;0.2,0.2/(Set_Rs*Gain/2),E113)</f>
        <v>#N/A</v>
      </c>
      <c r="G113" s="5" t="e">
        <f aca="false">(C$60-C113)*F113</f>
        <v>#N/A</v>
      </c>
      <c r="H113" s="5" t="n">
        <v>0.935000000000006</v>
      </c>
      <c r="I113" s="5" t="n">
        <f aca="false">H113*VOFLB</f>
        <v>24.3100000000002</v>
      </c>
      <c r="J113" s="5" t="n">
        <f aca="false">I113*ActR9_sw/(ActR7_sw+ActR9_sw+Set_R8*1000)</f>
        <v>0.936505289788416</v>
      </c>
      <c r="K113" s="91" t="n">
        <f aca="false">IF(J113/(0.5*Set_Rs*Gain) &gt;B$25,B$25,J113/(0.5*Set_Rs*Gain))</f>
        <v>9.36505289788416</v>
      </c>
      <c r="L113" s="91" t="n">
        <f aca="false">IF(J113&lt;0.2,0.2/(0.5*Set_Rs*Gain),K113)</f>
        <v>9.36505289788416</v>
      </c>
      <c r="M113" s="5" t="n">
        <f aca="false">(I$60-I113)*L113</f>
        <v>64.52521446642</v>
      </c>
      <c r="N113" s="5"/>
      <c r="O113" s="5"/>
      <c r="P113" s="5"/>
      <c r="Q113" s="5"/>
    </row>
    <row r="114" customFormat="false" ht="12.75" hidden="false" customHeight="false" outlineLevel="0" collapsed="false">
      <c r="A114" s="5"/>
      <c r="B114" s="5" t="n">
        <v>0.83</v>
      </c>
      <c r="C114" s="5" t="n">
        <f aca="false">B114*VOFLB</f>
        <v>21.58</v>
      </c>
      <c r="D114" s="5" t="e">
        <f aca="false">C114*(ActR7+1000*Set_R9)/(ActR7+ActR8+Set_R9*1000)</f>
        <v>#N/A</v>
      </c>
      <c r="E114" s="90" t="e">
        <f aca="false">IF(C114*(1000*Set_R9+ActR7)/((1000*Set_R9+ActR7+ActR8)*(Set_Rs*Gain/2))&gt;B$25,B$25,C114*(1000*Set_R9+ActR7)/((1000*Set_R9+ActR7+ActR8)*(Set_Rs*Gain/2)))</f>
        <v>#N/A</v>
      </c>
      <c r="F114" s="90" t="e">
        <f aca="false">IF(D114&lt;0.2,0.2/(Set_Rs*Gain/2),E114)</f>
        <v>#N/A</v>
      </c>
      <c r="G114" s="5" t="e">
        <f aca="false">(C$60-C114)*F114</f>
        <v>#N/A</v>
      </c>
      <c r="H114" s="5" t="n">
        <v>0.930000000000006</v>
      </c>
      <c r="I114" s="5" t="n">
        <f aca="false">H114*VOFLB</f>
        <v>24.1800000000002</v>
      </c>
      <c r="J114" s="5" t="n">
        <f aca="false">I114*ActR9_sw/(ActR7_sw+ActR9_sw+Set_R8*1000)</f>
        <v>0.931497240110403</v>
      </c>
      <c r="K114" s="91" t="n">
        <f aca="false">IF(J114/(0.5*Set_Rs*Gain) &gt;B$25,B$25,J114/(0.5*Set_Rs*Gain))</f>
        <v>9.31497240110403</v>
      </c>
      <c r="L114" s="91" t="n">
        <f aca="false">IF(J114&lt;0.2,0.2/(0.5*Set_Rs*Gain),K114)</f>
        <v>9.31497240110403</v>
      </c>
      <c r="M114" s="5" t="n">
        <f aca="false">(I$60-I114)*L114</f>
        <v>65.3911062557484</v>
      </c>
      <c r="N114" s="5"/>
      <c r="O114" s="5"/>
      <c r="P114" s="5"/>
      <c r="Q114" s="5"/>
    </row>
    <row r="115" customFormat="false" ht="12.75" hidden="false" customHeight="false" outlineLevel="0" collapsed="false">
      <c r="A115" s="5"/>
      <c r="B115" s="5" t="n">
        <v>0.825</v>
      </c>
      <c r="C115" s="5" t="n">
        <f aca="false">B115*VOFLB</f>
        <v>21.45</v>
      </c>
      <c r="D115" s="5" t="e">
        <f aca="false">C115*(ActR7+1000*Set_R9)/(ActR7+ActR8+Set_R9*1000)</f>
        <v>#N/A</v>
      </c>
      <c r="E115" s="90" t="e">
        <f aca="false">IF(C115*(1000*Set_R9+ActR7)/((1000*Set_R9+ActR7+ActR8)*(Set_Rs*Gain/2))&gt;B$25,B$25,C115*(1000*Set_R9+ActR7)/((1000*Set_R9+ActR7+ActR8)*(Set_Rs*Gain/2)))</f>
        <v>#N/A</v>
      </c>
      <c r="F115" s="90" t="e">
        <f aca="false">IF(D115&lt;0.2,0.2/(Set_Rs*Gain/2),E115)</f>
        <v>#N/A</v>
      </c>
      <c r="G115" s="5" t="e">
        <f aca="false">(C$60-C115)*F115</f>
        <v>#N/A</v>
      </c>
      <c r="H115" s="5" t="n">
        <v>0.925000000000006</v>
      </c>
      <c r="I115" s="5" t="n">
        <f aca="false">H115*VOFLB</f>
        <v>24.0500000000002</v>
      </c>
      <c r="J115" s="5" t="n">
        <f aca="false">I115*ActR9_sw/(ActR7_sw+ActR9_sw+Set_R8*1000)</f>
        <v>0.92648919043239</v>
      </c>
      <c r="K115" s="91" t="n">
        <f aca="false">IF(J115/(0.5*Set_Rs*Gain) &gt;B$25,B$25,J115/(0.5*Set_Rs*Gain))</f>
        <v>9.2648919043239</v>
      </c>
      <c r="L115" s="91" t="n">
        <f aca="false">IF(J115&lt;0.2,0.2/(0.5*Set_Rs*Gain),K115)</f>
        <v>9.2648919043239</v>
      </c>
      <c r="M115" s="5" t="n">
        <f aca="false">(I$60-I115)*L115</f>
        <v>66.2439771159141</v>
      </c>
      <c r="N115" s="5"/>
      <c r="O115" s="5"/>
      <c r="P115" s="5"/>
      <c r="Q115" s="5"/>
    </row>
    <row r="116" customFormat="false" ht="12.75" hidden="false" customHeight="false" outlineLevel="0" collapsed="false">
      <c r="A116" s="5"/>
      <c r="B116" s="5" t="n">
        <v>0.82</v>
      </c>
      <c r="C116" s="5" t="n">
        <f aca="false">B116*VOFLB</f>
        <v>21.32</v>
      </c>
      <c r="D116" s="5" t="e">
        <f aca="false">C116*(ActR7+1000*Set_R9)/(ActR7+ActR8+Set_R9*1000)</f>
        <v>#N/A</v>
      </c>
      <c r="E116" s="90" t="e">
        <f aca="false">IF(C116*(1000*Set_R9+ActR7)/((1000*Set_R9+ActR7+ActR8)*(Set_Rs*Gain/2))&gt;B$25,B$25,C116*(1000*Set_R9+ActR7)/((1000*Set_R9+ActR7+ActR8)*(Set_Rs*Gain/2)))</f>
        <v>#N/A</v>
      </c>
      <c r="F116" s="90" t="e">
        <f aca="false">IF(D116&lt;0.2,0.2/(Set_Rs*Gain/2),E116)</f>
        <v>#N/A</v>
      </c>
      <c r="G116" s="5" t="e">
        <f aca="false">(C$60-C116)*F116</f>
        <v>#N/A</v>
      </c>
      <c r="H116" s="5" t="n">
        <v>0.920000000000006</v>
      </c>
      <c r="I116" s="5" t="n">
        <f aca="false">H116*VOFLB</f>
        <v>23.9200000000002</v>
      </c>
      <c r="J116" s="5" t="n">
        <f aca="false">I116*ActR9_sw/(ActR7_sw+ActR9_sw+Set_R8*1000)</f>
        <v>0.921481140754378</v>
      </c>
      <c r="K116" s="91" t="n">
        <f aca="false">IF(J116/(0.5*Set_Rs*Gain) &gt;B$25,B$25,J116/(0.5*Set_Rs*Gain))</f>
        <v>9.21481140754378</v>
      </c>
      <c r="L116" s="91" t="n">
        <f aca="false">IF(J116&lt;0.2,0.2/(0.5*Set_Rs*Gain),K116)</f>
        <v>9.21481140754378</v>
      </c>
      <c r="M116" s="5" t="n">
        <f aca="false">(I$60-I116)*L116</f>
        <v>67.0838270469168</v>
      </c>
      <c r="N116" s="5"/>
      <c r="O116" s="5"/>
      <c r="P116" s="5"/>
      <c r="Q116" s="5"/>
    </row>
    <row r="117" customFormat="false" ht="12.75" hidden="false" customHeight="false" outlineLevel="0" collapsed="false">
      <c r="A117" s="5"/>
      <c r="B117" s="5" t="n">
        <v>0.815</v>
      </c>
      <c r="C117" s="5" t="n">
        <f aca="false">B117*VOFLB</f>
        <v>21.19</v>
      </c>
      <c r="D117" s="5" t="e">
        <f aca="false">C117*(ActR7+1000*Set_R9)/(ActR7+ActR8+Set_R9*1000)</f>
        <v>#N/A</v>
      </c>
      <c r="E117" s="90" t="e">
        <f aca="false">IF(C117*(1000*Set_R9+ActR7)/((1000*Set_R9+ActR7+ActR8)*(Set_Rs*Gain/2))&gt;B$25,B$25,C117*(1000*Set_R9+ActR7)/((1000*Set_R9+ActR7+ActR8)*(Set_Rs*Gain/2)))</f>
        <v>#N/A</v>
      </c>
      <c r="F117" s="90" t="e">
        <f aca="false">IF(D117&lt;0.2,0.2/(Set_Rs*Gain/2),E117)</f>
        <v>#N/A</v>
      </c>
      <c r="G117" s="5" t="e">
        <f aca="false">(C$60-C117)*F117</f>
        <v>#N/A</v>
      </c>
      <c r="H117" s="5" t="n">
        <v>0.915000000000006</v>
      </c>
      <c r="I117" s="5" t="n">
        <f aca="false">H117*VOFLB</f>
        <v>23.7900000000002</v>
      </c>
      <c r="J117" s="5" t="n">
        <f aca="false">I117*ActR9_sw/(ActR7_sw+ActR9_sw+Set_R8*1000)</f>
        <v>0.916473091076365</v>
      </c>
      <c r="K117" s="91" t="n">
        <f aca="false">IF(J117/(0.5*Set_Rs*Gain) &gt;B$25,B$25,J117/(0.5*Set_Rs*Gain))</f>
        <v>9.16473091076365</v>
      </c>
      <c r="L117" s="91" t="n">
        <f aca="false">IF(J117&lt;0.2,0.2/(0.5*Set_Rs*Gain),K117)</f>
        <v>9.16473091076365</v>
      </c>
      <c r="M117" s="5" t="n">
        <f aca="false">(I$60-I117)*L117</f>
        <v>67.9106560487568</v>
      </c>
      <c r="N117" s="5"/>
      <c r="O117" s="5"/>
      <c r="P117" s="5"/>
      <c r="Q117" s="5"/>
    </row>
    <row r="118" customFormat="false" ht="12.75" hidden="false" customHeight="false" outlineLevel="0" collapsed="false">
      <c r="A118" s="5"/>
      <c r="B118" s="5" t="n">
        <v>0.81</v>
      </c>
      <c r="C118" s="5" t="n">
        <f aca="false">B118*VOFLB</f>
        <v>21.06</v>
      </c>
      <c r="D118" s="5" t="e">
        <f aca="false">C118*(ActR7+1000*Set_R9)/(ActR7+ActR8+Set_R9*1000)</f>
        <v>#N/A</v>
      </c>
      <c r="E118" s="90" t="e">
        <f aca="false">IF(C118*(1000*Set_R9+ActR7)/((1000*Set_R9+ActR7+ActR8)*(Set_Rs*Gain/2))&gt;B$25,B$25,C118*(1000*Set_R9+ActR7)/((1000*Set_R9+ActR7+ActR8)*(Set_Rs*Gain/2)))</f>
        <v>#N/A</v>
      </c>
      <c r="F118" s="90" t="e">
        <f aca="false">IF(D118&lt;0.2,0.2/(Set_Rs*Gain/2),E118)</f>
        <v>#N/A</v>
      </c>
      <c r="G118" s="5" t="e">
        <f aca="false">(C$60-C118)*F118</f>
        <v>#N/A</v>
      </c>
      <c r="H118" s="5" t="n">
        <v>0.910000000000006</v>
      </c>
      <c r="I118" s="5" t="n">
        <f aca="false">H118*VOFLB</f>
        <v>23.6600000000002</v>
      </c>
      <c r="J118" s="5" t="n">
        <f aca="false">I118*ActR9_sw/(ActR7_sw+ActR9_sw+Set_R8*1000)</f>
        <v>0.911465041398352</v>
      </c>
      <c r="K118" s="91" t="n">
        <f aca="false">IF(J118/(0.5*Set_Rs*Gain) &gt;B$25,B$25,J118/(0.5*Set_Rs*Gain))</f>
        <v>9.11465041398352</v>
      </c>
      <c r="L118" s="91" t="n">
        <f aca="false">IF(J118&lt;0.2,0.2/(0.5*Set_Rs*Gain),K118)</f>
        <v>9.11465041398352</v>
      </c>
      <c r="M118" s="5" t="n">
        <f aca="false">(I$60-I118)*L118</f>
        <v>68.7244641214339</v>
      </c>
      <c r="N118" s="5"/>
      <c r="O118" s="5"/>
      <c r="P118" s="5"/>
      <c r="Q118" s="5"/>
    </row>
    <row r="119" customFormat="false" ht="12.75" hidden="false" customHeight="false" outlineLevel="0" collapsed="false">
      <c r="A119" s="5"/>
      <c r="B119" s="5" t="n">
        <v>0.805</v>
      </c>
      <c r="C119" s="5" t="n">
        <f aca="false">B119*VOFLB</f>
        <v>20.93</v>
      </c>
      <c r="D119" s="5" t="e">
        <f aca="false">C119*(ActR7+1000*Set_R9)/(ActR7+ActR8+Set_R9*1000)</f>
        <v>#N/A</v>
      </c>
      <c r="E119" s="90" t="e">
        <f aca="false">IF(C119*(1000*Set_R9+ActR7)/((1000*Set_R9+ActR7+ActR8)*(Set_Rs*Gain/2))&gt;B$25,B$25,C119*(1000*Set_R9+ActR7)/((1000*Set_R9+ActR7+ActR8)*(Set_Rs*Gain/2)))</f>
        <v>#N/A</v>
      </c>
      <c r="F119" s="90" t="e">
        <f aca="false">IF(D119&lt;0.2,0.2/(Set_Rs*Gain/2),E119)</f>
        <v>#N/A</v>
      </c>
      <c r="G119" s="5" t="e">
        <f aca="false">(C$60-C119)*F119</f>
        <v>#N/A</v>
      </c>
      <c r="H119" s="5" t="n">
        <v>0.905000000000006</v>
      </c>
      <c r="I119" s="5" t="n">
        <f aca="false">H119*VOFLB</f>
        <v>23.5300000000002</v>
      </c>
      <c r="J119" s="5" t="n">
        <f aca="false">I119*ActR9_sw/(ActR7_sw+ActR9_sw+Set_R8*1000)</f>
        <v>0.906456991720339</v>
      </c>
      <c r="K119" s="91" t="n">
        <f aca="false">IF(J119/(0.5*Set_Rs*Gain) &gt;B$25,B$25,J119/(0.5*Set_Rs*Gain))</f>
        <v>9.06456991720339</v>
      </c>
      <c r="L119" s="91" t="n">
        <f aca="false">IF(J119&lt;0.2,0.2/(0.5*Set_Rs*Gain),K119)</f>
        <v>9.06456991720339</v>
      </c>
      <c r="M119" s="5" t="n">
        <f aca="false">(I$60-I119)*L119</f>
        <v>69.5252512649482</v>
      </c>
      <c r="N119" s="5"/>
      <c r="O119" s="5"/>
      <c r="P119" s="5"/>
      <c r="Q119" s="5"/>
    </row>
    <row r="120" customFormat="false" ht="12.75" hidden="false" customHeight="false" outlineLevel="0" collapsed="false">
      <c r="A120" s="5"/>
      <c r="B120" s="5" t="n">
        <v>0.8</v>
      </c>
      <c r="C120" s="5" t="n">
        <f aca="false">B120*VOFLB</f>
        <v>20.8</v>
      </c>
      <c r="D120" s="5" t="e">
        <f aca="false">C120*(ActR7+1000*Set_R9)/(ActR7+ActR8+Set_R9*1000)</f>
        <v>#N/A</v>
      </c>
      <c r="E120" s="90" t="e">
        <f aca="false">IF(C120*(1000*Set_R9+ActR7)/((1000*Set_R9+ActR7+ActR8)*(Set_Rs*Gain/2))&gt;B$25,B$25,C120*(1000*Set_R9+ActR7)/((1000*Set_R9+ActR7+ActR8)*(Set_Rs*Gain/2)))</f>
        <v>#N/A</v>
      </c>
      <c r="F120" s="90" t="e">
        <f aca="false">IF(D120&lt;0.2,0.2/(Set_Rs*Gain/2),E120)</f>
        <v>#N/A</v>
      </c>
      <c r="G120" s="5" t="e">
        <f aca="false">(C$60-C120)*F120</f>
        <v>#N/A</v>
      </c>
      <c r="H120" s="5" t="n">
        <v>0.900000000000006</v>
      </c>
      <c r="I120" s="5" t="n">
        <f aca="false">H120*VOFLB</f>
        <v>23.4000000000002</v>
      </c>
      <c r="J120" s="5" t="n">
        <f aca="false">I120*ActR9_sw/(ActR7_sw+ActR9_sw+Set_R8*1000)</f>
        <v>0.901448942042326</v>
      </c>
      <c r="K120" s="91" t="n">
        <f aca="false">IF(J120/(0.5*Set_Rs*Gain) &gt;B$25,B$25,J120/(0.5*Set_Rs*Gain))</f>
        <v>9.01448942042326</v>
      </c>
      <c r="L120" s="91" t="n">
        <f aca="false">IF(J120&lt;0.2,0.2/(0.5*Set_Rs*Gain),K120)</f>
        <v>9.01448942042326</v>
      </c>
      <c r="M120" s="5" t="n">
        <f aca="false">(I$60-I120)*L120</f>
        <v>70.3130174792996</v>
      </c>
      <c r="N120" s="5"/>
      <c r="O120" s="5"/>
      <c r="P120" s="5"/>
      <c r="Q120" s="5"/>
    </row>
    <row r="121" customFormat="false" ht="12.75" hidden="false" customHeight="false" outlineLevel="0" collapsed="false">
      <c r="A121" s="5"/>
      <c r="B121" s="5" t="n">
        <v>0.795</v>
      </c>
      <c r="C121" s="5" t="n">
        <f aca="false">B121*VOFLB</f>
        <v>20.67</v>
      </c>
      <c r="D121" s="5" t="e">
        <f aca="false">C121*(ActR7+1000*Set_R9)/(ActR7+ActR8+Set_R9*1000)</f>
        <v>#N/A</v>
      </c>
      <c r="E121" s="90" t="e">
        <f aca="false">IF(C121*(1000*Set_R9+ActR7)/((1000*Set_R9+ActR7+ActR8)*(Set_Rs*Gain/2))&gt;B$25,B$25,C121*(1000*Set_R9+ActR7)/((1000*Set_R9+ActR7+ActR8)*(Set_Rs*Gain/2)))</f>
        <v>#N/A</v>
      </c>
      <c r="F121" s="90" t="e">
        <f aca="false">IF(D121&lt;0.2,0.2/(Set_Rs*Gain/2),E121)</f>
        <v>#N/A</v>
      </c>
      <c r="G121" s="5" t="e">
        <f aca="false">(C$60-C121)*F121</f>
        <v>#N/A</v>
      </c>
      <c r="H121" s="5" t="n">
        <v>0.895000000000007</v>
      </c>
      <c r="I121" s="5" t="n">
        <f aca="false">H121*VOFLB</f>
        <v>23.2700000000002</v>
      </c>
      <c r="J121" s="5" t="n">
        <f aca="false">I121*ActR9_sw/(ActR7_sw+ActR9_sw+Set_R8*1000)</f>
        <v>0.896440892364313</v>
      </c>
      <c r="K121" s="91" t="n">
        <f aca="false">IF(J121/(0.5*Set_Rs*Gain) &gt;B$25,B$25,J121/(0.5*Set_Rs*Gain))</f>
        <v>8.96440892364313</v>
      </c>
      <c r="L121" s="91" t="n">
        <f aca="false">IF(J121&lt;0.2,0.2/(0.5*Set_Rs*Gain),K121)</f>
        <v>8.96440892364313</v>
      </c>
      <c r="M121" s="5" t="n">
        <f aca="false">(I$60-I121)*L121</f>
        <v>71.0877627644882</v>
      </c>
      <c r="N121" s="5"/>
      <c r="O121" s="5"/>
      <c r="P121" s="5"/>
      <c r="Q121" s="5"/>
    </row>
    <row r="122" customFormat="false" ht="12.75" hidden="false" customHeight="false" outlineLevel="0" collapsed="false">
      <c r="A122" s="5"/>
      <c r="B122" s="5" t="n">
        <v>0.79</v>
      </c>
      <c r="C122" s="5" t="n">
        <f aca="false">B122*VOFLB</f>
        <v>20.54</v>
      </c>
      <c r="D122" s="5" t="e">
        <f aca="false">C122*(ActR7+1000*Set_R9)/(ActR7+ActR8+Set_R9*1000)</f>
        <v>#N/A</v>
      </c>
      <c r="E122" s="90" t="e">
        <f aca="false">IF(C122*(1000*Set_R9+ActR7)/((1000*Set_R9+ActR7+ActR8)*(Set_Rs*Gain/2))&gt;B$25,B$25,C122*(1000*Set_R9+ActR7)/((1000*Set_R9+ActR7+ActR8)*(Set_Rs*Gain/2)))</f>
        <v>#N/A</v>
      </c>
      <c r="F122" s="90" t="e">
        <f aca="false">IF(D122&lt;0.2,0.2/(Set_Rs*Gain/2),E122)</f>
        <v>#N/A</v>
      </c>
      <c r="G122" s="5" t="e">
        <f aca="false">(C$60-C122)*F122</f>
        <v>#N/A</v>
      </c>
      <c r="H122" s="5" t="n">
        <v>0.890000000000007</v>
      </c>
      <c r="I122" s="5" t="n">
        <f aca="false">H122*VOFLB</f>
        <v>23.1400000000002</v>
      </c>
      <c r="J122" s="5" t="n">
        <f aca="false">I122*ActR9_sw/(ActR7_sw+ActR9_sw+Set_R8*1000)</f>
        <v>0.8914328426863</v>
      </c>
      <c r="K122" s="91" t="n">
        <f aca="false">IF(J122/(0.5*Set_Rs*Gain) &gt;B$25,B$25,J122/(0.5*Set_Rs*Gain))</f>
        <v>8.914328426863</v>
      </c>
      <c r="L122" s="91" t="n">
        <f aca="false">IF(J122&lt;0.2,0.2/(0.5*Set_Rs*Gain),K122)</f>
        <v>8.914328426863</v>
      </c>
      <c r="M122" s="5" t="n">
        <f aca="false">(I$60-I122)*L122</f>
        <v>71.849487120514</v>
      </c>
      <c r="N122" s="5"/>
      <c r="O122" s="5"/>
      <c r="P122" s="5"/>
      <c r="Q122" s="5"/>
    </row>
    <row r="123" customFormat="false" ht="12.75" hidden="false" customHeight="false" outlineLevel="0" collapsed="false">
      <c r="A123" s="5"/>
      <c r="B123" s="5" t="n">
        <v>0.785</v>
      </c>
      <c r="C123" s="5" t="n">
        <f aca="false">B123*VOFLB</f>
        <v>20.41</v>
      </c>
      <c r="D123" s="5" t="e">
        <f aca="false">C123*(ActR7+1000*Set_R9)/(ActR7+ActR8+Set_R9*1000)</f>
        <v>#N/A</v>
      </c>
      <c r="E123" s="90" t="e">
        <f aca="false">IF(C123*(1000*Set_R9+ActR7)/((1000*Set_R9+ActR7+ActR8)*(Set_Rs*Gain/2))&gt;B$25,B$25,C123*(1000*Set_R9+ActR7)/((1000*Set_R9+ActR7+ActR8)*(Set_Rs*Gain/2)))</f>
        <v>#N/A</v>
      </c>
      <c r="F123" s="90" t="e">
        <f aca="false">IF(D123&lt;0.2,0.2/(Set_Rs*Gain/2),E123)</f>
        <v>#N/A</v>
      </c>
      <c r="G123" s="5" t="e">
        <f aca="false">(C$60-C123)*F123</f>
        <v>#N/A</v>
      </c>
      <c r="H123" s="5" t="n">
        <v>0.885000000000007</v>
      </c>
      <c r="I123" s="5" t="n">
        <f aca="false">H123*VOFLB</f>
        <v>23.0100000000002</v>
      </c>
      <c r="J123" s="5" t="n">
        <f aca="false">I123*ActR9_sw/(ActR7_sw+ActR9_sw+Set_R8*1000)</f>
        <v>0.886424793008288</v>
      </c>
      <c r="K123" s="91" t="n">
        <f aca="false">IF(J123/(0.5*Set_Rs*Gain) &gt;B$25,B$25,J123/(0.5*Set_Rs*Gain))</f>
        <v>8.86424793008287</v>
      </c>
      <c r="L123" s="91" t="n">
        <f aca="false">IF(J123&lt;0.2,0.2/(0.5*Set_Rs*Gain),K123)</f>
        <v>8.86424793008287</v>
      </c>
      <c r="M123" s="5" t="n">
        <f aca="false">(I$60-I123)*L123</f>
        <v>72.5981905473769</v>
      </c>
      <c r="N123" s="5"/>
      <c r="O123" s="5"/>
      <c r="P123" s="5"/>
      <c r="Q123" s="5"/>
    </row>
    <row r="124" customFormat="false" ht="12.75" hidden="false" customHeight="false" outlineLevel="0" collapsed="false">
      <c r="A124" s="5"/>
      <c r="B124" s="5" t="n">
        <v>0.78</v>
      </c>
      <c r="C124" s="5" t="n">
        <f aca="false">B124*VOFLB</f>
        <v>20.28</v>
      </c>
      <c r="D124" s="5" t="e">
        <f aca="false">C124*(ActR7+1000*Set_R9)/(ActR7+ActR8+Set_R9*1000)</f>
        <v>#N/A</v>
      </c>
      <c r="E124" s="90" t="e">
        <f aca="false">IF(C124*(1000*Set_R9+ActR7)/((1000*Set_R9+ActR7+ActR8)*(Set_Rs*Gain/2))&gt;B$25,B$25,C124*(1000*Set_R9+ActR7)/((1000*Set_R9+ActR7+ActR8)*(Set_Rs*Gain/2)))</f>
        <v>#N/A</v>
      </c>
      <c r="F124" s="90" t="e">
        <f aca="false">IF(D124&lt;0.2,0.2/(Set_Rs*Gain/2),E124)</f>
        <v>#N/A</v>
      </c>
      <c r="G124" s="5" t="e">
        <f aca="false">(C$60-C124)*F124</f>
        <v>#N/A</v>
      </c>
      <c r="H124" s="5" t="n">
        <v>0.880000000000007</v>
      </c>
      <c r="I124" s="5" t="n">
        <f aca="false">H124*VOFLB</f>
        <v>22.8800000000002</v>
      </c>
      <c r="J124" s="5" t="n">
        <f aca="false">I124*ActR9_sw/(ActR7_sw+ActR9_sw+Set_R8*1000)</f>
        <v>0.881416743330275</v>
      </c>
      <c r="K124" s="91" t="n">
        <f aca="false">IF(J124/(0.5*Set_Rs*Gain) &gt;B$25,B$25,J124/(0.5*Set_Rs*Gain))</f>
        <v>8.81416743330274</v>
      </c>
      <c r="L124" s="91" t="n">
        <f aca="false">IF(J124&lt;0.2,0.2/(0.5*Set_Rs*Gain),K124)</f>
        <v>8.81416743330274</v>
      </c>
      <c r="M124" s="5" t="n">
        <f aca="false">(I$60-I124)*L124</f>
        <v>73.3338730450771</v>
      </c>
      <c r="N124" s="5"/>
      <c r="O124" s="5"/>
      <c r="P124" s="5"/>
      <c r="Q124" s="5"/>
    </row>
    <row r="125" customFormat="false" ht="12.75" hidden="false" customHeight="false" outlineLevel="0" collapsed="false">
      <c r="A125" s="5"/>
      <c r="B125" s="5" t="n">
        <v>0.775</v>
      </c>
      <c r="C125" s="5" t="n">
        <f aca="false">B125*VOFLB</f>
        <v>20.15</v>
      </c>
      <c r="D125" s="5" t="e">
        <f aca="false">C125*(ActR7+1000*Set_R9)/(ActR7+ActR8+Set_R9*1000)</f>
        <v>#N/A</v>
      </c>
      <c r="E125" s="90" t="e">
        <f aca="false">IF(C125*(1000*Set_R9+ActR7)/((1000*Set_R9+ActR7+ActR8)*(Set_Rs*Gain/2))&gt;B$25,B$25,C125*(1000*Set_R9+ActR7)/((1000*Set_R9+ActR7+ActR8)*(Set_Rs*Gain/2)))</f>
        <v>#N/A</v>
      </c>
      <c r="F125" s="90" t="e">
        <f aca="false">IF(D125&lt;0.2,0.2/(Set_Rs*Gain/2),E125)</f>
        <v>#N/A</v>
      </c>
      <c r="G125" s="5" t="e">
        <f aca="false">(C$60-C125)*F125</f>
        <v>#N/A</v>
      </c>
      <c r="H125" s="5" t="n">
        <v>0.875000000000007</v>
      </c>
      <c r="I125" s="5" t="n">
        <f aca="false">H125*VOFLB</f>
        <v>22.7500000000002</v>
      </c>
      <c r="J125" s="5" t="n">
        <f aca="false">I125*ActR9_sw/(ActR7_sw+ActR9_sw+Set_R8*1000)</f>
        <v>0.876408693652262</v>
      </c>
      <c r="K125" s="91" t="n">
        <f aca="false">IF(J125/(0.5*Set_Rs*Gain) &gt;B$25,B$25,J125/(0.5*Set_Rs*Gain))</f>
        <v>8.76408693652262</v>
      </c>
      <c r="L125" s="91" t="n">
        <f aca="false">IF(J125&lt;0.2,0.2/(0.5*Set_Rs*Gain),K125)</f>
        <v>8.76408693652262</v>
      </c>
      <c r="M125" s="5" t="n">
        <f aca="false">(I$60-I125)*L125</f>
        <v>74.0565346136144</v>
      </c>
      <c r="N125" s="5"/>
      <c r="O125" s="5"/>
      <c r="P125" s="5"/>
      <c r="Q125" s="5"/>
    </row>
    <row r="126" customFormat="false" ht="12.75" hidden="false" customHeight="false" outlineLevel="0" collapsed="false">
      <c r="A126" s="5"/>
      <c r="B126" s="5" t="n">
        <v>0.77</v>
      </c>
      <c r="C126" s="5" t="n">
        <f aca="false">B126*VOFLB</f>
        <v>20.02</v>
      </c>
      <c r="D126" s="5" t="e">
        <f aca="false">C126*(ActR7+1000*Set_R9)/(ActR7+ActR8+Set_R9*1000)</f>
        <v>#N/A</v>
      </c>
      <c r="E126" s="90" t="e">
        <f aca="false">IF(C126*(1000*Set_R9+ActR7)/((1000*Set_R9+ActR7+ActR8)*(Set_Rs*Gain/2))&gt;B$25,B$25,C126*(1000*Set_R9+ActR7)/((1000*Set_R9+ActR7+ActR8)*(Set_Rs*Gain/2)))</f>
        <v>#N/A</v>
      </c>
      <c r="F126" s="90" t="e">
        <f aca="false">IF(D126&lt;0.2,0.2/(Set_Rs*Gain/2),E126)</f>
        <v>#N/A</v>
      </c>
      <c r="G126" s="5" t="e">
        <f aca="false">(C$60-C126)*F126</f>
        <v>#N/A</v>
      </c>
      <c r="H126" s="5" t="n">
        <v>0.870000000000007</v>
      </c>
      <c r="I126" s="5" t="n">
        <f aca="false">H126*VOFLB</f>
        <v>22.6200000000002</v>
      </c>
      <c r="J126" s="5" t="n">
        <f aca="false">I126*ActR9_sw/(ActR7_sw+ActR9_sw+Set_R8*1000)</f>
        <v>0.871400643974249</v>
      </c>
      <c r="K126" s="91" t="n">
        <f aca="false">IF(J126/(0.5*Set_Rs*Gain) &gt;B$25,B$25,J126/(0.5*Set_Rs*Gain))</f>
        <v>8.71400643974249</v>
      </c>
      <c r="L126" s="91" t="n">
        <f aca="false">IF(J126&lt;0.2,0.2/(0.5*Set_Rs*Gain),K126)</f>
        <v>8.71400643974249</v>
      </c>
      <c r="M126" s="5" t="n">
        <f aca="false">(I$60-I126)*L126</f>
        <v>74.7661752529888</v>
      </c>
      <c r="N126" s="5"/>
      <c r="O126" s="5"/>
      <c r="P126" s="5"/>
      <c r="Q126" s="5"/>
    </row>
    <row r="127" customFormat="false" ht="12.75" hidden="false" customHeight="false" outlineLevel="0" collapsed="false">
      <c r="A127" s="5"/>
      <c r="B127" s="5" t="n">
        <v>0.765</v>
      </c>
      <c r="C127" s="5" t="n">
        <f aca="false">B127*VOFLB</f>
        <v>19.89</v>
      </c>
      <c r="D127" s="5" t="e">
        <f aca="false">C127*(ActR7+1000*Set_R9)/(ActR7+ActR8+Set_R9*1000)</f>
        <v>#N/A</v>
      </c>
      <c r="E127" s="90" t="e">
        <f aca="false">IF(C127*(1000*Set_R9+ActR7)/((1000*Set_R9+ActR7+ActR8)*(Set_Rs*Gain/2))&gt;B$25,B$25,C127*(1000*Set_R9+ActR7)/((1000*Set_R9+ActR7+ActR8)*(Set_Rs*Gain/2)))</f>
        <v>#N/A</v>
      </c>
      <c r="F127" s="90" t="e">
        <f aca="false">IF(D127&lt;0.2,0.2/(Set_Rs*Gain/2),E127)</f>
        <v>#N/A</v>
      </c>
      <c r="G127" s="5" t="e">
        <f aca="false">(C$60-C127)*F127</f>
        <v>#N/A</v>
      </c>
      <c r="H127" s="5" t="n">
        <v>0.865000000000007</v>
      </c>
      <c r="I127" s="5" t="n">
        <f aca="false">H127*VOFLB</f>
        <v>22.4900000000002</v>
      </c>
      <c r="J127" s="5" t="n">
        <f aca="false">I127*ActR9_sw/(ActR7_sw+ActR9_sw+Set_R8*1000)</f>
        <v>0.866392594296236</v>
      </c>
      <c r="K127" s="91" t="n">
        <f aca="false">IF(J127/(0.5*Set_Rs*Gain) &gt;B$25,B$25,J127/(0.5*Set_Rs*Gain))</f>
        <v>8.66392594296236</v>
      </c>
      <c r="L127" s="91" t="n">
        <f aca="false">IF(J127&lt;0.2,0.2/(0.5*Set_Rs*Gain),K127)</f>
        <v>8.66392594296236</v>
      </c>
      <c r="M127" s="5" t="n">
        <f aca="false">(I$60-I127)*L127</f>
        <v>75.4627949632004</v>
      </c>
      <c r="N127" s="5"/>
      <c r="O127" s="5"/>
      <c r="P127" s="5"/>
      <c r="Q127" s="5"/>
    </row>
    <row r="128" customFormat="false" ht="12.75" hidden="false" customHeight="false" outlineLevel="0" collapsed="false">
      <c r="A128" s="5"/>
      <c r="B128" s="5" t="n">
        <v>0.76</v>
      </c>
      <c r="C128" s="5" t="n">
        <f aca="false">B128*VOFLB</f>
        <v>19.76</v>
      </c>
      <c r="D128" s="5" t="e">
        <f aca="false">C128*(ActR7+1000*Set_R9)/(ActR7+ActR8+Set_R9*1000)</f>
        <v>#N/A</v>
      </c>
      <c r="E128" s="90" t="e">
        <f aca="false">IF(C128*(1000*Set_R9+ActR7)/((1000*Set_R9+ActR7+ActR8)*(Set_Rs*Gain/2))&gt;B$25,B$25,C128*(1000*Set_R9+ActR7)/((1000*Set_R9+ActR7+ActR8)*(Set_Rs*Gain/2)))</f>
        <v>#N/A</v>
      </c>
      <c r="F128" s="90" t="e">
        <f aca="false">IF(D128&lt;0.2,0.2/(Set_Rs*Gain/2),E128)</f>
        <v>#N/A</v>
      </c>
      <c r="G128" s="5" t="e">
        <f aca="false">(C$60-C128)*F128</f>
        <v>#N/A</v>
      </c>
      <c r="H128" s="5" t="n">
        <v>0.860000000000007</v>
      </c>
      <c r="I128" s="5" t="n">
        <f aca="false">H128*VOFLB</f>
        <v>22.3600000000002</v>
      </c>
      <c r="J128" s="5" t="n">
        <f aca="false">I128*ActR9_sw/(ActR7_sw+ActR9_sw+Set_R8*1000)</f>
        <v>0.861384544618223</v>
      </c>
      <c r="K128" s="91" t="n">
        <f aca="false">IF(J128/(0.5*Set_Rs*Gain) &gt;B$25,B$25,J128/(0.5*Set_Rs*Gain))</f>
        <v>8.61384544618223</v>
      </c>
      <c r="L128" s="91" t="n">
        <f aca="false">IF(J128&lt;0.2,0.2/(0.5*Set_Rs*Gain),K128)</f>
        <v>8.61384544618223</v>
      </c>
      <c r="M128" s="5" t="n">
        <f aca="false">(I$60-I128)*L128</f>
        <v>76.1463937442492</v>
      </c>
      <c r="N128" s="5"/>
      <c r="O128" s="5"/>
      <c r="P128" s="5"/>
      <c r="Q128" s="5"/>
    </row>
    <row r="129" customFormat="false" ht="12.75" hidden="false" customHeight="false" outlineLevel="0" collapsed="false">
      <c r="A129" s="5"/>
      <c r="B129" s="5" t="n">
        <v>0.755</v>
      </c>
      <c r="C129" s="5" t="n">
        <f aca="false">B129*VOFLB</f>
        <v>19.63</v>
      </c>
      <c r="D129" s="5" t="e">
        <f aca="false">C129*(ActR7+1000*Set_R9)/(ActR7+ActR8+Set_R9*1000)</f>
        <v>#N/A</v>
      </c>
      <c r="E129" s="90" t="e">
        <f aca="false">IF(C129*(1000*Set_R9+ActR7)/((1000*Set_R9+ActR7+ActR8)*(Set_Rs*Gain/2))&gt;B$25,B$25,C129*(1000*Set_R9+ActR7)/((1000*Set_R9+ActR7+ActR8)*(Set_Rs*Gain/2)))</f>
        <v>#N/A</v>
      </c>
      <c r="F129" s="90" t="e">
        <f aca="false">IF(D129&lt;0.2,0.2/(Set_Rs*Gain/2),E129)</f>
        <v>#N/A</v>
      </c>
      <c r="G129" s="5" t="e">
        <f aca="false">(C$60-C129)*F129</f>
        <v>#N/A</v>
      </c>
      <c r="H129" s="5" t="n">
        <v>0.855000000000007</v>
      </c>
      <c r="I129" s="5" t="n">
        <f aca="false">H129*VOFLB</f>
        <v>22.2300000000002</v>
      </c>
      <c r="J129" s="5" t="n">
        <f aca="false">I129*ActR9_sw/(ActR7_sw+ActR9_sw+Set_R8*1000)</f>
        <v>0.85637649494021</v>
      </c>
      <c r="K129" s="91" t="n">
        <f aca="false">IF(J129/(0.5*Set_Rs*Gain) &gt;B$25,B$25,J129/(0.5*Set_Rs*Gain))</f>
        <v>8.5637649494021</v>
      </c>
      <c r="L129" s="91" t="n">
        <f aca="false">IF(J129&lt;0.2,0.2/(0.5*Set_Rs*Gain),K129)</f>
        <v>8.5637649494021</v>
      </c>
      <c r="M129" s="5" t="n">
        <f aca="false">(I$60-I129)*L129</f>
        <v>76.8169715961351</v>
      </c>
      <c r="N129" s="5"/>
      <c r="O129" s="5"/>
      <c r="P129" s="5"/>
      <c r="Q129" s="5"/>
    </row>
    <row r="130" customFormat="false" ht="12.75" hidden="false" customHeight="false" outlineLevel="0" collapsed="false">
      <c r="A130" s="5"/>
      <c r="B130" s="5" t="n">
        <v>0.75</v>
      </c>
      <c r="C130" s="5" t="n">
        <f aca="false">B130*VOFLB</f>
        <v>19.5</v>
      </c>
      <c r="D130" s="5" t="e">
        <f aca="false">C130*(ActR7+1000*Set_R9)/(ActR7+ActR8+Set_R9*1000)</f>
        <v>#N/A</v>
      </c>
      <c r="E130" s="90" t="e">
        <f aca="false">IF(C130*(1000*Set_R9+ActR7)/((1000*Set_R9+ActR7+ActR8)*(Set_Rs*Gain/2))&gt;B$25,B$25,C130*(1000*Set_R9+ActR7)/((1000*Set_R9+ActR7+ActR8)*(Set_Rs*Gain/2)))</f>
        <v>#N/A</v>
      </c>
      <c r="F130" s="90" t="e">
        <f aca="false">IF(D130&lt;0.2,0.2/(Set_Rs*Gain/2),E130)</f>
        <v>#N/A</v>
      </c>
      <c r="G130" s="5" t="e">
        <f aca="false">(C$60-C130)*F130</f>
        <v>#N/A</v>
      </c>
      <c r="H130" s="5" t="n">
        <v>0.850000000000007</v>
      </c>
      <c r="I130" s="5" t="n">
        <f aca="false">H130*VOFLB</f>
        <v>22.1000000000002</v>
      </c>
      <c r="J130" s="5" t="n">
        <f aca="false">I130*ActR9_sw/(ActR7_sw+ActR9_sw+Set_R8*1000)</f>
        <v>0.851368445262197</v>
      </c>
      <c r="K130" s="91" t="n">
        <f aca="false">IF(J130/(0.5*Set_Rs*Gain) &gt;B$25,B$25,J130/(0.5*Set_Rs*Gain))</f>
        <v>8.51368445262197</v>
      </c>
      <c r="L130" s="91" t="n">
        <f aca="false">IF(J130&lt;0.2,0.2/(0.5*Set_Rs*Gain),K130)</f>
        <v>8.51368445262197</v>
      </c>
      <c r="M130" s="5" t="n">
        <f aca="false">(I$60-I130)*L130</f>
        <v>77.4745285188582</v>
      </c>
      <c r="N130" s="5"/>
      <c r="O130" s="5"/>
      <c r="P130" s="5"/>
      <c r="Q130" s="5"/>
    </row>
    <row r="131" customFormat="false" ht="12.75" hidden="false" customHeight="false" outlineLevel="0" collapsed="false">
      <c r="A131" s="5"/>
      <c r="B131" s="5" t="n">
        <v>0.745</v>
      </c>
      <c r="C131" s="5" t="n">
        <f aca="false">B131*VOFLB</f>
        <v>19.37</v>
      </c>
      <c r="D131" s="5" t="e">
        <f aca="false">C131*(ActR7+1000*Set_R9)/(ActR7+ActR8+Set_R9*1000)</f>
        <v>#N/A</v>
      </c>
      <c r="E131" s="90" t="e">
        <f aca="false">IF(C131*(1000*Set_R9+ActR7)/((1000*Set_R9+ActR7+ActR8)*(Set_Rs*Gain/2))&gt;B$25,B$25,C131*(1000*Set_R9+ActR7)/((1000*Set_R9+ActR7+ActR8)*(Set_Rs*Gain/2)))</f>
        <v>#N/A</v>
      </c>
      <c r="F131" s="90" t="e">
        <f aca="false">IF(D131&lt;0.2,0.2/(Set_Rs*Gain/2),E131)</f>
        <v>#N/A</v>
      </c>
      <c r="G131" s="5" t="e">
        <f aca="false">(C$60-C131)*F131</f>
        <v>#N/A</v>
      </c>
      <c r="H131" s="5" t="n">
        <v>0.845000000000008</v>
      </c>
      <c r="I131" s="5" t="n">
        <f aca="false">H131*VOFLB</f>
        <v>21.9700000000002</v>
      </c>
      <c r="J131" s="5" t="n">
        <f aca="false">I131*ActR9_sw/(ActR7_sw+ActR9_sw+Set_R8*1000)</f>
        <v>0.846360395584184</v>
      </c>
      <c r="K131" s="91" t="n">
        <f aca="false">IF(J131/(0.5*Set_Rs*Gain) &gt;B$25,B$25,J131/(0.5*Set_Rs*Gain))</f>
        <v>8.46360395584184</v>
      </c>
      <c r="L131" s="91" t="n">
        <f aca="false">IF(J131&lt;0.2,0.2/(0.5*Set_Rs*Gain),K131)</f>
        <v>8.46360395584184</v>
      </c>
      <c r="M131" s="5" t="n">
        <f aca="false">(I$60-I131)*L131</f>
        <v>78.1190645124185</v>
      </c>
      <c r="N131" s="5"/>
      <c r="O131" s="5"/>
      <c r="P131" s="5"/>
      <c r="Q131" s="5"/>
    </row>
    <row r="132" customFormat="false" ht="12.75" hidden="false" customHeight="false" outlineLevel="0" collapsed="false">
      <c r="A132" s="5"/>
      <c r="B132" s="5" t="n">
        <v>0.74</v>
      </c>
      <c r="C132" s="5" t="n">
        <f aca="false">B132*VOFLB</f>
        <v>19.24</v>
      </c>
      <c r="D132" s="5" t="e">
        <f aca="false">C132*(ActR7+1000*Set_R9)/(ActR7+ActR8+Set_R9*1000)</f>
        <v>#N/A</v>
      </c>
      <c r="E132" s="90" t="e">
        <f aca="false">IF(C132*(1000*Set_R9+ActR7)/((1000*Set_R9+ActR7+ActR8)*(Set_Rs*Gain/2))&gt;B$25,B$25,C132*(1000*Set_R9+ActR7)/((1000*Set_R9+ActR7+ActR8)*(Set_Rs*Gain/2)))</f>
        <v>#N/A</v>
      </c>
      <c r="F132" s="90" t="e">
        <f aca="false">IF(D132&lt;0.2,0.2/(Set_Rs*Gain/2),E132)</f>
        <v>#N/A</v>
      </c>
      <c r="G132" s="5" t="e">
        <f aca="false">(C$60-C132)*F132</f>
        <v>#N/A</v>
      </c>
      <c r="H132" s="5" t="n">
        <v>0.840000000000008</v>
      </c>
      <c r="I132" s="5" t="n">
        <f aca="false">H132*VOFLB</f>
        <v>21.8400000000002</v>
      </c>
      <c r="J132" s="5" t="n">
        <f aca="false">I132*ActR9_sw/(ActR7_sw+ActR9_sw+Set_R8*1000)</f>
        <v>0.841352345906172</v>
      </c>
      <c r="K132" s="91" t="n">
        <f aca="false">IF(J132/(0.5*Set_Rs*Gain) &gt;B$25,B$25,J132/(0.5*Set_Rs*Gain))</f>
        <v>8.41352345906172</v>
      </c>
      <c r="L132" s="91" t="n">
        <f aca="false">IF(J132&lt;0.2,0.2/(0.5*Set_Rs*Gain),K132)</f>
        <v>8.41352345906172</v>
      </c>
      <c r="M132" s="5" t="n">
        <f aca="false">(I$60-I132)*L132</f>
        <v>78.750579576816</v>
      </c>
      <c r="N132" s="5"/>
      <c r="O132" s="5"/>
      <c r="P132" s="5"/>
      <c r="Q132" s="5"/>
    </row>
    <row r="133" customFormat="false" ht="12.75" hidden="false" customHeight="false" outlineLevel="0" collapsed="false">
      <c r="A133" s="5"/>
      <c r="B133" s="5" t="n">
        <v>0.735</v>
      </c>
      <c r="C133" s="5" t="n">
        <f aca="false">B133*VOFLB</f>
        <v>19.11</v>
      </c>
      <c r="D133" s="5" t="e">
        <f aca="false">C133*(ActR7+1000*Set_R9)/(ActR7+ActR8+Set_R9*1000)</f>
        <v>#N/A</v>
      </c>
      <c r="E133" s="90" t="e">
        <f aca="false">IF(C133*(1000*Set_R9+ActR7)/((1000*Set_R9+ActR7+ActR8)*(Set_Rs*Gain/2))&gt;B$25,B$25,C133*(1000*Set_R9+ActR7)/((1000*Set_R9+ActR7+ActR8)*(Set_Rs*Gain/2)))</f>
        <v>#N/A</v>
      </c>
      <c r="F133" s="90" t="e">
        <f aca="false">IF(D133&lt;0.2,0.2/(Set_Rs*Gain/2),E133)</f>
        <v>#N/A</v>
      </c>
      <c r="G133" s="5" t="e">
        <f aca="false">(C$60-C133)*F133</f>
        <v>#N/A</v>
      </c>
      <c r="H133" s="5" t="n">
        <v>0.835000000000008</v>
      </c>
      <c r="I133" s="5" t="n">
        <f aca="false">H133*VOFLB</f>
        <v>21.7100000000002</v>
      </c>
      <c r="J133" s="5" t="n">
        <f aca="false">I133*ActR9_sw/(ActR7_sw+ActR9_sw+Set_R8*1000)</f>
        <v>0.836344296228159</v>
      </c>
      <c r="K133" s="91" t="n">
        <f aca="false">IF(J133/(0.5*Set_Rs*Gain) &gt;B$25,B$25,J133/(0.5*Set_Rs*Gain))</f>
        <v>8.36344296228159</v>
      </c>
      <c r="L133" s="91" t="n">
        <f aca="false">IF(J133&lt;0.2,0.2/(0.5*Set_Rs*Gain),K133)</f>
        <v>8.36344296228159</v>
      </c>
      <c r="M133" s="5" t="n">
        <f aca="false">(I$60-I133)*L133</f>
        <v>79.3690737120506</v>
      </c>
      <c r="N133" s="5"/>
      <c r="O133" s="5"/>
      <c r="P133" s="5"/>
      <c r="Q133" s="5"/>
    </row>
    <row r="134" customFormat="false" ht="12.75" hidden="false" customHeight="false" outlineLevel="0" collapsed="false">
      <c r="A134" s="5"/>
      <c r="B134" s="5" t="n">
        <v>0.73</v>
      </c>
      <c r="C134" s="5" t="n">
        <f aca="false">B134*VOFLB</f>
        <v>18.98</v>
      </c>
      <c r="D134" s="5" t="e">
        <f aca="false">C134*(ActR7+1000*Set_R9)/(ActR7+ActR8+Set_R9*1000)</f>
        <v>#N/A</v>
      </c>
      <c r="E134" s="90" t="e">
        <f aca="false">IF(C134*(1000*Set_R9+ActR7)/((1000*Set_R9+ActR7+ActR8)*(Set_Rs*Gain/2))&gt;B$25,B$25,C134*(1000*Set_R9+ActR7)/((1000*Set_R9+ActR7+ActR8)*(Set_Rs*Gain/2)))</f>
        <v>#N/A</v>
      </c>
      <c r="F134" s="90" t="e">
        <f aca="false">IF(D134&lt;0.2,0.2/(Set_Rs*Gain/2),E134)</f>
        <v>#N/A</v>
      </c>
      <c r="G134" s="5" t="e">
        <f aca="false">(C$60-C134)*F134</f>
        <v>#N/A</v>
      </c>
      <c r="H134" s="5" t="n">
        <v>0.830000000000008</v>
      </c>
      <c r="I134" s="5" t="n">
        <f aca="false">H134*VOFLB</f>
        <v>21.5800000000002</v>
      </c>
      <c r="J134" s="5" t="n">
        <f aca="false">I134*ActR9_sw/(ActR7_sw+ActR9_sw+Set_R8*1000)</f>
        <v>0.831336246550146</v>
      </c>
      <c r="K134" s="91" t="n">
        <f aca="false">IF(J134/(0.5*Set_Rs*Gain) &gt;B$25,B$25,J134/(0.5*Set_Rs*Gain))</f>
        <v>8.31336246550146</v>
      </c>
      <c r="L134" s="91" t="n">
        <f aca="false">IF(J134&lt;0.2,0.2/(0.5*Set_Rs*Gain),K134)</f>
        <v>8.31336246550146</v>
      </c>
      <c r="M134" s="5" t="n">
        <f aca="false">(I$60-I134)*L134</f>
        <v>79.9745469181223</v>
      </c>
      <c r="N134" s="5"/>
      <c r="O134" s="5"/>
      <c r="P134" s="5"/>
      <c r="Q134" s="5"/>
    </row>
    <row r="135" customFormat="false" ht="12.75" hidden="false" customHeight="false" outlineLevel="0" collapsed="false">
      <c r="A135" s="5"/>
      <c r="B135" s="5" t="n">
        <v>0.725</v>
      </c>
      <c r="C135" s="5" t="n">
        <f aca="false">B135*VOFLB</f>
        <v>18.85</v>
      </c>
      <c r="D135" s="5" t="e">
        <f aca="false">C135*(ActR7+1000*Set_R9)/(ActR7+ActR8+Set_R9*1000)</f>
        <v>#N/A</v>
      </c>
      <c r="E135" s="90" t="e">
        <f aca="false">IF(C135*(1000*Set_R9+ActR7)/((1000*Set_R9+ActR7+ActR8)*(Set_Rs*Gain/2))&gt;B$25,B$25,C135*(1000*Set_R9+ActR7)/((1000*Set_R9+ActR7+ActR8)*(Set_Rs*Gain/2)))</f>
        <v>#N/A</v>
      </c>
      <c r="F135" s="90" t="e">
        <f aca="false">IF(D135&lt;0.2,0.2/(Set_Rs*Gain/2),E135)</f>
        <v>#N/A</v>
      </c>
      <c r="G135" s="5" t="e">
        <f aca="false">(C$60-C135)*F135</f>
        <v>#N/A</v>
      </c>
      <c r="H135" s="5" t="n">
        <v>0.825000000000008</v>
      </c>
      <c r="I135" s="5" t="n">
        <f aca="false">H135*VOFLB</f>
        <v>21.4500000000002</v>
      </c>
      <c r="J135" s="5" t="n">
        <f aca="false">I135*ActR9_sw/(ActR7_sw+ActR9_sw+Set_R8*1000)</f>
        <v>0.826328196872133</v>
      </c>
      <c r="K135" s="91" t="n">
        <f aca="false">IF(J135/(0.5*Set_Rs*Gain) &gt;B$25,B$25,J135/(0.5*Set_Rs*Gain))</f>
        <v>8.26328196872133</v>
      </c>
      <c r="L135" s="91" t="n">
        <f aca="false">IF(J135&lt;0.2,0.2/(0.5*Set_Rs*Gain),K135)</f>
        <v>8.26328196872133</v>
      </c>
      <c r="M135" s="5" t="n">
        <f aca="false">(I$60-I135)*L135</f>
        <v>80.5669991950313</v>
      </c>
      <c r="N135" s="5"/>
      <c r="O135" s="5"/>
      <c r="P135" s="5"/>
      <c r="Q135" s="5"/>
    </row>
    <row r="136" customFormat="false" ht="12.75" hidden="false" customHeight="false" outlineLevel="0" collapsed="false">
      <c r="A136" s="5"/>
      <c r="B136" s="5" t="n">
        <v>0.72</v>
      </c>
      <c r="C136" s="5" t="n">
        <f aca="false">B136*VOFLB</f>
        <v>18.72</v>
      </c>
      <c r="D136" s="5" t="e">
        <f aca="false">C136*(ActR7+1000*Set_R9)/(ActR7+ActR8+Set_R9*1000)</f>
        <v>#N/A</v>
      </c>
      <c r="E136" s="90" t="e">
        <f aca="false">IF(C136*(1000*Set_R9+ActR7)/((1000*Set_R9+ActR7+ActR8)*(Set_Rs*Gain/2))&gt;B$25,B$25,C136*(1000*Set_R9+ActR7)/((1000*Set_R9+ActR7+ActR8)*(Set_Rs*Gain/2)))</f>
        <v>#N/A</v>
      </c>
      <c r="F136" s="90" t="e">
        <f aca="false">IF(D136&lt;0.2,0.2/(Set_Rs*Gain/2),E136)</f>
        <v>#N/A</v>
      </c>
      <c r="G136" s="5" t="e">
        <f aca="false">(C$60-C136)*F136</f>
        <v>#N/A</v>
      </c>
      <c r="H136" s="5" t="n">
        <v>0.820000000000008</v>
      </c>
      <c r="I136" s="5" t="n">
        <f aca="false">H136*VOFLB</f>
        <v>21.3200000000002</v>
      </c>
      <c r="J136" s="5" t="n">
        <f aca="false">I136*ActR9_sw/(ActR7_sw+ActR9_sw+Set_R8*1000)</f>
        <v>0.82132014719412</v>
      </c>
      <c r="K136" s="91" t="n">
        <f aca="false">IF(J136/(0.5*Set_Rs*Gain) &gt;B$25,B$25,J136/(0.5*Set_Rs*Gain))</f>
        <v>8.2132014719412</v>
      </c>
      <c r="L136" s="91" t="n">
        <f aca="false">IF(J136&lt;0.2,0.2/(0.5*Set_Rs*Gain),K136)</f>
        <v>8.2132014719412</v>
      </c>
      <c r="M136" s="5" t="n">
        <f aca="false">(I$60-I136)*L136</f>
        <v>81.1464305427774</v>
      </c>
      <c r="N136" s="5"/>
      <c r="O136" s="5"/>
      <c r="P136" s="5"/>
      <c r="Q136" s="5"/>
    </row>
    <row r="137" customFormat="false" ht="12.75" hidden="false" customHeight="false" outlineLevel="0" collapsed="false">
      <c r="A137" s="5"/>
      <c r="B137" s="5" t="n">
        <v>0.715</v>
      </c>
      <c r="C137" s="5" t="n">
        <f aca="false">B137*VOFLB</f>
        <v>18.59</v>
      </c>
      <c r="D137" s="5" t="e">
        <f aca="false">C137*(ActR7+1000*Set_R9)/(ActR7+ActR8+Set_R9*1000)</f>
        <v>#N/A</v>
      </c>
      <c r="E137" s="90" t="e">
        <f aca="false">IF(C137*(1000*Set_R9+ActR7)/((1000*Set_R9+ActR7+ActR8)*(Set_Rs*Gain/2))&gt;B$25,B$25,C137*(1000*Set_R9+ActR7)/((1000*Set_R9+ActR7+ActR8)*(Set_Rs*Gain/2)))</f>
        <v>#N/A</v>
      </c>
      <c r="F137" s="90" t="e">
        <f aca="false">IF(D137&lt;0.2,0.2/(Set_Rs*Gain/2),E137)</f>
        <v>#N/A</v>
      </c>
      <c r="G137" s="5" t="e">
        <f aca="false">(C$60-C137)*F137</f>
        <v>#N/A</v>
      </c>
      <c r="H137" s="5" t="n">
        <v>0.815000000000008</v>
      </c>
      <c r="I137" s="5" t="n">
        <f aca="false">H137*VOFLB</f>
        <v>21.1900000000002</v>
      </c>
      <c r="J137" s="5" t="n">
        <f aca="false">I137*ActR9_sw/(ActR7_sw+ActR9_sw+Set_R8*1000)</f>
        <v>0.816312097516107</v>
      </c>
      <c r="K137" s="91" t="n">
        <f aca="false">IF(J137/(0.5*Set_Rs*Gain) &gt;B$25,B$25,J137/(0.5*Set_Rs*Gain))</f>
        <v>8.16312097516107</v>
      </c>
      <c r="L137" s="91" t="n">
        <f aca="false">IF(J137&lt;0.2,0.2/(0.5*Set_Rs*Gain),K137)</f>
        <v>8.16312097516107</v>
      </c>
      <c r="M137" s="5" t="n">
        <f aca="false">(I$60-I137)*L137</f>
        <v>81.7128409613607</v>
      </c>
      <c r="N137" s="5"/>
      <c r="O137" s="5"/>
      <c r="P137" s="5"/>
      <c r="Q137" s="5"/>
    </row>
    <row r="138" customFormat="false" ht="12.75" hidden="false" customHeight="false" outlineLevel="0" collapsed="false">
      <c r="A138" s="5"/>
      <c r="B138" s="5" t="n">
        <v>0.71</v>
      </c>
      <c r="C138" s="5" t="n">
        <f aca="false">B138*VOFLB</f>
        <v>18.46</v>
      </c>
      <c r="D138" s="5" t="e">
        <f aca="false">C138*(ActR7+1000*Set_R9)/(ActR7+ActR8+Set_R9*1000)</f>
        <v>#N/A</v>
      </c>
      <c r="E138" s="90" t="e">
        <f aca="false">IF(C138*(1000*Set_R9+ActR7)/((1000*Set_R9+ActR7+ActR8)*(Set_Rs*Gain/2))&gt;B$25,B$25,C138*(1000*Set_R9+ActR7)/((1000*Set_R9+ActR7+ActR8)*(Set_Rs*Gain/2)))</f>
        <v>#N/A</v>
      </c>
      <c r="F138" s="90" t="e">
        <f aca="false">IF(D138&lt;0.2,0.2/(Set_Rs*Gain/2),E138)</f>
        <v>#N/A</v>
      </c>
      <c r="G138" s="5" t="e">
        <f aca="false">(C$60-C138)*F138</f>
        <v>#N/A</v>
      </c>
      <c r="H138" s="5" t="n">
        <v>0.810000000000008</v>
      </c>
      <c r="I138" s="5" t="n">
        <f aca="false">H138*VOFLB</f>
        <v>21.0600000000002</v>
      </c>
      <c r="J138" s="5" t="n">
        <f aca="false">I138*ActR9_sw/(ActR7_sw+ActR9_sw+Set_R8*1000)</f>
        <v>0.811304047838094</v>
      </c>
      <c r="K138" s="91" t="n">
        <f aca="false">IF(J138/(0.5*Set_Rs*Gain) &gt;B$25,B$25,J138/(0.5*Set_Rs*Gain))</f>
        <v>8.11304047838094</v>
      </c>
      <c r="L138" s="91" t="n">
        <f aca="false">IF(J138&lt;0.2,0.2/(0.5*Set_Rs*Gain),K138)</f>
        <v>8.11304047838094</v>
      </c>
      <c r="M138" s="5" t="n">
        <f aca="false">(I$60-I138)*L138</f>
        <v>82.2662304507811</v>
      </c>
      <c r="N138" s="5"/>
      <c r="O138" s="5"/>
      <c r="P138" s="5"/>
      <c r="Q138" s="5"/>
    </row>
    <row r="139" customFormat="false" ht="12.75" hidden="false" customHeight="false" outlineLevel="0" collapsed="false">
      <c r="A139" s="5"/>
      <c r="B139" s="5" t="n">
        <v>0.705</v>
      </c>
      <c r="C139" s="5" t="n">
        <f aca="false">B139*VOFLB</f>
        <v>18.33</v>
      </c>
      <c r="D139" s="5" t="e">
        <f aca="false">C139*(ActR7+1000*Set_R9)/(ActR7+ActR8+Set_R9*1000)</f>
        <v>#N/A</v>
      </c>
      <c r="E139" s="90" t="e">
        <f aca="false">IF(C139*(1000*Set_R9+ActR7)/((1000*Set_R9+ActR7+ActR8)*(Set_Rs*Gain/2))&gt;B$25,B$25,C139*(1000*Set_R9+ActR7)/((1000*Set_R9+ActR7+ActR8)*(Set_Rs*Gain/2)))</f>
        <v>#N/A</v>
      </c>
      <c r="F139" s="90" t="e">
        <f aca="false">IF(D139&lt;0.2,0.2/(Set_Rs*Gain/2),E139)</f>
        <v>#N/A</v>
      </c>
      <c r="G139" s="5" t="e">
        <f aca="false">(C$60-C139)*F139</f>
        <v>#N/A</v>
      </c>
      <c r="H139" s="5" t="n">
        <v>0.805000000000008</v>
      </c>
      <c r="I139" s="5" t="n">
        <f aca="false">H139*VOFLB</f>
        <v>20.9300000000002</v>
      </c>
      <c r="J139" s="5" t="n">
        <f aca="false">I139*ActR9_sw/(ActR7_sw+ActR9_sw+Set_R8*1000)</f>
        <v>0.806295998160081</v>
      </c>
      <c r="K139" s="91" t="n">
        <f aca="false">IF(J139/(0.5*Set_Rs*Gain) &gt;B$25,B$25,J139/(0.5*Set_Rs*Gain))</f>
        <v>8.06295998160081</v>
      </c>
      <c r="L139" s="91" t="n">
        <f aca="false">IF(J139&lt;0.2,0.2/(0.5*Set_Rs*Gain),K139)</f>
        <v>8.06295998160081</v>
      </c>
      <c r="M139" s="5" t="n">
        <f aca="false">(I$60-I139)*L139</f>
        <v>82.8065990110387</v>
      </c>
      <c r="N139" s="5"/>
      <c r="O139" s="5"/>
      <c r="P139" s="5"/>
      <c r="Q139" s="5"/>
    </row>
    <row r="140" customFormat="false" ht="12.75" hidden="false" customHeight="false" outlineLevel="0" collapsed="false">
      <c r="A140" s="5"/>
      <c r="B140" s="5" t="n">
        <v>0.7</v>
      </c>
      <c r="C140" s="5" t="n">
        <f aca="false">B140*VOFLB</f>
        <v>18.2</v>
      </c>
      <c r="D140" s="5" t="e">
        <f aca="false">C140*(ActR7+1000*Set_R9)/(ActR7+ActR8+Set_R9*1000)</f>
        <v>#N/A</v>
      </c>
      <c r="E140" s="90" t="e">
        <f aca="false">IF(C140*(1000*Set_R9+ActR7)/((1000*Set_R9+ActR7+ActR8)*(Set_Rs*Gain/2))&gt;B$25,B$25,C140*(1000*Set_R9+ActR7)/((1000*Set_R9+ActR7+ActR8)*(Set_Rs*Gain/2)))</f>
        <v>#N/A</v>
      </c>
      <c r="F140" s="90" t="e">
        <f aca="false">IF(D140&lt;0.2,0.2/(Set_Rs*Gain/2),E140)</f>
        <v>#N/A</v>
      </c>
      <c r="G140" s="5" t="e">
        <f aca="false">(C$60-C140)*F140</f>
        <v>#N/A</v>
      </c>
      <c r="H140" s="5" t="n">
        <v>0.800000000000009</v>
      </c>
      <c r="I140" s="5" t="n">
        <f aca="false">H140*VOFLB</f>
        <v>20.8000000000002</v>
      </c>
      <c r="J140" s="5" t="n">
        <f aca="false">I140*ActR9_sw/(ActR7_sw+ActR9_sw+Set_R8*1000)</f>
        <v>0.801287948482068</v>
      </c>
      <c r="K140" s="91" t="n">
        <f aca="false">IF(J140/(0.5*Set_Rs*Gain) &gt;B$25,B$25,J140/(0.5*Set_Rs*Gain))</f>
        <v>8.01287948482068</v>
      </c>
      <c r="L140" s="91" t="n">
        <f aca="false">IF(J140&lt;0.2,0.2/(0.5*Set_Rs*Gain),K140)</f>
        <v>8.01287948482068</v>
      </c>
      <c r="M140" s="5" t="n">
        <f aca="false">(I$60-I140)*L140</f>
        <v>83.3339466421335</v>
      </c>
      <c r="N140" s="5"/>
      <c r="O140" s="5"/>
      <c r="P140" s="5"/>
      <c r="Q140" s="5"/>
    </row>
    <row r="141" customFormat="false" ht="12.75" hidden="false" customHeight="false" outlineLevel="0" collapsed="false">
      <c r="A141" s="5"/>
      <c r="B141" s="5" t="n">
        <v>0.695</v>
      </c>
      <c r="C141" s="5" t="n">
        <f aca="false">B141*VOFLB</f>
        <v>18.07</v>
      </c>
      <c r="D141" s="5" t="e">
        <f aca="false">C141*(ActR7+1000*Set_R9)/(ActR7+ActR8+Set_R9*1000)</f>
        <v>#N/A</v>
      </c>
      <c r="E141" s="90" t="e">
        <f aca="false">IF(C141*(1000*Set_R9+ActR7)/((1000*Set_R9+ActR7+ActR8)*(Set_Rs*Gain/2))&gt;B$25,B$25,C141*(1000*Set_R9+ActR7)/((1000*Set_R9+ActR7+ActR8)*(Set_Rs*Gain/2)))</f>
        <v>#N/A</v>
      </c>
      <c r="F141" s="90" t="e">
        <f aca="false">IF(D141&lt;0.2,0.2/(Set_Rs*Gain/2),E141)</f>
        <v>#N/A</v>
      </c>
      <c r="G141" s="5" t="e">
        <f aca="false">(C$60-C141)*F141</f>
        <v>#N/A</v>
      </c>
      <c r="H141" s="5" t="n">
        <v>0.795000000000009</v>
      </c>
      <c r="I141" s="5" t="n">
        <f aca="false">H141*VOFLB</f>
        <v>20.6700000000002</v>
      </c>
      <c r="J141" s="5" t="n">
        <f aca="false">I141*ActR9_sw/(ActR7_sw+ActR9_sw+Set_R8*1000)</f>
        <v>0.796279898804056</v>
      </c>
      <c r="K141" s="91" t="n">
        <f aca="false">IF(J141/(0.5*Set_Rs*Gain) &gt;B$25,B$25,J141/(0.5*Set_Rs*Gain))</f>
        <v>7.96279898804056</v>
      </c>
      <c r="L141" s="91" t="n">
        <f aca="false">IF(J141&lt;0.2,0.2/(0.5*Set_Rs*Gain),K141)</f>
        <v>7.96279898804056</v>
      </c>
      <c r="M141" s="5" t="n">
        <f aca="false">(I$60-I141)*L141</f>
        <v>83.8482733440655</v>
      </c>
      <c r="N141" s="5"/>
      <c r="O141" s="5"/>
      <c r="P141" s="5"/>
      <c r="Q141" s="5"/>
    </row>
    <row r="142" customFormat="false" ht="12.75" hidden="false" customHeight="false" outlineLevel="0" collapsed="false">
      <c r="A142" s="5"/>
      <c r="B142" s="5" t="n">
        <v>0.69</v>
      </c>
      <c r="C142" s="5" t="n">
        <f aca="false">B142*VOFLB</f>
        <v>17.94</v>
      </c>
      <c r="D142" s="5" t="e">
        <f aca="false">C142*(ActR7+1000*Set_R9)/(ActR7+ActR8+Set_R9*1000)</f>
        <v>#N/A</v>
      </c>
      <c r="E142" s="90" t="e">
        <f aca="false">IF(C142*(1000*Set_R9+ActR7)/((1000*Set_R9+ActR7+ActR8)*(Set_Rs*Gain/2))&gt;B$25,B$25,C142*(1000*Set_R9+ActR7)/((1000*Set_R9+ActR7+ActR8)*(Set_Rs*Gain/2)))</f>
        <v>#N/A</v>
      </c>
      <c r="F142" s="90" t="e">
        <f aca="false">IF(D142&lt;0.2,0.2/(Set_Rs*Gain/2),E142)</f>
        <v>#N/A</v>
      </c>
      <c r="G142" s="5" t="e">
        <f aca="false">(C$60-C142)*F142</f>
        <v>#N/A</v>
      </c>
      <c r="H142" s="5" t="n">
        <v>0.790000000000009</v>
      </c>
      <c r="I142" s="5" t="n">
        <f aca="false">H142*VOFLB</f>
        <v>20.5400000000002</v>
      </c>
      <c r="J142" s="5" t="n">
        <f aca="false">I142*ActR9_sw/(ActR7_sw+ActR9_sw+Set_R8*1000)</f>
        <v>0.791271849126043</v>
      </c>
      <c r="K142" s="91" t="n">
        <f aca="false">IF(J142/(0.5*Set_Rs*Gain) &gt;B$25,B$25,J142/(0.5*Set_Rs*Gain))</f>
        <v>7.91271849126043</v>
      </c>
      <c r="L142" s="91" t="n">
        <f aca="false">IF(J142&lt;0.2,0.2/(0.5*Set_Rs*Gain),K142)</f>
        <v>7.91271849126043</v>
      </c>
      <c r="M142" s="5" t="n">
        <f aca="false">(I$60-I142)*L142</f>
        <v>84.3495791168346</v>
      </c>
      <c r="N142" s="5"/>
      <c r="O142" s="5"/>
      <c r="P142" s="5"/>
      <c r="Q142" s="5"/>
    </row>
    <row r="143" customFormat="false" ht="12.75" hidden="false" customHeight="false" outlineLevel="0" collapsed="false">
      <c r="A143" s="5"/>
      <c r="B143" s="5" t="n">
        <v>0.685</v>
      </c>
      <c r="C143" s="5" t="n">
        <f aca="false">B143*VOFLB</f>
        <v>17.81</v>
      </c>
      <c r="D143" s="5" t="e">
        <f aca="false">C143*(ActR7+1000*Set_R9)/(ActR7+ActR8+Set_R9*1000)</f>
        <v>#N/A</v>
      </c>
      <c r="E143" s="90" t="e">
        <f aca="false">IF(C143*(1000*Set_R9+ActR7)/((1000*Set_R9+ActR7+ActR8)*(Set_Rs*Gain/2))&gt;B$25,B$25,C143*(1000*Set_R9+ActR7)/((1000*Set_R9+ActR7+ActR8)*(Set_Rs*Gain/2)))</f>
        <v>#N/A</v>
      </c>
      <c r="F143" s="90" t="e">
        <f aca="false">IF(D143&lt;0.2,0.2/(Set_Rs*Gain/2),E143)</f>
        <v>#N/A</v>
      </c>
      <c r="G143" s="5" t="e">
        <f aca="false">(C$60-C143)*F143</f>
        <v>#N/A</v>
      </c>
      <c r="H143" s="5" t="n">
        <v>0.785000000000009</v>
      </c>
      <c r="I143" s="5" t="n">
        <f aca="false">H143*VOFLB</f>
        <v>20.4100000000002</v>
      </c>
      <c r="J143" s="5" t="n">
        <f aca="false">I143*ActR9_sw/(ActR7_sw+ActR9_sw+Set_R8*1000)</f>
        <v>0.78626379944803</v>
      </c>
      <c r="K143" s="91" t="n">
        <f aca="false">IF(J143/(0.5*Set_Rs*Gain) &gt;B$25,B$25,J143/(0.5*Set_Rs*Gain))</f>
        <v>7.8626379944803</v>
      </c>
      <c r="L143" s="91" t="n">
        <f aca="false">IF(J143&lt;0.2,0.2/(0.5*Set_Rs*Gain),K143)</f>
        <v>7.8626379944803</v>
      </c>
      <c r="M143" s="5" t="n">
        <f aca="false">(I$60-I143)*L143</f>
        <v>84.8378639604408</v>
      </c>
      <c r="N143" s="5"/>
      <c r="O143" s="5"/>
      <c r="P143" s="5"/>
      <c r="Q143" s="5"/>
    </row>
    <row r="144" customFormat="false" ht="12.75" hidden="false" customHeight="false" outlineLevel="0" collapsed="false">
      <c r="A144" s="5"/>
      <c r="B144" s="5" t="n">
        <v>0.68</v>
      </c>
      <c r="C144" s="5" t="n">
        <f aca="false">B144*VOFLB</f>
        <v>17.68</v>
      </c>
      <c r="D144" s="5" t="e">
        <f aca="false">C144*(ActR7+1000*Set_R9)/(ActR7+ActR8+Set_R9*1000)</f>
        <v>#N/A</v>
      </c>
      <c r="E144" s="90" t="e">
        <f aca="false">IF(C144*(1000*Set_R9+ActR7)/((1000*Set_R9+ActR7+ActR8)*(Set_Rs*Gain/2))&gt;B$25,B$25,C144*(1000*Set_R9+ActR7)/((1000*Set_R9+ActR7+ActR8)*(Set_Rs*Gain/2)))</f>
        <v>#N/A</v>
      </c>
      <c r="F144" s="90" t="e">
        <f aca="false">IF(D144&lt;0.2,0.2/(Set_Rs*Gain/2),E144)</f>
        <v>#N/A</v>
      </c>
      <c r="G144" s="5" t="e">
        <f aca="false">(C$60-C144)*F144</f>
        <v>#N/A</v>
      </c>
      <c r="H144" s="5" t="n">
        <v>0.780000000000009</v>
      </c>
      <c r="I144" s="5" t="n">
        <f aca="false">H144*VOFLB</f>
        <v>20.2800000000002</v>
      </c>
      <c r="J144" s="5" t="n">
        <f aca="false">I144*ActR9_sw/(ActR7_sw+ActR9_sw+Set_R8*1000)</f>
        <v>0.781255749770017</v>
      </c>
      <c r="K144" s="91" t="n">
        <f aca="false">IF(J144/(0.5*Set_Rs*Gain) &gt;B$25,B$25,J144/(0.5*Set_Rs*Gain))</f>
        <v>7.81255749770017</v>
      </c>
      <c r="L144" s="91" t="n">
        <f aca="false">IF(J144&lt;0.2,0.2/(0.5*Set_Rs*Gain),K144)</f>
        <v>7.81255749770017</v>
      </c>
      <c r="M144" s="5" t="n">
        <f aca="false">(I$60-I144)*L144</f>
        <v>85.3131278748843</v>
      </c>
      <c r="N144" s="5"/>
      <c r="O144" s="5"/>
      <c r="P144" s="5"/>
      <c r="Q144" s="5"/>
    </row>
    <row r="145" customFormat="false" ht="12.75" hidden="false" customHeight="false" outlineLevel="0" collapsed="false">
      <c r="A145" s="5"/>
      <c r="B145" s="5" t="n">
        <v>0.675</v>
      </c>
      <c r="C145" s="5" t="n">
        <f aca="false">B145*VOFLB</f>
        <v>17.55</v>
      </c>
      <c r="D145" s="5" t="e">
        <f aca="false">C145*(ActR7+1000*Set_R9)/(ActR7+ActR8+Set_R9*1000)</f>
        <v>#N/A</v>
      </c>
      <c r="E145" s="90" t="e">
        <f aca="false">IF(C145*(1000*Set_R9+ActR7)/((1000*Set_R9+ActR7+ActR8)*(Set_Rs*Gain/2))&gt;B$25,B$25,C145*(1000*Set_R9+ActR7)/((1000*Set_R9+ActR7+ActR8)*(Set_Rs*Gain/2)))</f>
        <v>#N/A</v>
      </c>
      <c r="F145" s="90" t="e">
        <f aca="false">IF(D145&lt;0.2,0.2/(Set_Rs*Gain/2),E145)</f>
        <v>#N/A</v>
      </c>
      <c r="G145" s="5" t="e">
        <f aca="false">(C$60-C145)*F145</f>
        <v>#N/A</v>
      </c>
      <c r="H145" s="5" t="n">
        <v>0.775000000000009</v>
      </c>
      <c r="I145" s="5" t="n">
        <f aca="false">H145*VOFLB</f>
        <v>20.1500000000002</v>
      </c>
      <c r="J145" s="5" t="n">
        <f aca="false">I145*ActR9_sw/(ActR7_sw+ActR9_sw+Set_R8*1000)</f>
        <v>0.776247700092004</v>
      </c>
      <c r="K145" s="91" t="n">
        <f aca="false">IF(J145/(0.5*Set_Rs*Gain) &gt;B$25,B$25,J145/(0.5*Set_Rs*Gain))</f>
        <v>7.76247700092004</v>
      </c>
      <c r="L145" s="91" t="n">
        <f aca="false">IF(J145&lt;0.2,0.2/(0.5*Set_Rs*Gain),K145)</f>
        <v>7.76247700092004</v>
      </c>
      <c r="M145" s="5" t="n">
        <f aca="false">(I$60-I145)*L145</f>
        <v>85.7753708601649</v>
      </c>
      <c r="N145" s="5"/>
      <c r="O145" s="5"/>
      <c r="P145" s="5"/>
      <c r="Q145" s="5"/>
    </row>
    <row r="146" customFormat="false" ht="12.75" hidden="false" customHeight="false" outlineLevel="0" collapsed="false">
      <c r="A146" s="5"/>
      <c r="B146" s="5" t="n">
        <v>0.67</v>
      </c>
      <c r="C146" s="5" t="n">
        <f aca="false">B146*VOFLB</f>
        <v>17.42</v>
      </c>
      <c r="D146" s="5" t="e">
        <f aca="false">C146*(ActR7+1000*Set_R9)/(ActR7+ActR8+Set_R9*1000)</f>
        <v>#N/A</v>
      </c>
      <c r="E146" s="90" t="e">
        <f aca="false">IF(C146*(1000*Set_R9+ActR7)/((1000*Set_R9+ActR7+ActR8)*(Set_Rs*Gain/2))&gt;B$25,B$25,C146*(1000*Set_R9+ActR7)/((1000*Set_R9+ActR7+ActR8)*(Set_Rs*Gain/2)))</f>
        <v>#N/A</v>
      </c>
      <c r="F146" s="90" t="e">
        <f aca="false">IF(D146&lt;0.2,0.2/(Set_Rs*Gain/2),E146)</f>
        <v>#N/A</v>
      </c>
      <c r="G146" s="5" t="e">
        <f aca="false">(C$60-C146)*F146</f>
        <v>#N/A</v>
      </c>
      <c r="H146" s="5" t="n">
        <v>0.770000000000009</v>
      </c>
      <c r="I146" s="5" t="n">
        <f aca="false">H146*VOFLB</f>
        <v>20.0200000000002</v>
      </c>
      <c r="J146" s="5" t="n">
        <f aca="false">I146*ActR9_sw/(ActR7_sw+ActR9_sw+Set_R8*1000)</f>
        <v>0.771239650413991</v>
      </c>
      <c r="K146" s="91" t="n">
        <f aca="false">IF(J146/(0.5*Set_Rs*Gain) &gt;B$25,B$25,J146/(0.5*Set_Rs*Gain))</f>
        <v>7.71239650413991</v>
      </c>
      <c r="L146" s="91" t="n">
        <f aca="false">IF(J146&lt;0.2,0.2/(0.5*Set_Rs*Gain),K146)</f>
        <v>7.71239650413991</v>
      </c>
      <c r="M146" s="5" t="n">
        <f aca="false">(I$60-I146)*L146</f>
        <v>86.2245929162827</v>
      </c>
      <c r="N146" s="5"/>
      <c r="O146" s="5"/>
      <c r="P146" s="5"/>
      <c r="Q146" s="5"/>
    </row>
    <row r="147" customFormat="false" ht="12.75" hidden="false" customHeight="false" outlineLevel="0" collapsed="false">
      <c r="A147" s="5"/>
      <c r="B147" s="5" t="n">
        <v>0.665</v>
      </c>
      <c r="C147" s="5" t="n">
        <f aca="false">B147*VOFLB</f>
        <v>17.29</v>
      </c>
      <c r="D147" s="5" t="e">
        <f aca="false">C147*(ActR7+1000*Set_R9)/(ActR7+ActR8+Set_R9*1000)</f>
        <v>#N/A</v>
      </c>
      <c r="E147" s="90" t="e">
        <f aca="false">IF(C147*(1000*Set_R9+ActR7)/((1000*Set_R9+ActR7+ActR8)*(Set_Rs*Gain/2))&gt;B$25,B$25,C147*(1000*Set_R9+ActR7)/((1000*Set_R9+ActR7+ActR8)*(Set_Rs*Gain/2)))</f>
        <v>#N/A</v>
      </c>
      <c r="F147" s="90" t="e">
        <f aca="false">IF(D147&lt;0.2,0.2/(Set_Rs*Gain/2),E147)</f>
        <v>#N/A</v>
      </c>
      <c r="G147" s="5" t="e">
        <f aca="false">(C$60-C147)*F147</f>
        <v>#N/A</v>
      </c>
      <c r="H147" s="5" t="n">
        <v>0.765000000000009</v>
      </c>
      <c r="I147" s="5" t="n">
        <f aca="false">H147*VOFLB</f>
        <v>19.8900000000002</v>
      </c>
      <c r="J147" s="5" t="n">
        <f aca="false">I147*ActR9_sw/(ActR7_sw+ActR9_sw+Set_R8*1000)</f>
        <v>0.766231600735978</v>
      </c>
      <c r="K147" s="91" t="n">
        <f aca="false">IF(J147/(0.5*Set_Rs*Gain) &gt;B$25,B$25,J147/(0.5*Set_Rs*Gain))</f>
        <v>7.66231600735978</v>
      </c>
      <c r="L147" s="91" t="n">
        <f aca="false">IF(J147&lt;0.2,0.2/(0.5*Set_Rs*Gain),K147)</f>
        <v>7.66231600735978</v>
      </c>
      <c r="M147" s="5" t="n">
        <f aca="false">(I$60-I147)*L147</f>
        <v>86.6607940432376</v>
      </c>
      <c r="N147" s="5"/>
      <c r="O147" s="5"/>
      <c r="P147" s="5"/>
      <c r="Q147" s="5"/>
    </row>
    <row r="148" customFormat="false" ht="12.75" hidden="false" customHeight="false" outlineLevel="0" collapsed="false">
      <c r="A148" s="5"/>
      <c r="B148" s="5" t="n">
        <v>0.66</v>
      </c>
      <c r="C148" s="5" t="n">
        <f aca="false">B148*VOFLB</f>
        <v>17.16</v>
      </c>
      <c r="D148" s="5" t="e">
        <f aca="false">C148*(ActR7+1000*Set_R9)/(ActR7+ActR8+Set_R9*1000)</f>
        <v>#N/A</v>
      </c>
      <c r="E148" s="90" t="e">
        <f aca="false">IF(C148*(1000*Set_R9+ActR7)/((1000*Set_R9+ActR7+ActR8)*(Set_Rs*Gain/2))&gt;B$25,B$25,C148*(1000*Set_R9+ActR7)/((1000*Set_R9+ActR7+ActR8)*(Set_Rs*Gain/2)))</f>
        <v>#N/A</v>
      </c>
      <c r="F148" s="90" t="e">
        <f aca="false">IF(D148&lt;0.2,0.2/(Set_Rs*Gain/2),E148)</f>
        <v>#N/A</v>
      </c>
      <c r="G148" s="5" t="e">
        <f aca="false">(C$60-C148)*F148</f>
        <v>#N/A</v>
      </c>
      <c r="H148" s="5" t="n">
        <v>0.760000000000009</v>
      </c>
      <c r="I148" s="5" t="n">
        <f aca="false">H148*VOFLB</f>
        <v>19.7600000000002</v>
      </c>
      <c r="J148" s="5" t="n">
        <f aca="false">I148*ActR9_sw/(ActR7_sw+ActR9_sw+Set_R8*1000)</f>
        <v>0.761223551057966</v>
      </c>
      <c r="K148" s="91" t="n">
        <f aca="false">IF(J148/(0.5*Set_Rs*Gain) &gt;B$25,B$25,J148/(0.5*Set_Rs*Gain))</f>
        <v>7.61223551057965</v>
      </c>
      <c r="L148" s="91" t="n">
        <f aca="false">IF(J148&lt;0.2,0.2/(0.5*Set_Rs*Gain),K148)</f>
        <v>7.61223551057965</v>
      </c>
      <c r="M148" s="5" t="n">
        <f aca="false">(I$60-I148)*L148</f>
        <v>87.0839742410297</v>
      </c>
      <c r="N148" s="5"/>
      <c r="O148" s="5"/>
      <c r="P148" s="5"/>
      <c r="Q148" s="5"/>
    </row>
    <row r="149" customFormat="false" ht="12.75" hidden="false" customHeight="false" outlineLevel="0" collapsed="false">
      <c r="A149" s="5"/>
      <c r="B149" s="5" t="n">
        <v>0.655</v>
      </c>
      <c r="C149" s="5" t="n">
        <f aca="false">B149*VOFLB</f>
        <v>17.03</v>
      </c>
      <c r="D149" s="5" t="e">
        <f aca="false">C149*(ActR7+1000*Set_R9)/(ActR7+ActR8+Set_R9*1000)</f>
        <v>#N/A</v>
      </c>
      <c r="E149" s="90" t="e">
        <f aca="false">IF(C149*(1000*Set_R9+ActR7)/((1000*Set_R9+ActR7+ActR8)*(Set_Rs*Gain/2))&gt;B$25,B$25,C149*(1000*Set_R9+ActR7)/((1000*Set_R9+ActR7+ActR8)*(Set_Rs*Gain/2)))</f>
        <v>#N/A</v>
      </c>
      <c r="F149" s="90" t="e">
        <f aca="false">IF(D149&lt;0.2,0.2/(Set_Rs*Gain/2),E149)</f>
        <v>#N/A</v>
      </c>
      <c r="G149" s="5" t="e">
        <f aca="false">(C$60-C149)*F149</f>
        <v>#N/A</v>
      </c>
      <c r="H149" s="5" t="n">
        <v>0.755000000000009</v>
      </c>
      <c r="I149" s="5" t="n">
        <f aca="false">H149*VOFLB</f>
        <v>19.6300000000002</v>
      </c>
      <c r="J149" s="5" t="n">
        <f aca="false">I149*ActR9_sw/(ActR7_sw+ActR9_sw+Set_R8*1000)</f>
        <v>0.756215501379953</v>
      </c>
      <c r="K149" s="91" t="n">
        <f aca="false">IF(J149/(0.5*Set_Rs*Gain) &gt;B$25,B$25,J149/(0.5*Set_Rs*Gain))</f>
        <v>7.56215501379953</v>
      </c>
      <c r="L149" s="91" t="n">
        <f aca="false">IF(J149&lt;0.2,0.2/(0.5*Set_Rs*Gain),K149)</f>
        <v>7.56215501379953</v>
      </c>
      <c r="M149" s="5" t="n">
        <f aca="false">(I$60-I149)*L149</f>
        <v>87.494133509659</v>
      </c>
      <c r="N149" s="5"/>
      <c r="O149" s="5"/>
      <c r="P149" s="5"/>
      <c r="Q149" s="5"/>
    </row>
    <row r="150" customFormat="false" ht="12.75" hidden="false" customHeight="false" outlineLevel="0" collapsed="false">
      <c r="A150" s="5"/>
      <c r="B150" s="5" t="n">
        <v>0.65</v>
      </c>
      <c r="C150" s="5" t="n">
        <f aca="false">B150*VOFLB</f>
        <v>16.9</v>
      </c>
      <c r="D150" s="5" t="e">
        <f aca="false">C150*(ActR7+1000*Set_R9)/(ActR7+ActR8+Set_R9*1000)</f>
        <v>#N/A</v>
      </c>
      <c r="E150" s="90" t="e">
        <f aca="false">IF(C150*(1000*Set_R9+ActR7)/((1000*Set_R9+ActR7+ActR8)*(Set_Rs*Gain/2))&gt;B$25,B$25,C150*(1000*Set_R9+ActR7)/((1000*Set_R9+ActR7+ActR8)*(Set_Rs*Gain/2)))</f>
        <v>#N/A</v>
      </c>
      <c r="F150" s="90" t="e">
        <f aca="false">IF(D150&lt;0.2,0.2/(Set_Rs*Gain/2),E150)</f>
        <v>#N/A</v>
      </c>
      <c r="G150" s="5" t="e">
        <f aca="false">(C$60-C150)*F150</f>
        <v>#N/A</v>
      </c>
      <c r="H150" s="5" t="n">
        <v>0.75000000000001</v>
      </c>
      <c r="I150" s="5" t="n">
        <f aca="false">H150*VOFLB</f>
        <v>19.5000000000003</v>
      </c>
      <c r="J150" s="5" t="n">
        <f aca="false">I150*ActR9_sw/(ActR7_sw+ActR9_sw+Set_R8*1000)</f>
        <v>0.751207451701943</v>
      </c>
      <c r="K150" s="91" t="n">
        <f aca="false">IF(J150/(0.5*Set_Rs*Gain) &gt;B$25,B$25,J150/(0.5*Set_Rs*Gain))</f>
        <v>7.51207451701943</v>
      </c>
      <c r="L150" s="91" t="n">
        <f aca="false">IF(J150&lt;0.2,0.2/(0.5*Set_Rs*Gain),K150)</f>
        <v>7.51207451701943</v>
      </c>
      <c r="M150" s="5" t="n">
        <f aca="false">(I$60-I150)*L150</f>
        <v>87.8912718491251</v>
      </c>
      <c r="N150" s="5"/>
      <c r="O150" s="5"/>
      <c r="P150" s="5"/>
      <c r="Q150" s="5"/>
    </row>
    <row r="151" customFormat="false" ht="12.75" hidden="false" customHeight="false" outlineLevel="0" collapsed="false">
      <c r="A151" s="5"/>
      <c r="B151" s="5" t="n">
        <v>0.645</v>
      </c>
      <c r="C151" s="5" t="n">
        <f aca="false">B151*VOFLB</f>
        <v>16.77</v>
      </c>
      <c r="D151" s="5" t="e">
        <f aca="false">C151*(ActR7+1000*Set_R9)/(ActR7+ActR8+Set_R9*1000)</f>
        <v>#N/A</v>
      </c>
      <c r="E151" s="90" t="e">
        <f aca="false">IF(C151*(1000*Set_R9+ActR7)/((1000*Set_R9+ActR7+ActR8)*(Set_Rs*Gain/2))&gt;B$25,B$25,C151*(1000*Set_R9+ActR7)/((1000*Set_R9+ActR7+ActR8)*(Set_Rs*Gain/2)))</f>
        <v>#N/A</v>
      </c>
      <c r="F151" s="90" t="e">
        <f aca="false">IF(D151&lt;0.2,0.2/(Set_Rs*Gain/2),E151)</f>
        <v>#N/A</v>
      </c>
      <c r="G151" s="5" t="e">
        <f aca="false">(C$60-C151)*F151</f>
        <v>#N/A</v>
      </c>
      <c r="H151" s="5" t="n">
        <v>0.74500000000001</v>
      </c>
      <c r="I151" s="5" t="n">
        <f aca="false">H151*VOFLB</f>
        <v>19.3700000000003</v>
      </c>
      <c r="J151" s="5" t="n">
        <f aca="false">I151*ActR9_sw/(ActR7_sw+ActR9_sw+Set_R8*1000)</f>
        <v>0.746199402023931</v>
      </c>
      <c r="K151" s="91" t="n">
        <f aca="false">IF(J151/(0.5*Set_Rs*Gain) &gt;B$25,B$25,J151/(0.5*Set_Rs*Gain))</f>
        <v>7.46199402023931</v>
      </c>
      <c r="L151" s="91" t="n">
        <f aca="false">IF(J151&lt;0.2,0.2/(0.5*Set_Rs*Gain),K151)</f>
        <v>7.46199402023931</v>
      </c>
      <c r="M151" s="5" t="n">
        <f aca="false">(I$60-I151)*L151</f>
        <v>88.2753892594287</v>
      </c>
      <c r="N151" s="5"/>
      <c r="O151" s="5"/>
      <c r="P151" s="5"/>
      <c r="Q151" s="5"/>
    </row>
    <row r="152" customFormat="false" ht="12.75" hidden="false" customHeight="false" outlineLevel="0" collapsed="false">
      <c r="A152" s="5"/>
      <c r="B152" s="5" t="n">
        <v>0.64</v>
      </c>
      <c r="C152" s="5" t="n">
        <f aca="false">B152*VOFLB</f>
        <v>16.64</v>
      </c>
      <c r="D152" s="5" t="e">
        <f aca="false">C152*(ActR7+1000*Set_R9)/(ActR7+ActR8+Set_R9*1000)</f>
        <v>#N/A</v>
      </c>
      <c r="E152" s="90" t="e">
        <f aca="false">IF(C152*(1000*Set_R9+ActR7)/((1000*Set_R9+ActR7+ActR8)*(Set_Rs*Gain/2))&gt;B$25,B$25,C152*(1000*Set_R9+ActR7)/((1000*Set_R9+ActR7+ActR8)*(Set_Rs*Gain/2)))</f>
        <v>#N/A</v>
      </c>
      <c r="F152" s="90" t="e">
        <f aca="false">IF(D152&lt;0.2,0.2/(Set_Rs*Gain/2),E152)</f>
        <v>#N/A</v>
      </c>
      <c r="G152" s="5" t="e">
        <f aca="false">(C$60-C152)*F152</f>
        <v>#N/A</v>
      </c>
      <c r="H152" s="5" t="n">
        <v>0.74000000000001</v>
      </c>
      <c r="I152" s="5" t="n">
        <f aca="false">H152*VOFLB</f>
        <v>19.2400000000003</v>
      </c>
      <c r="J152" s="5" t="n">
        <f aca="false">I152*ActR9_sw/(ActR7_sw+ActR9_sw+Set_R8*1000)</f>
        <v>0.741191352345918</v>
      </c>
      <c r="K152" s="91" t="n">
        <f aca="false">IF(J152/(0.5*Set_Rs*Gain) &gt;B$25,B$25,J152/(0.5*Set_Rs*Gain))</f>
        <v>7.41191352345918</v>
      </c>
      <c r="L152" s="91" t="n">
        <f aca="false">IF(J152&lt;0.2,0.2/(0.5*Set_Rs*Gain),K152)</f>
        <v>7.41191352345918</v>
      </c>
      <c r="M152" s="5" t="n">
        <f aca="false">(I$60-I152)*L152</f>
        <v>88.6464857405695</v>
      </c>
      <c r="N152" s="5"/>
      <c r="O152" s="5"/>
      <c r="P152" s="5"/>
      <c r="Q152" s="5"/>
    </row>
    <row r="153" customFormat="false" ht="12.75" hidden="false" customHeight="false" outlineLevel="0" collapsed="false">
      <c r="A153" s="5"/>
      <c r="B153" s="5" t="n">
        <v>0.635</v>
      </c>
      <c r="C153" s="5" t="n">
        <f aca="false">B153*VOFLB</f>
        <v>16.51</v>
      </c>
      <c r="D153" s="5" t="e">
        <f aca="false">C153*(ActR7+1000*Set_R9)/(ActR7+ActR8+Set_R9*1000)</f>
        <v>#N/A</v>
      </c>
      <c r="E153" s="90" t="e">
        <f aca="false">IF(C153*(1000*Set_R9+ActR7)/((1000*Set_R9+ActR7+ActR8)*(Set_Rs*Gain/2))&gt;B$25,B$25,C153*(1000*Set_R9+ActR7)/((1000*Set_R9+ActR7+ActR8)*(Set_Rs*Gain/2)))</f>
        <v>#N/A</v>
      </c>
      <c r="F153" s="90" t="e">
        <f aca="false">IF(D153&lt;0.2,0.2/(Set_Rs*Gain/2),E153)</f>
        <v>#N/A</v>
      </c>
      <c r="G153" s="5" t="e">
        <f aca="false">(C$60-C153)*F153</f>
        <v>#N/A</v>
      </c>
      <c r="H153" s="5" t="n">
        <v>0.73500000000001</v>
      </c>
      <c r="I153" s="5" t="n">
        <f aca="false">H153*VOFLB</f>
        <v>19.1100000000003</v>
      </c>
      <c r="J153" s="5" t="n">
        <f aca="false">I153*ActR9_sw/(ActR7_sw+ActR9_sw+Set_R8*1000)</f>
        <v>0.736183302667905</v>
      </c>
      <c r="K153" s="91" t="n">
        <f aca="false">IF(J153/(0.5*Set_Rs*Gain) &gt;B$25,B$25,J153/(0.5*Set_Rs*Gain))</f>
        <v>7.36183302667905</v>
      </c>
      <c r="L153" s="91" t="n">
        <f aca="false">IF(J153&lt;0.2,0.2/(0.5*Set_Rs*Gain),K153)</f>
        <v>7.36183302667905</v>
      </c>
      <c r="M153" s="5" t="n">
        <f aca="false">(I$60-I153)*L153</f>
        <v>89.0045612925475</v>
      </c>
      <c r="N153" s="5"/>
      <c r="O153" s="5"/>
      <c r="P153" s="5"/>
      <c r="Q153" s="5"/>
    </row>
    <row r="154" customFormat="false" ht="12.75" hidden="false" customHeight="false" outlineLevel="0" collapsed="false">
      <c r="A154" s="5"/>
      <c r="B154" s="5" t="n">
        <v>0.63</v>
      </c>
      <c r="C154" s="5" t="n">
        <f aca="false">B154*VOFLB</f>
        <v>16.38</v>
      </c>
      <c r="D154" s="5" t="e">
        <f aca="false">C154*(ActR7+1000*Set_R9)/(ActR7+ActR8+Set_R9*1000)</f>
        <v>#N/A</v>
      </c>
      <c r="E154" s="90" t="e">
        <f aca="false">IF(C154*(1000*Set_R9+ActR7)/((1000*Set_R9+ActR7+ActR8)*(Set_Rs*Gain/2))&gt;B$25,B$25,C154*(1000*Set_R9+ActR7)/((1000*Set_R9+ActR7+ActR8)*(Set_Rs*Gain/2)))</f>
        <v>#N/A</v>
      </c>
      <c r="F154" s="90" t="e">
        <f aca="false">IF(D154&lt;0.2,0.2/(Set_Rs*Gain/2),E154)</f>
        <v>#N/A</v>
      </c>
      <c r="G154" s="5" t="e">
        <f aca="false">(C$60-C154)*F154</f>
        <v>#N/A</v>
      </c>
      <c r="H154" s="5" t="n">
        <v>0.73000000000001</v>
      </c>
      <c r="I154" s="5" t="n">
        <f aca="false">H154*VOFLB</f>
        <v>18.9800000000003</v>
      </c>
      <c r="J154" s="5" t="n">
        <f aca="false">I154*ActR9_sw/(ActR7_sw+ActR9_sw+Set_R8*1000)</f>
        <v>0.731175252989892</v>
      </c>
      <c r="K154" s="91" t="n">
        <f aca="false">IF(J154/(0.5*Set_Rs*Gain) &gt;B$25,B$25,J154/(0.5*Set_Rs*Gain))</f>
        <v>7.31175252989892</v>
      </c>
      <c r="L154" s="91" t="n">
        <f aca="false">IF(J154&lt;0.2,0.2/(0.5*Set_Rs*Gain),K154)</f>
        <v>7.31175252989892</v>
      </c>
      <c r="M154" s="5" t="n">
        <f aca="false">(I$60-I154)*L154</f>
        <v>89.3496159153626</v>
      </c>
      <c r="N154" s="5"/>
      <c r="O154" s="5"/>
      <c r="P154" s="5"/>
      <c r="Q154" s="5"/>
    </row>
    <row r="155" customFormat="false" ht="12.75" hidden="false" customHeight="false" outlineLevel="0" collapsed="false">
      <c r="A155" s="5"/>
      <c r="B155" s="5" t="n">
        <v>0.625</v>
      </c>
      <c r="C155" s="5" t="n">
        <f aca="false">B155*VOFLB</f>
        <v>16.25</v>
      </c>
      <c r="D155" s="5" t="e">
        <f aca="false">C155*(ActR7+1000*Set_R9)/(ActR7+ActR8+Set_R9*1000)</f>
        <v>#N/A</v>
      </c>
      <c r="E155" s="90" t="e">
        <f aca="false">IF(C155*(1000*Set_R9+ActR7)/((1000*Set_R9+ActR7+ActR8)*(Set_Rs*Gain/2))&gt;B$25,B$25,C155*(1000*Set_R9+ActR7)/((1000*Set_R9+ActR7+ActR8)*(Set_Rs*Gain/2)))</f>
        <v>#N/A</v>
      </c>
      <c r="F155" s="90" t="e">
        <f aca="false">IF(D155&lt;0.2,0.2/(Set_Rs*Gain/2),E155)</f>
        <v>#N/A</v>
      </c>
      <c r="G155" s="5" t="e">
        <f aca="false">(C$60-C155)*F155</f>
        <v>#N/A</v>
      </c>
      <c r="H155" s="5" t="n">
        <v>0.72500000000001</v>
      </c>
      <c r="I155" s="5" t="n">
        <f aca="false">H155*VOFLB</f>
        <v>18.8500000000003</v>
      </c>
      <c r="J155" s="5" t="n">
        <f aca="false">I155*ActR9_sw/(ActR7_sw+ActR9_sw+Set_R8*1000)</f>
        <v>0.726167203311879</v>
      </c>
      <c r="K155" s="91" t="n">
        <f aca="false">IF(J155/(0.5*Set_Rs*Gain) &gt;B$25,B$25,J155/(0.5*Set_Rs*Gain))</f>
        <v>7.26167203311879</v>
      </c>
      <c r="L155" s="91" t="n">
        <f aca="false">IF(J155&lt;0.2,0.2/(0.5*Set_Rs*Gain),K155)</f>
        <v>7.26167203311879</v>
      </c>
      <c r="M155" s="5" t="n">
        <f aca="false">(I$60-I155)*L155</f>
        <v>89.6816496090149</v>
      </c>
      <c r="N155" s="5"/>
      <c r="O155" s="5"/>
      <c r="P155" s="5"/>
      <c r="Q155" s="5"/>
    </row>
    <row r="156" customFormat="false" ht="12.75" hidden="false" customHeight="false" outlineLevel="0" collapsed="false">
      <c r="A156" s="5"/>
      <c r="B156" s="5" t="n">
        <v>0.62</v>
      </c>
      <c r="C156" s="5" t="n">
        <f aca="false">B156*VOFLB</f>
        <v>16.12</v>
      </c>
      <c r="D156" s="5" t="e">
        <f aca="false">C156*(ActR7+1000*Set_R9)/(ActR7+ActR8+Set_R9*1000)</f>
        <v>#N/A</v>
      </c>
      <c r="E156" s="90" t="e">
        <f aca="false">IF(C156*(1000*Set_R9+ActR7)/((1000*Set_R9+ActR7+ActR8)*(Set_Rs*Gain/2))&gt;B$25,B$25,C156*(1000*Set_R9+ActR7)/((1000*Set_R9+ActR7+ActR8)*(Set_Rs*Gain/2)))</f>
        <v>#N/A</v>
      </c>
      <c r="F156" s="90" t="e">
        <f aca="false">IF(D156&lt;0.2,0.2/(Set_Rs*Gain/2),E156)</f>
        <v>#N/A</v>
      </c>
      <c r="G156" s="5" t="e">
        <f aca="false">(C$60-C156)*F156</f>
        <v>#N/A</v>
      </c>
      <c r="H156" s="5" t="n">
        <v>0.72000000000001</v>
      </c>
      <c r="I156" s="5" t="n">
        <f aca="false">H156*VOFLB</f>
        <v>18.7200000000003</v>
      </c>
      <c r="J156" s="5" t="n">
        <f aca="false">I156*ActR9_sw/(ActR7_sw+ActR9_sw+Set_R8*1000)</f>
        <v>0.721159153633866</v>
      </c>
      <c r="K156" s="91" t="n">
        <f aca="false">IF(J156/(0.5*Set_Rs*Gain) &gt;B$25,B$25,J156/(0.5*Set_Rs*Gain))</f>
        <v>7.21159153633866</v>
      </c>
      <c r="L156" s="91" t="n">
        <f aca="false">IF(J156&lt;0.2,0.2/(0.5*Set_Rs*Gain),K156)</f>
        <v>7.21159153633866</v>
      </c>
      <c r="M156" s="5" t="n">
        <f aca="false">(I$60-I156)*L156</f>
        <v>90.0006623735043</v>
      </c>
      <c r="N156" s="5"/>
      <c r="O156" s="5"/>
      <c r="P156" s="5"/>
      <c r="Q156" s="5"/>
    </row>
    <row r="157" customFormat="false" ht="12.75" hidden="false" customHeight="false" outlineLevel="0" collapsed="false">
      <c r="A157" s="5"/>
      <c r="B157" s="5" t="n">
        <v>0.615</v>
      </c>
      <c r="C157" s="5" t="n">
        <f aca="false">B157*VOFLB</f>
        <v>15.99</v>
      </c>
      <c r="D157" s="5" t="e">
        <f aca="false">C157*(ActR7+1000*Set_R9)/(ActR7+ActR8+Set_R9*1000)</f>
        <v>#N/A</v>
      </c>
      <c r="E157" s="90" t="e">
        <f aca="false">IF(C157*(1000*Set_R9+ActR7)/((1000*Set_R9+ActR7+ActR8)*(Set_Rs*Gain/2))&gt;B$25,B$25,C157*(1000*Set_R9+ActR7)/((1000*Set_R9+ActR7+ActR8)*(Set_Rs*Gain/2)))</f>
        <v>#N/A</v>
      </c>
      <c r="F157" s="90" t="e">
        <f aca="false">IF(D157&lt;0.2,0.2/(Set_Rs*Gain/2),E157)</f>
        <v>#N/A</v>
      </c>
      <c r="G157" s="5" t="e">
        <f aca="false">(C$60-C157)*F157</f>
        <v>#N/A</v>
      </c>
      <c r="H157" s="5" t="n">
        <v>0.71500000000001</v>
      </c>
      <c r="I157" s="5" t="n">
        <f aca="false">H157*VOFLB</f>
        <v>18.5900000000003</v>
      </c>
      <c r="J157" s="5" t="n">
        <f aca="false">I157*ActR9_sw/(ActR7_sw+ActR9_sw+Set_R8*1000)</f>
        <v>0.716151103955853</v>
      </c>
      <c r="K157" s="91" t="n">
        <f aca="false">IF(J157/(0.5*Set_Rs*Gain) &gt;B$25,B$25,J157/(0.5*Set_Rs*Gain))</f>
        <v>7.16151103955853</v>
      </c>
      <c r="L157" s="91" t="n">
        <f aca="false">IF(J157&lt;0.2,0.2/(0.5*Set_Rs*Gain),K157)</f>
        <v>7.16151103955853</v>
      </c>
      <c r="M157" s="5" t="n">
        <f aca="false">(I$60-I157)*L157</f>
        <v>90.306654208831</v>
      </c>
      <c r="N157" s="5"/>
      <c r="O157" s="5"/>
      <c r="P157" s="5"/>
      <c r="Q157" s="5"/>
    </row>
    <row r="158" customFormat="false" ht="12.75" hidden="false" customHeight="false" outlineLevel="0" collapsed="false">
      <c r="A158" s="5"/>
      <c r="B158" s="5" t="n">
        <v>0.61</v>
      </c>
      <c r="C158" s="5" t="n">
        <f aca="false">B158*VOFLB</f>
        <v>15.86</v>
      </c>
      <c r="D158" s="5" t="e">
        <f aca="false">C158*(ActR7+1000*Set_R9)/(ActR7+ActR8+Set_R9*1000)</f>
        <v>#N/A</v>
      </c>
      <c r="E158" s="90" t="e">
        <f aca="false">IF(C158*(1000*Set_R9+ActR7)/((1000*Set_R9+ActR7+ActR8)*(Set_Rs*Gain/2))&gt;B$25,B$25,C158*(1000*Set_R9+ActR7)/((1000*Set_R9+ActR7+ActR8)*(Set_Rs*Gain/2)))</f>
        <v>#N/A</v>
      </c>
      <c r="F158" s="90" t="e">
        <f aca="false">IF(D158&lt;0.2,0.2/(Set_Rs*Gain/2),E158)</f>
        <v>#N/A</v>
      </c>
      <c r="G158" s="5" t="e">
        <f aca="false">(C$60-C158)*F158</f>
        <v>#N/A</v>
      </c>
      <c r="H158" s="5" t="n">
        <v>0.71000000000001</v>
      </c>
      <c r="I158" s="5" t="n">
        <f aca="false">H158*VOFLB</f>
        <v>18.4600000000003</v>
      </c>
      <c r="J158" s="5" t="n">
        <f aca="false">I158*ActR9_sw/(ActR7_sw+ActR9_sw+Set_R8*1000)</f>
        <v>0.71114305427784</v>
      </c>
      <c r="K158" s="91" t="n">
        <f aca="false">IF(J158/(0.5*Set_Rs*Gain) &gt;B$25,B$25,J158/(0.5*Set_Rs*Gain))</f>
        <v>7.1114305427784</v>
      </c>
      <c r="L158" s="91" t="n">
        <f aca="false">IF(J158&lt;0.2,0.2/(0.5*Set_Rs*Gain),K158)</f>
        <v>7.1114305427784</v>
      </c>
      <c r="M158" s="5" t="n">
        <f aca="false">(I$60-I158)*L158</f>
        <v>90.5996251149947</v>
      </c>
      <c r="N158" s="5"/>
      <c r="O158" s="5"/>
      <c r="P158" s="5"/>
      <c r="Q158" s="5"/>
    </row>
    <row r="159" customFormat="false" ht="12.75" hidden="false" customHeight="false" outlineLevel="0" collapsed="false">
      <c r="A159" s="5"/>
      <c r="B159" s="5" t="n">
        <v>0.605</v>
      </c>
      <c r="C159" s="5" t="n">
        <f aca="false">B159*VOFLB</f>
        <v>15.73</v>
      </c>
      <c r="D159" s="5" t="e">
        <f aca="false">C159*(ActR7+1000*Set_R9)/(ActR7+ActR8+Set_R9*1000)</f>
        <v>#N/A</v>
      </c>
      <c r="E159" s="90" t="e">
        <f aca="false">IF(C159*(1000*Set_R9+ActR7)/((1000*Set_R9+ActR7+ActR8)*(Set_Rs*Gain/2))&gt;B$25,B$25,C159*(1000*Set_R9+ActR7)/((1000*Set_R9+ActR7+ActR8)*(Set_Rs*Gain/2)))</f>
        <v>#N/A</v>
      </c>
      <c r="F159" s="90" t="e">
        <f aca="false">IF(D159&lt;0.2,0.2/(Set_Rs*Gain/2),E159)</f>
        <v>#N/A</v>
      </c>
      <c r="G159" s="5" t="e">
        <f aca="false">(C$60-C159)*F159</f>
        <v>#N/A</v>
      </c>
      <c r="H159" s="5" t="n">
        <v>0.705000000000011</v>
      </c>
      <c r="I159" s="5" t="n">
        <f aca="false">H159*VOFLB</f>
        <v>18.3300000000003</v>
      </c>
      <c r="J159" s="5" t="n">
        <f aca="false">I159*ActR9_sw/(ActR7_sw+ActR9_sw+Set_R8*1000)</f>
        <v>0.706135004599828</v>
      </c>
      <c r="K159" s="91" t="n">
        <f aca="false">IF(J159/(0.5*Set_Rs*Gain) &gt;B$25,B$25,J159/(0.5*Set_Rs*Gain))</f>
        <v>7.06135004599828</v>
      </c>
      <c r="L159" s="91" t="n">
        <f aca="false">IF(J159&lt;0.2,0.2/(0.5*Set_Rs*Gain),K159)</f>
        <v>7.06135004599828</v>
      </c>
      <c r="M159" s="5" t="n">
        <f aca="false">(I$60-I159)*L159</f>
        <v>90.8795750919957</v>
      </c>
      <c r="N159" s="5"/>
      <c r="O159" s="5"/>
      <c r="P159" s="5"/>
      <c r="Q159" s="5"/>
    </row>
    <row r="160" customFormat="false" ht="12.75" hidden="false" customHeight="false" outlineLevel="0" collapsed="false">
      <c r="A160" s="5"/>
      <c r="B160" s="5" t="n">
        <v>0.6</v>
      </c>
      <c r="C160" s="5" t="n">
        <f aca="false">B160*VOFLB</f>
        <v>15.6</v>
      </c>
      <c r="D160" s="5" t="e">
        <f aca="false">C160*(ActR7+1000*Set_R9)/(ActR7+ActR8+Set_R9*1000)</f>
        <v>#N/A</v>
      </c>
      <c r="E160" s="90" t="e">
        <f aca="false">IF(C160*(1000*Set_R9+ActR7)/((1000*Set_R9+ActR7+ActR8)*(Set_Rs*Gain/2))&gt;B$25,B$25,C160*(1000*Set_R9+ActR7)/((1000*Set_R9+ActR7+ActR8)*(Set_Rs*Gain/2)))</f>
        <v>#N/A</v>
      </c>
      <c r="F160" s="90" t="e">
        <f aca="false">IF(D160&lt;0.2,0.2/(Set_Rs*Gain/2),E160)</f>
        <v>#N/A</v>
      </c>
      <c r="G160" s="5" t="e">
        <f aca="false">(C$60-C160)*F160</f>
        <v>#N/A</v>
      </c>
      <c r="H160" s="5" t="n">
        <v>0.700000000000011</v>
      </c>
      <c r="I160" s="5" t="n">
        <f aca="false">H160*VOFLB</f>
        <v>18.2000000000003</v>
      </c>
      <c r="J160" s="5" t="n">
        <f aca="false">I160*ActR9_sw/(ActR7_sw+ActR9_sw+Set_R8*1000)</f>
        <v>0.701126954921815</v>
      </c>
      <c r="K160" s="91" t="n">
        <f aca="false">IF(J160/(0.5*Set_Rs*Gain) &gt;B$25,B$25,J160/(0.5*Set_Rs*Gain))</f>
        <v>7.01126954921815</v>
      </c>
      <c r="L160" s="91" t="n">
        <f aca="false">IF(J160&lt;0.2,0.2/(0.5*Set_Rs*Gain),K160)</f>
        <v>7.01126954921815</v>
      </c>
      <c r="M160" s="5" t="n">
        <f aca="false">(I$60-I160)*L160</f>
        <v>91.1465041398338</v>
      </c>
      <c r="N160" s="5"/>
      <c r="O160" s="5"/>
      <c r="P160" s="5"/>
      <c r="Q160" s="5"/>
    </row>
    <row r="161" customFormat="false" ht="12.75" hidden="false" customHeight="false" outlineLevel="0" collapsed="false">
      <c r="A161" s="5"/>
      <c r="B161" s="5" t="n">
        <v>0.595</v>
      </c>
      <c r="C161" s="5" t="n">
        <f aca="false">B161*VOFLB</f>
        <v>15.47</v>
      </c>
      <c r="D161" s="5" t="e">
        <f aca="false">C161*(ActR7+1000*Set_R9)/(ActR7+ActR8+Set_R9*1000)</f>
        <v>#N/A</v>
      </c>
      <c r="E161" s="90" t="e">
        <f aca="false">IF(C161*(1000*Set_R9+ActR7)/((1000*Set_R9+ActR7+ActR8)*(Set_Rs*Gain/2))&gt;B$25,B$25,C161*(1000*Set_R9+ActR7)/((1000*Set_R9+ActR7+ActR8)*(Set_Rs*Gain/2)))</f>
        <v>#N/A</v>
      </c>
      <c r="F161" s="90" t="e">
        <f aca="false">IF(D161&lt;0.2,0.2/(Set_Rs*Gain/2),E161)</f>
        <v>#N/A</v>
      </c>
      <c r="G161" s="5" t="e">
        <f aca="false">(C$60-C161)*F161</f>
        <v>#N/A</v>
      </c>
      <c r="H161" s="5" t="n">
        <v>0.695000000000011</v>
      </c>
      <c r="I161" s="5" t="n">
        <f aca="false">H161*VOFLB</f>
        <v>18.0700000000003</v>
      </c>
      <c r="J161" s="5" t="n">
        <f aca="false">I161*ActR9_sw/(ActR7_sw+ActR9_sw+Set_R8*1000)</f>
        <v>0.696118905243802</v>
      </c>
      <c r="K161" s="91" t="n">
        <f aca="false">IF(J161/(0.5*Set_Rs*Gain) &gt;B$25,B$25,J161/(0.5*Set_Rs*Gain))</f>
        <v>6.96118905243802</v>
      </c>
      <c r="L161" s="91" t="n">
        <f aca="false">IF(J161&lt;0.2,0.2/(0.5*Set_Rs*Gain),K161)</f>
        <v>6.96118905243802</v>
      </c>
      <c r="M161" s="5" t="n">
        <f aca="false">(I$60-I161)*L161</f>
        <v>91.4004122585091</v>
      </c>
      <c r="N161" s="5"/>
      <c r="O161" s="5"/>
      <c r="P161" s="5"/>
      <c r="Q161" s="5"/>
    </row>
    <row r="162" customFormat="false" ht="12.75" hidden="false" customHeight="false" outlineLevel="0" collapsed="false">
      <c r="A162" s="5"/>
      <c r="B162" s="5" t="n">
        <v>0.59</v>
      </c>
      <c r="C162" s="5" t="n">
        <f aca="false">B162*VOFLB</f>
        <v>15.34</v>
      </c>
      <c r="D162" s="5" t="e">
        <f aca="false">C162*(ActR7+1000*Set_R9)/(ActR7+ActR8+Set_R9*1000)</f>
        <v>#N/A</v>
      </c>
      <c r="E162" s="90" t="e">
        <f aca="false">IF(C162*(1000*Set_R9+ActR7)/((1000*Set_R9+ActR7+ActR8)*(Set_Rs*Gain/2))&gt;B$25,B$25,C162*(1000*Set_R9+ActR7)/((1000*Set_R9+ActR7+ActR8)*(Set_Rs*Gain/2)))</f>
        <v>#N/A</v>
      </c>
      <c r="F162" s="90" t="e">
        <f aca="false">IF(D162&lt;0.2,0.2/(Set_Rs*Gain/2),E162)</f>
        <v>#N/A</v>
      </c>
      <c r="G162" s="5" t="e">
        <f aca="false">(C$60-C162)*F162</f>
        <v>#N/A</v>
      </c>
      <c r="H162" s="5" t="n">
        <v>0.690000000000011</v>
      </c>
      <c r="I162" s="5" t="n">
        <f aca="false">H162*VOFLB</f>
        <v>17.9400000000003</v>
      </c>
      <c r="J162" s="5" t="n">
        <f aca="false">I162*ActR9_sw/(ActR7_sw+ActR9_sw+Set_R8*1000)</f>
        <v>0.691110855565789</v>
      </c>
      <c r="K162" s="91" t="n">
        <f aca="false">IF(J162/(0.5*Set_Rs*Gain) &gt;B$25,B$25,J162/(0.5*Set_Rs*Gain))</f>
        <v>6.91110855565789</v>
      </c>
      <c r="L162" s="91" t="n">
        <f aca="false">IF(J162&lt;0.2,0.2/(0.5*Set_Rs*Gain),K162)</f>
        <v>6.91110855565789</v>
      </c>
      <c r="M162" s="5" t="n">
        <f aca="false">(I$60-I162)*L162</f>
        <v>91.6412994480215</v>
      </c>
      <c r="N162" s="5"/>
      <c r="O162" s="5"/>
      <c r="P162" s="5"/>
      <c r="Q162" s="5"/>
    </row>
    <row r="163" customFormat="false" ht="12.75" hidden="false" customHeight="false" outlineLevel="0" collapsed="false">
      <c r="A163" s="5"/>
      <c r="B163" s="5" t="n">
        <v>0.585</v>
      </c>
      <c r="C163" s="5" t="n">
        <f aca="false">B163*VOFLB</f>
        <v>15.21</v>
      </c>
      <c r="D163" s="5" t="e">
        <f aca="false">C163*(ActR7+1000*Set_R9)/(ActR7+ActR8+Set_R9*1000)</f>
        <v>#N/A</v>
      </c>
      <c r="E163" s="90" t="e">
        <f aca="false">IF(C163*(1000*Set_R9+ActR7)/((1000*Set_R9+ActR7+ActR8)*(Set_Rs*Gain/2))&gt;B$25,B$25,C163*(1000*Set_R9+ActR7)/((1000*Set_R9+ActR7+ActR8)*(Set_Rs*Gain/2)))</f>
        <v>#N/A</v>
      </c>
      <c r="F163" s="90" t="e">
        <f aca="false">IF(D163&lt;0.2,0.2/(Set_Rs*Gain/2),E163)</f>
        <v>#N/A</v>
      </c>
      <c r="G163" s="5" t="e">
        <f aca="false">(C$60-C163)*F163</f>
        <v>#N/A</v>
      </c>
      <c r="H163" s="5" t="n">
        <v>0.685000000000011</v>
      </c>
      <c r="I163" s="5" t="n">
        <f aca="false">H163*VOFLB</f>
        <v>17.8100000000003</v>
      </c>
      <c r="J163" s="5" t="n">
        <f aca="false">I163*ActR9_sw/(ActR7_sw+ActR9_sw+Set_R8*1000)</f>
        <v>0.686102805887776</v>
      </c>
      <c r="K163" s="91" t="n">
        <f aca="false">IF(J163/(0.5*Set_Rs*Gain) &gt;B$25,B$25,J163/(0.5*Set_Rs*Gain))</f>
        <v>6.86102805887776</v>
      </c>
      <c r="L163" s="91" t="n">
        <f aca="false">IF(J163&lt;0.2,0.2/(0.5*Set_Rs*Gain),K163)</f>
        <v>6.86102805887776</v>
      </c>
      <c r="M163" s="5" t="n">
        <f aca="false">(I$60-I163)*L163</f>
        <v>91.8691657083711</v>
      </c>
      <c r="N163" s="5"/>
      <c r="O163" s="5"/>
      <c r="P163" s="5"/>
      <c r="Q163" s="5"/>
    </row>
    <row r="164" customFormat="false" ht="12.75" hidden="false" customHeight="false" outlineLevel="0" collapsed="false">
      <c r="A164" s="5"/>
      <c r="B164" s="5" t="n">
        <v>0.58</v>
      </c>
      <c r="C164" s="5" t="n">
        <f aca="false">B164*VOFLB</f>
        <v>15.08</v>
      </c>
      <c r="D164" s="5" t="e">
        <f aca="false">C164*(ActR7+1000*Set_R9)/(ActR7+ActR8+Set_R9*1000)</f>
        <v>#N/A</v>
      </c>
      <c r="E164" s="90" t="e">
        <f aca="false">IF(C164*(1000*Set_R9+ActR7)/((1000*Set_R9+ActR7+ActR8)*(Set_Rs*Gain/2))&gt;B$25,B$25,C164*(1000*Set_R9+ActR7)/((1000*Set_R9+ActR7+ActR8)*(Set_Rs*Gain/2)))</f>
        <v>#N/A</v>
      </c>
      <c r="F164" s="90" t="e">
        <f aca="false">IF(D164&lt;0.2,0.2/(Set_Rs*Gain/2),E164)</f>
        <v>#N/A</v>
      </c>
      <c r="G164" s="5" t="e">
        <f aca="false">(C$60-C164)*F164</f>
        <v>#N/A</v>
      </c>
      <c r="H164" s="5" t="n">
        <v>0.680000000000011</v>
      </c>
      <c r="I164" s="5" t="n">
        <f aca="false">H164*VOFLB</f>
        <v>17.6800000000003</v>
      </c>
      <c r="J164" s="5" t="n">
        <f aca="false">I164*ActR9_sw/(ActR7_sw+ActR9_sw+Set_R8*1000)</f>
        <v>0.681094756209763</v>
      </c>
      <c r="K164" s="91" t="n">
        <f aca="false">IF(J164/(0.5*Set_Rs*Gain) &gt;B$25,B$25,J164/(0.5*Set_Rs*Gain))</f>
        <v>6.81094756209763</v>
      </c>
      <c r="L164" s="91" t="n">
        <f aca="false">IF(J164&lt;0.2,0.2/(0.5*Set_Rs*Gain),K164)</f>
        <v>6.81094756209763</v>
      </c>
      <c r="M164" s="5" t="n">
        <f aca="false">(I$60-I164)*L164</f>
        <v>92.0840110395579</v>
      </c>
      <c r="N164" s="5"/>
      <c r="O164" s="5"/>
      <c r="P164" s="5"/>
      <c r="Q164" s="5"/>
    </row>
    <row r="165" customFormat="false" ht="12.75" hidden="false" customHeight="false" outlineLevel="0" collapsed="false">
      <c r="A165" s="5"/>
      <c r="B165" s="5" t="n">
        <v>0.575</v>
      </c>
      <c r="C165" s="5" t="n">
        <f aca="false">B165*VOFLB</f>
        <v>14.95</v>
      </c>
      <c r="D165" s="5" t="e">
        <f aca="false">C165*(ActR7+1000*Set_R9)/(ActR7+ActR8+Set_R9*1000)</f>
        <v>#N/A</v>
      </c>
      <c r="E165" s="90" t="e">
        <f aca="false">IF(C165*(1000*Set_R9+ActR7)/((1000*Set_R9+ActR7+ActR8)*(Set_Rs*Gain/2))&gt;B$25,B$25,C165*(1000*Set_R9+ActR7)/((1000*Set_R9+ActR7+ActR8)*(Set_Rs*Gain/2)))</f>
        <v>#N/A</v>
      </c>
      <c r="F165" s="90" t="e">
        <f aca="false">IF(D165&lt;0.2,0.2/(Set_Rs*Gain/2),E165)</f>
        <v>#N/A</v>
      </c>
      <c r="G165" s="5" t="e">
        <f aca="false">(C$60-C165)*F165</f>
        <v>#N/A</v>
      </c>
      <c r="H165" s="5" t="n">
        <v>0.675000000000011</v>
      </c>
      <c r="I165" s="5" t="n">
        <f aca="false">H165*VOFLB</f>
        <v>17.5500000000003</v>
      </c>
      <c r="J165" s="5" t="n">
        <f aca="false">I165*ActR9_sw/(ActR7_sw+ActR9_sw+Set_R8*1000)</f>
        <v>0.67608670653175</v>
      </c>
      <c r="K165" s="91" t="n">
        <f aca="false">IF(J165/(0.5*Set_Rs*Gain) &gt;B$25,B$25,J165/(0.5*Set_Rs*Gain))</f>
        <v>6.7608670653175</v>
      </c>
      <c r="L165" s="91" t="n">
        <f aca="false">IF(J165&lt;0.2,0.2/(0.5*Set_Rs*Gain),K165)</f>
        <v>6.7608670653175</v>
      </c>
      <c r="M165" s="5" t="n">
        <f aca="false">(I$60-I165)*L165</f>
        <v>92.2858354415819</v>
      </c>
      <c r="N165" s="5"/>
      <c r="O165" s="5"/>
      <c r="P165" s="5"/>
      <c r="Q165" s="5"/>
    </row>
    <row r="166" customFormat="false" ht="12.75" hidden="false" customHeight="false" outlineLevel="0" collapsed="false">
      <c r="A166" s="5"/>
      <c r="B166" s="5" t="n">
        <v>0.57</v>
      </c>
      <c r="C166" s="5" t="n">
        <f aca="false">B166*VOFLB</f>
        <v>14.82</v>
      </c>
      <c r="D166" s="5" t="e">
        <f aca="false">C166*(ActR7+1000*Set_R9)/(ActR7+ActR8+Set_R9*1000)</f>
        <v>#N/A</v>
      </c>
      <c r="E166" s="90" t="e">
        <f aca="false">IF(C166*(1000*Set_R9+ActR7)/((1000*Set_R9+ActR7+ActR8)*(Set_Rs*Gain/2))&gt;B$25,B$25,C166*(1000*Set_R9+ActR7)/((1000*Set_R9+ActR7+ActR8)*(Set_Rs*Gain/2)))</f>
        <v>#N/A</v>
      </c>
      <c r="F166" s="90" t="e">
        <f aca="false">IF(D166&lt;0.2,0.2/(Set_Rs*Gain/2),E166)</f>
        <v>#N/A</v>
      </c>
      <c r="G166" s="5" t="e">
        <f aca="false">(C$60-C166)*F166</f>
        <v>#N/A</v>
      </c>
      <c r="H166" s="5" t="n">
        <v>0.670000000000011</v>
      </c>
      <c r="I166" s="5" t="n">
        <f aca="false">H166*VOFLB</f>
        <v>17.4200000000003</v>
      </c>
      <c r="J166" s="5" t="n">
        <f aca="false">I166*ActR9_sw/(ActR7_sw+ActR9_sw+Set_R8*1000)</f>
        <v>0.671078656853737</v>
      </c>
      <c r="K166" s="91" t="n">
        <f aca="false">IF(J166/(0.5*Set_Rs*Gain) &gt;B$25,B$25,J166/(0.5*Set_Rs*Gain))</f>
        <v>6.71078656853737</v>
      </c>
      <c r="L166" s="91" t="n">
        <f aca="false">IF(J166&lt;0.2,0.2/(0.5*Set_Rs*Gain),K166)</f>
        <v>6.71078656853737</v>
      </c>
      <c r="M166" s="5" t="n">
        <f aca="false">(I$60-I166)*L166</f>
        <v>92.474638914443</v>
      </c>
      <c r="N166" s="5"/>
      <c r="O166" s="5"/>
      <c r="P166" s="5"/>
      <c r="Q166" s="5"/>
    </row>
    <row r="167" customFormat="false" ht="12.75" hidden="false" customHeight="false" outlineLevel="0" collapsed="false">
      <c r="A167" s="5"/>
      <c r="B167" s="5" t="n">
        <v>0.565</v>
      </c>
      <c r="C167" s="5" t="n">
        <f aca="false">B167*VOFLB</f>
        <v>14.69</v>
      </c>
      <c r="D167" s="5" t="e">
        <f aca="false">C167*(ActR7+1000*Set_R9)/(ActR7+ActR8+Set_R9*1000)</f>
        <v>#N/A</v>
      </c>
      <c r="E167" s="90" t="e">
        <f aca="false">IF(C167*(1000*Set_R9+ActR7)/((1000*Set_R9+ActR7+ActR8)*(Set_Rs*Gain/2))&gt;B$25,B$25,C167*(1000*Set_R9+ActR7)/((1000*Set_R9+ActR7+ActR8)*(Set_Rs*Gain/2)))</f>
        <v>#N/A</v>
      </c>
      <c r="F167" s="90" t="e">
        <f aca="false">IF(D167&lt;0.2,0.2/(Set_Rs*Gain/2),E167)</f>
        <v>#N/A</v>
      </c>
      <c r="G167" s="5" t="e">
        <f aca="false">(C$60-C167)*F167</f>
        <v>#N/A</v>
      </c>
      <c r="H167" s="5" t="n">
        <v>0.665000000000011</v>
      </c>
      <c r="I167" s="5" t="n">
        <f aca="false">H167*VOFLB</f>
        <v>17.2900000000003</v>
      </c>
      <c r="J167" s="5" t="n">
        <f aca="false">I167*ActR9_sw/(ActR7_sw+ActR9_sw+Set_R8*1000)</f>
        <v>0.666070607175725</v>
      </c>
      <c r="K167" s="91" t="n">
        <f aca="false">IF(J167/(0.5*Set_Rs*Gain) &gt;B$25,B$25,J167/(0.5*Set_Rs*Gain))</f>
        <v>6.66070607175725</v>
      </c>
      <c r="L167" s="91" t="n">
        <f aca="false">IF(J167&lt;0.2,0.2/(0.5*Set_Rs*Gain),K167)</f>
        <v>6.66070607175725</v>
      </c>
      <c r="M167" s="5" t="n">
        <f aca="false">(I$60-I167)*L167</f>
        <v>92.6504214581413</v>
      </c>
      <c r="N167" s="5"/>
      <c r="O167" s="5"/>
      <c r="P167" s="5"/>
      <c r="Q167" s="5"/>
    </row>
    <row r="168" customFormat="false" ht="12.75" hidden="false" customHeight="false" outlineLevel="0" collapsed="false">
      <c r="A168" s="5"/>
      <c r="B168" s="5" t="n">
        <v>0.56</v>
      </c>
      <c r="C168" s="5" t="n">
        <f aca="false">B168*VOFLB</f>
        <v>14.56</v>
      </c>
      <c r="D168" s="5" t="e">
        <f aca="false">C168*(ActR7+1000*Set_R9)/(ActR7+ActR8+Set_R9*1000)</f>
        <v>#N/A</v>
      </c>
      <c r="E168" s="90" t="e">
        <f aca="false">IF(C168*(1000*Set_R9+ActR7)/((1000*Set_R9+ActR7+ActR8)*(Set_Rs*Gain/2))&gt;B$25,B$25,C168*(1000*Set_R9+ActR7)/((1000*Set_R9+ActR7+ActR8)*(Set_Rs*Gain/2)))</f>
        <v>#N/A</v>
      </c>
      <c r="F168" s="90" t="e">
        <f aca="false">IF(D168&lt;0.2,0.2/(Set_Rs*Gain/2),E168)</f>
        <v>#N/A</v>
      </c>
      <c r="G168" s="5" t="e">
        <f aca="false">(C$60-C168)*F168</f>
        <v>#N/A</v>
      </c>
      <c r="H168" s="5" t="n">
        <v>0.660000000000012</v>
      </c>
      <c r="I168" s="5" t="n">
        <f aca="false">H168*VOFLB</f>
        <v>17.1600000000003</v>
      </c>
      <c r="J168" s="5" t="n">
        <f aca="false">I168*ActR9_sw/(ActR7_sw+ActR9_sw+Set_R8*1000)</f>
        <v>0.661062557497712</v>
      </c>
      <c r="K168" s="91" t="n">
        <f aca="false">IF(J168/(0.5*Set_Rs*Gain) &gt;B$25,B$25,J168/(0.5*Set_Rs*Gain))</f>
        <v>6.61062557497712</v>
      </c>
      <c r="L168" s="91" t="n">
        <f aca="false">IF(J168&lt;0.2,0.2/(0.5*Set_Rs*Gain),K168)</f>
        <v>6.61062557497712</v>
      </c>
      <c r="M168" s="5" t="n">
        <f aca="false">(I$60-I168)*L168</f>
        <v>92.8131830726767</v>
      </c>
      <c r="N168" s="5"/>
      <c r="O168" s="5"/>
      <c r="P168" s="5"/>
      <c r="Q168" s="5"/>
    </row>
    <row r="169" customFormat="false" ht="12.75" hidden="false" customHeight="false" outlineLevel="0" collapsed="false">
      <c r="A169" s="5"/>
      <c r="B169" s="5" t="n">
        <v>0.555</v>
      </c>
      <c r="C169" s="5" t="n">
        <f aca="false">B169*VOFLB</f>
        <v>14.43</v>
      </c>
      <c r="D169" s="5" t="e">
        <f aca="false">C169*(ActR7+1000*Set_R9)/(ActR7+ActR8+Set_R9*1000)</f>
        <v>#N/A</v>
      </c>
      <c r="E169" s="90" t="e">
        <f aca="false">IF(C169*(1000*Set_R9+ActR7)/((1000*Set_R9+ActR7+ActR8)*(Set_Rs*Gain/2))&gt;B$25,B$25,C169*(1000*Set_R9+ActR7)/((1000*Set_R9+ActR7+ActR8)*(Set_Rs*Gain/2)))</f>
        <v>#N/A</v>
      </c>
      <c r="F169" s="90" t="e">
        <f aca="false">IF(D169&lt;0.2,0.2/(Set_Rs*Gain/2),E169)</f>
        <v>#N/A</v>
      </c>
      <c r="G169" s="5" t="e">
        <f aca="false">(C$60-C169)*F169</f>
        <v>#N/A</v>
      </c>
      <c r="H169" s="5" t="n">
        <v>0.655000000000012</v>
      </c>
      <c r="I169" s="5" t="n">
        <f aca="false">H169*VOFLB</f>
        <v>17.0300000000003</v>
      </c>
      <c r="J169" s="5" t="n">
        <f aca="false">I169*ActR9_sw/(ActR7_sw+ActR9_sw+Set_R8*1000)</f>
        <v>0.656054507819699</v>
      </c>
      <c r="K169" s="91" t="n">
        <f aca="false">IF(J169/(0.5*Set_Rs*Gain) &gt;B$25,B$25,J169/(0.5*Set_Rs*Gain))</f>
        <v>6.56054507819699</v>
      </c>
      <c r="L169" s="91" t="n">
        <f aca="false">IF(J169&lt;0.2,0.2/(0.5*Set_Rs*Gain),K169)</f>
        <v>6.56054507819699</v>
      </c>
      <c r="M169" s="5" t="n">
        <f aca="false">(I$60-I169)*L169</f>
        <v>92.9629237580493</v>
      </c>
      <c r="N169" s="5"/>
      <c r="O169" s="5"/>
      <c r="P169" s="5"/>
      <c r="Q169" s="5"/>
    </row>
    <row r="170" customFormat="false" ht="12.75" hidden="false" customHeight="false" outlineLevel="0" collapsed="false">
      <c r="A170" s="5"/>
      <c r="B170" s="5" t="n">
        <v>0.55</v>
      </c>
      <c r="C170" s="5" t="n">
        <f aca="false">B170*VOFLB</f>
        <v>14.3</v>
      </c>
      <c r="D170" s="5" t="e">
        <f aca="false">C170*(ActR7+1000*Set_R9)/(ActR7+ActR8+Set_R9*1000)</f>
        <v>#N/A</v>
      </c>
      <c r="E170" s="90" t="e">
        <f aca="false">IF(C170*(1000*Set_R9+ActR7)/((1000*Set_R9+ActR7+ActR8)*(Set_Rs*Gain/2))&gt;B$25,B$25,C170*(1000*Set_R9+ActR7)/((1000*Set_R9+ActR7+ActR8)*(Set_Rs*Gain/2)))</f>
        <v>#N/A</v>
      </c>
      <c r="F170" s="90" t="e">
        <f aca="false">IF(D170&lt;0.2,0.2/(Set_Rs*Gain/2),E170)</f>
        <v>#N/A</v>
      </c>
      <c r="G170" s="5" t="e">
        <f aca="false">(C$60-C170)*F170</f>
        <v>#N/A</v>
      </c>
      <c r="H170" s="5" t="n">
        <v>0.650000000000012</v>
      </c>
      <c r="I170" s="5" t="n">
        <f aca="false">H170*VOFLB</f>
        <v>16.9000000000003</v>
      </c>
      <c r="J170" s="5" t="n">
        <f aca="false">I170*ActR9_sw/(ActR7_sw+ActR9_sw+Set_R8*1000)</f>
        <v>0.651046458141686</v>
      </c>
      <c r="K170" s="91" t="n">
        <f aca="false">IF(J170/(0.5*Set_Rs*Gain) &gt;B$25,B$25,J170/(0.5*Set_Rs*Gain))</f>
        <v>6.51046458141686</v>
      </c>
      <c r="L170" s="91" t="n">
        <f aca="false">IF(J170&lt;0.2,0.2/(0.5*Set_Rs*Gain),K170)</f>
        <v>6.51046458141686</v>
      </c>
      <c r="M170" s="5" t="n">
        <f aca="false">(I$60-I170)*L170</f>
        <v>93.0996435142591</v>
      </c>
      <c r="N170" s="5"/>
      <c r="O170" s="5"/>
      <c r="P170" s="5"/>
      <c r="Q170" s="5"/>
    </row>
    <row r="171" customFormat="false" ht="12.75" hidden="false" customHeight="false" outlineLevel="0" collapsed="false">
      <c r="A171" s="5"/>
      <c r="B171" s="5" t="n">
        <v>0.545</v>
      </c>
      <c r="C171" s="5" t="n">
        <f aca="false">B171*VOFLB</f>
        <v>14.17</v>
      </c>
      <c r="D171" s="5" t="e">
        <f aca="false">C171*(ActR7+1000*Set_R9)/(ActR7+ActR8+Set_R9*1000)</f>
        <v>#N/A</v>
      </c>
      <c r="E171" s="90" t="e">
        <f aca="false">IF(C171*(1000*Set_R9+ActR7)/((1000*Set_R9+ActR7+ActR8)*(Set_Rs*Gain/2))&gt;B$25,B$25,C171*(1000*Set_R9+ActR7)/((1000*Set_R9+ActR7+ActR8)*(Set_Rs*Gain/2)))</f>
        <v>#N/A</v>
      </c>
      <c r="F171" s="90" t="e">
        <f aca="false">IF(D171&lt;0.2,0.2/(Set_Rs*Gain/2),E171)</f>
        <v>#N/A</v>
      </c>
      <c r="G171" s="5" t="e">
        <f aca="false">(C$60-C171)*F171</f>
        <v>#N/A</v>
      </c>
      <c r="H171" s="5" t="n">
        <v>0.645000000000012</v>
      </c>
      <c r="I171" s="5" t="n">
        <f aca="false">H171*VOFLB</f>
        <v>16.7700000000003</v>
      </c>
      <c r="J171" s="5" t="n">
        <f aca="false">I171*ActR9_sw/(ActR7_sw+ActR9_sw+Set_R8*1000)</f>
        <v>0.646038408463673</v>
      </c>
      <c r="K171" s="91" t="n">
        <f aca="false">IF(J171/(0.5*Set_Rs*Gain) &gt;B$25,B$25,J171/(0.5*Set_Rs*Gain))</f>
        <v>6.46038408463673</v>
      </c>
      <c r="L171" s="91" t="n">
        <f aca="false">IF(J171&lt;0.2,0.2/(0.5*Set_Rs*Gain),K171)</f>
        <v>6.46038408463673</v>
      </c>
      <c r="M171" s="5" t="n">
        <f aca="false">(I$60-I171)*L171</f>
        <v>93.2233423413061</v>
      </c>
      <c r="N171" s="5"/>
      <c r="O171" s="5"/>
      <c r="P171" s="5"/>
      <c r="Q171" s="5"/>
    </row>
    <row r="172" customFormat="false" ht="12.75" hidden="false" customHeight="false" outlineLevel="0" collapsed="false">
      <c r="A172" s="5"/>
      <c r="B172" s="5" t="n">
        <v>0.54</v>
      </c>
      <c r="C172" s="5" t="n">
        <f aca="false">B172*VOFLB</f>
        <v>14.04</v>
      </c>
      <c r="D172" s="5" t="e">
        <f aca="false">C172*(ActR7+1000*Set_R9)/(ActR7+ActR8+Set_R9*1000)</f>
        <v>#N/A</v>
      </c>
      <c r="E172" s="90" t="e">
        <f aca="false">IF(C172*(1000*Set_R9+ActR7)/((1000*Set_R9+ActR7+ActR8)*(Set_Rs*Gain/2))&gt;B$25,B$25,C172*(1000*Set_R9+ActR7)/((1000*Set_R9+ActR7+ActR8)*(Set_Rs*Gain/2)))</f>
        <v>#N/A</v>
      </c>
      <c r="F172" s="90" t="e">
        <f aca="false">IF(D172&lt;0.2,0.2/(Set_Rs*Gain/2),E172)</f>
        <v>#N/A</v>
      </c>
      <c r="G172" s="5" t="e">
        <f aca="false">(C$60-C172)*F172</f>
        <v>#N/A</v>
      </c>
      <c r="H172" s="5" t="n">
        <v>0.640000000000012</v>
      </c>
      <c r="I172" s="5" t="n">
        <f aca="false">H172*VOFLB</f>
        <v>16.6400000000003</v>
      </c>
      <c r="J172" s="5" t="n">
        <f aca="false">I172*ActR9_sw/(ActR7_sw+ActR9_sw+Set_R8*1000)</f>
        <v>0.64103035878566</v>
      </c>
      <c r="K172" s="91" t="n">
        <f aca="false">IF(J172/(0.5*Set_Rs*Gain) &gt;B$25,B$25,J172/(0.5*Set_Rs*Gain))</f>
        <v>6.4103035878566</v>
      </c>
      <c r="L172" s="91" t="n">
        <f aca="false">IF(J172&lt;0.2,0.2/(0.5*Set_Rs*Gain),K172)</f>
        <v>6.4103035878566</v>
      </c>
      <c r="M172" s="5" t="n">
        <f aca="false">(I$60-I172)*L172</f>
        <v>93.3340202391902</v>
      </c>
      <c r="N172" s="5"/>
      <c r="O172" s="5"/>
      <c r="P172" s="5"/>
      <c r="Q172" s="5"/>
    </row>
    <row r="173" customFormat="false" ht="12.75" hidden="false" customHeight="false" outlineLevel="0" collapsed="false">
      <c r="A173" s="5"/>
      <c r="B173" s="5" t="n">
        <v>0.535</v>
      </c>
      <c r="C173" s="5" t="n">
        <f aca="false">B173*VOFLB</f>
        <v>13.91</v>
      </c>
      <c r="D173" s="5" t="e">
        <f aca="false">C173*(ActR7+1000*Set_R9)/(ActR7+ActR8+Set_R9*1000)</f>
        <v>#N/A</v>
      </c>
      <c r="E173" s="90" t="e">
        <f aca="false">IF(C173*(1000*Set_R9+ActR7)/((1000*Set_R9+ActR7+ActR8)*(Set_Rs*Gain/2))&gt;B$25,B$25,C173*(1000*Set_R9+ActR7)/((1000*Set_R9+ActR7+ActR8)*(Set_Rs*Gain/2)))</f>
        <v>#N/A</v>
      </c>
      <c r="F173" s="90" t="e">
        <f aca="false">IF(D173&lt;0.2,0.2/(Set_Rs*Gain/2),E173)</f>
        <v>#N/A</v>
      </c>
      <c r="G173" s="5" t="e">
        <f aca="false">(C$60-C173)*F173</f>
        <v>#N/A</v>
      </c>
      <c r="H173" s="5" t="n">
        <v>0.635000000000012</v>
      </c>
      <c r="I173" s="5" t="n">
        <f aca="false">H173*VOFLB</f>
        <v>16.5100000000003</v>
      </c>
      <c r="J173" s="5" t="n">
        <f aca="false">I173*ActR9_sw/(ActR7_sw+ActR9_sw+Set_R8*1000)</f>
        <v>0.636022309107647</v>
      </c>
      <c r="K173" s="91" t="n">
        <f aca="false">IF(J173/(0.5*Set_Rs*Gain) &gt;B$25,B$25,J173/(0.5*Set_Rs*Gain))</f>
        <v>6.36022309107647</v>
      </c>
      <c r="L173" s="91" t="n">
        <f aca="false">IF(J173&lt;0.2,0.2/(0.5*Set_Rs*Gain),K173)</f>
        <v>6.36022309107647</v>
      </c>
      <c r="M173" s="5" t="n">
        <f aca="false">(I$60-I173)*L173</f>
        <v>93.4316772079115</v>
      </c>
      <c r="N173" s="5"/>
      <c r="O173" s="5"/>
      <c r="P173" s="5"/>
      <c r="Q173" s="5"/>
    </row>
    <row r="174" customFormat="false" ht="12.75" hidden="false" customHeight="false" outlineLevel="0" collapsed="false">
      <c r="A174" s="5"/>
      <c r="B174" s="5" t="n">
        <v>0.53</v>
      </c>
      <c r="C174" s="5" t="n">
        <f aca="false">B174*VOFLB</f>
        <v>13.78</v>
      </c>
      <c r="D174" s="5" t="e">
        <f aca="false">C174*(ActR7+1000*Set_R9)/(ActR7+ActR8+Set_R9*1000)</f>
        <v>#N/A</v>
      </c>
      <c r="E174" s="90" t="e">
        <f aca="false">IF(C174*(1000*Set_R9+ActR7)/((1000*Set_R9+ActR7+ActR8)*(Set_Rs*Gain/2))&gt;B$25,B$25,C174*(1000*Set_R9+ActR7)/((1000*Set_R9+ActR7+ActR8)*(Set_Rs*Gain/2)))</f>
        <v>#N/A</v>
      </c>
      <c r="F174" s="90" t="e">
        <f aca="false">IF(D174&lt;0.2,0.2/(Set_Rs*Gain/2),E174)</f>
        <v>#N/A</v>
      </c>
      <c r="G174" s="5" t="e">
        <f aca="false">(C$60-C174)*F174</f>
        <v>#N/A</v>
      </c>
      <c r="H174" s="5" t="n">
        <v>0.630000000000012</v>
      </c>
      <c r="I174" s="5" t="n">
        <f aca="false">H174*VOFLB</f>
        <v>16.3800000000003</v>
      </c>
      <c r="J174" s="5" t="n">
        <f aca="false">I174*ActR9_sw/(ActR7_sw+ActR9_sw+Set_R8*1000)</f>
        <v>0.631014259429634</v>
      </c>
      <c r="K174" s="91" t="n">
        <f aca="false">IF(J174/(0.5*Set_Rs*Gain) &gt;B$25,B$25,J174/(0.5*Set_Rs*Gain))</f>
        <v>6.31014259429634</v>
      </c>
      <c r="L174" s="91" t="n">
        <f aca="false">IF(J174&lt;0.2,0.2/(0.5*Set_Rs*Gain),K174)</f>
        <v>6.31014259429634</v>
      </c>
      <c r="M174" s="5" t="n">
        <f aca="false">(I$60-I174)*L174</f>
        <v>93.5163132474699</v>
      </c>
      <c r="N174" s="5"/>
      <c r="O174" s="5"/>
      <c r="P174" s="5"/>
      <c r="Q174" s="5"/>
    </row>
    <row r="175" customFormat="false" ht="12.75" hidden="false" customHeight="false" outlineLevel="0" collapsed="false">
      <c r="A175" s="5"/>
      <c r="B175" s="5" t="n">
        <v>0.525</v>
      </c>
      <c r="C175" s="5" t="n">
        <f aca="false">B175*VOFLB</f>
        <v>13.65</v>
      </c>
      <c r="D175" s="5" t="e">
        <f aca="false">C175*(ActR7+1000*Set_R9)/(ActR7+ActR8+Set_R9*1000)</f>
        <v>#N/A</v>
      </c>
      <c r="E175" s="90" t="e">
        <f aca="false">IF(C175*(1000*Set_R9+ActR7)/((1000*Set_R9+ActR7+ActR8)*(Set_Rs*Gain/2))&gt;B$25,B$25,C175*(1000*Set_R9+ActR7)/((1000*Set_R9+ActR7+ActR8)*(Set_Rs*Gain/2)))</f>
        <v>#N/A</v>
      </c>
      <c r="F175" s="90" t="e">
        <f aca="false">IF(D175&lt;0.2,0.2/(Set_Rs*Gain/2),E175)</f>
        <v>#N/A</v>
      </c>
      <c r="G175" s="5" t="e">
        <f aca="false">(C$60-C175)*F175</f>
        <v>#N/A</v>
      </c>
      <c r="H175" s="5" t="n">
        <v>0.625000000000012</v>
      </c>
      <c r="I175" s="5" t="n">
        <f aca="false">H175*VOFLB</f>
        <v>16.2500000000003</v>
      </c>
      <c r="J175" s="5" t="n">
        <f aca="false">I175*ActR9_sw/(ActR7_sw+ActR9_sw+Set_R8*1000)</f>
        <v>0.626006209751622</v>
      </c>
      <c r="K175" s="91" t="n">
        <f aca="false">IF(J175/(0.5*Set_Rs*Gain) &gt;B$25,B$25,J175/(0.5*Set_Rs*Gain))</f>
        <v>6.26006209751621</v>
      </c>
      <c r="L175" s="91" t="n">
        <f aca="false">IF(J175&lt;0.2,0.2/(0.5*Set_Rs*Gain),K175)</f>
        <v>6.26006209751621</v>
      </c>
      <c r="M175" s="5" t="n">
        <f aca="false">(I$60-I175)*L175</f>
        <v>93.5879283578655</v>
      </c>
      <c r="N175" s="5"/>
      <c r="O175" s="5"/>
      <c r="P175" s="5"/>
      <c r="Q175" s="5"/>
    </row>
    <row r="176" customFormat="false" ht="12.75" hidden="false" customHeight="false" outlineLevel="0" collapsed="false">
      <c r="A176" s="5"/>
      <c r="B176" s="5" t="n">
        <v>0.52</v>
      </c>
      <c r="C176" s="5" t="n">
        <f aca="false">B176*VOFLB</f>
        <v>13.52</v>
      </c>
      <c r="D176" s="5" t="e">
        <f aca="false">C176*(ActR7+1000*Set_R9)/(ActR7+ActR8+Set_R9*1000)</f>
        <v>#N/A</v>
      </c>
      <c r="E176" s="90" t="e">
        <f aca="false">IF(C176*(1000*Set_R9+ActR7)/((1000*Set_R9+ActR7+ActR8)*(Set_Rs*Gain/2))&gt;B$25,B$25,C176*(1000*Set_R9+ActR7)/((1000*Set_R9+ActR7+ActR8)*(Set_Rs*Gain/2)))</f>
        <v>#N/A</v>
      </c>
      <c r="F176" s="90" t="e">
        <f aca="false">IF(D176&lt;0.2,0.2/(Set_Rs*Gain/2),E176)</f>
        <v>#N/A</v>
      </c>
      <c r="G176" s="5" t="e">
        <f aca="false">(C$60-C176)*F176</f>
        <v>#N/A</v>
      </c>
      <c r="H176" s="5" t="n">
        <v>0.620000000000012</v>
      </c>
      <c r="I176" s="5" t="n">
        <f aca="false">H176*VOFLB</f>
        <v>16.1200000000003</v>
      </c>
      <c r="J176" s="5" t="n">
        <f aca="false">I176*ActR9_sw/(ActR7_sw+ActR9_sw+Set_R8*1000)</f>
        <v>0.620998160073609</v>
      </c>
      <c r="K176" s="91" t="n">
        <f aca="false">IF(J176/(0.5*Set_Rs*Gain) &gt;B$25,B$25,J176/(0.5*Set_Rs*Gain))</f>
        <v>6.20998160073609</v>
      </c>
      <c r="L176" s="91" t="n">
        <f aca="false">IF(J176&lt;0.2,0.2/(0.5*Set_Rs*Gain),K176)</f>
        <v>6.20998160073609</v>
      </c>
      <c r="M176" s="5" t="n">
        <f aca="false">(I$60-I176)*L176</f>
        <v>93.6465225390983</v>
      </c>
      <c r="N176" s="5"/>
      <c r="O176" s="5"/>
      <c r="P176" s="5"/>
      <c r="Q176" s="5"/>
    </row>
    <row r="177" customFormat="false" ht="12.75" hidden="false" customHeight="false" outlineLevel="0" collapsed="false">
      <c r="A177" s="5"/>
      <c r="B177" s="5" t="n">
        <v>0.515</v>
      </c>
      <c r="C177" s="5" t="n">
        <f aca="false">B177*VOFLB</f>
        <v>13.39</v>
      </c>
      <c r="D177" s="5" t="e">
        <f aca="false">C177*(ActR7+1000*Set_R9)/(ActR7+ActR8+Set_R9*1000)</f>
        <v>#N/A</v>
      </c>
      <c r="E177" s="90" t="e">
        <f aca="false">IF(C177*(1000*Set_R9+ActR7)/((1000*Set_R9+ActR7+ActR8)*(Set_Rs*Gain/2))&gt;B$25,B$25,C177*(1000*Set_R9+ActR7)/((1000*Set_R9+ActR7+ActR8)*(Set_Rs*Gain/2)))</f>
        <v>#N/A</v>
      </c>
      <c r="F177" s="90" t="e">
        <f aca="false">IF(D177&lt;0.2,0.2/(Set_Rs*Gain/2),E177)</f>
        <v>#N/A</v>
      </c>
      <c r="G177" s="5" t="e">
        <f aca="false">(C$60-C177)*F177</f>
        <v>#N/A</v>
      </c>
      <c r="H177" s="5" t="n">
        <v>0.615000000000012</v>
      </c>
      <c r="I177" s="5" t="n">
        <f aca="false">H177*VOFLB</f>
        <v>15.9900000000003</v>
      </c>
      <c r="J177" s="5" t="n">
        <f aca="false">I177*ActR9_sw/(ActR7_sw+ActR9_sw+Set_R8*1000)</f>
        <v>0.615990110395596</v>
      </c>
      <c r="K177" s="91" t="n">
        <f aca="false">IF(J177/(0.5*Set_Rs*Gain) &gt;B$25,B$25,J177/(0.5*Set_Rs*Gain))</f>
        <v>6.15990110395596</v>
      </c>
      <c r="L177" s="91" t="n">
        <f aca="false">IF(J177&lt;0.2,0.2/(0.5*Set_Rs*Gain),K177)</f>
        <v>6.15990110395596</v>
      </c>
      <c r="M177" s="5" t="n">
        <f aca="false">(I$60-I177)*L177</f>
        <v>93.6920957911683</v>
      </c>
      <c r="N177" s="5"/>
      <c r="O177" s="5"/>
      <c r="P177" s="5"/>
      <c r="Q177" s="5"/>
    </row>
    <row r="178" customFormat="false" ht="12.75" hidden="false" customHeight="false" outlineLevel="0" collapsed="false">
      <c r="A178" s="5"/>
      <c r="B178" s="5" t="n">
        <v>0.51</v>
      </c>
      <c r="C178" s="5" t="n">
        <f aca="false">B178*VOFLB</f>
        <v>13.26</v>
      </c>
      <c r="D178" s="5" t="e">
        <f aca="false">C178*(ActR7+1000*Set_R9)/(ActR7+ActR8+Set_R9*1000)</f>
        <v>#N/A</v>
      </c>
      <c r="E178" s="90" t="e">
        <f aca="false">IF(C178*(1000*Set_R9+ActR7)/((1000*Set_R9+ActR7+ActR8)*(Set_Rs*Gain/2))&gt;B$25,B$25,C178*(1000*Set_R9+ActR7)/((1000*Set_R9+ActR7+ActR8)*(Set_Rs*Gain/2)))</f>
        <v>#N/A</v>
      </c>
      <c r="F178" s="90" t="e">
        <f aca="false">IF(D178&lt;0.2,0.2/(Set_Rs*Gain/2),E178)</f>
        <v>#N/A</v>
      </c>
      <c r="G178" s="5" t="e">
        <f aca="false">(C$60-C178)*F178</f>
        <v>#N/A</v>
      </c>
      <c r="H178" s="5" t="n">
        <v>0.610000000000013</v>
      </c>
      <c r="I178" s="5" t="n">
        <f aca="false">H178*VOFLB</f>
        <v>15.8600000000003</v>
      </c>
      <c r="J178" s="5" t="n">
        <f aca="false">I178*ActR9_sw/(ActR7_sw+ActR9_sw+Set_R8*1000)</f>
        <v>0.610982060717583</v>
      </c>
      <c r="K178" s="91" t="n">
        <f aca="false">IF(J178/(0.5*Set_Rs*Gain) &gt;B$25,B$25,J178/(0.5*Set_Rs*Gain))</f>
        <v>6.10982060717583</v>
      </c>
      <c r="L178" s="91" t="n">
        <f aca="false">IF(J178&lt;0.2,0.2/(0.5*Set_Rs*Gain),K178)</f>
        <v>6.10982060717583</v>
      </c>
      <c r="M178" s="5" t="n">
        <f aca="false">(I$60-I178)*L178</f>
        <v>93.7246481140754</v>
      </c>
      <c r="N178" s="5"/>
      <c r="O178" s="5"/>
      <c r="P178" s="5"/>
      <c r="Q178" s="5"/>
    </row>
    <row r="179" customFormat="false" ht="12.75" hidden="false" customHeight="false" outlineLevel="0" collapsed="false">
      <c r="A179" s="5"/>
      <c r="B179" s="5" t="n">
        <v>0.505</v>
      </c>
      <c r="C179" s="5" t="n">
        <f aca="false">B179*VOFLB</f>
        <v>13.13</v>
      </c>
      <c r="D179" s="5" t="e">
        <f aca="false">C179*(ActR7+1000*Set_R9)/(ActR7+ActR8+Set_R9*1000)</f>
        <v>#N/A</v>
      </c>
      <c r="E179" s="90" t="e">
        <f aca="false">IF(C179*(1000*Set_R9+ActR7)/((1000*Set_R9+ActR7+ActR8)*(Set_Rs*Gain/2))&gt;B$25,B$25,C179*(1000*Set_R9+ActR7)/((1000*Set_R9+ActR7+ActR8)*(Set_Rs*Gain/2)))</f>
        <v>#N/A</v>
      </c>
      <c r="F179" s="90" t="e">
        <f aca="false">IF(D179&lt;0.2,0.2/(Set_Rs*Gain/2),E179)</f>
        <v>#N/A</v>
      </c>
      <c r="G179" s="5" t="e">
        <f aca="false">(C$60-C179)*F179</f>
        <v>#N/A</v>
      </c>
      <c r="H179" s="5" t="n">
        <v>0.605000000000013</v>
      </c>
      <c r="I179" s="5" t="n">
        <f aca="false">H179*VOFLB</f>
        <v>15.7300000000003</v>
      </c>
      <c r="J179" s="5" t="n">
        <f aca="false">I179*ActR9_sw/(ActR7_sw+ActR9_sw+Set_R8*1000)</f>
        <v>0.60597401103957</v>
      </c>
      <c r="K179" s="91" t="n">
        <f aca="false">IF(J179/(0.5*Set_Rs*Gain) &gt;B$25,B$25,J179/(0.5*Set_Rs*Gain))</f>
        <v>6.0597401103957</v>
      </c>
      <c r="L179" s="91" t="n">
        <f aca="false">IF(J179&lt;0.2,0.2/(0.5*Set_Rs*Gain),K179)</f>
        <v>6.0597401103957</v>
      </c>
      <c r="M179" s="5" t="n">
        <f aca="false">(I$60-I179)*L179</f>
        <v>93.7441795078196</v>
      </c>
      <c r="N179" s="5"/>
      <c r="O179" s="5"/>
      <c r="P179" s="5"/>
      <c r="Q179" s="5"/>
    </row>
    <row r="180" customFormat="false" ht="12.75" hidden="false" customHeight="false" outlineLevel="0" collapsed="false">
      <c r="A180" s="5"/>
      <c r="B180" s="5" t="n">
        <v>0.5</v>
      </c>
      <c r="C180" s="5" t="n">
        <f aca="false">B180*VOFLB</f>
        <v>13</v>
      </c>
      <c r="D180" s="5" t="e">
        <f aca="false">C180*(ActR7+1000*Set_R9)/(ActR7+ActR8+Set_R9*1000)</f>
        <v>#N/A</v>
      </c>
      <c r="E180" s="90" t="e">
        <f aca="false">IF(C180*(1000*Set_R9+ActR7)/((1000*Set_R9+ActR7+ActR8)*(Set_Rs*Gain/2))&gt;B$25,B$25,C180*(1000*Set_R9+ActR7)/((1000*Set_R9+ActR7+ActR8)*(Set_Rs*Gain/2)))</f>
        <v>#N/A</v>
      </c>
      <c r="F180" s="90" t="e">
        <f aca="false">IF(D180&lt;0.2,0.2/(Set_Rs*Gain/2),E180)</f>
        <v>#N/A</v>
      </c>
      <c r="G180" s="5" t="e">
        <f aca="false">(C$60-C180)*F180</f>
        <v>#N/A</v>
      </c>
      <c r="H180" s="5" t="n">
        <v>0.600000000000013</v>
      </c>
      <c r="I180" s="5" t="n">
        <f aca="false">H180*VOFLB</f>
        <v>15.6000000000003</v>
      </c>
      <c r="J180" s="5" t="n">
        <f aca="false">I180*ActR9_sw/(ActR7_sw+ActR9_sw+Set_R8*1000)</f>
        <v>0.600965961361557</v>
      </c>
      <c r="K180" s="91" t="n">
        <f aca="false">IF(J180/(0.5*Set_Rs*Gain) &gt;B$25,B$25,J180/(0.5*Set_Rs*Gain))</f>
        <v>6.00965961361557</v>
      </c>
      <c r="L180" s="91" t="n">
        <f aca="false">IF(J180&lt;0.2,0.2/(0.5*Set_Rs*Gain),K180)</f>
        <v>6.00965961361557</v>
      </c>
      <c r="M180" s="5" t="n">
        <f aca="false">(I$60-I180)*L180</f>
        <v>93.7506899724011</v>
      </c>
      <c r="N180" s="5"/>
      <c r="O180" s="5"/>
      <c r="P180" s="5"/>
      <c r="Q180" s="5"/>
    </row>
    <row r="181" customFormat="false" ht="12.75" hidden="false" customHeight="false" outlineLevel="0" collapsed="false">
      <c r="A181" s="5"/>
      <c r="B181" s="5" t="n">
        <v>0.495</v>
      </c>
      <c r="C181" s="5" t="n">
        <f aca="false">B181*VOFLB</f>
        <v>12.87</v>
      </c>
      <c r="D181" s="5" t="e">
        <f aca="false">C181*(ActR7+1000*Set_R9)/(ActR7+ActR8+Set_R9*1000)</f>
        <v>#N/A</v>
      </c>
      <c r="E181" s="90" t="e">
        <f aca="false">IF(C181*(1000*Set_R9+ActR7)/((1000*Set_R9+ActR7+ActR8)*(Set_Rs*Gain/2))&gt;B$25,B$25,C181*(1000*Set_R9+ActR7)/((1000*Set_R9+ActR7+ActR8)*(Set_Rs*Gain/2)))</f>
        <v>#N/A</v>
      </c>
      <c r="F181" s="90" t="e">
        <f aca="false">IF(D181&lt;0.2,0.2/(Set_Rs*Gain/2),E181)</f>
        <v>#N/A</v>
      </c>
      <c r="G181" s="5" t="e">
        <f aca="false">(C$60-C181)*F181</f>
        <v>#N/A</v>
      </c>
      <c r="H181" s="5" t="n">
        <v>0.595000000000013</v>
      </c>
      <c r="I181" s="5" t="n">
        <f aca="false">H181*VOFLB</f>
        <v>15.4700000000003</v>
      </c>
      <c r="J181" s="5" t="n">
        <f aca="false">I181*ActR9_sw/(ActR7_sw+ActR9_sw+Set_R8*1000)</f>
        <v>0.595957911683544</v>
      </c>
      <c r="K181" s="91" t="n">
        <f aca="false">IF(J181/(0.5*Set_Rs*Gain) &gt;B$25,B$25,J181/(0.5*Set_Rs*Gain))</f>
        <v>5.95957911683544</v>
      </c>
      <c r="L181" s="91" t="n">
        <f aca="false">IF(J181&lt;0.2,0.2/(0.5*Set_Rs*Gain),K181)</f>
        <v>5.95957911683544</v>
      </c>
      <c r="M181" s="5" t="n">
        <f aca="false">(I$60-I181)*L181</f>
        <v>93.7441795078197</v>
      </c>
      <c r="N181" s="5"/>
      <c r="O181" s="5"/>
      <c r="P181" s="5"/>
      <c r="Q181" s="5"/>
    </row>
    <row r="182" customFormat="false" ht="12.75" hidden="false" customHeight="false" outlineLevel="0" collapsed="false">
      <c r="A182" s="5"/>
      <c r="B182" s="5" t="n">
        <v>0.49</v>
      </c>
      <c r="C182" s="5" t="n">
        <f aca="false">B182*VOFLB</f>
        <v>12.74</v>
      </c>
      <c r="D182" s="5" t="e">
        <f aca="false">C182*(ActR7+1000*Set_R9)/(ActR7+ActR8+Set_R9*1000)</f>
        <v>#N/A</v>
      </c>
      <c r="E182" s="90" t="e">
        <f aca="false">IF(C182*(1000*Set_R9+ActR7)/((1000*Set_R9+ActR7+ActR8)*(Set_Rs*Gain/2))&gt;B$25,B$25,C182*(1000*Set_R9+ActR7)/((1000*Set_R9+ActR7+ActR8)*(Set_Rs*Gain/2)))</f>
        <v>#N/A</v>
      </c>
      <c r="F182" s="90" t="e">
        <f aca="false">IF(D182&lt;0.2,0.2/(Set_Rs*Gain/2),E182)</f>
        <v>#N/A</v>
      </c>
      <c r="G182" s="5" t="e">
        <f aca="false">(C$60-C182)*F182</f>
        <v>#N/A</v>
      </c>
      <c r="H182" s="5" t="n">
        <v>0.590000000000013</v>
      </c>
      <c r="I182" s="5" t="n">
        <f aca="false">H182*VOFLB</f>
        <v>15.3400000000003</v>
      </c>
      <c r="J182" s="5" t="n">
        <f aca="false">I182*ActR9_sw/(ActR7_sw+ActR9_sw+Set_R8*1000)</f>
        <v>0.590949862005531</v>
      </c>
      <c r="K182" s="91" t="n">
        <f aca="false">IF(J182/(0.5*Set_Rs*Gain) &gt;B$25,B$25,J182/(0.5*Set_Rs*Gain))</f>
        <v>5.90949862005531</v>
      </c>
      <c r="L182" s="91" t="n">
        <f aca="false">IF(J182&lt;0.2,0.2/(0.5*Set_Rs*Gain),K182)</f>
        <v>5.90949862005531</v>
      </c>
      <c r="M182" s="5" t="n">
        <f aca="false">(I$60-I182)*L182</f>
        <v>93.7246481140755</v>
      </c>
      <c r="N182" s="5"/>
      <c r="O182" s="5"/>
      <c r="P182" s="5"/>
      <c r="Q182" s="5"/>
    </row>
    <row r="183" customFormat="false" ht="12.75" hidden="false" customHeight="false" outlineLevel="0" collapsed="false">
      <c r="A183" s="5"/>
      <c r="B183" s="5" t="n">
        <v>0.485</v>
      </c>
      <c r="C183" s="5" t="n">
        <f aca="false">B183*VOFLB</f>
        <v>12.61</v>
      </c>
      <c r="D183" s="5" t="e">
        <f aca="false">C183*(ActR7+1000*Set_R9)/(ActR7+ActR8+Set_R9*1000)</f>
        <v>#N/A</v>
      </c>
      <c r="E183" s="90" t="e">
        <f aca="false">IF(C183*(1000*Set_R9+ActR7)/((1000*Set_R9+ActR7+ActR8)*(Set_Rs*Gain/2))&gt;B$25,B$25,C183*(1000*Set_R9+ActR7)/((1000*Set_R9+ActR7+ActR8)*(Set_Rs*Gain/2)))</f>
        <v>#N/A</v>
      </c>
      <c r="F183" s="90" t="e">
        <f aca="false">IF(D183&lt;0.2,0.2/(Set_Rs*Gain/2),E183)</f>
        <v>#N/A</v>
      </c>
      <c r="G183" s="5" t="e">
        <f aca="false">(C$60-C183)*F183</f>
        <v>#N/A</v>
      </c>
      <c r="H183" s="5" t="n">
        <v>0.585000000000013</v>
      </c>
      <c r="I183" s="5" t="n">
        <f aca="false">H183*VOFLB</f>
        <v>15.2100000000003</v>
      </c>
      <c r="J183" s="5" t="n">
        <f aca="false">I183*ActR9_sw/(ActR7_sw+ActR9_sw+Set_R8*1000)</f>
        <v>0.585941812327518</v>
      </c>
      <c r="K183" s="91" t="n">
        <f aca="false">IF(J183/(0.5*Set_Rs*Gain) &gt;B$25,B$25,J183/(0.5*Set_Rs*Gain))</f>
        <v>5.85941812327518</v>
      </c>
      <c r="L183" s="91" t="n">
        <f aca="false">IF(J183&lt;0.2,0.2/(0.5*Set_Rs*Gain),K183)</f>
        <v>5.85941812327518</v>
      </c>
      <c r="M183" s="5" t="n">
        <f aca="false">(I$60-I183)*L183</f>
        <v>93.6920957911684</v>
      </c>
      <c r="N183" s="5"/>
      <c r="O183" s="5"/>
      <c r="P183" s="5"/>
      <c r="Q183" s="5"/>
    </row>
    <row r="184" customFormat="false" ht="12.75" hidden="false" customHeight="false" outlineLevel="0" collapsed="false">
      <c r="A184" s="5"/>
      <c r="B184" s="5" t="n">
        <v>0.48</v>
      </c>
      <c r="C184" s="5" t="n">
        <f aca="false">B184*VOFLB</f>
        <v>12.48</v>
      </c>
      <c r="D184" s="5" t="e">
        <f aca="false">C184*(ActR7+1000*Set_R9)/(ActR7+ActR8+Set_R9*1000)</f>
        <v>#N/A</v>
      </c>
      <c r="E184" s="90" t="e">
        <f aca="false">IF(C184*(1000*Set_R9+ActR7)/((1000*Set_R9+ActR7+ActR8)*(Set_Rs*Gain/2))&gt;B$25,B$25,C184*(1000*Set_R9+ActR7)/((1000*Set_R9+ActR7+ActR8)*(Set_Rs*Gain/2)))</f>
        <v>#N/A</v>
      </c>
      <c r="F184" s="90" t="e">
        <f aca="false">IF(D184&lt;0.2,0.2/(Set_Rs*Gain/2),E184)</f>
        <v>#N/A</v>
      </c>
      <c r="G184" s="5" t="e">
        <f aca="false">(C$60-C184)*F184</f>
        <v>#N/A</v>
      </c>
      <c r="H184" s="5" t="n">
        <v>0.580000000000013</v>
      </c>
      <c r="I184" s="5" t="n">
        <f aca="false">H184*VOFLB</f>
        <v>15.0800000000003</v>
      </c>
      <c r="J184" s="5" t="n">
        <f aca="false">I184*ActR9_sw/(ActR7_sw+ActR9_sw+Set_R8*1000)</f>
        <v>0.580933762649506</v>
      </c>
      <c r="K184" s="91" t="n">
        <f aca="false">IF(J184/(0.5*Set_Rs*Gain) &gt;B$25,B$25,J184/(0.5*Set_Rs*Gain))</f>
        <v>5.80933762649506</v>
      </c>
      <c r="L184" s="91" t="n">
        <f aca="false">IF(J184&lt;0.2,0.2/(0.5*Set_Rs*Gain),K184)</f>
        <v>5.80933762649506</v>
      </c>
      <c r="M184" s="5" t="n">
        <f aca="false">(I$60-I184)*L184</f>
        <v>93.6465225390985</v>
      </c>
      <c r="N184" s="5"/>
      <c r="O184" s="5"/>
      <c r="P184" s="5"/>
      <c r="Q184" s="5"/>
    </row>
    <row r="185" customFormat="false" ht="12.75" hidden="false" customHeight="false" outlineLevel="0" collapsed="false">
      <c r="A185" s="5"/>
      <c r="B185" s="5" t="n">
        <v>0.475</v>
      </c>
      <c r="C185" s="5" t="n">
        <f aca="false">B185*VOFLB</f>
        <v>12.35</v>
      </c>
      <c r="D185" s="5" t="e">
        <f aca="false">C185*(ActR7+1000*Set_R9)/(ActR7+ActR8+Set_R9*1000)</f>
        <v>#N/A</v>
      </c>
      <c r="E185" s="90" t="e">
        <f aca="false">IF(C185*(1000*Set_R9+ActR7)/((1000*Set_R9+ActR7+ActR8)*(Set_Rs*Gain/2))&gt;B$25,B$25,C185*(1000*Set_R9+ActR7)/((1000*Set_R9+ActR7+ActR8)*(Set_Rs*Gain/2)))</f>
        <v>#N/A</v>
      </c>
      <c r="F185" s="90" t="e">
        <f aca="false">IF(D185&lt;0.2,0.2/(Set_Rs*Gain/2),E185)</f>
        <v>#N/A</v>
      </c>
      <c r="G185" s="5" t="e">
        <f aca="false">(C$60-C185)*F185</f>
        <v>#N/A</v>
      </c>
      <c r="H185" s="5" t="n">
        <v>0.575000000000013</v>
      </c>
      <c r="I185" s="5" t="n">
        <f aca="false">H185*VOFLB</f>
        <v>14.9500000000003</v>
      </c>
      <c r="J185" s="5" t="n">
        <f aca="false">I185*ActR9_sw/(ActR7_sw+ActR9_sw+Set_R8*1000)</f>
        <v>0.575925712971493</v>
      </c>
      <c r="K185" s="91" t="n">
        <f aca="false">IF(J185/(0.5*Set_Rs*Gain) &gt;B$25,B$25,J185/(0.5*Set_Rs*Gain))</f>
        <v>5.75925712971493</v>
      </c>
      <c r="L185" s="91" t="n">
        <f aca="false">IF(J185&lt;0.2,0.2/(0.5*Set_Rs*Gain),K185)</f>
        <v>5.75925712971493</v>
      </c>
      <c r="M185" s="5" t="n">
        <f aca="false">(I$60-I185)*L185</f>
        <v>93.5879283578658</v>
      </c>
      <c r="N185" s="5"/>
      <c r="O185" s="5"/>
      <c r="P185" s="5"/>
      <c r="Q185" s="5"/>
    </row>
    <row r="186" customFormat="false" ht="12.75" hidden="false" customHeight="false" outlineLevel="0" collapsed="false">
      <c r="A186" s="5"/>
      <c r="B186" s="5" t="n">
        <v>0.47</v>
      </c>
      <c r="C186" s="5" t="n">
        <f aca="false">B186*VOFLB</f>
        <v>12.22</v>
      </c>
      <c r="D186" s="5" t="e">
        <f aca="false">C186*(ActR7+1000*Set_R9)/(ActR7+ActR8+Set_R9*1000)</f>
        <v>#N/A</v>
      </c>
      <c r="E186" s="90" t="e">
        <f aca="false">IF(C186*(1000*Set_R9+ActR7)/((1000*Set_R9+ActR7+ActR8)*(Set_Rs*Gain/2))&gt;B$25,B$25,C186*(1000*Set_R9+ActR7)/((1000*Set_R9+ActR7+ActR8)*(Set_Rs*Gain/2)))</f>
        <v>#N/A</v>
      </c>
      <c r="F186" s="90" t="e">
        <f aca="false">IF(D186&lt;0.2,0.2/(Set_Rs*Gain/2),E186)</f>
        <v>#N/A</v>
      </c>
      <c r="G186" s="5" t="e">
        <f aca="false">(C$60-C186)*F186</f>
        <v>#N/A</v>
      </c>
      <c r="H186" s="5" t="n">
        <v>0.570000000000013</v>
      </c>
      <c r="I186" s="5" t="n">
        <f aca="false">H186*VOFLB</f>
        <v>14.8200000000003</v>
      </c>
      <c r="J186" s="5" t="n">
        <f aca="false">I186*ActR9_sw/(ActR7_sw+ActR9_sw+Set_R8*1000)</f>
        <v>0.57091766329348</v>
      </c>
      <c r="K186" s="91" t="n">
        <f aca="false">IF(J186/(0.5*Set_Rs*Gain) &gt;B$25,B$25,J186/(0.5*Set_Rs*Gain))</f>
        <v>5.7091766329348</v>
      </c>
      <c r="L186" s="91" t="n">
        <f aca="false">IF(J186&lt;0.2,0.2/(0.5*Set_Rs*Gain),K186)</f>
        <v>5.7091766329348</v>
      </c>
      <c r="M186" s="5" t="n">
        <f aca="false">(I$60-I186)*L186</f>
        <v>93.5163132474703</v>
      </c>
      <c r="N186" s="5"/>
      <c r="O186" s="5"/>
      <c r="P186" s="5"/>
      <c r="Q186" s="5"/>
    </row>
    <row r="187" customFormat="false" ht="12.75" hidden="false" customHeight="false" outlineLevel="0" collapsed="false">
      <c r="A187" s="5"/>
      <c r="B187" s="5" t="n">
        <v>0.465</v>
      </c>
      <c r="C187" s="5" t="n">
        <f aca="false">B187*VOFLB</f>
        <v>12.09</v>
      </c>
      <c r="D187" s="5" t="e">
        <f aca="false">C187*(ActR7+1000*Set_R9)/(ActR7+ActR8+Set_R9*1000)</f>
        <v>#N/A</v>
      </c>
      <c r="E187" s="90" t="e">
        <f aca="false">IF(C187*(1000*Set_R9+ActR7)/((1000*Set_R9+ActR7+ActR8)*(Set_Rs*Gain/2))&gt;B$25,B$25,C187*(1000*Set_R9+ActR7)/((1000*Set_R9+ActR7+ActR8)*(Set_Rs*Gain/2)))</f>
        <v>#N/A</v>
      </c>
      <c r="F187" s="90" t="e">
        <f aca="false">IF(D187&lt;0.2,0.2/(Set_Rs*Gain/2),E187)</f>
        <v>#N/A</v>
      </c>
      <c r="G187" s="5" t="e">
        <f aca="false">(C$60-C187)*F187</f>
        <v>#N/A</v>
      </c>
      <c r="H187" s="5" t="n">
        <v>0.565000000000014</v>
      </c>
      <c r="I187" s="5" t="n">
        <f aca="false">H187*VOFLB</f>
        <v>14.6900000000004</v>
      </c>
      <c r="J187" s="5" t="n">
        <f aca="false">I187*ActR9_sw/(ActR7_sw+ActR9_sw+Set_R8*1000)</f>
        <v>0.565909613615471</v>
      </c>
      <c r="K187" s="91" t="n">
        <f aca="false">IF(J187/(0.5*Set_Rs*Gain) &gt;B$25,B$25,J187/(0.5*Set_Rs*Gain))</f>
        <v>5.65909613615471</v>
      </c>
      <c r="L187" s="91" t="n">
        <f aca="false">IF(J187&lt;0.2,0.2/(0.5*Set_Rs*Gain),K187)</f>
        <v>5.65909613615471</v>
      </c>
      <c r="M187" s="5" t="n">
        <f aca="false">(I$60-I187)*L187</f>
        <v>93.431677207912</v>
      </c>
      <c r="N187" s="5"/>
      <c r="O187" s="5"/>
      <c r="P187" s="5"/>
      <c r="Q187" s="5"/>
    </row>
    <row r="188" customFormat="false" ht="12.75" hidden="false" customHeight="false" outlineLevel="0" collapsed="false">
      <c r="A188" s="5"/>
      <c r="B188" s="5" t="n">
        <v>0.46</v>
      </c>
      <c r="C188" s="5" t="n">
        <f aca="false">B188*VOFLB</f>
        <v>11.96</v>
      </c>
      <c r="D188" s="5" t="e">
        <f aca="false">C188*(ActR7+1000*Set_R9)/(ActR7+ActR8+Set_R9*1000)</f>
        <v>#N/A</v>
      </c>
      <c r="E188" s="90" t="e">
        <f aca="false">IF(C188*(1000*Set_R9+ActR7)/((1000*Set_R9+ActR7+ActR8)*(Set_Rs*Gain/2))&gt;B$25,B$25,C188*(1000*Set_R9+ActR7)/((1000*Set_R9+ActR7+ActR8)*(Set_Rs*Gain/2)))</f>
        <v>#N/A</v>
      </c>
      <c r="F188" s="90" t="e">
        <f aca="false">IF(D188&lt;0.2,0.2/(Set_Rs*Gain/2),E188)</f>
        <v>#N/A</v>
      </c>
      <c r="G188" s="5" t="e">
        <f aca="false">(C$60-C188)*F188</f>
        <v>#N/A</v>
      </c>
      <c r="H188" s="5" t="n">
        <v>0.560000000000014</v>
      </c>
      <c r="I188" s="5" t="n">
        <f aca="false">H188*VOFLB</f>
        <v>14.5600000000004</v>
      </c>
      <c r="J188" s="5" t="n">
        <f aca="false">I188*ActR9_sw/(ActR7_sw+ActR9_sw+Set_R8*1000)</f>
        <v>0.560901563937458</v>
      </c>
      <c r="K188" s="91" t="n">
        <f aca="false">IF(J188/(0.5*Set_Rs*Gain) &gt;B$25,B$25,J188/(0.5*Set_Rs*Gain))</f>
        <v>5.60901563937458</v>
      </c>
      <c r="L188" s="91" t="n">
        <f aca="false">IF(J188&lt;0.2,0.2/(0.5*Set_Rs*Gain),K188)</f>
        <v>5.60901563937458</v>
      </c>
      <c r="M188" s="5" t="n">
        <f aca="false">(I$60-I188)*L188</f>
        <v>93.3340202391908</v>
      </c>
      <c r="N188" s="5"/>
      <c r="O188" s="5"/>
      <c r="P188" s="5"/>
      <c r="Q188" s="5"/>
    </row>
    <row r="189" customFormat="false" ht="12.75" hidden="false" customHeight="false" outlineLevel="0" collapsed="false">
      <c r="A189" s="5"/>
      <c r="B189" s="5" t="n">
        <v>0.455</v>
      </c>
      <c r="C189" s="5" t="n">
        <f aca="false">B189*VOFLB</f>
        <v>11.83</v>
      </c>
      <c r="D189" s="5" t="e">
        <f aca="false">C189*(ActR7+1000*Set_R9)/(ActR7+ActR8+Set_R9*1000)</f>
        <v>#N/A</v>
      </c>
      <c r="E189" s="90" t="e">
        <f aca="false">IF(C189*(1000*Set_R9+ActR7)/((1000*Set_R9+ActR7+ActR8)*(Set_Rs*Gain/2))&gt;B$25,B$25,C189*(1000*Set_R9+ActR7)/((1000*Set_R9+ActR7+ActR8)*(Set_Rs*Gain/2)))</f>
        <v>#N/A</v>
      </c>
      <c r="F189" s="90" t="e">
        <f aca="false">IF(D189&lt;0.2,0.2/(Set_Rs*Gain/2),E189)</f>
        <v>#N/A</v>
      </c>
      <c r="G189" s="5" t="e">
        <f aca="false">(C$60-C189)*F189</f>
        <v>#N/A</v>
      </c>
      <c r="H189" s="5" t="n">
        <v>0.555000000000014</v>
      </c>
      <c r="I189" s="5" t="n">
        <f aca="false">H189*VOFLB</f>
        <v>14.4300000000004</v>
      </c>
      <c r="J189" s="5" t="n">
        <f aca="false">I189*ActR9_sw/(ActR7_sw+ActR9_sw+Set_R8*1000)</f>
        <v>0.555893514259445</v>
      </c>
      <c r="K189" s="91" t="n">
        <f aca="false">IF(J189/(0.5*Set_Rs*Gain) &gt;B$25,B$25,J189/(0.5*Set_Rs*Gain))</f>
        <v>5.55893514259445</v>
      </c>
      <c r="L189" s="91" t="n">
        <f aca="false">IF(J189&lt;0.2,0.2/(0.5*Set_Rs*Gain),K189)</f>
        <v>5.55893514259445</v>
      </c>
      <c r="M189" s="5" t="n">
        <f aca="false">(I$60-I189)*L189</f>
        <v>93.2233423413067</v>
      </c>
      <c r="N189" s="5"/>
      <c r="O189" s="5"/>
      <c r="P189" s="5"/>
      <c r="Q189" s="5"/>
    </row>
    <row r="190" customFormat="false" ht="12.75" hidden="false" customHeight="false" outlineLevel="0" collapsed="false">
      <c r="A190" s="5"/>
      <c r="B190" s="5" t="n">
        <v>0.45</v>
      </c>
      <c r="C190" s="5" t="n">
        <f aca="false">B190*VOFLB</f>
        <v>11.7</v>
      </c>
      <c r="D190" s="5" t="e">
        <f aca="false">C190*(ActR7+1000*Set_R9)/(ActR7+ActR8+Set_R9*1000)</f>
        <v>#N/A</v>
      </c>
      <c r="E190" s="90" t="e">
        <f aca="false">IF(C190*(1000*Set_R9+ActR7)/((1000*Set_R9+ActR7+ActR8)*(Set_Rs*Gain/2))&gt;B$25,B$25,C190*(1000*Set_R9+ActR7)/((1000*Set_R9+ActR7+ActR8)*(Set_Rs*Gain/2)))</f>
        <v>#N/A</v>
      </c>
      <c r="F190" s="90" t="e">
        <f aca="false">IF(D190&lt;0.2,0.2/(Set_Rs*Gain/2),E190)</f>
        <v>#N/A</v>
      </c>
      <c r="G190" s="5" t="e">
        <f aca="false">(C$60-C190)*F190</f>
        <v>#N/A</v>
      </c>
      <c r="H190" s="5" t="n">
        <v>0.550000000000014</v>
      </c>
      <c r="I190" s="5" t="n">
        <f aca="false">H190*VOFLB</f>
        <v>14.3000000000004</v>
      </c>
      <c r="J190" s="5" t="n">
        <f aca="false">I190*ActR9_sw/(ActR7_sw+ActR9_sw+Set_R8*1000)</f>
        <v>0.550885464581432</v>
      </c>
      <c r="K190" s="91" t="n">
        <f aca="false">IF(J190/(0.5*Set_Rs*Gain) &gt;B$25,B$25,J190/(0.5*Set_Rs*Gain))</f>
        <v>5.50885464581432</v>
      </c>
      <c r="L190" s="91" t="n">
        <f aca="false">IF(J190&lt;0.2,0.2/(0.5*Set_Rs*Gain),K190)</f>
        <v>5.50885464581432</v>
      </c>
      <c r="M190" s="5" t="n">
        <f aca="false">(I$60-I190)*L190</f>
        <v>93.0996435142598</v>
      </c>
      <c r="N190" s="5"/>
      <c r="O190" s="5"/>
      <c r="P190" s="5"/>
      <c r="Q190" s="5"/>
    </row>
    <row r="191" customFormat="false" ht="12.75" hidden="false" customHeight="false" outlineLevel="0" collapsed="false">
      <c r="A191" s="5"/>
      <c r="B191" s="5" t="n">
        <v>0.445</v>
      </c>
      <c r="C191" s="5" t="n">
        <f aca="false">B191*VOFLB</f>
        <v>11.57</v>
      </c>
      <c r="D191" s="5" t="e">
        <f aca="false">C191*(ActR7+1000*Set_R9)/(ActR7+ActR8+Set_R9*1000)</f>
        <v>#N/A</v>
      </c>
      <c r="E191" s="90" t="e">
        <f aca="false">IF(C191*(1000*Set_R9+ActR7)/((1000*Set_R9+ActR7+ActR8)*(Set_Rs*Gain/2))&gt;B$25,B$25,C191*(1000*Set_R9+ActR7)/((1000*Set_R9+ActR7+ActR8)*(Set_Rs*Gain/2)))</f>
        <v>#N/A</v>
      </c>
      <c r="F191" s="90" t="e">
        <f aca="false">IF(D191&lt;0.2,0.2/(Set_Rs*Gain/2),E191)</f>
        <v>#N/A</v>
      </c>
      <c r="G191" s="5" t="e">
        <f aca="false">(C$60-C191)*F191</f>
        <v>#N/A</v>
      </c>
      <c r="H191" s="5" t="n">
        <v>0.545000000000014</v>
      </c>
      <c r="I191" s="5" t="n">
        <f aca="false">H191*VOFLB</f>
        <v>14.1700000000004</v>
      </c>
      <c r="J191" s="5" t="n">
        <f aca="false">I191*ActR9_sw/(ActR7_sw+ActR9_sw+Set_R8*1000)</f>
        <v>0.545877414903419</v>
      </c>
      <c r="K191" s="91" t="n">
        <f aca="false">IF(J191/(0.5*Set_Rs*Gain) &gt;B$25,B$25,J191/(0.5*Set_Rs*Gain))</f>
        <v>5.45877414903419</v>
      </c>
      <c r="L191" s="91" t="n">
        <f aca="false">IF(J191&lt;0.2,0.2/(0.5*Set_Rs*Gain),K191)</f>
        <v>5.45877414903419</v>
      </c>
      <c r="M191" s="5" t="n">
        <f aca="false">(I$60-I191)*L191</f>
        <v>92.9629237580501</v>
      </c>
      <c r="N191" s="5"/>
      <c r="O191" s="5"/>
      <c r="P191" s="5"/>
      <c r="Q191" s="5"/>
    </row>
    <row r="192" customFormat="false" ht="12.75" hidden="false" customHeight="false" outlineLevel="0" collapsed="false">
      <c r="A192" s="5"/>
      <c r="B192" s="5" t="n">
        <v>0.44</v>
      </c>
      <c r="C192" s="5" t="n">
        <f aca="false">B192*VOFLB</f>
        <v>11.44</v>
      </c>
      <c r="D192" s="5" t="e">
        <f aca="false">C192*(ActR7+1000*Set_R9)/(ActR7+ActR8+Set_R9*1000)</f>
        <v>#N/A</v>
      </c>
      <c r="E192" s="90" t="e">
        <f aca="false">IF(C192*(1000*Set_R9+ActR7)/((1000*Set_R9+ActR7+ActR8)*(Set_Rs*Gain/2))&gt;B$25,B$25,C192*(1000*Set_R9+ActR7)/((1000*Set_R9+ActR7+ActR8)*(Set_Rs*Gain/2)))</f>
        <v>#N/A</v>
      </c>
      <c r="F192" s="90" t="e">
        <f aca="false">IF(D192&lt;0.2,0.2/(Set_Rs*Gain/2),E192)</f>
        <v>#N/A</v>
      </c>
      <c r="G192" s="5" t="e">
        <f aca="false">(C$60-C192)*F192</f>
        <v>#N/A</v>
      </c>
      <c r="H192" s="5" t="n">
        <v>0.540000000000014</v>
      </c>
      <c r="I192" s="5" t="n">
        <f aca="false">H192*VOFLB</f>
        <v>14.0400000000004</v>
      </c>
      <c r="J192" s="5" t="n">
        <f aca="false">I192*ActR9_sw/(ActR7_sw+ActR9_sw+Set_R8*1000)</f>
        <v>0.540869365225406</v>
      </c>
      <c r="K192" s="91" t="n">
        <f aca="false">IF(J192/(0.5*Set_Rs*Gain) &gt;B$25,B$25,J192/(0.5*Set_Rs*Gain))</f>
        <v>5.40869365225406</v>
      </c>
      <c r="L192" s="91" t="n">
        <f aca="false">IF(J192&lt;0.2,0.2/(0.5*Set_Rs*Gain),K192)</f>
        <v>5.40869365225406</v>
      </c>
      <c r="M192" s="5" t="n">
        <f aca="false">(I$60-I192)*L192</f>
        <v>92.8131830726776</v>
      </c>
      <c r="N192" s="5"/>
      <c r="O192" s="5"/>
      <c r="P192" s="5"/>
      <c r="Q192" s="5"/>
    </row>
    <row r="193" customFormat="false" ht="12.75" hidden="false" customHeight="false" outlineLevel="0" collapsed="false">
      <c r="A193" s="5"/>
      <c r="B193" s="5" t="n">
        <v>0.434999999999999</v>
      </c>
      <c r="C193" s="5" t="n">
        <f aca="false">B193*VOFLB</f>
        <v>11.31</v>
      </c>
      <c r="D193" s="5" t="e">
        <f aca="false">C193*(ActR7+1000*Set_R9)/(ActR7+ActR8+Set_R9*1000)</f>
        <v>#N/A</v>
      </c>
      <c r="E193" s="90" t="e">
        <f aca="false">IF(C193*(1000*Set_R9+ActR7)/((1000*Set_R9+ActR7+ActR8)*(Set_Rs*Gain/2))&gt;B$25,B$25,C193*(1000*Set_R9+ActR7)/((1000*Set_R9+ActR7+ActR8)*(Set_Rs*Gain/2)))</f>
        <v>#N/A</v>
      </c>
      <c r="F193" s="90" t="e">
        <f aca="false">IF(D193&lt;0.2,0.2/(Set_Rs*Gain/2),E193)</f>
        <v>#N/A</v>
      </c>
      <c r="G193" s="5" t="e">
        <f aca="false">(C$60-C193)*F193</f>
        <v>#N/A</v>
      </c>
      <c r="H193" s="5" t="n">
        <v>0.535000000000014</v>
      </c>
      <c r="I193" s="5" t="n">
        <f aca="false">H193*VOFLB</f>
        <v>13.9100000000004</v>
      </c>
      <c r="J193" s="5" t="n">
        <f aca="false">I193*ActR9_sw/(ActR7_sw+ActR9_sw+Set_R8*1000)</f>
        <v>0.535861315547394</v>
      </c>
      <c r="K193" s="91" t="n">
        <f aca="false">IF(J193/(0.5*Set_Rs*Gain) &gt;B$25,B$25,J193/(0.5*Set_Rs*Gain))</f>
        <v>5.35861315547393</v>
      </c>
      <c r="L193" s="91" t="n">
        <f aca="false">IF(J193&lt;0.2,0.2/(0.5*Set_Rs*Gain),K193)</f>
        <v>5.35861315547393</v>
      </c>
      <c r="M193" s="5" t="n">
        <f aca="false">(I$60-I193)*L193</f>
        <v>92.6504214581422</v>
      </c>
      <c r="N193" s="5"/>
      <c r="O193" s="5"/>
      <c r="P193" s="5"/>
      <c r="Q193" s="5"/>
    </row>
    <row r="194" customFormat="false" ht="12.75" hidden="false" customHeight="false" outlineLevel="0" collapsed="false">
      <c r="A194" s="5"/>
      <c r="B194" s="5" t="n">
        <v>0.429999999999999</v>
      </c>
      <c r="C194" s="5" t="n">
        <f aca="false">B194*VOFLB</f>
        <v>11.18</v>
      </c>
      <c r="D194" s="5" t="e">
        <f aca="false">C194*(ActR7+1000*Set_R9)/(ActR7+ActR8+Set_R9*1000)</f>
        <v>#N/A</v>
      </c>
      <c r="E194" s="90" t="e">
        <f aca="false">IF(C194*(1000*Set_R9+ActR7)/((1000*Set_R9+ActR7+ActR8)*(Set_Rs*Gain/2))&gt;B$25,B$25,C194*(1000*Set_R9+ActR7)/((1000*Set_R9+ActR7+ActR8)*(Set_Rs*Gain/2)))</f>
        <v>#N/A</v>
      </c>
      <c r="F194" s="90" t="e">
        <f aca="false">IF(D194&lt;0.2,0.2/(Set_Rs*Gain/2),E194)</f>
        <v>#N/A</v>
      </c>
      <c r="G194" s="5" t="e">
        <f aca="false">(C$60-C194)*F194</f>
        <v>#N/A</v>
      </c>
      <c r="H194" s="5" t="n">
        <v>0.530000000000014</v>
      </c>
      <c r="I194" s="5" t="n">
        <f aca="false">H194*VOFLB</f>
        <v>13.7800000000004</v>
      </c>
      <c r="J194" s="5" t="n">
        <f aca="false">I194*ActR9_sw/(ActR7_sw+ActR9_sw+Set_R8*1000)</f>
        <v>0.530853265869381</v>
      </c>
      <c r="K194" s="91" t="n">
        <f aca="false">IF(J194/(0.5*Set_Rs*Gain) &gt;B$25,B$25,J194/(0.5*Set_Rs*Gain))</f>
        <v>5.30853265869381</v>
      </c>
      <c r="L194" s="91" t="n">
        <f aca="false">IF(J194&lt;0.2,0.2/(0.5*Set_Rs*Gain),K194)</f>
        <v>5.30853265869381</v>
      </c>
      <c r="M194" s="5" t="n">
        <f aca="false">(I$60-I194)*L194</f>
        <v>92.474638914444</v>
      </c>
      <c r="N194" s="5"/>
      <c r="O194" s="5"/>
      <c r="P194" s="5"/>
      <c r="Q194" s="5"/>
    </row>
    <row r="195" customFormat="false" ht="12.75" hidden="false" customHeight="false" outlineLevel="0" collapsed="false">
      <c r="A195" s="5"/>
      <c r="B195" s="5" t="n">
        <v>0.424999999999999</v>
      </c>
      <c r="C195" s="5" t="n">
        <f aca="false">B195*VOFLB</f>
        <v>11.05</v>
      </c>
      <c r="D195" s="5" t="e">
        <f aca="false">C195*(ActR7+1000*Set_R9)/(ActR7+ActR8+Set_R9*1000)</f>
        <v>#N/A</v>
      </c>
      <c r="E195" s="90" t="e">
        <f aca="false">IF(C195*(1000*Set_R9+ActR7)/((1000*Set_R9+ActR7+ActR8)*(Set_Rs*Gain/2))&gt;B$25,B$25,C195*(1000*Set_R9+ActR7)/((1000*Set_R9+ActR7+ActR8)*(Set_Rs*Gain/2)))</f>
        <v>#N/A</v>
      </c>
      <c r="F195" s="90" t="e">
        <f aca="false">IF(D195&lt;0.2,0.2/(Set_Rs*Gain/2),E195)</f>
        <v>#N/A</v>
      </c>
      <c r="G195" s="5" t="e">
        <f aca="false">(C$60-C195)*F195</f>
        <v>#N/A</v>
      </c>
      <c r="H195" s="5" t="n">
        <v>0.525000000000014</v>
      </c>
      <c r="I195" s="5" t="n">
        <f aca="false">H195*VOFLB</f>
        <v>13.6500000000004</v>
      </c>
      <c r="J195" s="5" t="n">
        <f aca="false">I195*ActR9_sw/(ActR7_sw+ActR9_sw+Set_R8*1000)</f>
        <v>0.525845216191368</v>
      </c>
      <c r="K195" s="91" t="n">
        <f aca="false">IF(J195/(0.5*Set_Rs*Gain) &gt;B$25,B$25,J195/(0.5*Set_Rs*Gain))</f>
        <v>5.25845216191368</v>
      </c>
      <c r="L195" s="91" t="n">
        <f aca="false">IF(J195&lt;0.2,0.2/(0.5*Set_Rs*Gain),K195)</f>
        <v>5.25845216191368</v>
      </c>
      <c r="M195" s="5" t="n">
        <f aca="false">(I$60-I195)*L195</f>
        <v>92.2858354415829</v>
      </c>
      <c r="N195" s="5"/>
      <c r="O195" s="5"/>
      <c r="P195" s="5"/>
      <c r="Q195" s="5"/>
    </row>
    <row r="196" customFormat="false" ht="12.75" hidden="false" customHeight="false" outlineLevel="0" collapsed="false">
      <c r="A196" s="5"/>
      <c r="B196" s="5" t="n">
        <v>0.419999999999999</v>
      </c>
      <c r="C196" s="5" t="n">
        <f aca="false">B196*VOFLB</f>
        <v>10.92</v>
      </c>
      <c r="D196" s="5" t="e">
        <f aca="false">C196*(ActR7+1000*Set_R9)/(ActR7+ActR8+Set_R9*1000)</f>
        <v>#N/A</v>
      </c>
      <c r="E196" s="90" t="e">
        <f aca="false">IF(C196*(1000*Set_R9+ActR7)/((1000*Set_R9+ActR7+ActR8)*(Set_Rs*Gain/2))&gt;B$25,B$25,C196*(1000*Set_R9+ActR7)/((1000*Set_R9+ActR7+ActR8)*(Set_Rs*Gain/2)))</f>
        <v>#N/A</v>
      </c>
      <c r="F196" s="90" t="e">
        <f aca="false">IF(D196&lt;0.2,0.2/(Set_Rs*Gain/2),E196)</f>
        <v>#N/A</v>
      </c>
      <c r="G196" s="5" t="e">
        <f aca="false">(C$60-C196)*F196</f>
        <v>#N/A</v>
      </c>
      <c r="H196" s="5" t="n">
        <v>0.520000000000014</v>
      </c>
      <c r="I196" s="5" t="n">
        <f aca="false">H196*VOFLB</f>
        <v>13.5200000000004</v>
      </c>
      <c r="J196" s="5" t="n">
        <f aca="false">I196*ActR9_sw/(ActR7_sw+ActR9_sw+Set_R8*1000)</f>
        <v>0.520837166513355</v>
      </c>
      <c r="K196" s="91" t="n">
        <f aca="false">IF(J196/(0.5*Set_Rs*Gain) &gt;B$25,B$25,J196/(0.5*Set_Rs*Gain))</f>
        <v>5.20837166513355</v>
      </c>
      <c r="L196" s="91" t="n">
        <f aca="false">IF(J196&lt;0.2,0.2/(0.5*Set_Rs*Gain),K196)</f>
        <v>5.20837166513355</v>
      </c>
      <c r="M196" s="5" t="n">
        <f aca="false">(I$60-I196)*L196</f>
        <v>92.084011039559</v>
      </c>
      <c r="N196" s="5"/>
      <c r="O196" s="5"/>
      <c r="P196" s="5"/>
      <c r="Q196" s="5"/>
    </row>
    <row r="197" customFormat="false" ht="12.75" hidden="false" customHeight="false" outlineLevel="0" collapsed="false">
      <c r="A197" s="5"/>
      <c r="B197" s="5" t="n">
        <v>0.414999999999999</v>
      </c>
      <c r="C197" s="5" t="n">
        <f aca="false">B197*VOFLB</f>
        <v>10.79</v>
      </c>
      <c r="D197" s="5" t="e">
        <f aca="false">C197*(ActR7+1000*Set_R9)/(ActR7+ActR8+Set_R9*1000)</f>
        <v>#N/A</v>
      </c>
      <c r="E197" s="90" t="e">
        <f aca="false">IF(C197*(1000*Set_R9+ActR7)/((1000*Set_R9+ActR7+ActR8)*(Set_Rs*Gain/2))&gt;B$25,B$25,C197*(1000*Set_R9+ActR7)/((1000*Set_R9+ActR7+ActR8)*(Set_Rs*Gain/2)))</f>
        <v>#N/A</v>
      </c>
      <c r="F197" s="90" t="e">
        <f aca="false">IF(D197&lt;0.2,0.2/(Set_Rs*Gain/2),E197)</f>
        <v>#N/A</v>
      </c>
      <c r="G197" s="5" t="e">
        <f aca="false">(C$60-C197)*F197</f>
        <v>#N/A</v>
      </c>
      <c r="H197" s="5" t="n">
        <v>0.515000000000015</v>
      </c>
      <c r="I197" s="5" t="n">
        <f aca="false">H197*VOFLB</f>
        <v>13.3900000000004</v>
      </c>
      <c r="J197" s="5" t="n">
        <f aca="false">I197*ActR9_sw/(ActR7_sw+ActR9_sw+Set_R8*1000)</f>
        <v>0.515829116835342</v>
      </c>
      <c r="K197" s="91" t="n">
        <f aca="false">IF(J197/(0.5*Set_Rs*Gain) &gt;B$25,B$25,J197/(0.5*Set_Rs*Gain))</f>
        <v>5.15829116835342</v>
      </c>
      <c r="L197" s="91" t="n">
        <f aca="false">IF(J197&lt;0.2,0.2/(0.5*Set_Rs*Gain),K197)</f>
        <v>5.15829116835342</v>
      </c>
      <c r="M197" s="5" t="n">
        <f aca="false">(I$60-I197)*L197</f>
        <v>91.8691657083723</v>
      </c>
      <c r="N197" s="5"/>
      <c r="O197" s="5"/>
      <c r="P197" s="5"/>
      <c r="Q197" s="5"/>
    </row>
    <row r="198" customFormat="false" ht="12.75" hidden="false" customHeight="false" outlineLevel="0" collapsed="false">
      <c r="A198" s="5"/>
      <c r="B198" s="5" t="n">
        <v>0.409999999999999</v>
      </c>
      <c r="C198" s="5" t="n">
        <f aca="false">B198*VOFLB</f>
        <v>10.66</v>
      </c>
      <c r="D198" s="5" t="e">
        <f aca="false">C198*(ActR7+1000*Set_R9)/(ActR7+ActR8+Set_R9*1000)</f>
        <v>#N/A</v>
      </c>
      <c r="E198" s="90" t="e">
        <f aca="false">IF(C198*(1000*Set_R9+ActR7)/((1000*Set_R9+ActR7+ActR8)*(Set_Rs*Gain/2))&gt;B$25,B$25,C198*(1000*Set_R9+ActR7)/((1000*Set_R9+ActR7+ActR8)*(Set_Rs*Gain/2)))</f>
        <v>#N/A</v>
      </c>
      <c r="F198" s="90" t="e">
        <f aca="false">IF(D198&lt;0.2,0.2/(Set_Rs*Gain/2),E198)</f>
        <v>#N/A</v>
      </c>
      <c r="G198" s="5" t="e">
        <f aca="false">(C$60-C198)*F198</f>
        <v>#N/A</v>
      </c>
      <c r="H198" s="5" t="n">
        <v>0.510000000000015</v>
      </c>
      <c r="I198" s="5" t="n">
        <f aca="false">H198*VOFLB</f>
        <v>13.2600000000004</v>
      </c>
      <c r="J198" s="5" t="n">
        <f aca="false">I198*ActR9_sw/(ActR7_sw+ActR9_sw+Set_R8*1000)</f>
        <v>0.510821067157329</v>
      </c>
      <c r="K198" s="91" t="n">
        <f aca="false">IF(J198/(0.5*Set_Rs*Gain) &gt;B$25,B$25,J198/(0.5*Set_Rs*Gain))</f>
        <v>5.10821067157329</v>
      </c>
      <c r="L198" s="91" t="n">
        <f aca="false">IF(J198&lt;0.2,0.2/(0.5*Set_Rs*Gain),K198)</f>
        <v>5.10821067157329</v>
      </c>
      <c r="M198" s="5" t="n">
        <f aca="false">(I$60-I198)*L198</f>
        <v>91.6412994480228</v>
      </c>
      <c r="N198" s="5"/>
      <c r="O198" s="5"/>
      <c r="P198" s="5"/>
      <c r="Q198" s="5"/>
    </row>
    <row r="199" customFormat="false" ht="12.75" hidden="false" customHeight="false" outlineLevel="0" collapsed="false">
      <c r="A199" s="5"/>
      <c r="B199" s="5" t="n">
        <v>0.404999999999999</v>
      </c>
      <c r="C199" s="5" t="n">
        <f aca="false">B199*VOFLB</f>
        <v>10.53</v>
      </c>
      <c r="D199" s="5" t="e">
        <f aca="false">C199*(ActR7+1000*Set_R9)/(ActR7+ActR8+Set_R9*1000)</f>
        <v>#N/A</v>
      </c>
      <c r="E199" s="90" t="e">
        <f aca="false">IF(C199*(1000*Set_R9+ActR7)/((1000*Set_R9+ActR7+ActR8)*(Set_Rs*Gain/2))&gt;B$25,B$25,C199*(1000*Set_R9+ActR7)/((1000*Set_R9+ActR7+ActR8)*(Set_Rs*Gain/2)))</f>
        <v>#N/A</v>
      </c>
      <c r="F199" s="90" t="e">
        <f aca="false">IF(D199&lt;0.2,0.2/(Set_Rs*Gain/2),E199)</f>
        <v>#N/A</v>
      </c>
      <c r="G199" s="5" t="e">
        <f aca="false">(C$60-C199)*F199</f>
        <v>#N/A</v>
      </c>
      <c r="H199" s="5" t="n">
        <v>0.505000000000015</v>
      </c>
      <c r="I199" s="5" t="n">
        <f aca="false">H199*VOFLB</f>
        <v>13.1300000000004</v>
      </c>
      <c r="J199" s="5" t="n">
        <f aca="false">I199*ActR9_sw/(ActR7_sw+ActR9_sw+Set_R8*1000)</f>
        <v>0.505813017479316</v>
      </c>
      <c r="K199" s="91" t="n">
        <f aca="false">IF(J199/(0.5*Set_Rs*Gain) &gt;B$25,B$25,J199/(0.5*Set_Rs*Gain))</f>
        <v>5.05813017479316</v>
      </c>
      <c r="L199" s="91" t="n">
        <f aca="false">IF(J199&lt;0.2,0.2/(0.5*Set_Rs*Gain),K199)</f>
        <v>5.05813017479316</v>
      </c>
      <c r="M199" s="5" t="n">
        <f aca="false">(I$60-I199)*L199</f>
        <v>91.4004122585104</v>
      </c>
      <c r="N199" s="5"/>
      <c r="O199" s="5"/>
      <c r="P199" s="5"/>
      <c r="Q199" s="5"/>
    </row>
    <row r="200" customFormat="false" ht="12.75" hidden="false" customHeight="false" outlineLevel="0" collapsed="false">
      <c r="A200" s="5"/>
      <c r="B200" s="5" t="n">
        <v>0.399999999999999</v>
      </c>
      <c r="C200" s="5" t="n">
        <f aca="false">B200*VOFLB</f>
        <v>10.4</v>
      </c>
      <c r="D200" s="5" t="e">
        <f aca="false">C200*(ActR7+1000*Set_R9)/(ActR7+ActR8+Set_R9*1000)</f>
        <v>#N/A</v>
      </c>
      <c r="E200" s="90" t="e">
        <f aca="false">IF(C200*(1000*Set_R9+ActR7)/((1000*Set_R9+ActR7+ActR8)*(Set_Rs*Gain/2))&gt;B$25,B$25,C200*(1000*Set_R9+ActR7)/((1000*Set_R9+ActR7+ActR8)*(Set_Rs*Gain/2)))</f>
        <v>#N/A</v>
      </c>
      <c r="F200" s="90" t="e">
        <f aca="false">IF(D200&lt;0.2,0.2/(Set_Rs*Gain/2),E200)</f>
        <v>#N/A</v>
      </c>
      <c r="G200" s="5" t="e">
        <f aca="false">(C$60-C200)*F200</f>
        <v>#N/A</v>
      </c>
      <c r="H200" s="5" t="n">
        <v>0.500000000000015</v>
      </c>
      <c r="I200" s="5" t="n">
        <f aca="false">H200*VOFLB</f>
        <v>13.0000000000004</v>
      </c>
      <c r="J200" s="5" t="n">
        <f aca="false">I200*ActR9_sw/(ActR7_sw+ActR9_sw+Set_R8*1000)</f>
        <v>0.500804967801303</v>
      </c>
      <c r="K200" s="91" t="n">
        <f aca="false">IF(J200/(0.5*Set_Rs*Gain) &gt;B$25,B$25,J200/(0.5*Set_Rs*Gain))</f>
        <v>5.00804967801303</v>
      </c>
      <c r="L200" s="91" t="n">
        <f aca="false">IF(J200&lt;0.2,0.2/(0.5*Set_Rs*Gain),K200)</f>
        <v>5.00804967801303</v>
      </c>
      <c r="M200" s="5" t="n">
        <f aca="false">(I$60-I200)*L200</f>
        <v>91.1465041398352</v>
      </c>
      <c r="N200" s="5"/>
      <c r="O200" s="5"/>
      <c r="P200" s="5"/>
      <c r="Q200" s="5"/>
    </row>
    <row r="201" customFormat="false" ht="12.75" hidden="false" customHeight="false" outlineLevel="0" collapsed="false">
      <c r="A201" s="5"/>
      <c r="B201" s="5" t="n">
        <v>0.394999999999999</v>
      </c>
      <c r="C201" s="5" t="n">
        <f aca="false">B201*VOFLB</f>
        <v>10.27</v>
      </c>
      <c r="D201" s="5" t="e">
        <f aca="false">C201*(ActR7+1000*Set_R9)/(ActR7+ActR8+Set_R9*1000)</f>
        <v>#N/A</v>
      </c>
      <c r="E201" s="90" t="e">
        <f aca="false">IF(C201*(1000*Set_R9+ActR7)/((1000*Set_R9+ActR7+ActR8)*(Set_Rs*Gain/2))&gt;B$25,B$25,C201*(1000*Set_R9+ActR7)/((1000*Set_R9+ActR7+ActR8)*(Set_Rs*Gain/2)))</f>
        <v>#N/A</v>
      </c>
      <c r="F201" s="90" t="e">
        <f aca="false">IF(D201&lt;0.2,0.2/(Set_Rs*Gain/2),E201)</f>
        <v>#N/A</v>
      </c>
      <c r="G201" s="5" t="e">
        <f aca="false">(C$60-C201)*F201</f>
        <v>#N/A</v>
      </c>
      <c r="H201" s="5" t="n">
        <v>0.495000000000015</v>
      </c>
      <c r="I201" s="5" t="n">
        <f aca="false">H201*VOFLB</f>
        <v>12.8700000000004</v>
      </c>
      <c r="J201" s="5" t="n">
        <f aca="false">I201*ActR9_sw/(ActR7_sw+ActR9_sw+Set_R8*1000)</f>
        <v>0.495796918123291</v>
      </c>
      <c r="K201" s="91" t="n">
        <f aca="false">IF(J201/(0.5*Set_Rs*Gain) &gt;B$25,B$25,J201/(0.5*Set_Rs*Gain))</f>
        <v>4.9579691812329</v>
      </c>
      <c r="L201" s="91" t="n">
        <f aca="false">IF(J201&lt;0.2,0.2/(0.5*Set_Rs*Gain),K201)</f>
        <v>4.9579691812329</v>
      </c>
      <c r="M201" s="5" t="n">
        <f aca="false">(I$60-I201)*L201</f>
        <v>90.8795750919972</v>
      </c>
      <c r="N201" s="5"/>
      <c r="O201" s="5"/>
      <c r="P201" s="5"/>
      <c r="Q201" s="5"/>
    </row>
    <row r="202" customFormat="false" ht="12.75" hidden="false" customHeight="false" outlineLevel="0" collapsed="false">
      <c r="A202" s="5"/>
      <c r="B202" s="5" t="n">
        <v>0.389999999999999</v>
      </c>
      <c r="C202" s="5" t="n">
        <f aca="false">B202*VOFLB</f>
        <v>10.14</v>
      </c>
      <c r="D202" s="5" t="e">
        <f aca="false">C202*(ActR7+1000*Set_R9)/(ActR7+ActR8+Set_R9*1000)</f>
        <v>#N/A</v>
      </c>
      <c r="E202" s="90" t="e">
        <f aca="false">IF(C202*(1000*Set_R9+ActR7)/((1000*Set_R9+ActR7+ActR8)*(Set_Rs*Gain/2))&gt;B$25,B$25,C202*(1000*Set_R9+ActR7)/((1000*Set_R9+ActR7+ActR8)*(Set_Rs*Gain/2)))</f>
        <v>#N/A</v>
      </c>
      <c r="F202" s="90" t="e">
        <f aca="false">IF(D202&lt;0.2,0.2/(Set_Rs*Gain/2),E202)</f>
        <v>#N/A</v>
      </c>
      <c r="G202" s="5" t="e">
        <f aca="false">(C$60-C202)*F202</f>
        <v>#N/A</v>
      </c>
      <c r="H202" s="5" t="n">
        <v>0.490000000000015</v>
      </c>
      <c r="I202" s="5" t="n">
        <f aca="false">H202*VOFLB</f>
        <v>12.7400000000004</v>
      </c>
      <c r="J202" s="5" t="n">
        <f aca="false">I202*ActR9_sw/(ActR7_sw+ActR9_sw+Set_R8*1000)</f>
        <v>0.490788868445278</v>
      </c>
      <c r="K202" s="91" t="n">
        <f aca="false">IF(J202/(0.5*Set_Rs*Gain) &gt;B$25,B$25,J202/(0.5*Set_Rs*Gain))</f>
        <v>4.90788868445278</v>
      </c>
      <c r="L202" s="91" t="n">
        <f aca="false">IF(J202&lt;0.2,0.2/(0.5*Set_Rs*Gain),K202)</f>
        <v>4.90788868445278</v>
      </c>
      <c r="M202" s="5" t="n">
        <f aca="false">(I$60-I202)*L202</f>
        <v>90.5996251149963</v>
      </c>
      <c r="N202" s="5"/>
      <c r="O202" s="5"/>
      <c r="P202" s="5"/>
      <c r="Q202" s="5"/>
    </row>
    <row r="203" customFormat="false" ht="12.75" hidden="false" customHeight="false" outlineLevel="0" collapsed="false">
      <c r="A203" s="5"/>
      <c r="B203" s="5" t="n">
        <v>0.384999999999999</v>
      </c>
      <c r="C203" s="5" t="n">
        <f aca="false">B203*VOFLB</f>
        <v>10.01</v>
      </c>
      <c r="D203" s="5" t="e">
        <f aca="false">C203*(ActR7+1000*Set_R9)/(ActR7+ActR8+Set_R9*1000)</f>
        <v>#N/A</v>
      </c>
      <c r="E203" s="90" t="e">
        <f aca="false">IF(C203*(1000*Set_R9+ActR7)/((1000*Set_R9+ActR7+ActR8)*(Set_Rs*Gain/2))&gt;B$25,B$25,C203*(1000*Set_R9+ActR7)/((1000*Set_R9+ActR7+ActR8)*(Set_Rs*Gain/2)))</f>
        <v>#N/A</v>
      </c>
      <c r="F203" s="90" t="e">
        <f aca="false">IF(D203&lt;0.2,0.2/(Set_Rs*Gain/2),E203)</f>
        <v>#N/A</v>
      </c>
      <c r="G203" s="5" t="e">
        <f aca="false">(C$60-C203)*F203</f>
        <v>#N/A</v>
      </c>
      <c r="H203" s="5" t="n">
        <v>0.485000000000015</v>
      </c>
      <c r="I203" s="5" t="n">
        <f aca="false">H203*VOFLB</f>
        <v>12.6100000000004</v>
      </c>
      <c r="J203" s="5" t="n">
        <f aca="false">I203*ActR9_sw/(ActR7_sw+ActR9_sw+Set_R8*1000)</f>
        <v>0.485780818767265</v>
      </c>
      <c r="K203" s="91" t="n">
        <f aca="false">IF(J203/(0.5*Set_Rs*Gain) &gt;B$25,B$25,J203/(0.5*Set_Rs*Gain))</f>
        <v>4.85780818767265</v>
      </c>
      <c r="L203" s="91" t="n">
        <f aca="false">IF(J203&lt;0.2,0.2/(0.5*Set_Rs*Gain),K203)</f>
        <v>4.85780818767265</v>
      </c>
      <c r="M203" s="5" t="n">
        <f aca="false">(I$60-I203)*L203</f>
        <v>90.3066542088326</v>
      </c>
      <c r="N203" s="5"/>
      <c r="O203" s="5"/>
      <c r="P203" s="5"/>
      <c r="Q203" s="5"/>
    </row>
    <row r="204" customFormat="false" ht="12.75" hidden="false" customHeight="false" outlineLevel="0" collapsed="false">
      <c r="A204" s="5"/>
      <c r="B204" s="5" t="n">
        <v>0.379999999999999</v>
      </c>
      <c r="C204" s="5" t="n">
        <f aca="false">B204*VOFLB</f>
        <v>9.87999999999997</v>
      </c>
      <c r="D204" s="5" t="e">
        <f aca="false">C204*(ActR7+1000*Set_R9)/(ActR7+ActR8+Set_R9*1000)</f>
        <v>#N/A</v>
      </c>
      <c r="E204" s="90" t="e">
        <f aca="false">IF(C204*(1000*Set_R9+ActR7)/((1000*Set_R9+ActR7+ActR8)*(Set_Rs*Gain/2))&gt;B$25,B$25,C204*(1000*Set_R9+ActR7)/((1000*Set_R9+ActR7+ActR8)*(Set_Rs*Gain/2)))</f>
        <v>#N/A</v>
      </c>
      <c r="F204" s="90" t="e">
        <f aca="false">IF(D204&lt;0.2,0.2/(Set_Rs*Gain/2),E204)</f>
        <v>#N/A</v>
      </c>
      <c r="G204" s="5" t="e">
        <f aca="false">(C$60-C204)*F204</f>
        <v>#N/A</v>
      </c>
      <c r="H204" s="5" t="n">
        <v>0.480000000000015</v>
      </c>
      <c r="I204" s="5" t="n">
        <f aca="false">H204*VOFLB</f>
        <v>12.4800000000004</v>
      </c>
      <c r="J204" s="5" t="n">
        <f aca="false">I204*ActR9_sw/(ActR7_sw+ActR9_sw+Set_R8*1000)</f>
        <v>0.480772769089252</v>
      </c>
      <c r="K204" s="91" t="n">
        <f aca="false">IF(J204/(0.5*Set_Rs*Gain) &gt;B$25,B$25,J204/(0.5*Set_Rs*Gain))</f>
        <v>4.80772769089252</v>
      </c>
      <c r="L204" s="91" t="n">
        <f aca="false">IF(J204&lt;0.2,0.2/(0.5*Set_Rs*Gain),K204)</f>
        <v>4.80772769089252</v>
      </c>
      <c r="M204" s="5" t="n">
        <f aca="false">(I$60-I204)*L204</f>
        <v>90.000662373506</v>
      </c>
      <c r="N204" s="5"/>
      <c r="O204" s="5"/>
      <c r="P204" s="5"/>
      <c r="Q204" s="5"/>
    </row>
    <row r="205" customFormat="false" ht="12.75" hidden="false" customHeight="false" outlineLevel="0" collapsed="false">
      <c r="A205" s="5"/>
      <c r="B205" s="5" t="n">
        <v>0.374999999999999</v>
      </c>
      <c r="C205" s="5" t="n">
        <f aca="false">B205*VOFLB</f>
        <v>9.74999999999997</v>
      </c>
      <c r="D205" s="5" t="e">
        <f aca="false">C205*(ActR7+1000*Set_R9)/(ActR7+ActR8+Set_R9*1000)</f>
        <v>#N/A</v>
      </c>
      <c r="E205" s="90" t="e">
        <f aca="false">IF(C205*(1000*Set_R9+ActR7)/((1000*Set_R9+ActR7+ActR8)*(Set_Rs*Gain/2))&gt;B$25,B$25,C205*(1000*Set_R9+ActR7)/((1000*Set_R9+ActR7+ActR8)*(Set_Rs*Gain/2)))</f>
        <v>#N/A</v>
      </c>
      <c r="F205" s="90" t="e">
        <f aca="false">IF(D205&lt;0.2,0.2/(Set_Rs*Gain/2),E205)</f>
        <v>#N/A</v>
      </c>
      <c r="G205" s="5" t="e">
        <f aca="false">(C$60-C205)*F205</f>
        <v>#N/A</v>
      </c>
      <c r="H205" s="5" t="n">
        <v>0.475000000000015</v>
      </c>
      <c r="I205" s="5" t="n">
        <f aca="false">H205*VOFLB</f>
        <v>12.3500000000004</v>
      </c>
      <c r="J205" s="5" t="n">
        <f aca="false">I205*ActR9_sw/(ActR7_sw+ActR9_sw+Set_R8*1000)</f>
        <v>0.475764719411239</v>
      </c>
      <c r="K205" s="91" t="n">
        <f aca="false">IF(J205/(0.5*Set_Rs*Gain) &gt;B$25,B$25,J205/(0.5*Set_Rs*Gain))</f>
        <v>4.75764719411239</v>
      </c>
      <c r="L205" s="91" t="n">
        <f aca="false">IF(J205&lt;0.2,0.2/(0.5*Set_Rs*Gain),K205)</f>
        <v>4.75764719411239</v>
      </c>
      <c r="M205" s="5" t="n">
        <f aca="false">(I$60-I205)*L205</f>
        <v>89.6816496090166</v>
      </c>
      <c r="N205" s="5"/>
      <c r="O205" s="5"/>
      <c r="P205" s="5"/>
      <c r="Q205" s="5"/>
    </row>
    <row r="206" customFormat="false" ht="12.75" hidden="false" customHeight="false" outlineLevel="0" collapsed="false">
      <c r="A206" s="5"/>
      <c r="B206" s="5" t="n">
        <v>0.369999999999999</v>
      </c>
      <c r="C206" s="5" t="n">
        <f aca="false">B206*VOFLB</f>
        <v>9.61999999999997</v>
      </c>
      <c r="D206" s="5" t="e">
        <f aca="false">C206*(ActR7+1000*Set_R9)/(ActR7+ActR8+Set_R9*1000)</f>
        <v>#N/A</v>
      </c>
      <c r="E206" s="90" t="e">
        <f aca="false">IF(C206*(1000*Set_R9+ActR7)/((1000*Set_R9+ActR7+ActR8)*(Set_Rs*Gain/2))&gt;B$25,B$25,C206*(1000*Set_R9+ActR7)/((1000*Set_R9+ActR7+ActR8)*(Set_Rs*Gain/2)))</f>
        <v>#N/A</v>
      </c>
      <c r="F206" s="90" t="e">
        <f aca="false">IF(D206&lt;0.2,0.2/(Set_Rs*Gain/2),E206)</f>
        <v>#N/A</v>
      </c>
      <c r="G206" s="5" t="e">
        <f aca="false">(C$60-C206)*F206</f>
        <v>#N/A</v>
      </c>
      <c r="H206" s="5" t="n">
        <v>0.470000000000016</v>
      </c>
      <c r="I206" s="5" t="n">
        <f aca="false">H206*VOFLB</f>
        <v>12.2200000000004</v>
      </c>
      <c r="J206" s="5" t="n">
        <f aca="false">I206*ActR9_sw/(ActR7_sw+ActR9_sw+Set_R8*1000)</f>
        <v>0.470756669733226</v>
      </c>
      <c r="K206" s="91" t="n">
        <f aca="false">IF(J206/(0.5*Set_Rs*Gain) &gt;B$25,B$25,J206/(0.5*Set_Rs*Gain))</f>
        <v>4.70756669733226</v>
      </c>
      <c r="L206" s="91" t="n">
        <f aca="false">IF(J206&lt;0.2,0.2/(0.5*Set_Rs*Gain),K206)</f>
        <v>4.70756669733226</v>
      </c>
      <c r="M206" s="5" t="n">
        <f aca="false">(I$60-I206)*L206</f>
        <v>89.3496159153644</v>
      </c>
      <c r="N206" s="5"/>
      <c r="O206" s="5"/>
      <c r="P206" s="5"/>
      <c r="Q206" s="5"/>
    </row>
    <row r="207" customFormat="false" ht="12.75" hidden="false" customHeight="false" outlineLevel="0" collapsed="false">
      <c r="A207" s="5"/>
      <c r="B207" s="5" t="n">
        <v>0.364999999999999</v>
      </c>
      <c r="C207" s="5" t="n">
        <f aca="false">B207*VOFLB</f>
        <v>9.48999999999997</v>
      </c>
      <c r="D207" s="5" t="e">
        <f aca="false">C207*(ActR7+1000*Set_R9)/(ActR7+ActR8+Set_R9*1000)</f>
        <v>#N/A</v>
      </c>
      <c r="E207" s="90" t="e">
        <f aca="false">IF(C207*(1000*Set_R9+ActR7)/((1000*Set_R9+ActR7+ActR8)*(Set_Rs*Gain/2))&gt;B$25,B$25,C207*(1000*Set_R9+ActR7)/((1000*Set_R9+ActR7+ActR8)*(Set_Rs*Gain/2)))</f>
        <v>#N/A</v>
      </c>
      <c r="F207" s="90" t="e">
        <f aca="false">IF(D207&lt;0.2,0.2/(Set_Rs*Gain/2),E207)</f>
        <v>#N/A</v>
      </c>
      <c r="G207" s="5" t="e">
        <f aca="false">(C$60-C207)*F207</f>
        <v>#N/A</v>
      </c>
      <c r="H207" s="5" t="n">
        <v>0.465000000000016</v>
      </c>
      <c r="I207" s="5" t="n">
        <f aca="false">H207*VOFLB</f>
        <v>12.0900000000004</v>
      </c>
      <c r="J207" s="5" t="n">
        <f aca="false">I207*ActR9_sw/(ActR7_sw+ActR9_sw+Set_R8*1000)</f>
        <v>0.465748620055213</v>
      </c>
      <c r="K207" s="91" t="n">
        <f aca="false">IF(J207/(0.5*Set_Rs*Gain) &gt;B$25,B$25,J207/(0.5*Set_Rs*Gain))</f>
        <v>4.65748620055213</v>
      </c>
      <c r="L207" s="91" t="n">
        <f aca="false">IF(J207&lt;0.2,0.2/(0.5*Set_Rs*Gain),K207)</f>
        <v>4.65748620055213</v>
      </c>
      <c r="M207" s="5" t="n">
        <f aca="false">(I$60-I207)*L207</f>
        <v>89.0045612925494</v>
      </c>
      <c r="N207" s="5"/>
      <c r="O207" s="5"/>
      <c r="P207" s="5"/>
      <c r="Q207" s="5"/>
    </row>
    <row r="208" customFormat="false" ht="12.75" hidden="false" customHeight="false" outlineLevel="0" collapsed="false">
      <c r="A208" s="5"/>
      <c r="B208" s="5" t="n">
        <v>0.359999999999999</v>
      </c>
      <c r="C208" s="5" t="n">
        <f aca="false">B208*VOFLB</f>
        <v>9.35999999999998</v>
      </c>
      <c r="D208" s="5" t="e">
        <f aca="false">C208*(ActR7+1000*Set_R9)/(ActR7+ActR8+Set_R9*1000)</f>
        <v>#N/A</v>
      </c>
      <c r="E208" s="90" t="e">
        <f aca="false">IF(C208*(1000*Set_R9+ActR7)/((1000*Set_R9+ActR7+ActR8)*(Set_Rs*Gain/2))&gt;B$25,B$25,C208*(1000*Set_R9+ActR7)/((1000*Set_R9+ActR7+ActR8)*(Set_Rs*Gain/2)))</f>
        <v>#N/A</v>
      </c>
      <c r="F208" s="90" t="e">
        <f aca="false">IF(D208&lt;0.2,0.2/(Set_Rs*Gain/2),E208)</f>
        <v>#N/A</v>
      </c>
      <c r="G208" s="5" t="e">
        <f aca="false">(C$60-C208)*F208</f>
        <v>#N/A</v>
      </c>
      <c r="H208" s="5" t="n">
        <v>0.460000000000016</v>
      </c>
      <c r="I208" s="5" t="n">
        <f aca="false">H208*VOFLB</f>
        <v>11.9600000000004</v>
      </c>
      <c r="J208" s="5" t="n">
        <f aca="false">I208*ActR9_sw/(ActR7_sw+ActR9_sw+Set_R8*1000)</f>
        <v>0.4607405703772</v>
      </c>
      <c r="K208" s="91" t="n">
        <f aca="false">IF(J208/(0.5*Set_Rs*Gain) &gt;B$25,B$25,J208/(0.5*Set_Rs*Gain))</f>
        <v>4.607405703772</v>
      </c>
      <c r="L208" s="91" t="n">
        <f aca="false">IF(J208&lt;0.2,0.2/(0.5*Set_Rs*Gain),K208)</f>
        <v>4.607405703772</v>
      </c>
      <c r="M208" s="5" t="n">
        <f aca="false">(I$60-I208)*L208</f>
        <v>88.6464857405715</v>
      </c>
      <c r="N208" s="5"/>
      <c r="O208" s="5"/>
      <c r="P208" s="5"/>
      <c r="Q208" s="5"/>
    </row>
    <row r="209" customFormat="false" ht="12.75" hidden="false" customHeight="false" outlineLevel="0" collapsed="false">
      <c r="A209" s="5"/>
      <c r="B209" s="5" t="n">
        <v>0.354999999999999</v>
      </c>
      <c r="C209" s="5" t="n">
        <f aca="false">B209*VOFLB</f>
        <v>9.22999999999997</v>
      </c>
      <c r="D209" s="5" t="e">
        <f aca="false">C209*(ActR7+1000*Set_R9)/(ActR7+ActR8+Set_R9*1000)</f>
        <v>#N/A</v>
      </c>
      <c r="E209" s="90" t="e">
        <f aca="false">IF(C209*(1000*Set_R9+ActR7)/((1000*Set_R9+ActR7+ActR8)*(Set_Rs*Gain/2))&gt;B$25,B$25,C209*(1000*Set_R9+ActR7)/((1000*Set_R9+ActR7+ActR8)*(Set_Rs*Gain/2)))</f>
        <v>#N/A</v>
      </c>
      <c r="F209" s="90" t="e">
        <f aca="false">IF(D209&lt;0.2,0.2/(Set_Rs*Gain/2),E209)</f>
        <v>#N/A</v>
      </c>
      <c r="G209" s="5" t="e">
        <f aca="false">(C$60-C209)*F209</f>
        <v>#N/A</v>
      </c>
      <c r="H209" s="5" t="n">
        <v>0.455000000000016</v>
      </c>
      <c r="I209" s="5" t="n">
        <f aca="false">H209*VOFLB</f>
        <v>11.8300000000004</v>
      </c>
      <c r="J209" s="5" t="n">
        <f aca="false">I209*ActR9_sw/(ActR7_sw+ActR9_sw+Set_R8*1000)</f>
        <v>0.455732520699187</v>
      </c>
      <c r="K209" s="91" t="n">
        <f aca="false">IF(J209/(0.5*Set_Rs*Gain) &gt;B$25,B$25,J209/(0.5*Set_Rs*Gain))</f>
        <v>4.55732520699187</v>
      </c>
      <c r="L209" s="91" t="n">
        <f aca="false">IF(J209&lt;0.2,0.2/(0.5*Set_Rs*Gain),K209)</f>
        <v>4.55732520699187</v>
      </c>
      <c r="M209" s="5" t="n">
        <f aca="false">(I$60-I209)*L209</f>
        <v>88.2753892594308</v>
      </c>
      <c r="N209" s="5"/>
      <c r="O209" s="5"/>
      <c r="P209" s="5"/>
      <c r="Q209" s="5"/>
    </row>
    <row r="210" customFormat="false" ht="12.75" hidden="false" customHeight="false" outlineLevel="0" collapsed="false">
      <c r="A210" s="5"/>
      <c r="B210" s="5" t="n">
        <v>0.349999999999999</v>
      </c>
      <c r="C210" s="5" t="n">
        <f aca="false">B210*VOFLB</f>
        <v>9.09999999999997</v>
      </c>
      <c r="D210" s="5" t="e">
        <f aca="false">C210*(ActR7+1000*Set_R9)/(ActR7+ActR8+Set_R9*1000)</f>
        <v>#N/A</v>
      </c>
      <c r="E210" s="90" t="e">
        <f aca="false">IF(C210*(1000*Set_R9+ActR7)/((1000*Set_R9+ActR7+ActR8)*(Set_Rs*Gain/2))&gt;B$25,B$25,C210*(1000*Set_R9+ActR7)/((1000*Set_R9+ActR7+ActR8)*(Set_Rs*Gain/2)))</f>
        <v>#N/A</v>
      </c>
      <c r="F210" s="90" t="e">
        <f aca="false">IF(D210&lt;0.2,0.2/(Set_Rs*Gain/2),E210)</f>
        <v>#N/A</v>
      </c>
      <c r="G210" s="5" t="e">
        <f aca="false">(C$60-C210)*F210</f>
        <v>#N/A</v>
      </c>
      <c r="H210" s="5" t="n">
        <v>0.450000000000016</v>
      </c>
      <c r="I210" s="5" t="n">
        <f aca="false">H210*VOFLB</f>
        <v>11.7000000000004</v>
      </c>
      <c r="J210" s="5" t="n">
        <f aca="false">I210*ActR9_sw/(ActR7_sw+ActR9_sw+Set_R8*1000)</f>
        <v>0.450724471021175</v>
      </c>
      <c r="K210" s="91" t="n">
        <f aca="false">IF(J210/(0.5*Set_Rs*Gain) &gt;B$25,B$25,J210/(0.5*Set_Rs*Gain))</f>
        <v>4.50724471021175</v>
      </c>
      <c r="L210" s="91" t="n">
        <f aca="false">IF(J210&lt;0.2,0.2/(0.5*Set_Rs*Gain),K210)</f>
        <v>4.50724471021175</v>
      </c>
      <c r="M210" s="5" t="n">
        <f aca="false">(I$60-I210)*L210</f>
        <v>87.8912718491272</v>
      </c>
      <c r="N210" s="5"/>
      <c r="O210" s="5"/>
      <c r="P210" s="5"/>
      <c r="Q210" s="5"/>
    </row>
    <row r="211" customFormat="false" ht="12.75" hidden="false" customHeight="false" outlineLevel="0" collapsed="false">
      <c r="A211" s="5"/>
      <c r="B211" s="5" t="n">
        <v>0.344999999999999</v>
      </c>
      <c r="C211" s="5" t="n">
        <f aca="false">B211*VOFLB</f>
        <v>8.96999999999997</v>
      </c>
      <c r="D211" s="5" t="e">
        <f aca="false">C211*(ActR7+1000*Set_R9)/(ActR7+ActR8+Set_R9*1000)</f>
        <v>#N/A</v>
      </c>
      <c r="E211" s="90" t="e">
        <f aca="false">IF(C211*(1000*Set_R9+ActR7)/((1000*Set_R9+ActR7+ActR8)*(Set_Rs*Gain/2))&gt;B$25,B$25,C211*(1000*Set_R9+ActR7)/((1000*Set_R9+ActR7+ActR8)*(Set_Rs*Gain/2)))</f>
        <v>#N/A</v>
      </c>
      <c r="F211" s="90" t="e">
        <f aca="false">IF(D211&lt;0.2,0.2/(Set_Rs*Gain/2),E211)</f>
        <v>#N/A</v>
      </c>
      <c r="G211" s="5" t="e">
        <f aca="false">(C$60-C211)*F211</f>
        <v>#N/A</v>
      </c>
      <c r="H211" s="5" t="n">
        <v>0.445000000000016</v>
      </c>
      <c r="I211" s="5" t="n">
        <f aca="false">H211*VOFLB</f>
        <v>11.5700000000004</v>
      </c>
      <c r="J211" s="5" t="n">
        <f aca="false">I211*ActR9_sw/(ActR7_sw+ActR9_sw+Set_R8*1000)</f>
        <v>0.445716421343162</v>
      </c>
      <c r="K211" s="91" t="n">
        <f aca="false">IF(J211/(0.5*Set_Rs*Gain) &gt;B$25,B$25,J211/(0.5*Set_Rs*Gain))</f>
        <v>4.45716421343162</v>
      </c>
      <c r="L211" s="91" t="n">
        <f aca="false">IF(J211&lt;0.2,0.2/(0.5*Set_Rs*Gain),K211)</f>
        <v>4.45716421343162</v>
      </c>
      <c r="M211" s="5" t="n">
        <f aca="false">(I$60-I211)*L211</f>
        <v>87.4941335096608</v>
      </c>
      <c r="N211" s="5"/>
      <c r="O211" s="5"/>
      <c r="P211" s="5"/>
      <c r="Q211" s="5"/>
    </row>
    <row r="212" customFormat="false" ht="12.75" hidden="false" customHeight="false" outlineLevel="0" collapsed="false">
      <c r="A212" s="5"/>
      <c r="B212" s="5" t="n">
        <v>0.339999999999999</v>
      </c>
      <c r="C212" s="5" t="n">
        <f aca="false">B212*VOFLB</f>
        <v>8.83999999999998</v>
      </c>
      <c r="D212" s="5" t="e">
        <f aca="false">C212*(ActR7+1000*Set_R9)/(ActR7+ActR8+Set_R9*1000)</f>
        <v>#N/A</v>
      </c>
      <c r="E212" s="90" t="e">
        <f aca="false">IF(C212*(1000*Set_R9+ActR7)/((1000*Set_R9+ActR7+ActR8)*(Set_Rs*Gain/2))&gt;B$25,B$25,C212*(1000*Set_R9+ActR7)/((1000*Set_R9+ActR7+ActR8)*(Set_Rs*Gain/2)))</f>
        <v>#N/A</v>
      </c>
      <c r="F212" s="90" t="e">
        <f aca="false">IF(D212&lt;0.2,0.2/(Set_Rs*Gain/2),E212)</f>
        <v>#N/A</v>
      </c>
      <c r="G212" s="5" t="e">
        <f aca="false">(C$60-C212)*F212</f>
        <v>#N/A</v>
      </c>
      <c r="H212" s="5" t="n">
        <v>0.440000000000016</v>
      </c>
      <c r="I212" s="5" t="n">
        <f aca="false">H212*VOFLB</f>
        <v>11.4400000000004</v>
      </c>
      <c r="J212" s="5" t="n">
        <f aca="false">I212*ActR9_sw/(ActR7_sw+ActR9_sw+Set_R8*1000)</f>
        <v>0.440708371665149</v>
      </c>
      <c r="K212" s="91" t="n">
        <f aca="false">IF(J212/(0.5*Set_Rs*Gain) &gt;B$25,B$25,J212/(0.5*Set_Rs*Gain))</f>
        <v>4.40708371665149</v>
      </c>
      <c r="L212" s="91" t="n">
        <f aca="false">IF(J212&lt;0.2,0.2/(0.5*Set_Rs*Gain),K212)</f>
        <v>4.40708371665149</v>
      </c>
      <c r="M212" s="5" t="n">
        <f aca="false">(I$60-I212)*L212</f>
        <v>87.0839742410316</v>
      </c>
      <c r="N212" s="5"/>
      <c r="O212" s="5"/>
      <c r="P212" s="5"/>
      <c r="Q212" s="5"/>
    </row>
    <row r="213" customFormat="false" ht="12.75" hidden="false" customHeight="false" outlineLevel="0" collapsed="false">
      <c r="A213" s="5"/>
      <c r="B213" s="5" t="n">
        <v>0.334999999999999</v>
      </c>
      <c r="C213" s="5" t="n">
        <f aca="false">B213*VOFLB</f>
        <v>8.70999999999997</v>
      </c>
      <c r="D213" s="5" t="e">
        <f aca="false">C213*(ActR7+1000*Set_R9)/(ActR7+ActR8+Set_R9*1000)</f>
        <v>#N/A</v>
      </c>
      <c r="E213" s="90" t="e">
        <f aca="false">IF(C213*(1000*Set_R9+ActR7)/((1000*Set_R9+ActR7+ActR8)*(Set_Rs*Gain/2))&gt;B$25,B$25,C213*(1000*Set_R9+ActR7)/((1000*Set_R9+ActR7+ActR8)*(Set_Rs*Gain/2)))</f>
        <v>#N/A</v>
      </c>
      <c r="F213" s="90" t="e">
        <f aca="false">IF(D213&lt;0.2,0.2/(Set_Rs*Gain/2),E213)</f>
        <v>#N/A</v>
      </c>
      <c r="G213" s="5" t="e">
        <f aca="false">(C$60-C213)*F213</f>
        <v>#N/A</v>
      </c>
      <c r="H213" s="5" t="n">
        <v>0.435000000000016</v>
      </c>
      <c r="I213" s="5" t="n">
        <f aca="false">H213*VOFLB</f>
        <v>11.3100000000004</v>
      </c>
      <c r="J213" s="5" t="n">
        <f aca="false">I213*ActR9_sw/(ActR7_sw+ActR9_sw+Set_R8*1000)</f>
        <v>0.435700321987136</v>
      </c>
      <c r="K213" s="91" t="n">
        <f aca="false">IF(J213/(0.5*Set_Rs*Gain) &gt;B$25,B$25,J213/(0.5*Set_Rs*Gain))</f>
        <v>4.35700321987136</v>
      </c>
      <c r="L213" s="91" t="n">
        <f aca="false">IF(J213&lt;0.2,0.2/(0.5*Set_Rs*Gain),K213)</f>
        <v>4.35700321987136</v>
      </c>
      <c r="M213" s="5" t="n">
        <f aca="false">(I$60-I213)*L213</f>
        <v>86.6607940432396</v>
      </c>
      <c r="N213" s="5"/>
      <c r="O213" s="5"/>
      <c r="P213" s="5"/>
      <c r="Q213" s="5"/>
    </row>
    <row r="214" customFormat="false" ht="12.75" hidden="false" customHeight="false" outlineLevel="0" collapsed="false">
      <c r="A214" s="5"/>
      <c r="B214" s="5" t="n">
        <v>0.329999999999999</v>
      </c>
      <c r="C214" s="5" t="n">
        <f aca="false">B214*VOFLB</f>
        <v>8.57999999999998</v>
      </c>
      <c r="D214" s="5" t="e">
        <f aca="false">C214*(ActR7+1000*Set_R9)/(ActR7+ActR8+Set_R9*1000)</f>
        <v>#N/A</v>
      </c>
      <c r="E214" s="90" t="e">
        <f aca="false">IF(C214*(1000*Set_R9+ActR7)/((1000*Set_R9+ActR7+ActR8)*(Set_Rs*Gain/2))&gt;B$25,B$25,C214*(1000*Set_R9+ActR7)/((1000*Set_R9+ActR7+ActR8)*(Set_Rs*Gain/2)))</f>
        <v>#N/A</v>
      </c>
      <c r="F214" s="90" t="e">
        <f aca="false">IF(D214&lt;0.2,0.2/(Set_Rs*Gain/2),E214)</f>
        <v>#N/A</v>
      </c>
      <c r="G214" s="5" t="e">
        <f aca="false">(C$60-C214)*F214</f>
        <v>#N/A</v>
      </c>
      <c r="H214" s="5" t="n">
        <v>0.430000000000016</v>
      </c>
      <c r="I214" s="5" t="n">
        <f aca="false">H214*VOFLB</f>
        <v>11.1800000000004</v>
      </c>
      <c r="J214" s="5" t="n">
        <f aca="false">I214*ActR9_sw/(ActR7_sw+ActR9_sw+Set_R8*1000)</f>
        <v>0.430692272309123</v>
      </c>
      <c r="K214" s="91" t="n">
        <f aca="false">IF(J214/(0.5*Set_Rs*Gain) &gt;B$25,B$25,J214/(0.5*Set_Rs*Gain))</f>
        <v>4.30692272309123</v>
      </c>
      <c r="L214" s="91" t="n">
        <f aca="false">IF(J214&lt;0.2,0.2/(0.5*Set_Rs*Gain),K214)</f>
        <v>4.30692272309123</v>
      </c>
      <c r="M214" s="5" t="n">
        <f aca="false">(I$60-I214)*L214</f>
        <v>86.2245929162847</v>
      </c>
      <c r="N214" s="5"/>
      <c r="O214" s="5"/>
      <c r="P214" s="5"/>
      <c r="Q214" s="5"/>
    </row>
    <row r="215" customFormat="false" ht="12.75" hidden="false" customHeight="false" outlineLevel="0" collapsed="false">
      <c r="A215" s="5"/>
      <c r="B215" s="5" t="n">
        <v>0.324999999999999</v>
      </c>
      <c r="C215" s="5" t="n">
        <f aca="false">B215*VOFLB</f>
        <v>8.44999999999997</v>
      </c>
      <c r="D215" s="5" t="e">
        <f aca="false">C215*(ActR7+1000*Set_R9)/(ActR7+ActR8+Set_R9*1000)</f>
        <v>#N/A</v>
      </c>
      <c r="E215" s="90" t="e">
        <f aca="false">IF(C215*(1000*Set_R9+ActR7)/((1000*Set_R9+ActR7+ActR8)*(Set_Rs*Gain/2))&gt;B$25,B$25,C215*(1000*Set_R9+ActR7)/((1000*Set_R9+ActR7+ActR8)*(Set_Rs*Gain/2)))</f>
        <v>#N/A</v>
      </c>
      <c r="F215" s="90" t="e">
        <f aca="false">IF(D215&lt;0.2,0.2/(Set_Rs*Gain/2),E215)</f>
        <v>#N/A</v>
      </c>
      <c r="G215" s="5" t="e">
        <f aca="false">(C$60-C215)*F215</f>
        <v>#N/A</v>
      </c>
      <c r="H215" s="5" t="n">
        <v>0.425000000000017</v>
      </c>
      <c r="I215" s="5" t="n">
        <f aca="false">H215*VOFLB</f>
        <v>11.0500000000004</v>
      </c>
      <c r="J215" s="5" t="n">
        <f aca="false">I215*ActR9_sw/(ActR7_sw+ActR9_sw+Set_R8*1000)</f>
        <v>0.42568422263111</v>
      </c>
      <c r="K215" s="91" t="n">
        <f aca="false">IF(J215/(0.5*Set_Rs*Gain) &gt;B$25,B$25,J215/(0.5*Set_Rs*Gain))</f>
        <v>4.2568422263111</v>
      </c>
      <c r="L215" s="91" t="n">
        <f aca="false">IF(J215&lt;0.2,0.2/(0.5*Set_Rs*Gain),K215)</f>
        <v>4.2568422263111</v>
      </c>
      <c r="M215" s="5" t="n">
        <f aca="false">(I$60-I215)*L215</f>
        <v>85.775370860167</v>
      </c>
      <c r="N215" s="5"/>
      <c r="O215" s="5"/>
      <c r="P215" s="5"/>
      <c r="Q215" s="5"/>
    </row>
    <row r="216" customFormat="false" ht="12.75" hidden="false" customHeight="false" outlineLevel="0" collapsed="false">
      <c r="A216" s="5"/>
      <c r="B216" s="5" t="n">
        <v>0.319999999999999</v>
      </c>
      <c r="C216" s="5" t="n">
        <f aca="false">B216*VOFLB</f>
        <v>8.31999999999997</v>
      </c>
      <c r="D216" s="5" t="e">
        <f aca="false">C216*(ActR7+1000*Set_R9)/(ActR7+ActR8+Set_R9*1000)</f>
        <v>#N/A</v>
      </c>
      <c r="E216" s="90" t="e">
        <f aca="false">IF(C216*(1000*Set_R9+ActR7)/((1000*Set_R9+ActR7+ActR8)*(Set_Rs*Gain/2))&gt;B$25,B$25,C216*(1000*Set_R9+ActR7)/((1000*Set_R9+ActR7+ActR8)*(Set_Rs*Gain/2)))</f>
        <v>#N/A</v>
      </c>
      <c r="F216" s="90" t="e">
        <f aca="false">IF(D216&lt;0.2,0.2/(Set_Rs*Gain/2),E216)</f>
        <v>#N/A</v>
      </c>
      <c r="G216" s="5" t="e">
        <f aca="false">(C$60-C216)*F216</f>
        <v>#N/A</v>
      </c>
      <c r="H216" s="5" t="n">
        <v>0.420000000000017</v>
      </c>
      <c r="I216" s="5" t="n">
        <f aca="false">H216*VOFLB</f>
        <v>10.9200000000004</v>
      </c>
      <c r="J216" s="5" t="n">
        <f aca="false">I216*ActR9_sw/(ActR7_sw+ActR9_sw+Set_R8*1000)</f>
        <v>0.420676172953097</v>
      </c>
      <c r="K216" s="91" t="n">
        <f aca="false">IF(J216/(0.5*Set_Rs*Gain) &gt;B$25,B$25,J216/(0.5*Set_Rs*Gain))</f>
        <v>4.20676172953097</v>
      </c>
      <c r="L216" s="91" t="n">
        <f aca="false">IF(J216&lt;0.2,0.2/(0.5*Set_Rs*Gain),K216)</f>
        <v>4.20676172953097</v>
      </c>
      <c r="M216" s="5" t="n">
        <f aca="false">(I$60-I216)*L216</f>
        <v>85.3131278748865</v>
      </c>
      <c r="N216" s="5"/>
      <c r="O216" s="5"/>
      <c r="P216" s="5"/>
      <c r="Q216" s="5"/>
    </row>
    <row r="217" customFormat="false" ht="12.75" hidden="false" customHeight="false" outlineLevel="0" collapsed="false">
      <c r="A217" s="5"/>
      <c r="B217" s="5" t="n">
        <v>0.314999999999999</v>
      </c>
      <c r="C217" s="5" t="n">
        <f aca="false">B217*VOFLB</f>
        <v>8.18999999999998</v>
      </c>
      <c r="D217" s="5" t="e">
        <f aca="false">C217*(ActR7+1000*Set_R9)/(ActR7+ActR8+Set_R9*1000)</f>
        <v>#N/A</v>
      </c>
      <c r="E217" s="90" t="e">
        <f aca="false">IF(C217*(1000*Set_R9+ActR7)/((1000*Set_R9+ActR7+ActR8)*(Set_Rs*Gain/2))&gt;B$25,B$25,C217*(1000*Set_R9+ActR7)/((1000*Set_R9+ActR7+ActR8)*(Set_Rs*Gain/2)))</f>
        <v>#N/A</v>
      </c>
      <c r="F217" s="90" t="e">
        <f aca="false">IF(D217&lt;0.2,0.2/(Set_Rs*Gain/2),E217)</f>
        <v>#N/A</v>
      </c>
      <c r="G217" s="5" t="e">
        <f aca="false">(C$60-C217)*F217</f>
        <v>#N/A</v>
      </c>
      <c r="H217" s="5" t="n">
        <v>0.415000000000017</v>
      </c>
      <c r="I217" s="5" t="n">
        <f aca="false">H217*VOFLB</f>
        <v>10.7900000000004</v>
      </c>
      <c r="J217" s="5" t="n">
        <f aca="false">I217*ActR9_sw/(ActR7_sw+ActR9_sw+Set_R8*1000)</f>
        <v>0.415668123275084</v>
      </c>
      <c r="K217" s="91" t="n">
        <f aca="false">IF(J217/(0.5*Set_Rs*Gain) &gt;B$25,B$25,J217/(0.5*Set_Rs*Gain))</f>
        <v>4.15668123275084</v>
      </c>
      <c r="L217" s="91" t="n">
        <f aca="false">IF(J217&lt;0.2,0.2/(0.5*Set_Rs*Gain),K217)</f>
        <v>4.15668123275084</v>
      </c>
      <c r="M217" s="5" t="n">
        <f aca="false">(I$60-I217)*L217</f>
        <v>84.8378639604431</v>
      </c>
      <c r="N217" s="5"/>
      <c r="O217" s="5"/>
      <c r="P217" s="5"/>
      <c r="Q217" s="5"/>
    </row>
    <row r="218" customFormat="false" ht="12.75" hidden="false" customHeight="false" outlineLevel="0" collapsed="false">
      <c r="A218" s="5"/>
      <c r="B218" s="5" t="n">
        <v>0.309999999999999</v>
      </c>
      <c r="C218" s="5" t="n">
        <f aca="false">B218*VOFLB</f>
        <v>8.05999999999997</v>
      </c>
      <c r="D218" s="5" t="e">
        <f aca="false">C218*(ActR7+1000*Set_R9)/(ActR7+ActR8+Set_R9*1000)</f>
        <v>#N/A</v>
      </c>
      <c r="E218" s="90" t="e">
        <f aca="false">IF(C218*(1000*Set_R9+ActR7)/((1000*Set_R9+ActR7+ActR8)*(Set_Rs*Gain/2))&gt;B$25,B$25,C218*(1000*Set_R9+ActR7)/((1000*Set_R9+ActR7+ActR8)*(Set_Rs*Gain/2)))</f>
        <v>#N/A</v>
      </c>
      <c r="F218" s="90" t="e">
        <f aca="false">IF(D218&lt;0.2,0.2/(Set_Rs*Gain/2),E218)</f>
        <v>#N/A</v>
      </c>
      <c r="G218" s="5" t="e">
        <f aca="false">(C$60-C218)*F218</f>
        <v>#N/A</v>
      </c>
      <c r="H218" s="5" t="n">
        <v>0.410000000000017</v>
      </c>
      <c r="I218" s="5" t="n">
        <f aca="false">H218*VOFLB</f>
        <v>10.6600000000004</v>
      </c>
      <c r="J218" s="5" t="n">
        <f aca="false">I218*ActR9_sw/(ActR7_sw+ActR9_sw+Set_R8*1000)</f>
        <v>0.410660073597072</v>
      </c>
      <c r="K218" s="91" t="n">
        <f aca="false">IF(J218/(0.5*Set_Rs*Gain) &gt;B$25,B$25,J218/(0.5*Set_Rs*Gain))</f>
        <v>4.10660073597072</v>
      </c>
      <c r="L218" s="91" t="n">
        <f aca="false">IF(J218&lt;0.2,0.2/(0.5*Set_Rs*Gain),K218)</f>
        <v>4.10660073597072</v>
      </c>
      <c r="M218" s="5" t="n">
        <f aca="false">(I$60-I218)*L218</f>
        <v>84.3495791168369</v>
      </c>
      <c r="N218" s="5"/>
      <c r="O218" s="5"/>
      <c r="P218" s="5"/>
      <c r="Q218" s="5"/>
    </row>
    <row r="219" customFormat="false" ht="12.75" hidden="false" customHeight="false" outlineLevel="0" collapsed="false">
      <c r="A219" s="5"/>
      <c r="B219" s="5" t="n">
        <v>0.304999999999999</v>
      </c>
      <c r="C219" s="5" t="n">
        <f aca="false">B219*VOFLB</f>
        <v>7.92999999999997</v>
      </c>
      <c r="D219" s="5" t="e">
        <f aca="false">C219*(ActR7+1000*Set_R9)/(ActR7+ActR8+Set_R9*1000)</f>
        <v>#N/A</v>
      </c>
      <c r="E219" s="90" t="e">
        <f aca="false">IF(C219*(1000*Set_R9+ActR7)/((1000*Set_R9+ActR7+ActR8)*(Set_Rs*Gain/2))&gt;B$25,B$25,C219*(1000*Set_R9+ActR7)/((1000*Set_R9+ActR7+ActR8)*(Set_Rs*Gain/2)))</f>
        <v>#N/A</v>
      </c>
      <c r="F219" s="90" t="e">
        <f aca="false">IF(D219&lt;0.2,0.2/(Set_Rs*Gain/2),E219)</f>
        <v>#N/A</v>
      </c>
      <c r="G219" s="5" t="e">
        <f aca="false">(C$60-C219)*F219</f>
        <v>#N/A</v>
      </c>
      <c r="H219" s="5" t="n">
        <v>0.405000000000017</v>
      </c>
      <c r="I219" s="5" t="n">
        <f aca="false">H219*VOFLB</f>
        <v>10.5300000000004</v>
      </c>
      <c r="J219" s="5" t="n">
        <f aca="false">I219*ActR9_sw/(ActR7_sw+ActR9_sw+Set_R8*1000)</f>
        <v>0.405652023919059</v>
      </c>
      <c r="K219" s="91" t="n">
        <f aca="false">IF(J219/(0.5*Set_Rs*Gain) &gt;B$25,B$25,J219/(0.5*Set_Rs*Gain))</f>
        <v>4.05652023919059</v>
      </c>
      <c r="L219" s="91" t="n">
        <f aca="false">IF(J219&lt;0.2,0.2/(0.5*Set_Rs*Gain),K219)</f>
        <v>4.05652023919059</v>
      </c>
      <c r="M219" s="5" t="n">
        <f aca="false">(I$60-I219)*L219</f>
        <v>83.8482733440678</v>
      </c>
      <c r="N219" s="5"/>
      <c r="O219" s="5"/>
      <c r="P219" s="5"/>
      <c r="Q219" s="5"/>
    </row>
    <row r="220" customFormat="false" ht="12.75" hidden="false" customHeight="false" outlineLevel="0" collapsed="false">
      <c r="A220" s="5"/>
      <c r="B220" s="5" t="n">
        <v>0.299999999999999</v>
      </c>
      <c r="C220" s="5" t="n">
        <f aca="false">B220*VOFLB</f>
        <v>7.79999999999997</v>
      </c>
      <c r="D220" s="5" t="e">
        <f aca="false">C220*(ActR7+1000*Set_R9)/(ActR7+ActR8+Set_R9*1000)</f>
        <v>#N/A</v>
      </c>
      <c r="E220" s="90" t="e">
        <f aca="false">IF(C220*(1000*Set_R9+ActR7)/((1000*Set_R9+ActR7+ActR8)*(Set_Rs*Gain/2))&gt;B$25,B$25,C220*(1000*Set_R9+ActR7)/((1000*Set_R9+ActR7+ActR8)*(Set_Rs*Gain/2)))</f>
        <v>#N/A</v>
      </c>
      <c r="F220" s="90" t="e">
        <f aca="false">IF(D220&lt;0.2,0.2/(Set_Rs*Gain/2),E220)</f>
        <v>#N/A</v>
      </c>
      <c r="G220" s="5" t="e">
        <f aca="false">(C$60-C220)*F220</f>
        <v>#N/A</v>
      </c>
      <c r="H220" s="5" t="n">
        <v>0.400000000000017</v>
      </c>
      <c r="I220" s="5" t="n">
        <f aca="false">H220*VOFLB</f>
        <v>10.4000000000004</v>
      </c>
      <c r="J220" s="5" t="n">
        <f aca="false">I220*ActR9_sw/(ActR7_sw+ActR9_sw+Set_R8*1000)</f>
        <v>0.400643974241046</v>
      </c>
      <c r="K220" s="91" t="n">
        <f aca="false">IF(J220/(0.5*Set_Rs*Gain) &gt;B$25,B$25,J220/(0.5*Set_Rs*Gain))</f>
        <v>4.00643974241046</v>
      </c>
      <c r="L220" s="91" t="n">
        <f aca="false">IF(J220&lt;0.2,0.2/(0.5*Set_Rs*Gain),K220)</f>
        <v>4.00643974241046</v>
      </c>
      <c r="M220" s="5" t="n">
        <f aca="false">(I$60-I220)*L220</f>
        <v>83.3339466421359</v>
      </c>
      <c r="N220" s="5"/>
      <c r="O220" s="5"/>
      <c r="P220" s="5"/>
      <c r="Q220" s="5"/>
    </row>
    <row r="221" customFormat="false" ht="12.75" hidden="false" customHeight="false" outlineLevel="0" collapsed="false">
      <c r="A221" s="5"/>
      <c r="B221" s="5" t="n">
        <v>0.294999999999999</v>
      </c>
      <c r="C221" s="5" t="n">
        <f aca="false">B221*VOFLB</f>
        <v>7.66999999999997</v>
      </c>
      <c r="D221" s="5" t="e">
        <f aca="false">C221*(ActR7+1000*Set_R9)/(ActR7+ActR8+Set_R9*1000)</f>
        <v>#N/A</v>
      </c>
      <c r="E221" s="90" t="e">
        <f aca="false">IF(C221*(1000*Set_R9+ActR7)/((1000*Set_R9+ActR7+ActR8)*(Set_Rs*Gain/2))&gt;B$25,B$25,C221*(1000*Set_R9+ActR7)/((1000*Set_R9+ActR7+ActR8)*(Set_Rs*Gain/2)))</f>
        <v>#N/A</v>
      </c>
      <c r="F221" s="90" t="e">
        <f aca="false">IF(D221&lt;0.2,0.2/(Set_Rs*Gain/2),E221)</f>
        <v>#N/A</v>
      </c>
      <c r="G221" s="5" t="e">
        <f aca="false">(C$60-C221)*F221</f>
        <v>#N/A</v>
      </c>
      <c r="H221" s="5" t="n">
        <v>0.395000000000017</v>
      </c>
      <c r="I221" s="5" t="n">
        <f aca="false">H221*VOFLB</f>
        <v>10.2700000000004</v>
      </c>
      <c r="J221" s="5" t="n">
        <f aca="false">I221*ActR9_sw/(ActR7_sw+ActR9_sw+Set_R8*1000)</f>
        <v>0.395635924563033</v>
      </c>
      <c r="K221" s="91" t="n">
        <f aca="false">IF(J221/(0.5*Set_Rs*Gain) &gt;B$25,B$25,J221/(0.5*Set_Rs*Gain))</f>
        <v>3.95635924563033</v>
      </c>
      <c r="L221" s="91" t="n">
        <f aca="false">IF(J221&lt;0.2,0.2/(0.5*Set_Rs*Gain),K221)</f>
        <v>3.95635924563033</v>
      </c>
      <c r="M221" s="5" t="n">
        <f aca="false">(I$60-I221)*L221</f>
        <v>82.8065990110412</v>
      </c>
      <c r="N221" s="5"/>
      <c r="O221" s="5"/>
      <c r="P221" s="5"/>
      <c r="Q221" s="5"/>
    </row>
    <row r="222" customFormat="false" ht="12.75" hidden="false" customHeight="false" outlineLevel="0" collapsed="false">
      <c r="A222" s="5"/>
      <c r="B222" s="5" t="n">
        <v>0.289999999999999</v>
      </c>
      <c r="C222" s="5" t="n">
        <f aca="false">B222*VOFLB</f>
        <v>7.53999999999997</v>
      </c>
      <c r="D222" s="5" t="e">
        <f aca="false">C222*(ActR7+1000*Set_R9)/(ActR7+ActR8+Set_R9*1000)</f>
        <v>#N/A</v>
      </c>
      <c r="E222" s="90" t="e">
        <f aca="false">IF(C222*(1000*Set_R9+ActR7)/((1000*Set_R9+ActR7+ActR8)*(Set_Rs*Gain/2))&gt;B$25,B$25,C222*(1000*Set_R9+ActR7)/((1000*Set_R9+ActR7+ActR8)*(Set_Rs*Gain/2)))</f>
        <v>#N/A</v>
      </c>
      <c r="F222" s="90" t="e">
        <f aca="false">IF(D222&lt;0.2,0.2/(Set_Rs*Gain/2),E222)</f>
        <v>#N/A</v>
      </c>
      <c r="G222" s="5" t="e">
        <f aca="false">(C$60-C222)*F222</f>
        <v>#N/A</v>
      </c>
      <c r="H222" s="5" t="n">
        <v>0.390000000000017</v>
      </c>
      <c r="I222" s="5" t="n">
        <f aca="false">H222*VOFLB</f>
        <v>10.1400000000004</v>
      </c>
      <c r="J222" s="5" t="n">
        <f aca="false">I222*ActR9_sw/(ActR7_sw+ActR9_sw+Set_R8*1000)</f>
        <v>0.39062787488502</v>
      </c>
      <c r="K222" s="91" t="n">
        <f aca="false">IF(J222/(0.5*Set_Rs*Gain) &gt;B$25,B$25,J222/(0.5*Set_Rs*Gain))</f>
        <v>3.9062787488502</v>
      </c>
      <c r="L222" s="91" t="n">
        <f aca="false">IF(J222&lt;0.2,0.2/(0.5*Set_Rs*Gain),K222)</f>
        <v>3.9062787488502</v>
      </c>
      <c r="M222" s="5" t="n">
        <f aca="false">(I$60-I222)*L222</f>
        <v>82.2662304507837</v>
      </c>
      <c r="N222" s="5"/>
      <c r="O222" s="5"/>
      <c r="P222" s="5"/>
      <c r="Q222" s="5"/>
    </row>
    <row r="223" customFormat="false" ht="12.75" hidden="false" customHeight="false" outlineLevel="0" collapsed="false">
      <c r="A223" s="5"/>
      <c r="B223" s="5" t="n">
        <v>0.284999999999999</v>
      </c>
      <c r="C223" s="5" t="n">
        <f aca="false">B223*VOFLB</f>
        <v>7.40999999999997</v>
      </c>
      <c r="D223" s="5" t="e">
        <f aca="false">C223*(ActR7+1000*Set_R9)/(ActR7+ActR8+Set_R9*1000)</f>
        <v>#N/A</v>
      </c>
      <c r="E223" s="90" t="e">
        <f aca="false">IF(C223*(1000*Set_R9+ActR7)/((1000*Set_R9+ActR7+ActR8)*(Set_Rs*Gain/2))&gt;B$25,B$25,C223*(1000*Set_R9+ActR7)/((1000*Set_R9+ActR7+ActR8)*(Set_Rs*Gain/2)))</f>
        <v>#N/A</v>
      </c>
      <c r="F223" s="90" t="e">
        <f aca="false">IF(D223&lt;0.2,0.2/(Set_Rs*Gain/2),E223)</f>
        <v>#N/A</v>
      </c>
      <c r="G223" s="5" t="e">
        <f aca="false">(C$60-C223)*F223</f>
        <v>#N/A</v>
      </c>
      <c r="H223" s="5" t="n">
        <v>0.385000000000017</v>
      </c>
      <c r="I223" s="5" t="n">
        <f aca="false">H223*VOFLB</f>
        <v>10.0100000000004</v>
      </c>
      <c r="J223" s="5" t="n">
        <f aca="false">I223*ActR9_sw/(ActR7_sw+ActR9_sw+Set_R8*1000)</f>
        <v>0.385619825207007</v>
      </c>
      <c r="K223" s="91" t="n">
        <f aca="false">IF(J223/(0.5*Set_Rs*Gain) &gt;B$25,B$25,J223/(0.5*Set_Rs*Gain))</f>
        <v>3.85619825207007</v>
      </c>
      <c r="L223" s="91" t="n">
        <f aca="false">IF(J223&lt;0.2,0.2/(0.5*Set_Rs*Gain),K223)</f>
        <v>3.85619825207007</v>
      </c>
      <c r="M223" s="5" t="n">
        <f aca="false">(I$60-I223)*L223</f>
        <v>81.7128409613633</v>
      </c>
      <c r="N223" s="5"/>
      <c r="O223" s="5"/>
      <c r="P223" s="5"/>
      <c r="Q223" s="5"/>
    </row>
    <row r="224" customFormat="false" ht="12.75" hidden="false" customHeight="false" outlineLevel="0" collapsed="false">
      <c r="A224" s="5"/>
      <c r="B224" s="5" t="n">
        <v>0.279999999999999</v>
      </c>
      <c r="C224" s="5" t="n">
        <f aca="false">B224*VOFLB</f>
        <v>7.27999999999997</v>
      </c>
      <c r="D224" s="5" t="e">
        <f aca="false">C224*(ActR7+1000*Set_R9)/(ActR7+ActR8+Set_R9*1000)</f>
        <v>#N/A</v>
      </c>
      <c r="E224" s="90" t="e">
        <f aca="false">IF(C224*(1000*Set_R9+ActR7)/((1000*Set_R9+ActR7+ActR8)*(Set_Rs*Gain/2))&gt;B$25,B$25,C224*(1000*Set_R9+ActR7)/((1000*Set_R9+ActR7+ActR8)*(Set_Rs*Gain/2)))</f>
        <v>#N/A</v>
      </c>
      <c r="F224" s="90" t="e">
        <f aca="false">IF(D224&lt;0.2,0.2/(Set_Rs*Gain/2),E224)</f>
        <v>#N/A</v>
      </c>
      <c r="G224" s="5" t="e">
        <f aca="false">(C$60-C224)*F224</f>
        <v>#N/A</v>
      </c>
      <c r="H224" s="5" t="n">
        <v>0.380000000000017</v>
      </c>
      <c r="I224" s="5" t="n">
        <f aca="false">H224*VOFLB</f>
        <v>9.88000000000044</v>
      </c>
      <c r="J224" s="5" t="n">
        <f aca="false">I224*ActR9_sw/(ActR7_sw+ActR9_sw+Set_R8*1000)</f>
        <v>0.380611775528996</v>
      </c>
      <c r="K224" s="91" t="n">
        <f aca="false">IF(J224/(0.5*Set_Rs*Gain) &gt;B$25,B$25,J224/(0.5*Set_Rs*Gain))</f>
        <v>3.80611775528996</v>
      </c>
      <c r="L224" s="91" t="n">
        <f aca="false">IF(J224&lt;0.2,0.2/(0.5*Set_Rs*Gain),K224)</f>
        <v>3.80611775528996</v>
      </c>
      <c r="M224" s="5" t="n">
        <f aca="false">(I$60-I224)*L224</f>
        <v>81.1464305427802</v>
      </c>
      <c r="N224" s="5"/>
      <c r="O224" s="5"/>
      <c r="P224" s="5"/>
      <c r="Q224" s="5"/>
    </row>
    <row r="225" customFormat="false" ht="12.75" hidden="false" customHeight="false" outlineLevel="0" collapsed="false">
      <c r="A225" s="5"/>
      <c r="B225" s="5" t="n">
        <v>0.274999999999999</v>
      </c>
      <c r="C225" s="5" t="n">
        <f aca="false">B225*VOFLB</f>
        <v>7.14999999999998</v>
      </c>
      <c r="D225" s="5" t="e">
        <f aca="false">C225*(ActR7+1000*Set_R9)/(ActR7+ActR8+Set_R9*1000)</f>
        <v>#N/A</v>
      </c>
      <c r="E225" s="90" t="e">
        <f aca="false">IF(C225*(1000*Set_R9+ActR7)/((1000*Set_R9+ActR7+ActR8)*(Set_Rs*Gain/2))&gt;B$25,B$25,C225*(1000*Set_R9+ActR7)/((1000*Set_R9+ActR7+ActR8)*(Set_Rs*Gain/2)))</f>
        <v>#N/A</v>
      </c>
      <c r="F225" s="90" t="e">
        <f aca="false">IF(D225&lt;0.2,0.2/(Set_Rs*Gain/2),E225)</f>
        <v>#N/A</v>
      </c>
      <c r="G225" s="5" t="e">
        <f aca="false">(C$60-C225)*F225</f>
        <v>#N/A</v>
      </c>
      <c r="H225" s="5" t="n">
        <v>0.375000000000018</v>
      </c>
      <c r="I225" s="5" t="n">
        <f aca="false">H225*VOFLB</f>
        <v>9.75000000000047</v>
      </c>
      <c r="J225" s="5" t="n">
        <f aca="false">I225*ActR9_sw/(ActR7_sw+ActR9_sw+Set_R8*1000)</f>
        <v>0.375603725850984</v>
      </c>
      <c r="K225" s="91" t="n">
        <f aca="false">IF(J225/(0.5*Set_Rs*Gain) &gt;B$25,B$25,J225/(0.5*Set_Rs*Gain))</f>
        <v>3.75603725850984</v>
      </c>
      <c r="L225" s="91" t="n">
        <f aca="false">IF(J225&lt;0.2,0.2/(0.5*Set_Rs*Gain),K225)</f>
        <v>3.75603725850984</v>
      </c>
      <c r="M225" s="5" t="n">
        <f aca="false">(I$60-I225)*L225</f>
        <v>80.5669991950343</v>
      </c>
      <c r="N225" s="5"/>
      <c r="O225" s="5"/>
      <c r="P225" s="5"/>
      <c r="Q225" s="5"/>
    </row>
    <row r="226" customFormat="false" ht="12.75" hidden="false" customHeight="false" outlineLevel="0" collapsed="false">
      <c r="A226" s="5"/>
      <c r="B226" s="5" t="n">
        <v>0.269999999999999</v>
      </c>
      <c r="C226" s="5" t="n">
        <f aca="false">B226*VOFLB</f>
        <v>7.01999999999998</v>
      </c>
      <c r="D226" s="5" t="e">
        <f aca="false">C226*(ActR7+1000*Set_R9)/(ActR7+ActR8+Set_R9*1000)</f>
        <v>#N/A</v>
      </c>
      <c r="E226" s="90" t="e">
        <f aca="false">IF(C226*(1000*Set_R9+ActR7)/((1000*Set_R9+ActR7+ActR8)*(Set_Rs*Gain/2))&gt;B$25,B$25,C226*(1000*Set_R9+ActR7)/((1000*Set_R9+ActR7+ActR8)*(Set_Rs*Gain/2)))</f>
        <v>#N/A</v>
      </c>
      <c r="F226" s="90" t="e">
        <f aca="false">IF(D226&lt;0.2,0.2/(Set_Rs*Gain/2),E226)</f>
        <v>#N/A</v>
      </c>
      <c r="G226" s="5" t="e">
        <f aca="false">(C$60-C226)*F226</f>
        <v>#N/A</v>
      </c>
      <c r="H226" s="5" t="n">
        <v>0.370000000000018</v>
      </c>
      <c r="I226" s="5" t="n">
        <f aca="false">H226*VOFLB</f>
        <v>9.62000000000047</v>
      </c>
      <c r="J226" s="5" t="n">
        <f aca="false">I226*ActR9_sw/(ActR7_sw+ActR9_sw+Set_R8*1000)</f>
        <v>0.370595676172971</v>
      </c>
      <c r="K226" s="91" t="n">
        <f aca="false">IF(J226/(0.5*Set_Rs*Gain) &gt;B$25,B$25,J226/(0.5*Set_Rs*Gain))</f>
        <v>3.70595676172971</v>
      </c>
      <c r="L226" s="91" t="n">
        <f aca="false">IF(J226&lt;0.2,0.2/(0.5*Set_Rs*Gain),K226)</f>
        <v>3.70595676172971</v>
      </c>
      <c r="M226" s="5" t="n">
        <f aca="false">(I$60-I226)*L226</f>
        <v>79.9745469181254</v>
      </c>
      <c r="N226" s="5"/>
      <c r="O226" s="5"/>
      <c r="P226" s="5"/>
      <c r="Q226" s="5"/>
    </row>
    <row r="227" customFormat="false" ht="12.75" hidden="false" customHeight="false" outlineLevel="0" collapsed="false">
      <c r="A227" s="5"/>
      <c r="B227" s="5" t="n">
        <v>0.264999999999999</v>
      </c>
      <c r="C227" s="5" t="n">
        <f aca="false">B227*VOFLB</f>
        <v>6.88999999999997</v>
      </c>
      <c r="D227" s="5" t="e">
        <f aca="false">C227*(ActR7+1000*Set_R9)/(ActR7+ActR8+Set_R9*1000)</f>
        <v>#N/A</v>
      </c>
      <c r="E227" s="90" t="e">
        <f aca="false">IF(C227*(1000*Set_R9+ActR7)/((1000*Set_R9+ActR7+ActR8)*(Set_Rs*Gain/2))&gt;B$25,B$25,C227*(1000*Set_R9+ActR7)/((1000*Set_R9+ActR7+ActR8)*(Set_Rs*Gain/2)))</f>
        <v>#N/A</v>
      </c>
      <c r="F227" s="90" t="e">
        <f aca="false">IF(D227&lt;0.2,0.2/(Set_Rs*Gain/2),E227)</f>
        <v>#N/A</v>
      </c>
      <c r="G227" s="5" t="e">
        <f aca="false">(C$60-C227)*F227</f>
        <v>#N/A</v>
      </c>
      <c r="H227" s="5" t="n">
        <v>0.365000000000018</v>
      </c>
      <c r="I227" s="5" t="n">
        <f aca="false">H227*VOFLB</f>
        <v>9.49000000000047</v>
      </c>
      <c r="J227" s="5" t="n">
        <f aca="false">I227*ActR9_sw/(ActR7_sw+ActR9_sw+Set_R8*1000)</f>
        <v>0.365587626494958</v>
      </c>
      <c r="K227" s="91" t="n">
        <f aca="false">IF(J227/(0.5*Set_Rs*Gain) &gt;B$25,B$25,J227/(0.5*Set_Rs*Gain))</f>
        <v>3.65587626494958</v>
      </c>
      <c r="L227" s="91" t="n">
        <f aca="false">IF(J227&lt;0.2,0.2/(0.5*Set_Rs*Gain),K227)</f>
        <v>3.65587626494958</v>
      </c>
      <c r="M227" s="5" t="n">
        <f aca="false">(I$60-I227)*L227</f>
        <v>79.3690737120537</v>
      </c>
      <c r="N227" s="5"/>
      <c r="O227" s="5"/>
      <c r="P227" s="5"/>
      <c r="Q227" s="5"/>
    </row>
    <row r="228" customFormat="false" ht="12.75" hidden="false" customHeight="false" outlineLevel="0" collapsed="false">
      <c r="A228" s="5"/>
      <c r="B228" s="5" t="n">
        <v>0.259999999999999</v>
      </c>
      <c r="C228" s="5" t="n">
        <f aca="false">B228*VOFLB</f>
        <v>6.75999999999997</v>
      </c>
      <c r="D228" s="5" t="e">
        <f aca="false">C228*(ActR7+1000*Set_R9)/(ActR7+ActR8+Set_R9*1000)</f>
        <v>#N/A</v>
      </c>
      <c r="E228" s="90" t="e">
        <f aca="false">IF(C228*(1000*Set_R9+ActR7)/((1000*Set_R9+ActR7+ActR8)*(Set_Rs*Gain/2))&gt;B$25,B$25,C228*(1000*Set_R9+ActR7)/((1000*Set_R9+ActR7+ActR8)*(Set_Rs*Gain/2)))</f>
        <v>#N/A</v>
      </c>
      <c r="F228" s="90" t="e">
        <f aca="false">IF(D228&lt;0.2,0.2/(Set_Rs*Gain/2),E228)</f>
        <v>#N/A</v>
      </c>
      <c r="G228" s="5" t="e">
        <f aca="false">(C$60-C228)*F228</f>
        <v>#N/A</v>
      </c>
      <c r="H228" s="5" t="n">
        <v>0.360000000000018</v>
      </c>
      <c r="I228" s="5" t="n">
        <f aca="false">H228*VOFLB</f>
        <v>9.36000000000047</v>
      </c>
      <c r="J228" s="5" t="n">
        <f aca="false">I228*ActR9_sw/(ActR7_sw+ActR9_sw+Set_R8*1000)</f>
        <v>0.360579576816945</v>
      </c>
      <c r="K228" s="91" t="n">
        <f aca="false">IF(J228/(0.5*Set_Rs*Gain) &gt;B$25,B$25,J228/(0.5*Set_Rs*Gain))</f>
        <v>3.60579576816945</v>
      </c>
      <c r="L228" s="91" t="n">
        <f aca="false">IF(J228&lt;0.2,0.2/(0.5*Set_Rs*Gain),K228)</f>
        <v>3.60579576816945</v>
      </c>
      <c r="M228" s="5" t="n">
        <f aca="false">(I$60-I228)*L228</f>
        <v>78.7505795768192</v>
      </c>
      <c r="N228" s="5"/>
      <c r="O228" s="5"/>
      <c r="P228" s="5"/>
      <c r="Q228" s="5"/>
    </row>
    <row r="229" customFormat="false" ht="12.75" hidden="false" customHeight="false" outlineLevel="0" collapsed="false">
      <c r="A229" s="5"/>
      <c r="B229" s="5" t="n">
        <v>0.254999999999999</v>
      </c>
      <c r="C229" s="5" t="n">
        <f aca="false">B229*VOFLB</f>
        <v>6.62999999999997</v>
      </c>
      <c r="D229" s="5" t="e">
        <f aca="false">C229*(ActR7+1000*Set_R9)/(ActR7+ActR8+Set_R9*1000)</f>
        <v>#N/A</v>
      </c>
      <c r="E229" s="90" t="e">
        <f aca="false">IF(C229*(1000*Set_R9+ActR7)/((1000*Set_R9+ActR7+ActR8)*(Set_Rs*Gain/2))&gt;B$25,B$25,C229*(1000*Set_R9+ActR7)/((1000*Set_R9+ActR7+ActR8)*(Set_Rs*Gain/2)))</f>
        <v>#N/A</v>
      </c>
      <c r="F229" s="90" t="e">
        <f aca="false">IF(D229&lt;0.2,0.2/(Set_Rs*Gain/2),E229)</f>
        <v>#N/A</v>
      </c>
      <c r="G229" s="5" t="e">
        <f aca="false">(C$60-C229)*F229</f>
        <v>#N/A</v>
      </c>
      <c r="H229" s="5" t="n">
        <v>0.355000000000018</v>
      </c>
      <c r="I229" s="5" t="n">
        <f aca="false">H229*VOFLB</f>
        <v>9.23000000000047</v>
      </c>
      <c r="J229" s="5" t="n">
        <f aca="false">I229*ActR9_sw/(ActR7_sw+ActR9_sw+Set_R8*1000)</f>
        <v>0.355571527138933</v>
      </c>
      <c r="K229" s="91" t="n">
        <f aca="false">IF(J229/(0.5*Set_Rs*Gain) &gt;B$25,B$25,J229/(0.5*Set_Rs*Gain))</f>
        <v>3.55571527138933</v>
      </c>
      <c r="L229" s="91" t="n">
        <f aca="false">IF(J229&lt;0.2,0.2/(0.5*Set_Rs*Gain),K229)</f>
        <v>3.55571527138933</v>
      </c>
      <c r="M229" s="5" t="n">
        <f aca="false">(I$60-I229)*L229</f>
        <v>78.1190645124218</v>
      </c>
      <c r="N229" s="5"/>
      <c r="O229" s="5"/>
      <c r="P229" s="5"/>
      <c r="Q229" s="5"/>
    </row>
    <row r="230" customFormat="false" ht="12.75" hidden="false" customHeight="false" outlineLevel="0" collapsed="false">
      <c r="A230" s="5"/>
      <c r="B230" s="5" t="n">
        <v>0.249999999999999</v>
      </c>
      <c r="C230" s="5" t="n">
        <f aca="false">B230*VOFLB</f>
        <v>6.49999999999997</v>
      </c>
      <c r="D230" s="5" t="e">
        <f aca="false">C230*(ActR7+1000*Set_R9)/(ActR7+ActR8+Set_R9*1000)</f>
        <v>#N/A</v>
      </c>
      <c r="E230" s="90" t="e">
        <f aca="false">IF(C230*(1000*Set_R9+ActR7)/((1000*Set_R9+ActR7+ActR8)*(Set_Rs*Gain/2))&gt;B$25,B$25,C230*(1000*Set_R9+ActR7)/((1000*Set_R9+ActR7+ActR8)*(Set_Rs*Gain/2)))</f>
        <v>#N/A</v>
      </c>
      <c r="F230" s="90" t="e">
        <f aca="false">IF(D230&lt;0.2,0.2/(Set_Rs*Gain/2),E230)</f>
        <v>#N/A</v>
      </c>
      <c r="G230" s="5" t="e">
        <f aca="false">(C$60-C230)*F230</f>
        <v>#N/A</v>
      </c>
      <c r="H230" s="5" t="n">
        <v>0.350000000000018</v>
      </c>
      <c r="I230" s="5" t="n">
        <f aca="false">H230*VOFLB</f>
        <v>9.10000000000047</v>
      </c>
      <c r="J230" s="5" t="n">
        <f aca="false">I230*ActR9_sw/(ActR7_sw+ActR9_sw+Set_R8*1000)</f>
        <v>0.35056347746092</v>
      </c>
      <c r="K230" s="91" t="n">
        <f aca="false">IF(J230/(0.5*Set_Rs*Gain) &gt;B$25,B$25,J230/(0.5*Set_Rs*Gain))</f>
        <v>3.5056347746092</v>
      </c>
      <c r="L230" s="91" t="n">
        <f aca="false">IF(J230&lt;0.2,0.2/(0.5*Set_Rs*Gain),K230)</f>
        <v>3.5056347746092</v>
      </c>
      <c r="M230" s="5" t="n">
        <f aca="false">(I$60-I230)*L230</f>
        <v>77.4745285188616</v>
      </c>
      <c r="N230" s="5"/>
      <c r="O230" s="5"/>
      <c r="P230" s="5"/>
      <c r="Q230" s="5"/>
    </row>
    <row r="231" customFormat="false" ht="12.75" hidden="false" customHeight="false" outlineLevel="0" collapsed="false">
      <c r="A231" s="5"/>
      <c r="B231" s="5" t="n">
        <v>0.244999999999999</v>
      </c>
      <c r="C231" s="5" t="n">
        <f aca="false">B231*VOFLB</f>
        <v>6.36999999999997</v>
      </c>
      <c r="D231" s="5" t="e">
        <f aca="false">C231*(ActR7+1000*Set_R9)/(ActR7+ActR8+Set_R9*1000)</f>
        <v>#N/A</v>
      </c>
      <c r="E231" s="90" t="e">
        <f aca="false">IF(C231*(1000*Set_R9+ActR7)/((1000*Set_R9+ActR7+ActR8)*(Set_Rs*Gain/2))&gt;B$25,B$25,C231*(1000*Set_R9+ActR7)/((1000*Set_R9+ActR7+ActR8)*(Set_Rs*Gain/2)))</f>
        <v>#N/A</v>
      </c>
      <c r="F231" s="90" t="e">
        <f aca="false">IF(D231&lt;0.2,0.2/(Set_Rs*Gain/2),E231)</f>
        <v>#N/A</v>
      </c>
      <c r="G231" s="5" t="e">
        <f aca="false">(C$60-C231)*F231</f>
        <v>#N/A</v>
      </c>
      <c r="H231" s="5" t="n">
        <v>0.345000000000018</v>
      </c>
      <c r="I231" s="5" t="n">
        <f aca="false">H231*VOFLB</f>
        <v>8.97000000000047</v>
      </c>
      <c r="J231" s="5" t="n">
        <f aca="false">I231*ActR9_sw/(ActR7_sw+ActR9_sw+Set_R8*1000)</f>
        <v>0.345555427782907</v>
      </c>
      <c r="K231" s="91" t="n">
        <f aca="false">IF(J231/(0.5*Set_Rs*Gain) &gt;B$25,B$25,J231/(0.5*Set_Rs*Gain))</f>
        <v>3.45555427782907</v>
      </c>
      <c r="L231" s="91" t="n">
        <f aca="false">IF(J231&lt;0.2,0.2/(0.5*Set_Rs*Gain),K231)</f>
        <v>3.45555427782907</v>
      </c>
      <c r="M231" s="5" t="n">
        <f aca="false">(I$60-I231)*L231</f>
        <v>76.8169715961385</v>
      </c>
      <c r="N231" s="5"/>
      <c r="O231" s="5"/>
      <c r="P231" s="5"/>
      <c r="Q231" s="5"/>
    </row>
    <row r="232" customFormat="false" ht="12.75" hidden="false" customHeight="false" outlineLevel="0" collapsed="false">
      <c r="A232" s="5"/>
      <c r="B232" s="5" t="n">
        <v>0.239999999999999</v>
      </c>
      <c r="C232" s="5" t="n">
        <f aca="false">B232*VOFLB</f>
        <v>6.23999999999997</v>
      </c>
      <c r="D232" s="5" t="e">
        <f aca="false">C232*(ActR7+1000*Set_R9)/(ActR7+ActR8+Set_R9*1000)</f>
        <v>#N/A</v>
      </c>
      <c r="E232" s="90" t="e">
        <f aca="false">IF(C232*(1000*Set_R9+ActR7)/((1000*Set_R9+ActR7+ActR8)*(Set_Rs*Gain/2))&gt;B$25,B$25,C232*(1000*Set_R9+ActR7)/((1000*Set_R9+ActR7+ActR8)*(Set_Rs*Gain/2)))</f>
        <v>#N/A</v>
      </c>
      <c r="F232" s="90" t="e">
        <f aca="false">IF(D232&lt;0.2,0.2/(Set_Rs*Gain/2),E232)</f>
        <v>#N/A</v>
      </c>
      <c r="G232" s="5" t="e">
        <f aca="false">(C$60-C232)*F232</f>
        <v>#N/A</v>
      </c>
      <c r="H232" s="5" t="n">
        <v>0.340000000000018</v>
      </c>
      <c r="I232" s="5" t="n">
        <f aca="false">H232*VOFLB</f>
        <v>8.84000000000047</v>
      </c>
      <c r="J232" s="5" t="n">
        <f aca="false">I232*ActR9_sw/(ActR7_sw+ActR9_sw+Set_R8*1000)</f>
        <v>0.340547378104894</v>
      </c>
      <c r="K232" s="91" t="n">
        <f aca="false">IF(J232/(0.5*Set_Rs*Gain) &gt;B$25,B$25,J232/(0.5*Set_Rs*Gain))</f>
        <v>3.40547378104894</v>
      </c>
      <c r="L232" s="91" t="n">
        <f aca="false">IF(J232&lt;0.2,0.2/(0.5*Set_Rs*Gain),K232)</f>
        <v>3.40547378104894</v>
      </c>
      <c r="M232" s="5" t="n">
        <f aca="false">(I$60-I232)*L232</f>
        <v>76.1463937442527</v>
      </c>
      <c r="N232" s="5"/>
      <c r="O232" s="5"/>
      <c r="P232" s="5"/>
      <c r="Q232" s="5"/>
    </row>
    <row r="233" customFormat="false" ht="12.75" hidden="false" customHeight="false" outlineLevel="0" collapsed="false">
      <c r="A233" s="5"/>
      <c r="B233" s="5" t="n">
        <v>0.234999999999999</v>
      </c>
      <c r="C233" s="5" t="n">
        <f aca="false">B233*VOFLB</f>
        <v>6.10999999999997</v>
      </c>
      <c r="D233" s="5" t="e">
        <f aca="false">C233*(ActR7+1000*Set_R9)/(ActR7+ActR8+Set_R9*1000)</f>
        <v>#N/A</v>
      </c>
      <c r="E233" s="90" t="e">
        <f aca="false">IF(C233*(1000*Set_R9+ActR7)/((1000*Set_R9+ActR7+ActR8)*(Set_Rs*Gain/2))&gt;B$25,B$25,C233*(1000*Set_R9+ActR7)/((1000*Set_R9+ActR7+ActR8)*(Set_Rs*Gain/2)))</f>
        <v>#N/A</v>
      </c>
      <c r="F233" s="90" t="e">
        <f aca="false">IF(D233&lt;0.2,0.2/(Set_Rs*Gain/2),E233)</f>
        <v>#N/A</v>
      </c>
      <c r="G233" s="5" t="e">
        <f aca="false">(C$60-C233)*F233</f>
        <v>#N/A</v>
      </c>
      <c r="H233" s="5" t="n">
        <v>0.335000000000018</v>
      </c>
      <c r="I233" s="5" t="n">
        <f aca="false">H233*VOFLB</f>
        <v>8.71000000000047</v>
      </c>
      <c r="J233" s="5" t="n">
        <f aca="false">I233*ActR9_sw/(ActR7_sw+ActR9_sw+Set_R8*1000)</f>
        <v>0.335539328426881</v>
      </c>
      <c r="K233" s="91" t="n">
        <f aca="false">IF(J233/(0.5*Set_Rs*Gain) &gt;B$25,B$25,J233/(0.5*Set_Rs*Gain))</f>
        <v>3.35539328426881</v>
      </c>
      <c r="L233" s="91" t="n">
        <f aca="false">IF(J233&lt;0.2,0.2/(0.5*Set_Rs*Gain),K233)</f>
        <v>3.35539328426881</v>
      </c>
      <c r="M233" s="5" t="n">
        <f aca="false">(I$60-I233)*L233</f>
        <v>75.462794963204</v>
      </c>
      <c r="N233" s="5"/>
      <c r="O233" s="5"/>
      <c r="P233" s="5"/>
      <c r="Q233" s="5"/>
    </row>
    <row r="234" customFormat="false" ht="12.75" hidden="false" customHeight="false" outlineLevel="0" collapsed="false">
      <c r="A234" s="5"/>
      <c r="B234" s="5" t="n">
        <v>0.229999999999999</v>
      </c>
      <c r="C234" s="5" t="n">
        <f aca="false">B234*VOFLB</f>
        <v>5.97999999999998</v>
      </c>
      <c r="D234" s="5" t="e">
        <f aca="false">C234*(ActR7+1000*Set_R9)/(ActR7+ActR8+Set_R9*1000)</f>
        <v>#N/A</v>
      </c>
      <c r="E234" s="90" t="e">
        <f aca="false">IF(C234*(1000*Set_R9+ActR7)/((1000*Set_R9+ActR7+ActR8)*(Set_Rs*Gain/2))&gt;B$25,B$25,C234*(1000*Set_R9+ActR7)/((1000*Set_R9+ActR7+ActR8)*(Set_Rs*Gain/2)))</f>
        <v>#N/A</v>
      </c>
      <c r="F234" s="90" t="e">
        <f aca="false">IF(D234&lt;0.2,0.2/(Set_Rs*Gain/2),E234)</f>
        <v>#N/A</v>
      </c>
      <c r="G234" s="5" t="e">
        <f aca="false">(C$60-C234)*F234</f>
        <v>#N/A</v>
      </c>
      <c r="H234" s="5" t="n">
        <v>0.330000000000019</v>
      </c>
      <c r="I234" s="5" t="n">
        <f aca="false">H234*VOFLB</f>
        <v>8.58000000000049</v>
      </c>
      <c r="J234" s="5" t="n">
        <f aca="false">I234*ActR9_sw/(ActR7_sw+ActR9_sw+Set_R8*1000)</f>
        <v>0.330531278748869</v>
      </c>
      <c r="K234" s="91" t="n">
        <f aca="false">IF(J234/(0.5*Set_Rs*Gain) &gt;B$25,B$25,J234/(0.5*Set_Rs*Gain))</f>
        <v>3.30531278748869</v>
      </c>
      <c r="L234" s="91" t="n">
        <f aca="false">IF(J234&lt;0.2,0.2/(0.5*Set_Rs*Gain),K234)</f>
        <v>3.30531278748869</v>
      </c>
      <c r="M234" s="5" t="n">
        <f aca="false">(I$60-I234)*L234</f>
        <v>74.7661752529925</v>
      </c>
      <c r="N234" s="5"/>
      <c r="O234" s="5"/>
      <c r="P234" s="5"/>
      <c r="Q234" s="5"/>
    </row>
    <row r="235" customFormat="false" ht="12.75" hidden="false" customHeight="false" outlineLevel="0" collapsed="false">
      <c r="A235" s="5"/>
      <c r="B235" s="5" t="n">
        <v>0.224999999999999</v>
      </c>
      <c r="C235" s="5" t="n">
        <f aca="false">B235*VOFLB</f>
        <v>5.84999999999997</v>
      </c>
      <c r="D235" s="5" t="e">
        <f aca="false">C235*(ActR7+1000*Set_R9)/(ActR7+ActR8+Set_R9*1000)</f>
        <v>#N/A</v>
      </c>
      <c r="E235" s="90" t="e">
        <f aca="false">IF(C235*(1000*Set_R9+ActR7)/((1000*Set_R9+ActR7+ActR8)*(Set_Rs*Gain/2))&gt;B$25,B$25,C235*(1000*Set_R9+ActR7)/((1000*Set_R9+ActR7+ActR8)*(Set_Rs*Gain/2)))</f>
        <v>#N/A</v>
      </c>
      <c r="F235" s="90" t="e">
        <f aca="false">IF(D235&lt;0.2,0.2/(Set_Rs*Gain/2),E235)</f>
        <v>#N/A</v>
      </c>
      <c r="G235" s="5" t="e">
        <f aca="false">(C$60-C235)*F235</f>
        <v>#N/A</v>
      </c>
      <c r="H235" s="5" t="n">
        <v>0.325000000000019</v>
      </c>
      <c r="I235" s="5" t="n">
        <f aca="false">H235*VOFLB</f>
        <v>8.45000000000049</v>
      </c>
      <c r="J235" s="5" t="n">
        <f aca="false">I235*ActR9_sw/(ActR7_sw+ActR9_sw+Set_R8*1000)</f>
        <v>0.325523229070856</v>
      </c>
      <c r="K235" s="91" t="n">
        <f aca="false">IF(J235/(0.5*Set_Rs*Gain) &gt;B$25,B$25,J235/(0.5*Set_Rs*Gain))</f>
        <v>3.25523229070856</v>
      </c>
      <c r="L235" s="91" t="n">
        <f aca="false">IF(J235&lt;0.2,0.2/(0.5*Set_Rs*Gain),K235)</f>
        <v>3.25523229070856</v>
      </c>
      <c r="M235" s="5" t="n">
        <f aca="false">(I$60-I235)*L235</f>
        <v>74.0565346136181</v>
      </c>
      <c r="N235" s="5"/>
      <c r="O235" s="5"/>
      <c r="P235" s="5"/>
      <c r="Q235" s="5"/>
    </row>
    <row r="236" customFormat="false" ht="12.75" hidden="false" customHeight="false" outlineLevel="0" collapsed="false">
      <c r="A236" s="5"/>
      <c r="B236" s="5" t="n">
        <v>0.219999999999999</v>
      </c>
      <c r="C236" s="5" t="n">
        <f aca="false">B236*VOFLB</f>
        <v>5.71999999999997</v>
      </c>
      <c r="D236" s="5" t="e">
        <f aca="false">C236*(ActR7+1000*Set_R9)/(ActR7+ActR8+Set_R9*1000)</f>
        <v>#N/A</v>
      </c>
      <c r="E236" s="90" t="e">
        <f aca="false">IF(C236*(1000*Set_R9+ActR7)/((1000*Set_R9+ActR7+ActR8)*(Set_Rs*Gain/2))&gt;B$25,B$25,C236*(1000*Set_R9+ActR7)/((1000*Set_R9+ActR7+ActR8)*(Set_Rs*Gain/2)))</f>
        <v>#N/A</v>
      </c>
      <c r="F236" s="5" t="e">
        <f aca="false">IF(D236&lt;0.2,0.2/(Set_Rs*Gain/2),E236)</f>
        <v>#N/A</v>
      </c>
      <c r="G236" s="5" t="e">
        <f aca="false">(C$60-C236)*F236</f>
        <v>#N/A</v>
      </c>
      <c r="H236" s="5" t="n">
        <v>0.320000000000019</v>
      </c>
      <c r="I236" s="5" t="n">
        <f aca="false">H236*VOFLB</f>
        <v>8.32000000000049</v>
      </c>
      <c r="J236" s="5" t="n">
        <f aca="false">I236*ActR9_sw/(ActR7_sw+ActR9_sw+Set_R8*1000)</f>
        <v>0.320515179392843</v>
      </c>
      <c r="K236" s="91" t="n">
        <f aca="false">IF(J236/(0.5*Set_Rs*Gain) &gt;B$25,B$25,J236/(0.5*Set_Rs*Gain))</f>
        <v>3.20515179392843</v>
      </c>
      <c r="L236" s="91" t="n">
        <f aca="false">IF(J236&lt;0.2,0.2/(0.5*Set_Rs*Gain),K236)</f>
        <v>3.20515179392843</v>
      </c>
      <c r="M236" s="5" t="n">
        <f aca="false">(I$60-I236)*L236</f>
        <v>73.333873045081</v>
      </c>
      <c r="N236" s="5"/>
      <c r="O236" s="5"/>
      <c r="P236" s="5"/>
      <c r="Q236" s="5"/>
    </row>
    <row r="237" customFormat="false" ht="12.75" hidden="false" customHeight="false" outlineLevel="0" collapsed="false">
      <c r="A237" s="5"/>
      <c r="B237" s="5" t="n">
        <v>0.214999999999999</v>
      </c>
      <c r="C237" s="5" t="n">
        <f aca="false">B237*VOFLB</f>
        <v>5.58999999999997</v>
      </c>
      <c r="D237" s="5" t="e">
        <f aca="false">C237*(ActR7+1000*Set_R9)/(ActR7+ActR8+Set_R9*1000)</f>
        <v>#N/A</v>
      </c>
      <c r="E237" s="90" t="e">
        <f aca="false">IF(C237*(1000*Set_R9+ActR7)/((1000*Set_R9+ActR7+ActR8)*(Set_Rs*Gain/2))&gt;B$25,B$25,C237*(1000*Set_R9+ActR7)/((1000*Set_R9+ActR7+ActR8)*(Set_Rs*Gain/2)))</f>
        <v>#N/A</v>
      </c>
      <c r="F237" s="5" t="e">
        <f aca="false">IF(D237&lt;0.2,0.2/(Set_Rs*Gain/2),E237)</f>
        <v>#N/A</v>
      </c>
      <c r="G237" s="5" t="e">
        <f aca="false">(C$60-C237)*F237</f>
        <v>#N/A</v>
      </c>
      <c r="H237" s="5" t="n">
        <v>0.315000000000019</v>
      </c>
      <c r="I237" s="5" t="n">
        <f aca="false">H237*VOFLB</f>
        <v>8.19000000000049</v>
      </c>
      <c r="J237" s="5" t="n">
        <f aca="false">I237*ActR9_sw/(ActR7_sw+ActR9_sw+Set_R8*1000)</f>
        <v>0.31550712971483</v>
      </c>
      <c r="K237" s="91" t="n">
        <f aca="false">IF(J237/(0.5*Set_Rs*Gain) &gt;B$25,B$25,J237/(0.5*Set_Rs*Gain))</f>
        <v>3.1550712971483</v>
      </c>
      <c r="L237" s="91" t="n">
        <f aca="false">IF(J237&lt;0.2,0.2/(0.5*Set_Rs*Gain),K237)</f>
        <v>3.1550712971483</v>
      </c>
      <c r="M237" s="5" t="n">
        <f aca="false">(I$60-I237)*L237</f>
        <v>72.5981905473809</v>
      </c>
      <c r="N237" s="5"/>
      <c r="O237" s="5"/>
      <c r="P237" s="5"/>
      <c r="Q237" s="5"/>
    </row>
    <row r="238" customFormat="false" ht="12.75" hidden="false" customHeight="false" outlineLevel="0" collapsed="false">
      <c r="A238" s="5"/>
      <c r="B238" s="5" t="n">
        <v>0.209999999999999</v>
      </c>
      <c r="C238" s="5" t="n">
        <f aca="false">B238*VOFLB</f>
        <v>5.45999999999997</v>
      </c>
      <c r="D238" s="5" t="e">
        <f aca="false">C238*(ActR7+1000*Set_R9)/(ActR7+ActR8+Set_R9*1000)</f>
        <v>#N/A</v>
      </c>
      <c r="E238" s="90" t="e">
        <f aca="false">IF(C238*(1000*Set_R9+ActR7)/((1000*Set_R9+ActR7+ActR8)*(Set_Rs*Gain/2))&gt;B$25,B$25,C238*(1000*Set_R9+ActR7)/((1000*Set_R9+ActR7+ActR8)*(Set_Rs*Gain/2)))</f>
        <v>#N/A</v>
      </c>
      <c r="F238" s="5" t="e">
        <f aca="false">IF(D238&lt;0.2,0.2/(Set_Rs*Gain/2),E238)</f>
        <v>#N/A</v>
      </c>
      <c r="G238" s="5" t="e">
        <f aca="false">(C$60-C238)*F238</f>
        <v>#N/A</v>
      </c>
      <c r="H238" s="5" t="n">
        <v>0.310000000000019</v>
      </c>
      <c r="I238" s="5" t="n">
        <f aca="false">H238*VOFLB</f>
        <v>8.06000000000049</v>
      </c>
      <c r="J238" s="5" t="n">
        <f aca="false">I238*ActR9_sw/(ActR7_sw+ActR9_sw+Set_R8*1000)</f>
        <v>0.310499080036817</v>
      </c>
      <c r="K238" s="91" t="n">
        <f aca="false">IF(J238/(0.5*Set_Rs*Gain) &gt;B$25,B$25,J238/(0.5*Set_Rs*Gain))</f>
        <v>3.10499080036817</v>
      </c>
      <c r="L238" s="91" t="n">
        <f aca="false">IF(J238&lt;0.2,0.2/(0.5*Set_Rs*Gain),K238)</f>
        <v>3.10499080036817</v>
      </c>
      <c r="M238" s="5" t="n">
        <f aca="false">(I$60-I238)*L238</f>
        <v>71.849487120518</v>
      </c>
      <c r="N238" s="5"/>
      <c r="O238" s="5"/>
      <c r="P238" s="5"/>
      <c r="Q238" s="5"/>
    </row>
    <row r="239" customFormat="false" ht="12.75" hidden="false" customHeight="false" outlineLevel="0" collapsed="false">
      <c r="A239" s="5"/>
      <c r="B239" s="5" t="n">
        <v>0.204999999999999</v>
      </c>
      <c r="C239" s="5" t="n">
        <f aca="false">B239*VOFLB</f>
        <v>5.32999999999997</v>
      </c>
      <c r="D239" s="5" t="e">
        <f aca="false">C239*(ActR7+1000*Set_R9)/(ActR7+ActR8+Set_R9*1000)</f>
        <v>#N/A</v>
      </c>
      <c r="E239" s="90" t="e">
        <f aca="false">IF(C239*(1000*Set_R9+ActR7)/((1000*Set_R9+ActR7+ActR8)*(Set_Rs*Gain/2))&gt;B$25,B$25,C239*(1000*Set_R9+ActR7)/((1000*Set_R9+ActR7+ActR8)*(Set_Rs*Gain/2)))</f>
        <v>#N/A</v>
      </c>
      <c r="F239" s="5" t="e">
        <f aca="false">IF(D239&lt;0.2,0.2/(Set_Rs*Gain/2),E239)</f>
        <v>#N/A</v>
      </c>
      <c r="G239" s="5" t="e">
        <f aca="false">(C$60-C239)*F239</f>
        <v>#N/A</v>
      </c>
      <c r="H239" s="5" t="n">
        <v>0.305000000000019</v>
      </c>
      <c r="I239" s="5" t="n">
        <f aca="false">H239*VOFLB</f>
        <v>7.93000000000049</v>
      </c>
      <c r="J239" s="5" t="n">
        <f aca="false">I239*ActR9_sw/(ActR7_sw+ActR9_sw+Set_R8*1000)</f>
        <v>0.305491030358805</v>
      </c>
      <c r="K239" s="91" t="n">
        <f aca="false">IF(J239/(0.5*Set_Rs*Gain) &gt;B$25,B$25,J239/(0.5*Set_Rs*Gain))</f>
        <v>3.05491030358805</v>
      </c>
      <c r="L239" s="91" t="n">
        <f aca="false">IF(J239&lt;0.2,0.2/(0.5*Set_Rs*Gain),K239)</f>
        <v>3.05491030358805</v>
      </c>
      <c r="M239" s="5" t="n">
        <f aca="false">(I$60-I239)*L239</f>
        <v>71.0877627644923</v>
      </c>
      <c r="N239" s="5"/>
      <c r="O239" s="5"/>
      <c r="P239" s="5"/>
      <c r="Q239" s="5"/>
    </row>
    <row r="240" customFormat="false" ht="12.75" hidden="false" customHeight="false" outlineLevel="0" collapsed="false">
      <c r="A240" s="5"/>
      <c r="B240" s="5" t="n">
        <v>0.199999999999999</v>
      </c>
      <c r="C240" s="5" t="n">
        <f aca="false">B240*VOFLB</f>
        <v>5.19999999999997</v>
      </c>
      <c r="D240" s="5" t="e">
        <f aca="false">C240*(ActR7+1000*Set_R9)/(ActR7+ActR8+Set_R9*1000)</f>
        <v>#N/A</v>
      </c>
      <c r="E240" s="90" t="e">
        <f aca="false">IF(C240*(1000*Set_R9+ActR7)/((1000*Set_R9+ActR7+ActR8)*(Set_Rs*Gain/2))&gt;B$25,B$25,C240*(1000*Set_R9+ActR7)/((1000*Set_R9+ActR7+ActR8)*(Set_Rs*Gain/2)))</f>
        <v>#N/A</v>
      </c>
      <c r="F240" s="5" t="e">
        <f aca="false">IF(D240&lt;0.2,0.2/(Set_Rs*Gain/2),E240)</f>
        <v>#N/A</v>
      </c>
      <c r="G240" s="5" t="e">
        <f aca="false">(C$60-C240)*F240</f>
        <v>#N/A</v>
      </c>
      <c r="H240" s="5" t="n">
        <v>0.300000000000019</v>
      </c>
      <c r="I240" s="5" t="n">
        <f aca="false">H240*VOFLB</f>
        <v>7.80000000000049</v>
      </c>
      <c r="J240" s="5" t="n">
        <f aca="false">I240*ActR9_sw/(ActR7_sw+ActR9_sw+Set_R8*1000)</f>
        <v>0.300482980680792</v>
      </c>
      <c r="K240" s="91" t="n">
        <f aca="false">IF(J240/(0.5*Set_Rs*Gain) &gt;B$25,B$25,J240/(0.5*Set_Rs*Gain))</f>
        <v>3.00482980680792</v>
      </c>
      <c r="L240" s="91" t="n">
        <f aca="false">IF(J240&lt;0.2,0.2/(0.5*Set_Rs*Gain),K240)</f>
        <v>3.00482980680792</v>
      </c>
      <c r="M240" s="5" t="n">
        <f aca="false">(I$60-I240)*L240</f>
        <v>70.3130174793038</v>
      </c>
      <c r="N240" s="5"/>
      <c r="O240" s="5"/>
      <c r="P240" s="5"/>
      <c r="Q240" s="5"/>
    </row>
    <row r="241" customFormat="false" ht="12.75" hidden="false" customHeight="false" outlineLevel="0" collapsed="false">
      <c r="A241" s="5"/>
      <c r="B241" s="5" t="n">
        <v>0.194999999999999</v>
      </c>
      <c r="C241" s="5" t="n">
        <f aca="false">B241*VOFLB</f>
        <v>5.06999999999997</v>
      </c>
      <c r="D241" s="5" t="e">
        <f aca="false">C241*(ActR7+1000*Set_R9)/(ActR7+ActR8+Set_R9*1000)</f>
        <v>#N/A</v>
      </c>
      <c r="E241" s="90" t="e">
        <f aca="false">IF(C241*(1000*Set_R9+ActR7)/((1000*Set_R9+ActR7+ActR8)*(Set_Rs*Gain/2))&gt;B$25,B$25,C241*(1000*Set_R9+ActR7)/((1000*Set_R9+ActR7+ActR8)*(Set_Rs*Gain/2)))</f>
        <v>#N/A</v>
      </c>
      <c r="F241" s="5" t="e">
        <f aca="false">IF(D241&lt;0.2,0.2/(Set_Rs*Gain/2),E241)</f>
        <v>#N/A</v>
      </c>
      <c r="G241" s="5" t="e">
        <f aca="false">(C$60-C241)*F241</f>
        <v>#N/A</v>
      </c>
      <c r="H241" s="5" t="n">
        <v>0.295000000000019</v>
      </c>
      <c r="I241" s="5" t="n">
        <f aca="false">H241*VOFLB</f>
        <v>7.6700000000005</v>
      </c>
      <c r="J241" s="5" t="n">
        <f aca="false">I241*ActR9_sw/(ActR7_sw+ActR9_sw+Set_R8*1000)</f>
        <v>0.295474931002779</v>
      </c>
      <c r="K241" s="91" t="n">
        <f aca="false">IF(J241/(0.5*Set_Rs*Gain) &gt;B$25,B$25,J241/(0.5*Set_Rs*Gain))</f>
        <v>2.95474931002779</v>
      </c>
      <c r="L241" s="91" t="n">
        <f aca="false">IF(J241&lt;0.2,0.2/(0.5*Set_Rs*Gain),K241)</f>
        <v>2.95474931002779</v>
      </c>
      <c r="M241" s="5" t="n">
        <f aca="false">(I$60-I241)*L241</f>
        <v>69.5252512649525</v>
      </c>
      <c r="N241" s="5"/>
      <c r="O241" s="5"/>
      <c r="P241" s="5"/>
      <c r="Q241" s="5"/>
    </row>
    <row r="242" customFormat="false" ht="12.75" hidden="false" customHeight="false" outlineLevel="0" collapsed="false">
      <c r="A242" s="5"/>
      <c r="B242" s="5" t="n">
        <v>0.189999999999999</v>
      </c>
      <c r="C242" s="5" t="n">
        <f aca="false">B242*VOFLB</f>
        <v>4.93999999999997</v>
      </c>
      <c r="D242" s="5" t="e">
        <f aca="false">C242*(ActR7+1000*Set_R9)/(ActR7+ActR8+Set_R9*1000)</f>
        <v>#N/A</v>
      </c>
      <c r="E242" s="90" t="e">
        <f aca="false">IF(C242*(1000*Set_R9+ActR7)/((1000*Set_R9+ActR7+ActR8)*(Set_Rs*Gain/2))&gt;B$25,B$25,C242*(1000*Set_R9+ActR7)/((1000*Set_R9+ActR7+ActR8)*(Set_Rs*Gain/2)))</f>
        <v>#N/A</v>
      </c>
      <c r="F242" s="5" t="e">
        <f aca="false">IF(D242&lt;0.2,0.2/(Set_Rs*Gain/2),E242)</f>
        <v>#N/A</v>
      </c>
      <c r="G242" s="5" t="e">
        <f aca="false">(C$60-C242)*F242</f>
        <v>#N/A</v>
      </c>
      <c r="H242" s="5" t="n">
        <v>0.290000000000019</v>
      </c>
      <c r="I242" s="5" t="n">
        <f aca="false">H242*VOFLB</f>
        <v>7.5400000000005</v>
      </c>
      <c r="J242" s="5" t="n">
        <f aca="false">I242*ActR9_sw/(ActR7_sw+ActR9_sw+Set_R8*1000)</f>
        <v>0.290466881324766</v>
      </c>
      <c r="K242" s="91" t="n">
        <f aca="false">IF(J242/(0.5*Set_Rs*Gain) &gt;B$25,B$25,J242/(0.5*Set_Rs*Gain))</f>
        <v>2.90466881324766</v>
      </c>
      <c r="L242" s="91" t="n">
        <f aca="false">IF(J242&lt;0.2,0.2/(0.5*Set_Rs*Gain),K242)</f>
        <v>2.90466881324766</v>
      </c>
      <c r="M242" s="5" t="n">
        <f aca="false">(I$60-I242)*L242</f>
        <v>68.7244641214383</v>
      </c>
      <c r="N242" s="5"/>
      <c r="O242" s="5"/>
      <c r="P242" s="5"/>
      <c r="Q242" s="5"/>
    </row>
    <row r="243" customFormat="false" ht="12.75" hidden="false" customHeight="false" outlineLevel="0" collapsed="false">
      <c r="A243" s="5"/>
      <c r="B243" s="5" t="n">
        <v>0.184999999999999</v>
      </c>
      <c r="C243" s="5" t="n">
        <f aca="false">B243*VOFLB</f>
        <v>4.80999999999997</v>
      </c>
      <c r="D243" s="5" t="e">
        <f aca="false">C243*(ActR7+1000*Set_R9)/(ActR7+ActR8+Set_R9*1000)</f>
        <v>#N/A</v>
      </c>
      <c r="E243" s="90" t="e">
        <f aca="false">IF(C243*(1000*Set_R9+ActR7)/((1000*Set_R9+ActR7+ActR8)*(Set_Rs*Gain/2))&gt;B$25,B$25,C243*(1000*Set_R9+ActR7)/((1000*Set_R9+ActR7+ActR8)*(Set_Rs*Gain/2)))</f>
        <v>#N/A</v>
      </c>
      <c r="F243" s="5" t="e">
        <f aca="false">IF(D243&lt;0.2,0.2/(Set_Rs*Gain/2),E243)</f>
        <v>#N/A</v>
      </c>
      <c r="G243" s="5" t="e">
        <f aca="false">(C$60-C243)*F243</f>
        <v>#N/A</v>
      </c>
      <c r="H243" s="5" t="n">
        <v>0.28500000000002</v>
      </c>
      <c r="I243" s="5" t="n">
        <f aca="false">H243*VOFLB</f>
        <v>7.41000000000052</v>
      </c>
      <c r="J243" s="5" t="n">
        <f aca="false">I243*ActR9_sw/(ActR7_sw+ActR9_sw+Set_R8*1000)</f>
        <v>0.285458831646754</v>
      </c>
      <c r="K243" s="91" t="n">
        <f aca="false">IF(J243/(0.5*Set_Rs*Gain) &gt;B$25,B$25,J243/(0.5*Set_Rs*Gain))</f>
        <v>2.85458831646754</v>
      </c>
      <c r="L243" s="91" t="n">
        <f aca="false">IF(J243&lt;0.2,0.2/(0.5*Set_Rs*Gain),K243)</f>
        <v>2.85458831646754</v>
      </c>
      <c r="M243" s="5" t="n">
        <f aca="false">(I$60-I243)*L243</f>
        <v>67.9106560487613</v>
      </c>
      <c r="N243" s="5"/>
      <c r="O243" s="5"/>
      <c r="P243" s="5"/>
      <c r="Q243" s="5"/>
    </row>
    <row r="244" customFormat="false" ht="12.75" hidden="false" customHeight="false" outlineLevel="0" collapsed="false">
      <c r="A244" s="5"/>
      <c r="B244" s="5" t="n">
        <v>0.179999999999999</v>
      </c>
      <c r="C244" s="5" t="n">
        <f aca="false">B244*VOFLB</f>
        <v>4.67999999999997</v>
      </c>
      <c r="D244" s="5" t="e">
        <f aca="false">C244*(ActR7+1000*Set_R9)/(ActR7+ActR8+Set_R9*1000)</f>
        <v>#N/A</v>
      </c>
      <c r="E244" s="90" t="e">
        <f aca="false">IF(C244*(1000*Set_R9+ActR7)/((1000*Set_R9+ActR7+ActR8)*(Set_Rs*Gain/2))&gt;B$25,B$25,C244*(1000*Set_R9+ActR7)/((1000*Set_R9+ActR7+ActR8)*(Set_Rs*Gain/2)))</f>
        <v>#N/A</v>
      </c>
      <c r="F244" s="5" t="e">
        <f aca="false">IF(D244&lt;0.2,0.2/(Set_Rs*Gain/2),E244)</f>
        <v>#N/A</v>
      </c>
      <c r="G244" s="5" t="e">
        <f aca="false">(C$60-C244)*F244</f>
        <v>#N/A</v>
      </c>
      <c r="H244" s="5" t="n">
        <v>0.28000000000002</v>
      </c>
      <c r="I244" s="5" t="n">
        <f aca="false">H244*VOFLB</f>
        <v>7.28000000000052</v>
      </c>
      <c r="J244" s="5" t="n">
        <f aca="false">I244*ActR9_sw/(ActR7_sw+ActR9_sw+Set_R8*1000)</f>
        <v>0.280450781968741</v>
      </c>
      <c r="K244" s="91" t="n">
        <f aca="false">IF(J244/(0.5*Set_Rs*Gain) &gt;B$25,B$25,J244/(0.5*Set_Rs*Gain))</f>
        <v>2.80450781968741</v>
      </c>
      <c r="L244" s="91" t="n">
        <f aca="false">IF(J244&lt;0.2,0.2/(0.5*Set_Rs*Gain),K244)</f>
        <v>2.80450781968741</v>
      </c>
      <c r="M244" s="5" t="n">
        <f aca="false">(I$60-I244)*L244</f>
        <v>67.0838270469215</v>
      </c>
      <c r="N244" s="5"/>
      <c r="O244" s="5"/>
      <c r="P244" s="5"/>
      <c r="Q244" s="5"/>
    </row>
    <row r="245" customFormat="false" ht="12.75" hidden="false" customHeight="false" outlineLevel="0" collapsed="false">
      <c r="A245" s="5"/>
      <c r="B245" s="5" t="n">
        <v>0.174999999999999</v>
      </c>
      <c r="C245" s="5" t="n">
        <f aca="false">B245*VOFLB</f>
        <v>4.54999999999997</v>
      </c>
      <c r="D245" s="5" t="e">
        <f aca="false">C245*(ActR7+1000*Set_R9)/(ActR7+ActR8+Set_R9*1000)</f>
        <v>#N/A</v>
      </c>
      <c r="E245" s="90" t="e">
        <f aca="false">IF(C245*(1000*Set_R9+ActR7)/((1000*Set_R9+ActR7+ActR8)*(Set_Rs*Gain/2))&gt;B$25,B$25,C245*(1000*Set_R9+ActR7)/((1000*Set_R9+ActR7+ActR8)*(Set_Rs*Gain/2)))</f>
        <v>#N/A</v>
      </c>
      <c r="F245" s="5" t="e">
        <f aca="false">IF(D245&lt;0.2,0.2/(Set_Rs*Gain/2),E245)</f>
        <v>#N/A</v>
      </c>
      <c r="G245" s="5" t="e">
        <f aca="false">(C$60-C245)*F245</f>
        <v>#N/A</v>
      </c>
      <c r="H245" s="5" t="n">
        <v>0.27500000000002</v>
      </c>
      <c r="I245" s="5" t="n">
        <f aca="false">H245*VOFLB</f>
        <v>7.15000000000052</v>
      </c>
      <c r="J245" s="5" t="n">
        <f aca="false">I245*ActR9_sw/(ActR7_sw+ActR9_sw+Set_R8*1000)</f>
        <v>0.275442732290728</v>
      </c>
      <c r="K245" s="91" t="n">
        <f aca="false">IF(J245/(0.5*Set_Rs*Gain) &gt;B$25,B$25,J245/(0.5*Set_Rs*Gain))</f>
        <v>2.75442732290728</v>
      </c>
      <c r="L245" s="91" t="n">
        <f aca="false">IF(J245&lt;0.2,0.2/(0.5*Set_Rs*Gain),K245)</f>
        <v>2.75442732290728</v>
      </c>
      <c r="M245" s="5" t="n">
        <f aca="false">(I$60-I245)*L245</f>
        <v>66.2439771159187</v>
      </c>
      <c r="N245" s="5"/>
      <c r="O245" s="5"/>
      <c r="P245" s="5"/>
      <c r="Q245" s="5"/>
    </row>
    <row r="246" customFormat="false" ht="12.75" hidden="false" customHeight="false" outlineLevel="0" collapsed="false">
      <c r="A246" s="5"/>
      <c r="B246" s="5" t="n">
        <v>0.169999999999999</v>
      </c>
      <c r="C246" s="5" t="n">
        <f aca="false">B246*VOFLB</f>
        <v>4.41999999999997</v>
      </c>
      <c r="D246" s="5" t="e">
        <f aca="false">C246*(ActR7+1000*Set_R9)/(ActR7+ActR8+Set_R9*1000)</f>
        <v>#N/A</v>
      </c>
      <c r="E246" s="90" t="e">
        <f aca="false">IF(C246*(1000*Set_R9+ActR7)/((1000*Set_R9+ActR7+ActR8)*(Set_Rs*Gain/2))&gt;B$25,B$25,C246*(1000*Set_R9+ActR7)/((1000*Set_R9+ActR7+ActR8)*(Set_Rs*Gain/2)))</f>
        <v>#N/A</v>
      </c>
      <c r="F246" s="5" t="e">
        <f aca="false">IF(D246&lt;0.2,0.2/(Set_Rs*Gain/2),E246)</f>
        <v>#N/A</v>
      </c>
      <c r="G246" s="5" t="e">
        <f aca="false">(C$60-C246)*F246</f>
        <v>#N/A</v>
      </c>
      <c r="H246" s="5" t="n">
        <v>0.27000000000002</v>
      </c>
      <c r="I246" s="5" t="n">
        <f aca="false">H246*VOFLB</f>
        <v>7.02000000000052</v>
      </c>
      <c r="J246" s="5" t="n">
        <f aca="false">I246*ActR9_sw/(ActR7_sw+ActR9_sw+Set_R8*1000)</f>
        <v>0.270434682612716</v>
      </c>
      <c r="K246" s="91" t="n">
        <f aca="false">IF(J246/(0.5*Set_Rs*Gain) &gt;B$25,B$25,J246/(0.5*Set_Rs*Gain))</f>
        <v>2.70434682612716</v>
      </c>
      <c r="L246" s="91" t="n">
        <f aca="false">IF(J246&lt;0.2,0.2/(0.5*Set_Rs*Gain),K246)</f>
        <v>2.70434682612716</v>
      </c>
      <c r="M246" s="5" t="n">
        <f aca="false">(I$60-I246)*L246</f>
        <v>65.3911062557532</v>
      </c>
      <c r="N246" s="5"/>
      <c r="O246" s="5"/>
      <c r="P246" s="5"/>
      <c r="Q246" s="5"/>
    </row>
    <row r="247" customFormat="false" ht="12.75" hidden="false" customHeight="false" outlineLevel="0" collapsed="false">
      <c r="A247" s="5"/>
      <c r="B247" s="5" t="n">
        <v>0.164999999999999</v>
      </c>
      <c r="C247" s="5" t="n">
        <f aca="false">B247*VOFLB</f>
        <v>4.28999999999997</v>
      </c>
      <c r="D247" s="5" t="e">
        <f aca="false">C247*(ActR7+1000*Set_R9)/(ActR7+ActR8+Set_R9*1000)</f>
        <v>#N/A</v>
      </c>
      <c r="E247" s="90" t="e">
        <f aca="false">IF(C247*(1000*Set_R9+ActR7)/((1000*Set_R9+ActR7+ActR8)*(Set_Rs*Gain/2))&gt;B$25,B$25,C247*(1000*Set_R9+ActR7)/((1000*Set_R9+ActR7+ActR8)*(Set_Rs*Gain/2)))</f>
        <v>#N/A</v>
      </c>
      <c r="F247" s="5" t="e">
        <f aca="false">IF(D247&lt;0.2,0.2/(Set_Rs*Gain/2),E247)</f>
        <v>#N/A</v>
      </c>
      <c r="G247" s="5" t="e">
        <f aca="false">(C$60-C247)*F247</f>
        <v>#N/A</v>
      </c>
      <c r="H247" s="5" t="n">
        <v>0.26500000000002</v>
      </c>
      <c r="I247" s="5" t="n">
        <f aca="false">H247*VOFLB</f>
        <v>6.89000000000052</v>
      </c>
      <c r="J247" s="5" t="n">
        <f aca="false">I247*ActR9_sw/(ActR7_sw+ActR9_sw+Set_R8*1000)</f>
        <v>0.265426632934703</v>
      </c>
      <c r="K247" s="91" t="n">
        <f aca="false">IF(J247/(0.5*Set_Rs*Gain) &gt;B$25,B$25,J247/(0.5*Set_Rs*Gain))</f>
        <v>2.65426632934703</v>
      </c>
      <c r="L247" s="91" t="n">
        <f aca="false">IF(J247&lt;0.2,0.2/(0.5*Set_Rs*Gain),K247)</f>
        <v>2.65426632934703</v>
      </c>
      <c r="M247" s="5" t="n">
        <f aca="false">(I$60-I247)*L247</f>
        <v>64.5252144664248</v>
      </c>
      <c r="N247" s="5"/>
      <c r="O247" s="5"/>
      <c r="P247" s="5"/>
      <c r="Q247" s="5"/>
    </row>
    <row r="248" customFormat="false" ht="12.75" hidden="false" customHeight="false" outlineLevel="0" collapsed="false">
      <c r="A248" s="5"/>
      <c r="B248" s="5" t="n">
        <v>0.159999999999999</v>
      </c>
      <c r="C248" s="5" t="n">
        <f aca="false">B248*VOFLB</f>
        <v>4.15999999999997</v>
      </c>
      <c r="D248" s="5" t="e">
        <f aca="false">C248*(ActR7+1000*Set_R9)/(ActR7+ActR8+Set_R9*1000)</f>
        <v>#N/A</v>
      </c>
      <c r="E248" s="90" t="e">
        <f aca="false">IF(C248*(1000*Set_R9+ActR7)/((1000*Set_R9+ActR7+ActR8)*(Set_Rs*Gain/2))&gt;B$25,B$25,C248*(1000*Set_R9+ActR7)/((1000*Set_R9+ActR7+ActR8)*(Set_Rs*Gain/2)))</f>
        <v>#N/A</v>
      </c>
      <c r="F248" s="5" t="e">
        <f aca="false">IF(D248&lt;0.2,0.2/(Set_Rs*Gain/2),E248)</f>
        <v>#N/A</v>
      </c>
      <c r="G248" s="5" t="e">
        <f aca="false">(C$60-C248)*F248</f>
        <v>#N/A</v>
      </c>
      <c r="H248" s="5" t="n">
        <v>0.26000000000002</v>
      </c>
      <c r="I248" s="5" t="n">
        <f aca="false">H248*VOFLB</f>
        <v>6.76000000000052</v>
      </c>
      <c r="J248" s="5" t="n">
        <f aca="false">I248*ActR9_sw/(ActR7_sw+ActR9_sw+Set_R8*1000)</f>
        <v>0.26041858325669</v>
      </c>
      <c r="K248" s="91" t="n">
        <f aca="false">IF(J248/(0.5*Set_Rs*Gain) &gt;B$25,B$25,J248/(0.5*Set_Rs*Gain))</f>
        <v>2.6041858325669</v>
      </c>
      <c r="L248" s="91" t="n">
        <f aca="false">IF(J248&lt;0.2,0.2/(0.5*Set_Rs*Gain),K248)</f>
        <v>2.6041858325669</v>
      </c>
      <c r="M248" s="5" t="n">
        <f aca="false">(I$60-I248)*L248</f>
        <v>63.6463017479336</v>
      </c>
      <c r="N248" s="5"/>
      <c r="O248" s="5"/>
      <c r="P248" s="5"/>
      <c r="Q248" s="5"/>
    </row>
    <row r="249" customFormat="false" ht="12.75" hidden="false" customHeight="false" outlineLevel="0" collapsed="false">
      <c r="A249" s="5"/>
      <c r="B249" s="5" t="n">
        <v>0.154999999999999</v>
      </c>
      <c r="C249" s="5" t="n">
        <f aca="false">B249*VOFLB</f>
        <v>4.02999999999997</v>
      </c>
      <c r="D249" s="5" t="e">
        <f aca="false">C249*(ActR7+1000*Set_R9)/(ActR7+ActR8+Set_R9*1000)</f>
        <v>#N/A</v>
      </c>
      <c r="E249" s="90" t="e">
        <f aca="false">IF(C249*(1000*Set_R9+ActR7)/((1000*Set_R9+ActR7+ActR8)*(Set_Rs*Gain/2))&gt;B$25,B$25,C249*(1000*Set_R9+ActR7)/((1000*Set_R9+ActR7+ActR8)*(Set_Rs*Gain/2)))</f>
        <v>#N/A</v>
      </c>
      <c r="F249" s="5" t="e">
        <f aca="false">IF(D249&lt;0.2,0.2/(Set_Rs*Gain/2),E249)</f>
        <v>#N/A</v>
      </c>
      <c r="G249" s="5" t="e">
        <f aca="false">(C$60-C249)*F249</f>
        <v>#N/A</v>
      </c>
      <c r="H249" s="5" t="n">
        <v>0.25500000000002</v>
      </c>
      <c r="I249" s="5" t="n">
        <f aca="false">H249*VOFLB</f>
        <v>6.63000000000052</v>
      </c>
      <c r="J249" s="5" t="n">
        <f aca="false">I249*ActR9_sw/(ActR7_sw+ActR9_sw+Set_R8*1000)</f>
        <v>0.255410533578677</v>
      </c>
      <c r="K249" s="91" t="n">
        <f aca="false">IF(J249/(0.5*Set_Rs*Gain) &gt;B$25,B$25,J249/(0.5*Set_Rs*Gain))</f>
        <v>2.55410533578677</v>
      </c>
      <c r="L249" s="91" t="n">
        <f aca="false">IF(J249&lt;0.2,0.2/(0.5*Set_Rs*Gain),K249)</f>
        <v>2.55410533578677</v>
      </c>
      <c r="M249" s="5" t="n">
        <f aca="false">(I$60-I249)*L249</f>
        <v>62.7543681002796</v>
      </c>
      <c r="N249" s="5"/>
      <c r="O249" s="5"/>
      <c r="P249" s="5"/>
      <c r="Q249" s="5"/>
    </row>
    <row r="250" customFormat="false" ht="12.75" hidden="false" customHeight="false" outlineLevel="0" collapsed="false">
      <c r="A250" s="5"/>
      <c r="B250" s="5" t="n">
        <v>0.149999999999999</v>
      </c>
      <c r="C250" s="5" t="n">
        <f aca="false">B250*VOFLB</f>
        <v>3.89999999999997</v>
      </c>
      <c r="D250" s="5" t="e">
        <f aca="false">C250*(ActR7+1000*Set_R9)/(ActR7+ActR8+Set_R9*1000)</f>
        <v>#N/A</v>
      </c>
      <c r="E250" s="90" t="e">
        <f aca="false">IF(C250*(1000*Set_R9+ActR7)/((1000*Set_R9+ActR7+ActR8)*(Set_Rs*Gain/2))&gt;B$25,B$25,C250*(1000*Set_R9+ActR7)/((1000*Set_R9+ActR7+ActR8)*(Set_Rs*Gain/2)))</f>
        <v>#N/A</v>
      </c>
      <c r="F250" s="5" t="e">
        <f aca="false">IF(D250&lt;0.2,0.2/(Set_Rs*Gain/2),E250)</f>
        <v>#N/A</v>
      </c>
      <c r="G250" s="5" t="e">
        <f aca="false">(C$60-C250)*F250</f>
        <v>#N/A</v>
      </c>
      <c r="H250" s="5" t="n">
        <v>0.25000000000002</v>
      </c>
      <c r="I250" s="5" t="n">
        <f aca="false">H250*VOFLB</f>
        <v>6.50000000000052</v>
      </c>
      <c r="J250" s="5" t="n">
        <f aca="false">I250*ActR9_sw/(ActR7_sw+ActR9_sw+Set_R8*1000)</f>
        <v>0.250402483900664</v>
      </c>
      <c r="K250" s="91" t="n">
        <f aca="false">IF(J250/(0.5*Set_Rs*Gain) &gt;B$25,B$25,J250/(0.5*Set_Rs*Gain))</f>
        <v>2.50402483900664</v>
      </c>
      <c r="L250" s="91" t="n">
        <f aca="false">IF(J250&lt;0.2,0.2/(0.5*Set_Rs*Gain),K250)</f>
        <v>2.50402483900664</v>
      </c>
      <c r="M250" s="5" t="n">
        <f aca="false">(I$60-I250)*L250</f>
        <v>61.8494135234627</v>
      </c>
      <c r="N250" s="5"/>
      <c r="O250" s="5"/>
      <c r="P250" s="5"/>
      <c r="Q250" s="5"/>
    </row>
    <row r="251" customFormat="false" ht="12.75" hidden="false" customHeight="false" outlineLevel="0" collapsed="false">
      <c r="A251" s="5"/>
      <c r="B251" s="5" t="n">
        <v>0.144999999999999</v>
      </c>
      <c r="C251" s="5" t="n">
        <f aca="false">B251*VOFLB</f>
        <v>3.76999999999997</v>
      </c>
      <c r="D251" s="5" t="e">
        <f aca="false">C251*(ActR7+1000*Set_R9)/(ActR7+ActR8+Set_R9*1000)</f>
        <v>#N/A</v>
      </c>
      <c r="E251" s="90" t="e">
        <f aca="false">IF(C251*(1000*Set_R9+ActR7)/((1000*Set_R9+ActR7+ActR8)*(Set_Rs*Gain/2))&gt;B$25,B$25,C251*(1000*Set_R9+ActR7)/((1000*Set_R9+ActR7+ActR8)*(Set_Rs*Gain/2)))</f>
        <v>#N/A</v>
      </c>
      <c r="F251" s="5" t="e">
        <f aca="false">IF(D251&lt;0.2,0.2/(Set_Rs*Gain/2),E251)</f>
        <v>#N/A</v>
      </c>
      <c r="G251" s="5" t="e">
        <f aca="false">(C$60-C251)*F251</f>
        <v>#N/A</v>
      </c>
      <c r="H251" s="5" t="n">
        <v>0.24500000000002</v>
      </c>
      <c r="I251" s="5" t="n">
        <f aca="false">H251*VOFLB</f>
        <v>6.37000000000052</v>
      </c>
      <c r="J251" s="5" t="n">
        <f aca="false">I251*ActR9_sw/(ActR7_sw+ActR9_sw+Set_R8*1000)</f>
        <v>0.245394434222651</v>
      </c>
      <c r="K251" s="91" t="n">
        <f aca="false">IF(J251/(0.5*Set_Rs*Gain) &gt;B$25,B$25,J251/(0.5*Set_Rs*Gain))</f>
        <v>2.45394434222651</v>
      </c>
      <c r="L251" s="91" t="n">
        <f aca="false">IF(J251&lt;0.2,0.2/(0.5*Set_Rs*Gain),K251)</f>
        <v>2.45394434222651</v>
      </c>
      <c r="M251" s="5" t="n">
        <f aca="false">(I$60-I251)*L251</f>
        <v>60.931438017483</v>
      </c>
      <c r="N251" s="5"/>
      <c r="O251" s="5"/>
      <c r="P251" s="5"/>
      <c r="Q251" s="5"/>
    </row>
    <row r="252" customFormat="false" ht="12.75" hidden="false" customHeight="false" outlineLevel="0" collapsed="false">
      <c r="A252" s="5"/>
      <c r="B252" s="5" t="n">
        <v>0.139999999999999</v>
      </c>
      <c r="C252" s="5" t="n">
        <f aca="false">B252*VOFLB</f>
        <v>3.63999999999997</v>
      </c>
      <c r="D252" s="5" t="e">
        <f aca="false">C252*(ActR7+1000*Set_R9)/(ActR7+ActR8+Set_R9*1000)</f>
        <v>#N/A</v>
      </c>
      <c r="E252" s="90" t="e">
        <f aca="false">IF(C252*(1000*Set_R9+ActR7)/((1000*Set_R9+ActR7+ActR8)*(Set_Rs*Gain/2))&gt;B$25,B$25,C252*(1000*Set_R9+ActR7)/((1000*Set_R9+ActR7+ActR8)*(Set_Rs*Gain/2)))</f>
        <v>#N/A</v>
      </c>
      <c r="F252" s="5" t="e">
        <f aca="false">IF(D252&lt;0.2,0.2/(Set_Rs*Gain/2),E252)</f>
        <v>#N/A</v>
      </c>
      <c r="G252" s="5" t="e">
        <f aca="false">(C$60-C252)*F252</f>
        <v>#N/A</v>
      </c>
      <c r="H252" s="5" t="n">
        <v>0.24000000000002</v>
      </c>
      <c r="I252" s="5" t="n">
        <f aca="false">H252*VOFLB</f>
        <v>6.24000000000052</v>
      </c>
      <c r="J252" s="5" t="n">
        <f aca="false">I252*ActR9_sw/(ActR7_sw+ActR9_sw+Set_R8*1000)</f>
        <v>0.240386384544638</v>
      </c>
      <c r="K252" s="91" t="n">
        <f aca="false">IF(J252/(0.5*Set_Rs*Gain) &gt;B$25,B$25,J252/(0.5*Set_Rs*Gain))</f>
        <v>2.40386384544638</v>
      </c>
      <c r="L252" s="91" t="n">
        <f aca="false">IF(J252&lt;0.2,0.2/(0.5*Set_Rs*Gain),K252)</f>
        <v>2.40386384544638</v>
      </c>
      <c r="M252" s="5" t="n">
        <f aca="false">(I$60-I252)*L252</f>
        <v>60.0004415823405</v>
      </c>
      <c r="N252" s="5"/>
      <c r="O252" s="5"/>
      <c r="P252" s="5"/>
      <c r="Q252" s="5"/>
    </row>
    <row r="253" customFormat="false" ht="12.75" hidden="false" customHeight="false" outlineLevel="0" collapsed="false">
      <c r="A253" s="5"/>
      <c r="B253" s="5" t="n">
        <v>0.134999999999999</v>
      </c>
      <c r="C253" s="5" t="n">
        <f aca="false">B253*VOFLB</f>
        <v>3.50999999999997</v>
      </c>
      <c r="D253" s="5" t="e">
        <f aca="false">C253*(ActR7+1000*Set_R9)/(ActR7+ActR8+Set_R9*1000)</f>
        <v>#N/A</v>
      </c>
      <c r="E253" s="90" t="e">
        <f aca="false">IF(C253*(1000*Set_R9+ActR7)/((1000*Set_R9+ActR7+ActR8)*(Set_Rs*Gain/2))&gt;B$25,B$25,C253*(1000*Set_R9+ActR7)/((1000*Set_R9+ActR7+ActR8)*(Set_Rs*Gain/2)))</f>
        <v>#N/A</v>
      </c>
      <c r="F253" s="5" t="e">
        <f aca="false">IF(D253&lt;0.2,0.2/(Set_Rs*Gain/2),E253)</f>
        <v>#N/A</v>
      </c>
      <c r="G253" s="5" t="e">
        <f aca="false">(C$60-C253)*F253</f>
        <v>#N/A</v>
      </c>
      <c r="H253" s="5" t="n">
        <v>0.235000000000021</v>
      </c>
      <c r="I253" s="5" t="n">
        <f aca="false">H253*VOFLB</f>
        <v>6.11000000000055</v>
      </c>
      <c r="J253" s="5" t="n">
        <f aca="false">I253*ActR9_sw/(ActR7_sw+ActR9_sw+Set_R8*1000)</f>
        <v>0.235378334866627</v>
      </c>
      <c r="K253" s="91" t="n">
        <f aca="false">IF(J253/(0.5*Set_Rs*Gain) &gt;B$25,B$25,J253/(0.5*Set_Rs*Gain))</f>
        <v>2.35378334866627</v>
      </c>
      <c r="L253" s="91" t="n">
        <f aca="false">IF(J253&lt;0.2,0.2/(0.5*Set_Rs*Gain),K253)</f>
        <v>2.35378334866627</v>
      </c>
      <c r="M253" s="5" t="n">
        <f aca="false">(I$60-I253)*L253</f>
        <v>59.0564242180353</v>
      </c>
      <c r="N253" s="5"/>
      <c r="O253" s="5"/>
      <c r="P253" s="5"/>
      <c r="Q253" s="5"/>
    </row>
    <row r="254" customFormat="false" ht="12.75" hidden="false" customHeight="false" outlineLevel="0" collapsed="false">
      <c r="A254" s="5"/>
      <c r="B254" s="5" t="n">
        <v>0.129999999999999</v>
      </c>
      <c r="C254" s="5" t="n">
        <f aca="false">B254*VOFLB</f>
        <v>3.37999999999997</v>
      </c>
      <c r="D254" s="5" t="e">
        <f aca="false">C254*(ActR7+1000*Set_R9)/(ActR7+ActR8+Set_R9*1000)</f>
        <v>#N/A</v>
      </c>
      <c r="E254" s="90" t="e">
        <f aca="false">IF(C254*(1000*Set_R9+ActR7)/((1000*Set_R9+ActR7+ActR8)*(Set_Rs*Gain/2))&gt;B$25,B$25,C254*(1000*Set_R9+ActR7)/((1000*Set_R9+ActR7+ActR8)*(Set_Rs*Gain/2)))</f>
        <v>#N/A</v>
      </c>
      <c r="F254" s="5" t="e">
        <f aca="false">IF(D254&lt;0.2,0.2/(Set_Rs*Gain/2),E254)</f>
        <v>#N/A</v>
      </c>
      <c r="G254" s="5" t="e">
        <f aca="false">(C$60-C254)*F254</f>
        <v>#N/A</v>
      </c>
      <c r="H254" s="5" t="n">
        <v>0.230000000000021</v>
      </c>
      <c r="I254" s="5" t="n">
        <f aca="false">H254*VOFLB</f>
        <v>5.98000000000055</v>
      </c>
      <c r="J254" s="5" t="n">
        <f aca="false">I254*ActR9_sw/(ActR7_sw+ActR9_sw+Set_R8*1000)</f>
        <v>0.230370285188614</v>
      </c>
      <c r="K254" s="91" t="n">
        <f aca="false">IF(J254/(0.5*Set_Rs*Gain) &gt;B$25,B$25,J254/(0.5*Set_Rs*Gain))</f>
        <v>2.30370285188614</v>
      </c>
      <c r="L254" s="91" t="n">
        <f aca="false">IF(J254&lt;0.2,0.2/(0.5*Set_Rs*Gain),K254)</f>
        <v>2.30370285188614</v>
      </c>
      <c r="M254" s="5" t="n">
        <f aca="false">(I$60-I254)*L254</f>
        <v>58.0993859245671</v>
      </c>
      <c r="N254" s="5"/>
      <c r="O254" s="5"/>
      <c r="P254" s="5"/>
      <c r="Q254" s="5"/>
    </row>
    <row r="255" customFormat="false" ht="12.75" hidden="false" customHeight="false" outlineLevel="0" collapsed="false">
      <c r="A255" s="5"/>
      <c r="B255" s="5" t="n">
        <v>0.124999999999999</v>
      </c>
      <c r="C255" s="5" t="n">
        <f aca="false">B255*VOFLB</f>
        <v>3.24999999999997</v>
      </c>
      <c r="D255" s="5" t="e">
        <f aca="false">C255*(ActR7+1000*Set_R9)/(ActR7+ActR8+Set_R9*1000)</f>
        <v>#N/A</v>
      </c>
      <c r="E255" s="90" t="e">
        <f aca="false">IF(C255*(1000*Set_R9+ActR7)/((1000*Set_R9+ActR7+ActR8)*(Set_Rs*Gain/2))&gt;B$25,B$25,C255*(1000*Set_R9+ActR7)/((1000*Set_R9+ActR7+ActR8)*(Set_Rs*Gain/2)))</f>
        <v>#N/A</v>
      </c>
      <c r="F255" s="5" t="e">
        <f aca="false">IF(D255&lt;0.2,0.2/(Set_Rs*Gain/2),E255)</f>
        <v>#N/A</v>
      </c>
      <c r="G255" s="5" t="e">
        <f aca="false">(C$60-C255)*F255</f>
        <v>#N/A</v>
      </c>
      <c r="H255" s="5" t="n">
        <v>0.225000000000021</v>
      </c>
      <c r="I255" s="5" t="n">
        <f aca="false">H255*VOFLB</f>
        <v>5.85000000000055</v>
      </c>
      <c r="J255" s="5" t="n">
        <f aca="false">I255*ActR9_sw/(ActR7_sw+ActR9_sw+Set_R8*1000)</f>
        <v>0.225362235510601</v>
      </c>
      <c r="K255" s="91" t="n">
        <f aca="false">IF(J255/(0.5*Set_Rs*Gain) &gt;B$25,B$25,J255/(0.5*Set_Rs*Gain))</f>
        <v>2.25362235510601</v>
      </c>
      <c r="L255" s="91" t="n">
        <f aca="false">IF(J255&lt;0.2,0.2/(0.5*Set_Rs*Gain),K255)</f>
        <v>2.25362235510601</v>
      </c>
      <c r="M255" s="5" t="n">
        <f aca="false">(I$60-I255)*L255</f>
        <v>57.1293267019361</v>
      </c>
      <c r="N255" s="5"/>
      <c r="O255" s="5"/>
      <c r="P255" s="5"/>
      <c r="Q255" s="5"/>
    </row>
    <row r="256" customFormat="false" ht="12.75" hidden="false" customHeight="false" outlineLevel="0" collapsed="false">
      <c r="A256" s="5"/>
      <c r="B256" s="5" t="n">
        <v>0.119999999999999</v>
      </c>
      <c r="C256" s="5" t="n">
        <f aca="false">B256*VOFLB</f>
        <v>3.11999999999997</v>
      </c>
      <c r="D256" s="5" t="e">
        <f aca="false">C256*(ActR7+1000*Set_R9)/(ActR7+ActR8+Set_R9*1000)</f>
        <v>#N/A</v>
      </c>
      <c r="E256" s="90" t="e">
        <f aca="false">IF(C256*(1000*Set_R9+ActR7)/((1000*Set_R9+ActR7+ActR8)*(Set_Rs*Gain/2))&gt;B$25,B$25,C256*(1000*Set_R9+ActR7)/((1000*Set_R9+ActR7+ActR8)*(Set_Rs*Gain/2)))</f>
        <v>#N/A</v>
      </c>
      <c r="F256" s="5" t="e">
        <f aca="false">IF(D256&lt;0.2,0.2/(Set_Rs*Gain/2),E256)</f>
        <v>#N/A</v>
      </c>
      <c r="G256" s="5" t="e">
        <f aca="false">(C$60-C256)*F256</f>
        <v>#N/A</v>
      </c>
      <c r="H256" s="5" t="n">
        <v>0.220000000000021</v>
      </c>
      <c r="I256" s="5" t="n">
        <f aca="false">H256*VOFLB</f>
        <v>5.72000000000055</v>
      </c>
      <c r="J256" s="5" t="n">
        <f aca="false">I256*ActR9_sw/(ActR7_sw+ActR9_sw+Set_R8*1000)</f>
        <v>0.220354185832588</v>
      </c>
      <c r="K256" s="91" t="n">
        <f aca="false">IF(J256/(0.5*Set_Rs*Gain) &gt;B$25,B$25,J256/(0.5*Set_Rs*Gain))</f>
        <v>2.20354185832588</v>
      </c>
      <c r="L256" s="91" t="n">
        <f aca="false">IF(J256&lt;0.2,0.2/(0.5*Set_Rs*Gain),K256)</f>
        <v>2.20354185832588</v>
      </c>
      <c r="M256" s="5" t="n">
        <f aca="false">(I$60-I256)*L256</f>
        <v>56.1462465501422</v>
      </c>
      <c r="N256" s="5"/>
      <c r="O256" s="5"/>
      <c r="P256" s="5"/>
      <c r="Q256" s="5"/>
    </row>
    <row r="257" customFormat="false" ht="12.75" hidden="false" customHeight="false" outlineLevel="0" collapsed="false">
      <c r="A257" s="5"/>
      <c r="B257" s="5" t="n">
        <v>0.114999999999999</v>
      </c>
      <c r="C257" s="5" t="n">
        <f aca="false">B257*VOFLB</f>
        <v>2.98999999999997</v>
      </c>
      <c r="D257" s="5" t="e">
        <f aca="false">C257*(ActR7+1000*Set_R9)/(ActR7+ActR8+Set_R9*1000)</f>
        <v>#N/A</v>
      </c>
      <c r="E257" s="90" t="e">
        <f aca="false">IF(C257*(1000*Set_R9+ActR7)/((1000*Set_R9+ActR7+ActR8)*(Set_Rs*Gain/2))&gt;B$25,B$25,C257*(1000*Set_R9+ActR7)/((1000*Set_R9+ActR7+ActR8)*(Set_Rs*Gain/2)))</f>
        <v>#N/A</v>
      </c>
      <c r="F257" s="5" t="e">
        <f aca="false">IF(D257&lt;0.2,0.2/(Set_Rs*Gain/2),E257)</f>
        <v>#N/A</v>
      </c>
      <c r="G257" s="5" t="e">
        <f aca="false">(C$60-C257)*F257</f>
        <v>#N/A</v>
      </c>
      <c r="H257" s="5" t="n">
        <v>0.215000000000021</v>
      </c>
      <c r="I257" s="5" t="n">
        <f aca="false">H257*VOFLB</f>
        <v>5.59000000000055</v>
      </c>
      <c r="J257" s="5" t="n">
        <f aca="false">I257*ActR9_sw/(ActR7_sw+ActR9_sw+Set_R8*1000)</f>
        <v>0.215346136154575</v>
      </c>
      <c r="K257" s="91" t="n">
        <f aca="false">IF(J257/(0.5*Set_Rs*Gain) &gt;B$25,B$25,J257/(0.5*Set_Rs*Gain))</f>
        <v>2.15346136154575</v>
      </c>
      <c r="L257" s="91" t="n">
        <f aca="false">IF(J257&lt;0.2,0.2/(0.5*Set_Rs*Gain),K257)</f>
        <v>2.15346136154575</v>
      </c>
      <c r="M257" s="5" t="n">
        <f aca="false">(I$60-I257)*L257</f>
        <v>55.1501454691855</v>
      </c>
      <c r="N257" s="5"/>
      <c r="O257" s="5"/>
      <c r="P257" s="5"/>
      <c r="Q257" s="5"/>
    </row>
    <row r="258" customFormat="false" ht="12.75" hidden="false" customHeight="false" outlineLevel="0" collapsed="false">
      <c r="A258" s="5"/>
      <c r="B258" s="5" t="n">
        <v>0.109999999999999</v>
      </c>
      <c r="C258" s="5" t="n">
        <f aca="false">B258*VOFLB</f>
        <v>2.85999999999997</v>
      </c>
      <c r="D258" s="5" t="e">
        <f aca="false">C258*(ActR7+1000*Set_R9)/(ActR7+ActR8+Set_R9*1000)</f>
        <v>#N/A</v>
      </c>
      <c r="E258" s="90" t="e">
        <f aca="false">IF(C258*(1000*Set_R9+ActR7)/((1000*Set_R9+ActR7+ActR8)*(Set_Rs*Gain/2))&gt;B$25,B$25,C258*(1000*Set_R9+ActR7)/((1000*Set_R9+ActR7+ActR8)*(Set_Rs*Gain/2)))</f>
        <v>#N/A</v>
      </c>
      <c r="F258" s="5" t="e">
        <f aca="false">IF(D258&lt;0.2,0.2/(Set_Rs*Gain/2),E258)</f>
        <v>#N/A</v>
      </c>
      <c r="G258" s="5" t="e">
        <f aca="false">(C$60-C258)*F258</f>
        <v>#N/A</v>
      </c>
      <c r="H258" s="5" t="n">
        <v>0.210000000000021</v>
      </c>
      <c r="I258" s="5" t="n">
        <f aca="false">H258*VOFLB</f>
        <v>5.46000000000055</v>
      </c>
      <c r="J258" s="5" t="n">
        <f aca="false">I258*ActR9_sw/(ActR7_sw+ActR9_sw+Set_R8*1000)</f>
        <v>0.210338086476562</v>
      </c>
      <c r="K258" s="91" t="n">
        <f aca="false">IF(J258/(0.5*Set_Rs*Gain) &gt;B$25,B$25,J258/(0.5*Set_Rs*Gain))</f>
        <v>2.10338086476562</v>
      </c>
      <c r="L258" s="91" t="n">
        <f aca="false">IF(J258&lt;0.2,0.2/(0.5*Set_Rs*Gain),K258)</f>
        <v>2.10338086476562</v>
      </c>
      <c r="M258" s="5" t="n">
        <f aca="false">(I$60-I258)*L258</f>
        <v>54.1410234590659</v>
      </c>
      <c r="N258" s="5"/>
      <c r="O258" s="5"/>
      <c r="P258" s="5"/>
      <c r="Q258" s="5"/>
    </row>
    <row r="259" customFormat="false" ht="12.75" hidden="false" customHeight="false" outlineLevel="0" collapsed="false">
      <c r="A259" s="5"/>
      <c r="B259" s="5" t="n">
        <v>0.104999999999999</v>
      </c>
      <c r="C259" s="5" t="n">
        <f aca="false">B259*VOFLB</f>
        <v>2.72999999999997</v>
      </c>
      <c r="D259" s="5" t="e">
        <f aca="false">C259*(ActR7+1000*Set_R9)/(ActR7+ActR8+Set_R9*1000)</f>
        <v>#N/A</v>
      </c>
      <c r="E259" s="90" t="e">
        <f aca="false">IF(C259*(1000*Set_R9+ActR7)/((1000*Set_R9+ActR7+ActR8)*(Set_Rs*Gain/2))&gt;B$25,B$25,C259*(1000*Set_R9+ActR7)/((1000*Set_R9+ActR7+ActR8)*(Set_Rs*Gain/2)))</f>
        <v>#N/A</v>
      </c>
      <c r="F259" s="5" t="e">
        <f aca="false">IF(D259&lt;0.2,0.2/(Set_Rs*Gain/2),E259)</f>
        <v>#N/A</v>
      </c>
      <c r="G259" s="5" t="e">
        <f aca="false">(C$60-C259)*F259</f>
        <v>#N/A</v>
      </c>
      <c r="H259" s="5" t="n">
        <v>0.205000000000021</v>
      </c>
      <c r="I259" s="5" t="n">
        <f aca="false">H259*VOFLB</f>
        <v>5.33000000000055</v>
      </c>
      <c r="J259" s="5" t="n">
        <f aca="false">I259*ActR9_sw/(ActR7_sw+ActR9_sw+Set_R8*1000)</f>
        <v>0.205330036798549</v>
      </c>
      <c r="K259" s="91" t="n">
        <f aca="false">IF(J259/(0.5*Set_Rs*Gain) &gt;B$25,B$25,J259/(0.5*Set_Rs*Gain))</f>
        <v>2.05330036798549</v>
      </c>
      <c r="L259" s="91" t="n">
        <f aca="false">IF(J259&lt;0.2,0.2/(0.5*Set_Rs*Gain),K259)</f>
        <v>2.05330036798549</v>
      </c>
      <c r="M259" s="5" t="n">
        <f aca="false">(I$60-I259)*L259</f>
        <v>53.1188805197836</v>
      </c>
      <c r="N259" s="5"/>
      <c r="O259" s="5"/>
      <c r="P259" s="5"/>
      <c r="Q259" s="5"/>
    </row>
    <row r="260" customFormat="false" ht="12.75" hidden="false" customHeight="false" outlineLevel="0" collapsed="false">
      <c r="A260" s="5"/>
      <c r="B260" s="5" t="n">
        <v>0.099999999999999</v>
      </c>
      <c r="C260" s="5" t="n">
        <f aca="false">B260*VOFLB</f>
        <v>2.59999999999997</v>
      </c>
      <c r="D260" s="5" t="e">
        <f aca="false">C260*(ActR7+1000*Set_R9)/(ActR7+ActR8+Set_R9*1000)</f>
        <v>#N/A</v>
      </c>
      <c r="E260" s="90" t="e">
        <f aca="false">IF(C260*(1000*Set_R9+ActR7)/((1000*Set_R9+ActR7+ActR8)*(Set_Rs*Gain/2))&gt;B$25,B$25,C260*(1000*Set_R9+ActR7)/((1000*Set_R9+ActR7+ActR8)*(Set_Rs*Gain/2)))</f>
        <v>#N/A</v>
      </c>
      <c r="F260" s="5" t="e">
        <f aca="false">IF(D260&lt;0.2,0.2/(Set_Rs*Gain/2),E260)</f>
        <v>#N/A</v>
      </c>
      <c r="G260" s="5" t="e">
        <f aca="false">(C$60-C260)*F260</f>
        <v>#N/A</v>
      </c>
      <c r="H260" s="5" t="n">
        <v>0.200000000000021</v>
      </c>
      <c r="I260" s="5" t="n">
        <f aca="false">H260*VOFLB</f>
        <v>5.20000000000055</v>
      </c>
      <c r="J260" s="5" t="n">
        <f aca="false">I260*ActR9_sw/(ActR7_sw+ActR9_sw+Set_R8*1000)</f>
        <v>0.200321987120536</v>
      </c>
      <c r="K260" s="91" t="n">
        <f aca="false">IF(J260/(0.5*Set_Rs*Gain) &gt;B$25,B$25,J260/(0.5*Set_Rs*Gain))</f>
        <v>2.00321987120536</v>
      </c>
      <c r="L260" s="91" t="n">
        <f aca="false">IF(J260&lt;0.2,0.2/(0.5*Set_Rs*Gain),K260)</f>
        <v>2.00321987120536</v>
      </c>
      <c r="M260" s="5" t="n">
        <f aca="false">(I$60-I260)*L260</f>
        <v>52.0837166513384</v>
      </c>
      <c r="N260" s="5"/>
      <c r="O260" s="5"/>
      <c r="P260" s="5"/>
      <c r="Q260" s="5"/>
    </row>
    <row r="261" customFormat="false" ht="12.75" hidden="false" customHeight="false" outlineLevel="0" collapsed="false">
      <c r="A261" s="5"/>
      <c r="B261" s="5" t="n">
        <v>0.094999999999999</v>
      </c>
      <c r="C261" s="5" t="n">
        <f aca="false">B261*VOFLB</f>
        <v>2.46999999999997</v>
      </c>
      <c r="D261" s="5" t="e">
        <f aca="false">C261*(ActR7+1000*Set_R9)/(ActR7+ActR8+Set_R9*1000)</f>
        <v>#N/A</v>
      </c>
      <c r="E261" s="90" t="e">
        <f aca="false">IF(C261*(1000*Set_R9+ActR7)/((1000*Set_R9+ActR7+ActR8)*(Set_Rs*Gain/2))&gt;B$25,B$25,C261*(1000*Set_R9+ActR7)/((1000*Set_R9+ActR7+ActR8)*(Set_Rs*Gain/2)))</f>
        <v>#N/A</v>
      </c>
      <c r="F261" s="5" t="e">
        <f aca="false">IF(D261&lt;0.2,0.2/(Set_Rs*Gain/2),E261)</f>
        <v>#N/A</v>
      </c>
      <c r="G261" s="5" t="e">
        <f aca="false">(C$60-C261)*F261</f>
        <v>#N/A</v>
      </c>
      <c r="H261" s="5" t="n">
        <v>0.19500000000002</v>
      </c>
      <c r="I261" s="5" t="n">
        <f aca="false">H261*VOFLB</f>
        <v>5.07000000000052</v>
      </c>
      <c r="J261" s="5" t="n">
        <f aca="false">I261*ActR9_sw/(ActR7_sw+ActR9_sw+Set_R8*1000)</f>
        <v>0.195313937442522</v>
      </c>
      <c r="K261" s="91" t="n">
        <f aca="false">IF(J261/(0.5*Set_Rs*Gain) &gt;B$25,B$25,J261/(0.5*Set_Rs*Gain))</f>
        <v>1.95313937442522</v>
      </c>
      <c r="L261" s="91" t="n">
        <f aca="false">IF(J261&lt;0.2,0.2/(0.5*Set_Rs*Gain),K261)</f>
        <v>2</v>
      </c>
      <c r="M261" s="5" t="n">
        <f aca="false">(I$60-I261)*L261</f>
        <v>52.259999999999</v>
      </c>
      <c r="N261" s="5"/>
      <c r="O261" s="5"/>
      <c r="P261" s="5"/>
      <c r="Q261" s="5"/>
    </row>
    <row r="262" customFormat="false" ht="12.75" hidden="false" customHeight="false" outlineLevel="0" collapsed="false">
      <c r="A262" s="5"/>
      <c r="B262" s="5" t="n">
        <v>0.089999999999999</v>
      </c>
      <c r="C262" s="5" t="n">
        <f aca="false">B262*VOFLB</f>
        <v>2.33999999999997</v>
      </c>
      <c r="D262" s="5" t="e">
        <f aca="false">C262*(ActR7+1000*Set_R9)/(ActR7+ActR8+Set_R9*1000)</f>
        <v>#N/A</v>
      </c>
      <c r="E262" s="90" t="e">
        <f aca="false">IF(C262*(1000*Set_R9+ActR7)/((1000*Set_R9+ActR7+ActR8)*(Set_Rs*Gain/2))&gt;B$25,B$25,C262*(1000*Set_R9+ActR7)/((1000*Set_R9+ActR7+ActR8)*(Set_Rs*Gain/2)))</f>
        <v>#N/A</v>
      </c>
      <c r="F262" s="5" t="e">
        <f aca="false">IF(D262&lt;0.2,0.2/(Set_Rs*Gain/2),E262)</f>
        <v>#N/A</v>
      </c>
      <c r="G262" s="5" t="e">
        <f aca="false">(C$60-C262)*F262</f>
        <v>#N/A</v>
      </c>
      <c r="H262" s="5" t="n">
        <v>0.19000000000002</v>
      </c>
      <c r="I262" s="5" t="n">
        <f aca="false">H262*VOFLB</f>
        <v>4.94000000000052</v>
      </c>
      <c r="J262" s="5" t="n">
        <f aca="false">I262*ActR9_sw/(ActR7_sw+ActR9_sw+Set_R8*1000)</f>
        <v>0.190305887764509</v>
      </c>
      <c r="K262" s="91" t="n">
        <f aca="false">IF(J262/(0.5*Set_Rs*Gain) &gt;B$25,B$25,J262/(0.5*Set_Rs*Gain))</f>
        <v>1.90305887764509</v>
      </c>
      <c r="L262" s="91" t="n">
        <f aca="false">IF(J262&lt;0.2,0.2/(0.5*Set_Rs*Gain),K262)</f>
        <v>2</v>
      </c>
      <c r="M262" s="5" t="n">
        <f aca="false">(I$60-I262)*L262</f>
        <v>52.519999999999</v>
      </c>
      <c r="N262" s="5"/>
      <c r="O262" s="5"/>
      <c r="P262" s="5"/>
      <c r="Q262" s="5"/>
    </row>
    <row r="263" customFormat="false" ht="12.75" hidden="false" customHeight="false" outlineLevel="0" collapsed="false">
      <c r="A263" s="5"/>
      <c r="B263" s="5" t="n">
        <v>0.084999999999999</v>
      </c>
      <c r="C263" s="5" t="n">
        <f aca="false">B263*VOFLB</f>
        <v>2.20999999999997</v>
      </c>
      <c r="D263" s="5" t="e">
        <f aca="false">C263*(ActR7+1000*Set_R9)/(ActR7+ActR8+Set_R9*1000)</f>
        <v>#N/A</v>
      </c>
      <c r="E263" s="90" t="e">
        <f aca="false">IF(C263*(1000*Set_R9+ActR7)/((1000*Set_R9+ActR7+ActR8)*(Set_Rs*Gain/2))&gt;B$25,B$25,C263*(1000*Set_R9+ActR7)/((1000*Set_R9+ActR7+ActR8)*(Set_Rs*Gain/2)))</f>
        <v>#N/A</v>
      </c>
      <c r="F263" s="5" t="e">
        <f aca="false">IF(D263&lt;0.2,0.2/(Set_Rs*Gain/2),E263)</f>
        <v>#N/A</v>
      </c>
      <c r="G263" s="5" t="e">
        <f aca="false">(C$60-C263)*F263</f>
        <v>#N/A</v>
      </c>
      <c r="H263" s="5" t="n">
        <v>0.18500000000002</v>
      </c>
      <c r="I263" s="5" t="n">
        <f aca="false">H263*VOFLB</f>
        <v>4.81000000000052</v>
      </c>
      <c r="J263" s="5" t="n">
        <f aca="false">I263*ActR9_sw/(ActR7_sw+ActR9_sw+Set_R8*1000)</f>
        <v>0.185297838086497</v>
      </c>
      <c r="K263" s="91" t="n">
        <f aca="false">IF(J263/(0.5*Set_Rs*Gain) &gt;B$25,B$25,J263/(0.5*Set_Rs*Gain))</f>
        <v>1.85297838086497</v>
      </c>
      <c r="L263" s="91" t="n">
        <f aca="false">IF(J263&lt;0.2,0.2/(0.5*Set_Rs*Gain),K263)</f>
        <v>2</v>
      </c>
      <c r="M263" s="5" t="n">
        <f aca="false">(I$60-I263)*L263</f>
        <v>52.779999999999</v>
      </c>
      <c r="N263" s="5"/>
      <c r="O263" s="5"/>
      <c r="P263" s="5"/>
      <c r="Q263" s="5"/>
    </row>
    <row r="264" customFormat="false" ht="12.75" hidden="false" customHeight="false" outlineLevel="0" collapsed="false">
      <c r="A264" s="5"/>
      <c r="B264" s="5" t="n">
        <v>0.079999999999999</v>
      </c>
      <c r="C264" s="5" t="n">
        <f aca="false">B264*VOFLB</f>
        <v>2.07999999999997</v>
      </c>
      <c r="D264" s="5" t="e">
        <f aca="false">C264*(ActR7+1000*Set_R9)/(ActR7+ActR8+Set_R9*1000)</f>
        <v>#N/A</v>
      </c>
      <c r="E264" s="90" t="e">
        <f aca="false">IF(C264*(1000*Set_R9+ActR7)/((1000*Set_R9+ActR7+ActR8)*(Set_Rs*Gain/2))&gt;B$25,B$25,C264*(1000*Set_R9+ActR7)/((1000*Set_R9+ActR7+ActR8)*(Set_Rs*Gain/2)))</f>
        <v>#N/A</v>
      </c>
      <c r="F264" s="5" t="e">
        <f aca="false">IF(D264&lt;0.2,0.2/(Set_Rs*Gain/2),E264)</f>
        <v>#N/A</v>
      </c>
      <c r="G264" s="5" t="e">
        <f aca="false">(C$60-C264)*F264</f>
        <v>#N/A</v>
      </c>
      <c r="H264" s="5" t="n">
        <v>0.18000000000002</v>
      </c>
      <c r="I264" s="5" t="n">
        <f aca="false">H264*VOFLB</f>
        <v>4.68000000000052</v>
      </c>
      <c r="J264" s="5" t="n">
        <f aca="false">I264*ActR9_sw/(ActR7_sw+ActR9_sw+Set_R8*1000)</f>
        <v>0.180289788408484</v>
      </c>
      <c r="K264" s="91" t="n">
        <f aca="false">IF(J264/(0.5*Set_Rs*Gain) &gt;B$25,B$25,J264/(0.5*Set_Rs*Gain))</f>
        <v>1.80289788408484</v>
      </c>
      <c r="L264" s="91" t="n">
        <f aca="false">IF(J264&lt;0.2,0.2/(0.5*Set_Rs*Gain),K264)</f>
        <v>2</v>
      </c>
      <c r="M264" s="5" t="n">
        <f aca="false">(I$60-I264)*L264</f>
        <v>53.039999999999</v>
      </c>
      <c r="N264" s="5"/>
      <c r="O264" s="5"/>
      <c r="P264" s="5"/>
      <c r="Q264" s="5"/>
    </row>
    <row r="265" customFormat="false" ht="12.75" hidden="false" customHeight="false" outlineLevel="0" collapsed="false">
      <c r="A265" s="5"/>
      <c r="B265" s="5" t="n">
        <v>0.074999999999999</v>
      </c>
      <c r="C265" s="5" t="n">
        <f aca="false">B265*VOFLB</f>
        <v>1.94999999999997</v>
      </c>
      <c r="D265" s="5" t="e">
        <f aca="false">C265*(ActR7+1000*Set_R9)/(ActR7+ActR8+Set_R9*1000)</f>
        <v>#N/A</v>
      </c>
      <c r="E265" s="90" t="e">
        <f aca="false">IF(C265*(1000*Set_R9+ActR7)/((1000*Set_R9+ActR7+ActR8)*(Set_Rs*Gain/2))&gt;B$25,B$25,C265*(1000*Set_R9+ActR7)/((1000*Set_R9+ActR7+ActR8)*(Set_Rs*Gain/2)))</f>
        <v>#N/A</v>
      </c>
      <c r="F265" s="5" t="e">
        <f aca="false">IF(D265&lt;0.2,0.2/(Set_Rs*Gain/2),E265)</f>
        <v>#N/A</v>
      </c>
      <c r="G265" s="5" t="e">
        <f aca="false">(C$60-C265)*F265</f>
        <v>#N/A</v>
      </c>
      <c r="H265" s="5" t="n">
        <v>0.17500000000002</v>
      </c>
      <c r="I265" s="5" t="n">
        <f aca="false">H265*VOFLB</f>
        <v>4.55000000000052</v>
      </c>
      <c r="J265" s="5" t="n">
        <f aca="false">I265*ActR9_sw/(ActR7_sw+ActR9_sw+Set_R8*1000)</f>
        <v>0.175281738730471</v>
      </c>
      <c r="K265" s="91" t="n">
        <f aca="false">IF(J265/(0.5*Set_Rs*Gain) &gt;B$25,B$25,J265/(0.5*Set_Rs*Gain))</f>
        <v>1.75281738730471</v>
      </c>
      <c r="L265" s="91" t="n">
        <f aca="false">IF(J265&lt;0.2,0.2/(0.5*Set_Rs*Gain),K265)</f>
        <v>2</v>
      </c>
      <c r="M265" s="5" t="n">
        <f aca="false">(I$60-I265)*L265</f>
        <v>53.299999999999</v>
      </c>
      <c r="N265" s="5"/>
      <c r="O265" s="5"/>
      <c r="P265" s="5"/>
      <c r="Q265" s="5"/>
    </row>
    <row r="266" customFormat="false" ht="12.75" hidden="false" customHeight="false" outlineLevel="0" collapsed="false">
      <c r="A266" s="5"/>
      <c r="B266" s="5" t="n">
        <v>0.069999999999999</v>
      </c>
      <c r="C266" s="5" t="n">
        <f aca="false">B266*VOFLB</f>
        <v>1.81999999999997</v>
      </c>
      <c r="D266" s="5" t="e">
        <f aca="false">C266*(ActR7+1000*Set_R9)/(ActR7+ActR8+Set_R9*1000)</f>
        <v>#N/A</v>
      </c>
      <c r="E266" s="90" t="e">
        <f aca="false">IF(C266*(1000*Set_R9+ActR7)/((1000*Set_R9+ActR7+ActR8)*(Set_Rs*Gain/2))&gt;B$25,B$25,C266*(1000*Set_R9+ActR7)/((1000*Set_R9+ActR7+ActR8)*(Set_Rs*Gain/2)))</f>
        <v>#N/A</v>
      </c>
      <c r="F266" s="5" t="e">
        <f aca="false">IF(D266&lt;0.2,0.2/(Set_Rs*Gain/2),E266)</f>
        <v>#N/A</v>
      </c>
      <c r="G266" s="5" t="e">
        <f aca="false">(C$60-C266)*F266</f>
        <v>#N/A</v>
      </c>
      <c r="H266" s="5" t="n">
        <v>0.17000000000002</v>
      </c>
      <c r="I266" s="5" t="n">
        <f aca="false">H266*VOFLB</f>
        <v>4.42000000000052</v>
      </c>
      <c r="J266" s="5" t="n">
        <f aca="false">I266*ActR9_sw/(ActR7_sw+ActR9_sw+Set_R8*1000)</f>
        <v>0.170273689052458</v>
      </c>
      <c r="K266" s="91" t="n">
        <f aca="false">IF(J266/(0.5*Set_Rs*Gain) &gt;B$25,B$25,J266/(0.5*Set_Rs*Gain))</f>
        <v>1.70273689052458</v>
      </c>
      <c r="L266" s="91" t="n">
        <f aca="false">IF(J266&lt;0.2,0.2/(0.5*Set_Rs*Gain),K266)</f>
        <v>2</v>
      </c>
      <c r="M266" s="5" t="n">
        <f aca="false">(I$60-I266)*L266</f>
        <v>53.559999999999</v>
      </c>
      <c r="N266" s="5"/>
      <c r="O266" s="5"/>
      <c r="P266" s="5"/>
      <c r="Q266" s="5"/>
    </row>
    <row r="267" customFormat="false" ht="12.75" hidden="false" customHeight="false" outlineLevel="0" collapsed="false">
      <c r="A267" s="5"/>
      <c r="B267" s="5" t="n">
        <v>0.0649999999999989</v>
      </c>
      <c r="C267" s="5" t="n">
        <f aca="false">B267*VOFLB</f>
        <v>1.68999999999997</v>
      </c>
      <c r="D267" s="5" t="e">
        <f aca="false">C267*(ActR7+1000*Set_R9)/(ActR7+ActR8+Set_R9*1000)</f>
        <v>#N/A</v>
      </c>
      <c r="E267" s="90" t="e">
        <f aca="false">IF(C267*(1000*Set_R9+ActR7)/((1000*Set_R9+ActR7+ActR8)*(Set_Rs*Gain/2))&gt;B$25,B$25,C267*(1000*Set_R9+ActR7)/((1000*Set_R9+ActR7+ActR8)*(Set_Rs*Gain/2)))</f>
        <v>#N/A</v>
      </c>
      <c r="F267" s="5" t="e">
        <f aca="false">IF(D267&lt;0.2,0.2/(Set_Rs*Gain/2),E267)</f>
        <v>#N/A</v>
      </c>
      <c r="G267" s="5" t="e">
        <f aca="false">(C$60-C267)*F267</f>
        <v>#N/A</v>
      </c>
      <c r="H267" s="5" t="n">
        <v>0.16500000000002</v>
      </c>
      <c r="I267" s="5" t="n">
        <f aca="false">H267*VOFLB</f>
        <v>4.29000000000052</v>
      </c>
      <c r="J267" s="5" t="n">
        <f aca="false">I267*ActR9_sw/(ActR7_sw+ActR9_sw+Set_R8*1000)</f>
        <v>0.165265639374445</v>
      </c>
      <c r="K267" s="91" t="n">
        <f aca="false">IF(J267/(0.5*Set_Rs*Gain) &gt;B$25,B$25,J267/(0.5*Set_Rs*Gain))</f>
        <v>1.65265639374445</v>
      </c>
      <c r="L267" s="91" t="n">
        <f aca="false">IF(J267&lt;0.2,0.2/(0.5*Set_Rs*Gain),K267)</f>
        <v>2</v>
      </c>
      <c r="M267" s="5" t="n">
        <f aca="false">(I$60-I267)*L267</f>
        <v>53.819999999999</v>
      </c>
      <c r="N267" s="5"/>
      <c r="O267" s="5"/>
      <c r="P267" s="5"/>
      <c r="Q267" s="5"/>
    </row>
    <row r="268" customFormat="false" ht="12.75" hidden="false" customHeight="false" outlineLevel="0" collapsed="false">
      <c r="A268" s="5"/>
      <c r="B268" s="5" t="n">
        <v>0.0599999999999991</v>
      </c>
      <c r="C268" s="5" t="n">
        <f aca="false">B268*VOFLB</f>
        <v>1.55999999999998</v>
      </c>
      <c r="D268" s="5" t="e">
        <f aca="false">C268*(ActR7+1000*Set_R9)/(ActR7+ActR8+Set_R9*1000)</f>
        <v>#N/A</v>
      </c>
      <c r="E268" s="90" t="e">
        <f aca="false">IF(C268*(1000*Set_R9+ActR7)/((1000*Set_R9+ActR7+ActR8)*(Set_Rs*Gain/2))&gt;B$25,B$25,C268*(1000*Set_R9+ActR7)/((1000*Set_R9+ActR7+ActR8)*(Set_Rs*Gain/2)))</f>
        <v>#N/A</v>
      </c>
      <c r="F268" s="5" t="e">
        <f aca="false">IF(D268&lt;0.2,0.2/(Set_Rs*Gain/2),E268)</f>
        <v>#N/A</v>
      </c>
      <c r="G268" s="5" t="e">
        <f aca="false">(C$60-C268)*F268</f>
        <v>#N/A</v>
      </c>
      <c r="H268" s="5" t="n">
        <v>0.16000000000002</v>
      </c>
      <c r="I268" s="5" t="n">
        <f aca="false">H268*VOFLB</f>
        <v>4.16000000000052</v>
      </c>
      <c r="J268" s="5" t="n">
        <f aca="false">I268*ActR9_sw/(ActR7_sw+ActR9_sw+Set_R8*1000)</f>
        <v>0.160257589696432</v>
      </c>
      <c r="K268" s="91" t="n">
        <f aca="false">IF(J268/(0.5*Set_Rs*Gain) &gt;B$25,B$25,J268/(0.5*Set_Rs*Gain))</f>
        <v>1.60257589696432</v>
      </c>
      <c r="L268" s="91" t="n">
        <f aca="false">IF(J268&lt;0.2,0.2/(0.5*Set_Rs*Gain),K268)</f>
        <v>2</v>
      </c>
      <c r="M268" s="5" t="n">
        <f aca="false">(I$60-I268)*L268</f>
        <v>54.079999999999</v>
      </c>
      <c r="N268" s="5"/>
      <c r="O268" s="5"/>
      <c r="P268" s="5"/>
      <c r="Q268" s="5"/>
    </row>
    <row r="269" customFormat="false" ht="12.75" hidden="false" customHeight="false" outlineLevel="0" collapsed="false">
      <c r="A269" s="5"/>
      <c r="B269" s="5" t="n">
        <v>0.054999999999999</v>
      </c>
      <c r="C269" s="5" t="n">
        <f aca="false">B269*VOFLB</f>
        <v>1.42999999999997</v>
      </c>
      <c r="D269" s="5" t="e">
        <f aca="false">C269*(ActR7+1000*Set_R9)/(ActR7+ActR8+Set_R9*1000)</f>
        <v>#N/A</v>
      </c>
      <c r="E269" s="90" t="e">
        <f aca="false">IF(C269*(1000*Set_R9+ActR7)/((1000*Set_R9+ActR7+ActR8)*(Set_Rs*Gain/2))&gt;B$25,B$25,C269*(1000*Set_R9+ActR7)/((1000*Set_R9+ActR7+ActR8)*(Set_Rs*Gain/2)))</f>
        <v>#N/A</v>
      </c>
      <c r="F269" s="5" t="e">
        <f aca="false">IF(D269&lt;0.2,0.2/(Set_Rs*Gain/2),E269)</f>
        <v>#N/A</v>
      </c>
      <c r="G269" s="5" t="e">
        <f aca="false">(C$60-C269)*F269</f>
        <v>#N/A</v>
      </c>
      <c r="H269" s="5" t="n">
        <v>0.15500000000002</v>
      </c>
      <c r="I269" s="5" t="n">
        <f aca="false">H269*VOFLB</f>
        <v>4.03000000000052</v>
      </c>
      <c r="J269" s="5" t="n">
        <f aca="false">I269*ActR9_sw/(ActR7_sw+ActR9_sw+Set_R8*1000)</f>
        <v>0.155249540018419</v>
      </c>
      <c r="K269" s="91" t="n">
        <f aca="false">IF(J269/(0.5*Set_Rs*Gain) &gt;B$25,B$25,J269/(0.5*Set_Rs*Gain))</f>
        <v>1.55249540018419</v>
      </c>
      <c r="L269" s="91" t="n">
        <f aca="false">IF(J269&lt;0.2,0.2/(0.5*Set_Rs*Gain),K269)</f>
        <v>2</v>
      </c>
      <c r="M269" s="5" t="n">
        <f aca="false">(I$60-I269)*L269</f>
        <v>54.339999999999</v>
      </c>
      <c r="N269" s="5"/>
      <c r="O269" s="5"/>
      <c r="P269" s="5"/>
      <c r="Q269" s="5"/>
    </row>
    <row r="270" customFormat="false" ht="12.75" hidden="false" customHeight="false" outlineLevel="0" collapsed="false">
      <c r="A270" s="5"/>
      <c r="B270" s="5" t="n">
        <v>0.049999999999999</v>
      </c>
      <c r="C270" s="5" t="n">
        <f aca="false">B270*VOFLB</f>
        <v>1.29999999999997</v>
      </c>
      <c r="D270" s="5" t="e">
        <f aca="false">C270*(ActR7+1000*Set_R9)/(ActR7+ActR8+Set_R9*1000)</f>
        <v>#N/A</v>
      </c>
      <c r="E270" s="90" t="e">
        <f aca="false">IF(C270*(1000*Set_R9+ActR7)/((1000*Set_R9+ActR7+ActR8)*(Set_Rs*Gain/2))&gt;B$25,B$25,C270*(1000*Set_R9+ActR7)/((1000*Set_R9+ActR7+ActR8)*(Set_Rs*Gain/2)))</f>
        <v>#N/A</v>
      </c>
      <c r="F270" s="5" t="e">
        <f aca="false">IF(D270&lt;0.2,0.2/(Set_Rs*Gain/2),E270)</f>
        <v>#N/A</v>
      </c>
      <c r="G270" s="5" t="e">
        <f aca="false">(C$60-C270)*F270</f>
        <v>#N/A</v>
      </c>
      <c r="H270" s="5" t="n">
        <v>0.15000000000002</v>
      </c>
      <c r="I270" s="5" t="n">
        <f aca="false">H270*VOFLB</f>
        <v>3.90000000000052</v>
      </c>
      <c r="J270" s="5" t="n">
        <f aca="false">I270*ActR9_sw/(ActR7_sw+ActR9_sw+Set_R8*1000)</f>
        <v>0.150241490340406</v>
      </c>
      <c r="K270" s="91" t="n">
        <f aca="false">IF(J270/(0.5*Set_Rs*Gain) &gt;B$25,B$25,J270/(0.5*Set_Rs*Gain))</f>
        <v>1.50241490340406</v>
      </c>
      <c r="L270" s="91" t="n">
        <f aca="false">IF(J270&lt;0.2,0.2/(0.5*Set_Rs*Gain),K270)</f>
        <v>2</v>
      </c>
      <c r="M270" s="5" t="n">
        <f aca="false">(I$60-I270)*L270</f>
        <v>54.599999999999</v>
      </c>
      <c r="N270" s="5"/>
      <c r="O270" s="5"/>
      <c r="P270" s="5"/>
      <c r="Q270" s="5"/>
    </row>
    <row r="271" customFormat="false" ht="12.75" hidden="false" customHeight="false" outlineLevel="0" collapsed="false">
      <c r="A271" s="5"/>
      <c r="B271" s="5" t="n">
        <v>0.044999999999999</v>
      </c>
      <c r="C271" s="5" t="n">
        <f aca="false">B271*VOFLB</f>
        <v>1.16999999999997</v>
      </c>
      <c r="D271" s="5" t="e">
        <f aca="false">C271*(ActR7+1000*Set_R9)/(ActR7+ActR8+Set_R9*1000)</f>
        <v>#N/A</v>
      </c>
      <c r="E271" s="90" t="e">
        <f aca="false">IF(C271*(1000*Set_R9+ActR7)/((1000*Set_R9+ActR7+ActR8)*(Set_Rs*Gain/2))&gt;B$25,B$25,C271*(1000*Set_R9+ActR7)/((1000*Set_R9+ActR7+ActR8)*(Set_Rs*Gain/2)))</f>
        <v>#N/A</v>
      </c>
      <c r="F271" s="5" t="e">
        <f aca="false">IF(D271&lt;0.2,0.2/(Set_Rs*Gain/2),E271)</f>
        <v>#N/A</v>
      </c>
      <c r="G271" s="5" t="e">
        <f aca="false">(C$60-C271)*F271</f>
        <v>#N/A</v>
      </c>
      <c r="H271" s="5" t="n">
        <v>0.14500000000002</v>
      </c>
      <c r="I271" s="5" t="n">
        <f aca="false">H271*VOFLB</f>
        <v>3.77000000000052</v>
      </c>
      <c r="J271" s="5" t="n">
        <f aca="false">I271*ActR9_sw/(ActR7_sw+ActR9_sw+Set_R8*1000)</f>
        <v>0.145233440662394</v>
      </c>
      <c r="K271" s="91" t="n">
        <f aca="false">IF(J271/(0.5*Set_Rs*Gain) &gt;B$25,B$25,J271/(0.5*Set_Rs*Gain))</f>
        <v>1.45233440662394</v>
      </c>
      <c r="L271" s="91" t="n">
        <f aca="false">IF(J271&lt;0.2,0.2/(0.5*Set_Rs*Gain),K271)</f>
        <v>2</v>
      </c>
      <c r="M271" s="5" t="n">
        <f aca="false">(I$60-I271)*L271</f>
        <v>54.859999999999</v>
      </c>
      <c r="N271" s="5"/>
      <c r="O271" s="5"/>
      <c r="P271" s="5"/>
      <c r="Q271" s="5"/>
    </row>
    <row r="272" customFormat="false" ht="12.75" hidden="false" customHeight="false" outlineLevel="0" collapsed="false">
      <c r="A272" s="5"/>
      <c r="B272" s="5" t="n">
        <v>0.039999999999999</v>
      </c>
      <c r="C272" s="5" t="n">
        <f aca="false">B272*VOFLB</f>
        <v>1.03999999999997</v>
      </c>
      <c r="D272" s="5" t="e">
        <f aca="false">C272*(ActR7+1000*Set_R9)/(ActR7+ActR8+Set_R9*1000)</f>
        <v>#N/A</v>
      </c>
      <c r="E272" s="90" t="e">
        <f aca="false">IF(C272*(1000*Set_R9+ActR7)/((1000*Set_R9+ActR7+ActR8)*(Set_Rs*Gain/2))&gt;B$25,B$25,C272*(1000*Set_R9+ActR7)/((1000*Set_R9+ActR7+ActR8)*(Set_Rs*Gain/2)))</f>
        <v>#N/A</v>
      </c>
      <c r="F272" s="5" t="e">
        <f aca="false">IF(D272&lt;0.2,0.2/(Set_Rs*Gain/2),E272)</f>
        <v>#N/A</v>
      </c>
      <c r="G272" s="5" t="e">
        <f aca="false">(C$60-C272)*F272</f>
        <v>#N/A</v>
      </c>
      <c r="H272" s="5" t="n">
        <v>0.14000000000002</v>
      </c>
      <c r="I272" s="5" t="n">
        <f aca="false">H272*VOFLB</f>
        <v>3.64000000000052</v>
      </c>
      <c r="J272" s="5" t="n">
        <f aca="false">I272*ActR9_sw/(ActR7_sw+ActR9_sw+Set_R8*1000)</f>
        <v>0.140225390984381</v>
      </c>
      <c r="K272" s="91" t="n">
        <f aca="false">IF(J272/(0.5*Set_Rs*Gain) &gt;B$25,B$25,J272/(0.5*Set_Rs*Gain))</f>
        <v>1.40225390984381</v>
      </c>
      <c r="L272" s="91" t="n">
        <f aca="false">IF(J272&lt;0.2,0.2/(0.5*Set_Rs*Gain),K272)</f>
        <v>2</v>
      </c>
      <c r="M272" s="5" t="n">
        <f aca="false">(I$60-I272)*L272</f>
        <v>55.119999999999</v>
      </c>
      <c r="N272" s="5"/>
      <c r="O272" s="5"/>
      <c r="P272" s="5"/>
      <c r="Q272" s="5"/>
    </row>
    <row r="273" customFormat="false" ht="12.75" hidden="false" customHeight="false" outlineLevel="0" collapsed="false">
      <c r="A273" s="5"/>
      <c r="B273" s="5" t="n">
        <v>0.034999999999999</v>
      </c>
      <c r="C273" s="5" t="n">
        <f aca="false">B273*VOFLB</f>
        <v>0.909999999999974</v>
      </c>
      <c r="D273" s="5" t="e">
        <f aca="false">C273*(ActR7+1000*Set_R9)/(ActR7+ActR8+Set_R9*1000)</f>
        <v>#N/A</v>
      </c>
      <c r="E273" s="90" t="e">
        <f aca="false">IF(C273*(1000*Set_R9+ActR7)/((1000*Set_R9+ActR7+ActR8)*(Set_Rs*Gain/2))&gt;B$25,B$25,C273*(1000*Set_R9+ActR7)/((1000*Set_R9+ActR7+ActR8)*(Set_Rs*Gain/2)))</f>
        <v>#N/A</v>
      </c>
      <c r="F273" s="5" t="e">
        <f aca="false">IF(D273&lt;0.2,0.2/(Set_Rs*Gain/2),E273)</f>
        <v>#N/A</v>
      </c>
      <c r="G273" s="5" t="e">
        <f aca="false">(C$60-C273)*F273</f>
        <v>#N/A</v>
      </c>
      <c r="H273" s="5" t="n">
        <v>0.13500000000002</v>
      </c>
      <c r="I273" s="5" t="n">
        <f aca="false">H273*VOFLB</f>
        <v>3.51000000000052</v>
      </c>
      <c r="J273" s="5" t="n">
        <f aca="false">I273*ActR9_sw/(ActR7_sw+ActR9_sw+Set_R8*1000)</f>
        <v>0.135217341306368</v>
      </c>
      <c r="K273" s="91" t="n">
        <f aca="false">IF(J273/(0.5*Set_Rs*Gain) &gt;B$25,B$25,J273/(0.5*Set_Rs*Gain))</f>
        <v>1.35217341306368</v>
      </c>
      <c r="L273" s="91" t="n">
        <f aca="false">IF(J273&lt;0.2,0.2/(0.5*Set_Rs*Gain),K273)</f>
        <v>2</v>
      </c>
      <c r="M273" s="5" t="n">
        <f aca="false">(I$60-I273)*L273</f>
        <v>55.379999999999</v>
      </c>
      <c r="N273" s="5"/>
      <c r="O273" s="5"/>
      <c r="P273" s="5"/>
      <c r="Q273" s="5"/>
    </row>
    <row r="274" customFormat="false" ht="12.75" hidden="false" customHeight="false" outlineLevel="0" collapsed="false">
      <c r="A274" s="5"/>
      <c r="B274" s="5" t="n">
        <v>0.029999999999999</v>
      </c>
      <c r="C274" s="5" t="n">
        <f aca="false">B274*VOFLB</f>
        <v>0.779999999999974</v>
      </c>
      <c r="D274" s="5" t="e">
        <f aca="false">C274*(ActR7+1000*Set_R9)/(ActR7+ActR8+Set_R9*1000)</f>
        <v>#N/A</v>
      </c>
      <c r="E274" s="90" t="e">
        <f aca="false">IF(C274*(1000*Set_R9+ActR7)/((1000*Set_R9+ActR7+ActR8)*(Set_Rs*Gain/2))&gt;B$25,B$25,C274*(1000*Set_R9+ActR7)/((1000*Set_R9+ActR7+ActR8)*(Set_Rs*Gain/2)))</f>
        <v>#N/A</v>
      </c>
      <c r="F274" s="5" t="e">
        <f aca="false">IF(D274&lt;0.2,0.2/(Set_Rs*Gain/2),E274)</f>
        <v>#N/A</v>
      </c>
      <c r="G274" s="5" t="e">
        <f aca="false">(C$60-C274)*F274</f>
        <v>#N/A</v>
      </c>
      <c r="H274" s="5" t="n">
        <v>0.13000000000002</v>
      </c>
      <c r="I274" s="5" t="n">
        <f aca="false">H274*VOFLB</f>
        <v>3.38000000000052</v>
      </c>
      <c r="J274" s="5" t="n">
        <f aca="false">I274*ActR9_sw/(ActR7_sw+ActR9_sw+Set_R8*1000)</f>
        <v>0.130209291628355</v>
      </c>
      <c r="K274" s="91" t="n">
        <f aca="false">IF(J274/(0.5*Set_Rs*Gain) &gt;B$25,B$25,J274/(0.5*Set_Rs*Gain))</f>
        <v>1.30209291628355</v>
      </c>
      <c r="L274" s="91" t="n">
        <f aca="false">IF(J274&lt;0.2,0.2/(0.5*Set_Rs*Gain),K274)</f>
        <v>2</v>
      </c>
      <c r="M274" s="5" t="n">
        <f aca="false">(I$60-I274)*L274</f>
        <v>55.639999999999</v>
      </c>
      <c r="N274" s="5"/>
      <c r="O274" s="5"/>
      <c r="P274" s="5"/>
      <c r="Q274" s="5"/>
    </row>
    <row r="275" customFormat="false" ht="12.75" hidden="false" customHeight="false" outlineLevel="0" collapsed="false">
      <c r="A275" s="5"/>
      <c r="B275" s="5" t="n">
        <v>0.024999999999999</v>
      </c>
      <c r="C275" s="5" t="n">
        <f aca="false">B275*VOFLB</f>
        <v>0.649999999999974</v>
      </c>
      <c r="D275" s="5" t="e">
        <f aca="false">C275*(ActR7+1000*Set_R9)/(ActR7+ActR8+Set_R9*1000)</f>
        <v>#N/A</v>
      </c>
      <c r="E275" s="90" t="e">
        <f aca="false">IF(C275*(1000*Set_R9+ActR7)/((1000*Set_R9+ActR7+ActR8)*(Set_Rs*Gain/2))&gt;B$25,B$25,C275*(1000*Set_R9+ActR7)/((1000*Set_R9+ActR7+ActR8)*(Set_Rs*Gain/2)))</f>
        <v>#N/A</v>
      </c>
      <c r="F275" s="5" t="e">
        <f aca="false">IF(D275&lt;0.2,0.2/(Set_Rs*Gain/2),E275)</f>
        <v>#N/A</v>
      </c>
      <c r="G275" s="5" t="e">
        <f aca="false">(C$60-C275)*F275</f>
        <v>#N/A</v>
      </c>
      <c r="H275" s="5" t="n">
        <v>0.12500000000002</v>
      </c>
      <c r="I275" s="5" t="n">
        <f aca="false">H275*VOFLB</f>
        <v>3.25000000000052</v>
      </c>
      <c r="J275" s="5" t="n">
        <f aca="false">I275*ActR9_sw/(ActR7_sw+ActR9_sw+Set_R8*1000)</f>
        <v>0.125201241950342</v>
      </c>
      <c r="K275" s="91" t="n">
        <f aca="false">IF(J275/(0.5*Set_Rs*Gain) &gt;B$25,B$25,J275/(0.5*Set_Rs*Gain))</f>
        <v>1.25201241950342</v>
      </c>
      <c r="L275" s="91" t="n">
        <f aca="false">IF(J275&lt;0.2,0.2/(0.5*Set_Rs*Gain),K275)</f>
        <v>2</v>
      </c>
      <c r="M275" s="5" t="n">
        <f aca="false">(I$60-I275)*L275</f>
        <v>55.899999999999</v>
      </c>
      <c r="N275" s="5"/>
      <c r="O275" s="5"/>
      <c r="P275" s="5"/>
      <c r="Q275" s="5"/>
    </row>
    <row r="276" customFormat="false" ht="12.75" hidden="false" customHeight="false" outlineLevel="0" collapsed="false">
      <c r="A276" s="5"/>
      <c r="B276" s="5" t="n">
        <v>0.019999999999999</v>
      </c>
      <c r="C276" s="5" t="n">
        <f aca="false">B276*VOFLB</f>
        <v>0.519999999999974</v>
      </c>
      <c r="D276" s="5" t="e">
        <f aca="false">C276*(ActR7+1000*Set_R9)/(ActR7+ActR8+Set_R9*1000)</f>
        <v>#N/A</v>
      </c>
      <c r="E276" s="90" t="e">
        <f aca="false">IF(C276*(1000*Set_R9+ActR7)/((1000*Set_R9+ActR7+ActR8)*(Set_Rs*Gain/2))&gt;B$25,B$25,C276*(1000*Set_R9+ActR7)/((1000*Set_R9+ActR7+ActR8)*(Set_Rs*Gain/2)))</f>
        <v>#N/A</v>
      </c>
      <c r="F276" s="5" t="e">
        <f aca="false">IF(D276&lt;0.2,0.2/(Set_Rs*Gain/2),E276)</f>
        <v>#N/A</v>
      </c>
      <c r="G276" s="5" t="e">
        <f aca="false">(C$60-C276)*F276</f>
        <v>#N/A</v>
      </c>
      <c r="H276" s="5" t="n">
        <v>0.12000000000002</v>
      </c>
      <c r="I276" s="5" t="n">
        <f aca="false">H276*VOFLB</f>
        <v>3.12000000000052</v>
      </c>
      <c r="J276" s="5" t="n">
        <f aca="false">I276*ActR9_sw/(ActR7_sw+ActR9_sw+Set_R8*1000)</f>
        <v>0.120193192272329</v>
      </c>
      <c r="K276" s="91" t="n">
        <f aca="false">IF(J276/(0.5*Set_Rs*Gain) &gt;B$25,B$25,J276/(0.5*Set_Rs*Gain))</f>
        <v>1.20193192272329</v>
      </c>
      <c r="L276" s="91" t="n">
        <f aca="false">IF(J276&lt;0.2,0.2/(0.5*Set_Rs*Gain),K276)</f>
        <v>2</v>
      </c>
      <c r="M276" s="5" t="n">
        <f aca="false">(I$60-I276)*L276</f>
        <v>56.159999999999</v>
      </c>
      <c r="N276" s="5"/>
      <c r="O276" s="5"/>
      <c r="P276" s="5"/>
      <c r="Q276" s="5"/>
    </row>
    <row r="277" customFormat="false" ht="12.75" hidden="false" customHeight="false" outlineLevel="0" collapsed="false">
      <c r="A277" s="5"/>
      <c r="B277" s="5" t="n">
        <v>0.014999999999999</v>
      </c>
      <c r="C277" s="5" t="n">
        <f aca="false">B277*VOFLB</f>
        <v>0.389999999999974</v>
      </c>
      <c r="D277" s="5" t="e">
        <f aca="false">C277*(ActR7+1000*Set_R9)/(ActR7+ActR8+Set_R9*1000)</f>
        <v>#N/A</v>
      </c>
      <c r="E277" s="90" t="e">
        <f aca="false">IF(C277*(1000*Set_R9+ActR7)/((1000*Set_R9+ActR7+ActR8)*(Set_Rs*Gain/2))&gt;B$25,B$25,C277*(1000*Set_R9+ActR7)/((1000*Set_R9+ActR7+ActR8)*(Set_Rs*Gain/2)))</f>
        <v>#N/A</v>
      </c>
      <c r="F277" s="5" t="e">
        <f aca="false">IF(D277&lt;0.2,0.2/(Set_Rs*Gain/2),E277)</f>
        <v>#N/A</v>
      </c>
      <c r="G277" s="5" t="e">
        <f aca="false">(C$60-C277)*F277</f>
        <v>#N/A</v>
      </c>
      <c r="H277" s="5" t="n">
        <v>0.11500000000002</v>
      </c>
      <c r="I277" s="5" t="n">
        <f aca="false">H277*VOFLB</f>
        <v>2.99000000000052</v>
      </c>
      <c r="J277" s="5" t="n">
        <f aca="false">I277*ActR9_sw/(ActR7_sw+ActR9_sw+Set_R8*1000)</f>
        <v>0.115185142594316</v>
      </c>
      <c r="K277" s="91" t="n">
        <f aca="false">IF(J277/(0.5*Set_Rs*Gain) &gt;B$25,B$25,J277/(0.5*Set_Rs*Gain))</f>
        <v>1.15185142594316</v>
      </c>
      <c r="L277" s="91" t="n">
        <f aca="false">IF(J277&lt;0.2,0.2/(0.5*Set_Rs*Gain),K277)</f>
        <v>2</v>
      </c>
      <c r="M277" s="5" t="n">
        <f aca="false">(I$60-I277)*L277</f>
        <v>56.419999999999</v>
      </c>
      <c r="N277" s="5"/>
      <c r="O277" s="5"/>
      <c r="P277" s="5"/>
      <c r="Q277" s="5"/>
    </row>
    <row r="278" customFormat="false" ht="12.75" hidden="false" customHeight="false" outlineLevel="0" collapsed="false">
      <c r="A278" s="5"/>
      <c r="B278" s="5" t="n">
        <v>0.00999999999999901</v>
      </c>
      <c r="C278" s="5" t="n">
        <f aca="false">B278*VOFLB</f>
        <v>0.259999999999974</v>
      </c>
      <c r="D278" s="5" t="e">
        <f aca="false">C278*(ActR7+1000*Set_R9)/(ActR7+ActR8+Set_R9*1000)</f>
        <v>#N/A</v>
      </c>
      <c r="E278" s="90" t="e">
        <f aca="false">IF(C278*(1000*Set_R9+ActR7)/((1000*Set_R9+ActR7+ActR8)*(Set_Rs*Gain/2))&gt;B$25,B$25,C278*(1000*Set_R9+ActR7)/((1000*Set_R9+ActR7+ActR8)*(Set_Rs*Gain/2)))</f>
        <v>#N/A</v>
      </c>
      <c r="F278" s="5" t="e">
        <f aca="false">IF(D278&lt;0.2,0.2/(Set_Rs*Gain/2),E278)</f>
        <v>#N/A</v>
      </c>
      <c r="G278" s="5" t="e">
        <f aca="false">(C$60-C278)*F278</f>
        <v>#N/A</v>
      </c>
      <c r="H278" s="5" t="n">
        <v>0.11000000000002</v>
      </c>
      <c r="I278" s="5" t="n">
        <f aca="false">H278*VOFLB</f>
        <v>2.86000000000052</v>
      </c>
      <c r="J278" s="5" t="n">
        <f aca="false">I278*ActR9_sw/(ActR7_sw+ActR9_sw+Set_R8*1000)</f>
        <v>0.110177092916303</v>
      </c>
      <c r="K278" s="91" t="n">
        <f aca="false">IF(J278/(0.5*Set_Rs*Gain) &gt;B$25,B$25,J278/(0.5*Set_Rs*Gain))</f>
        <v>1.10177092916303</v>
      </c>
      <c r="L278" s="91" t="n">
        <f aca="false">IF(J278&lt;0.2,0.2/(0.5*Set_Rs*Gain),K278)</f>
        <v>2</v>
      </c>
      <c r="M278" s="5" t="n">
        <f aca="false">(I$60-I278)*L278</f>
        <v>56.679999999999</v>
      </c>
      <c r="N278" s="5"/>
      <c r="O278" s="5"/>
      <c r="P278" s="5"/>
      <c r="Q278" s="5"/>
    </row>
    <row r="279" customFormat="false" ht="12.75" hidden="false" customHeight="false" outlineLevel="0" collapsed="false">
      <c r="A279" s="5"/>
      <c r="B279" s="5" t="n">
        <v>0.00499999999999901</v>
      </c>
      <c r="C279" s="5" t="n">
        <f aca="false">B279*VOFLB</f>
        <v>0.129999999999974</v>
      </c>
      <c r="D279" s="5" t="e">
        <f aca="false">C279*(ActR7+1000*Set_R9)/(ActR7+ActR8+Set_R9*1000)</f>
        <v>#N/A</v>
      </c>
      <c r="E279" s="90" t="e">
        <f aca="false">IF(C279*(1000*Set_R9+ActR7)/((1000*Set_R9+ActR7+ActR8)*(Set_Rs*Gain/2))&gt;B$25,B$25,C279*(1000*Set_R9+ActR7)/((1000*Set_R9+ActR7+ActR8)*(Set_Rs*Gain/2)))</f>
        <v>#N/A</v>
      </c>
      <c r="F279" s="5" t="e">
        <f aca="false">IF(D279&lt;0.2,0.2/(Set_Rs*Gain/2),E279)</f>
        <v>#N/A</v>
      </c>
      <c r="G279" s="5" t="e">
        <f aca="false">(C$60-C279)*F279</f>
        <v>#N/A</v>
      </c>
      <c r="H279" s="5" t="n">
        <v>0.10500000000002</v>
      </c>
      <c r="I279" s="5" t="n">
        <f aca="false">H279*VOFLB</f>
        <v>2.73000000000052</v>
      </c>
      <c r="J279" s="5" t="n">
        <f aca="false">I279*ActR9_sw/(ActR7_sw+ActR9_sw+Set_R8*1000)</f>
        <v>0.105169043238291</v>
      </c>
      <c r="K279" s="91" t="n">
        <f aca="false">IF(J279/(0.5*Set_Rs*Gain) &gt;B$25,B$25,J279/(0.5*Set_Rs*Gain))</f>
        <v>1.05169043238291</v>
      </c>
      <c r="L279" s="91" t="n">
        <f aca="false">IF(J279&lt;0.2,0.2/(0.5*Set_Rs*Gain),K279)</f>
        <v>2</v>
      </c>
      <c r="M279" s="5" t="n">
        <f aca="false">(I$60-I279)*L279</f>
        <v>56.939999999999</v>
      </c>
      <c r="N279" s="5"/>
      <c r="O279" s="5"/>
      <c r="P279" s="5"/>
      <c r="Q279" s="5"/>
    </row>
    <row r="280" customFormat="false" ht="12.75" hidden="false" customHeight="false" outlineLevel="0" collapsed="false">
      <c r="A280" s="5"/>
      <c r="B280" s="5"/>
      <c r="C280" s="5"/>
      <c r="D280" s="5"/>
      <c r="E280" s="5"/>
      <c r="F280" s="5"/>
      <c r="G280" s="5"/>
      <c r="H280" s="5" t="n">
        <v>0.10000000000002</v>
      </c>
      <c r="I280" s="5" t="n">
        <f aca="false">H280*VOFLB</f>
        <v>2.60000000000052</v>
      </c>
      <c r="J280" s="5" t="n">
        <f aca="false">I280*ActR9_sw/(ActR7_sw+ActR9_sw+Set_R8*1000)</f>
        <v>0.100160993560278</v>
      </c>
      <c r="K280" s="91" t="n">
        <f aca="false">IF(J280/(0.5*Set_Rs*Gain) &gt;B$25,B$25,J280/(0.5*Set_Rs*Gain))</f>
        <v>1.00160993560278</v>
      </c>
      <c r="L280" s="91" t="n">
        <f aca="false">IF(J280&lt;0.2,0.2/(0.5*Set_Rs*Gain),K280)</f>
        <v>2</v>
      </c>
      <c r="M280" s="5" t="n">
        <f aca="false">(I$60-I280)*L280</f>
        <v>57.199999999999</v>
      </c>
      <c r="N280" s="5"/>
      <c r="O280" s="5"/>
      <c r="P280" s="5"/>
      <c r="Q280" s="5"/>
    </row>
    <row r="281" customFormat="false" ht="12.75" hidden="false" customHeight="false" outlineLevel="0" collapsed="false">
      <c r="A281" s="5"/>
      <c r="B281" s="5"/>
      <c r="C281" s="5"/>
      <c r="D281" s="5"/>
      <c r="E281" s="5"/>
      <c r="F281" s="5"/>
      <c r="G281" s="5"/>
      <c r="H281" s="5" t="n">
        <v>0.09500000000002</v>
      </c>
      <c r="I281" s="5" t="n">
        <f aca="false">H281*VOFLB</f>
        <v>2.47000000000052</v>
      </c>
      <c r="J281" s="5" t="n">
        <f aca="false">I281*ActR9_sw/(ActR7_sw+ActR9_sw+Set_R8*1000)</f>
        <v>0.0951529438822647</v>
      </c>
      <c r="K281" s="91" t="n">
        <f aca="false">IF(J281/(0.5*Set_Rs*Gain) &gt;B$25,B$25,J281/(0.5*Set_Rs*Gain))</f>
        <v>0.951529438822647</v>
      </c>
      <c r="L281" s="91" t="n">
        <f aca="false">IF(J281&lt;0.2,0.2/(0.5*Set_Rs*Gain),K281)</f>
        <v>2</v>
      </c>
      <c r="M281" s="5" t="n">
        <f aca="false">(I$60-I281)*L281</f>
        <v>57.459999999999</v>
      </c>
      <c r="N281" s="5"/>
      <c r="O281" s="5"/>
      <c r="P281" s="5"/>
      <c r="Q281" s="5"/>
    </row>
    <row r="282" customFormat="false" ht="12.75" hidden="false" customHeight="false" outlineLevel="0" collapsed="false">
      <c r="A282" s="5"/>
      <c r="B282" s="5"/>
      <c r="C282" s="5"/>
      <c r="D282" s="5"/>
      <c r="E282" s="5"/>
      <c r="F282" s="5"/>
      <c r="G282" s="5"/>
      <c r="H282" s="5" t="n">
        <v>0.0900000000000201</v>
      </c>
      <c r="I282" s="5" t="n">
        <f aca="false">H282*VOFLB</f>
        <v>2.34000000000052</v>
      </c>
      <c r="J282" s="5" t="n">
        <f aca="false">I282*ActR9_sw/(ActR7_sw+ActR9_sw+Set_R8*1000)</f>
        <v>0.0901448942042519</v>
      </c>
      <c r="K282" s="91" t="n">
        <f aca="false">IF(J282/(0.5*Set_Rs*Gain) &gt;B$25,B$25,J282/(0.5*Set_Rs*Gain))</f>
        <v>0.901448942042519</v>
      </c>
      <c r="L282" s="91" t="n">
        <f aca="false">IF(J282&lt;0.2,0.2/(0.5*Set_Rs*Gain),K282)</f>
        <v>2</v>
      </c>
      <c r="M282" s="5" t="n">
        <f aca="false">(I$60-I282)*L282</f>
        <v>57.719999999999</v>
      </c>
      <c r="N282" s="5"/>
      <c r="O282" s="5"/>
      <c r="P282" s="5"/>
      <c r="Q282" s="5"/>
    </row>
    <row r="283" customFormat="false" ht="12.75" hidden="false" customHeight="false" outlineLevel="0" collapsed="false">
      <c r="A283" s="5"/>
      <c r="B283" s="5"/>
      <c r="C283" s="5"/>
      <c r="D283" s="5"/>
      <c r="E283" s="5"/>
      <c r="F283" s="5"/>
      <c r="G283" s="5"/>
      <c r="H283" s="5" t="n">
        <v>0.0850000000000199</v>
      </c>
      <c r="I283" s="5" t="n">
        <f aca="false">H283*VOFLB</f>
        <v>2.21000000000052</v>
      </c>
      <c r="J283" s="5" t="n">
        <f aca="false">I283*ActR9_sw/(ActR7_sw+ActR9_sw+Set_R8*1000)</f>
        <v>0.085136844526239</v>
      </c>
      <c r="K283" s="91" t="n">
        <f aca="false">IF(J283/(0.5*Set_Rs*Gain) &gt;B$25,B$25,J283/(0.5*Set_Rs*Gain))</f>
        <v>0.85136844526239</v>
      </c>
      <c r="L283" s="91" t="n">
        <f aca="false">IF(J283&lt;0.2,0.2/(0.5*Set_Rs*Gain),K283)</f>
        <v>2</v>
      </c>
      <c r="M283" s="5" t="n">
        <f aca="false">(I$60-I283)*L283</f>
        <v>57.979999999999</v>
      </c>
      <c r="N283" s="5"/>
      <c r="O283" s="5"/>
      <c r="P283" s="5"/>
      <c r="Q283" s="5"/>
    </row>
    <row r="284" customFormat="false" ht="12.75" hidden="false" customHeight="false" outlineLevel="0" collapsed="false">
      <c r="A284" s="5"/>
      <c r="B284" s="5"/>
      <c r="C284" s="5"/>
      <c r="D284" s="5"/>
      <c r="E284" s="5"/>
      <c r="F284" s="5"/>
      <c r="G284" s="5"/>
      <c r="H284" s="5" t="n">
        <v>0.0800000000000201</v>
      </c>
      <c r="I284" s="5" t="n">
        <f aca="false">H284*VOFLB</f>
        <v>2.08000000000052</v>
      </c>
      <c r="J284" s="5" t="n">
        <f aca="false">I284*ActR9_sw/(ActR7_sw+ActR9_sw+Set_R8*1000)</f>
        <v>0.0801287948482261</v>
      </c>
      <c r="K284" s="91" t="n">
        <f aca="false">IF(J284/(0.5*Set_Rs*Gain) &gt;B$25,B$25,J284/(0.5*Set_Rs*Gain))</f>
        <v>0.801287948482261</v>
      </c>
      <c r="L284" s="91" t="n">
        <f aca="false">IF(J284&lt;0.2,0.2/(0.5*Set_Rs*Gain),K284)</f>
        <v>2</v>
      </c>
      <c r="M284" s="5" t="n">
        <f aca="false">(I$60-I284)*L284</f>
        <v>58.239999999999</v>
      </c>
      <c r="N284" s="5"/>
      <c r="O284" s="5"/>
      <c r="P284" s="5"/>
      <c r="Q284" s="5"/>
    </row>
    <row r="285" customFormat="false" ht="12.75" hidden="false" customHeight="false" outlineLevel="0" collapsed="false">
      <c r="A285" s="5"/>
      <c r="B285" s="5"/>
      <c r="C285" s="5"/>
      <c r="D285" s="5"/>
      <c r="E285" s="5"/>
      <c r="F285" s="5"/>
      <c r="G285" s="5"/>
      <c r="H285" s="5" t="n">
        <v>0.0750000000000199</v>
      </c>
      <c r="I285" s="5" t="n">
        <f aca="false">H285*VOFLB</f>
        <v>1.95000000000052</v>
      </c>
      <c r="J285" s="5" t="n">
        <f aca="false">I285*ActR9_sw/(ActR7_sw+ActR9_sw+Set_R8*1000)</f>
        <v>0.0751207451702132</v>
      </c>
      <c r="K285" s="91" t="n">
        <f aca="false">IF(J285/(0.5*Set_Rs*Gain) &gt;B$25,B$25,J285/(0.5*Set_Rs*Gain))</f>
        <v>0.751207451702132</v>
      </c>
      <c r="L285" s="91" t="n">
        <f aca="false">IF(J285&lt;0.2,0.2/(0.5*Set_Rs*Gain),K285)</f>
        <v>2</v>
      </c>
      <c r="M285" s="5" t="n">
        <f aca="false">(I$60-I285)*L285</f>
        <v>58.499999999999</v>
      </c>
      <c r="N285" s="5"/>
      <c r="O285" s="5"/>
      <c r="P285" s="5"/>
      <c r="Q285" s="5"/>
    </row>
    <row r="286" customFormat="false" ht="12.75" hidden="false" customHeight="false" outlineLevel="0" collapsed="false">
      <c r="A286" s="5"/>
      <c r="B286" s="5"/>
      <c r="C286" s="5"/>
      <c r="D286" s="5"/>
      <c r="E286" s="5"/>
      <c r="F286" s="5"/>
      <c r="G286" s="5"/>
      <c r="H286" s="5" t="n">
        <v>0.07000000000002</v>
      </c>
      <c r="I286" s="5" t="n">
        <f aca="false">H286*VOFLB</f>
        <v>1.82000000000052</v>
      </c>
      <c r="J286" s="5" t="n">
        <f aca="false">I286*ActR9_sw/(ActR7_sw+ActR9_sw+Set_R8*1000)</f>
        <v>0.0701126954922004</v>
      </c>
      <c r="K286" s="91" t="n">
        <f aca="false">IF(J286/(0.5*Set_Rs*Gain) &gt;B$25,B$25,J286/(0.5*Set_Rs*Gain))</f>
        <v>0.701126954922004</v>
      </c>
      <c r="L286" s="91" t="n">
        <f aca="false">IF(J286&lt;0.2,0.2/(0.5*Set_Rs*Gain),K286)</f>
        <v>2</v>
      </c>
      <c r="M286" s="5" t="n">
        <f aca="false">(I$60-I286)*L286</f>
        <v>58.759999999999</v>
      </c>
      <c r="N286" s="5"/>
      <c r="O286" s="5"/>
      <c r="P286" s="5"/>
      <c r="Q286" s="5"/>
    </row>
    <row r="287" customFormat="false" ht="12.75" hidden="false" customHeight="false" outlineLevel="0" collapsed="false">
      <c r="A287" s="5"/>
      <c r="B287" s="5"/>
      <c r="C287" s="5"/>
      <c r="D287" s="5"/>
      <c r="E287" s="5"/>
      <c r="F287" s="5"/>
      <c r="G287" s="5"/>
      <c r="H287" s="5" t="n">
        <v>0.0650000000000199</v>
      </c>
      <c r="I287" s="5" t="n">
        <f aca="false">H287*VOFLB</f>
        <v>1.69000000000052</v>
      </c>
      <c r="J287" s="5" t="n">
        <f aca="false">I287*ActR9_sw/(ActR7_sw+ActR9_sw+Set_R8*1000)</f>
        <v>0.0651046458141875</v>
      </c>
      <c r="K287" s="91" t="n">
        <f aca="false">IF(J287/(0.5*Set_Rs*Gain) &gt;B$25,B$25,J287/(0.5*Set_Rs*Gain))</f>
        <v>0.651046458141875</v>
      </c>
      <c r="L287" s="91" t="n">
        <f aca="false">IF(J287&lt;0.2,0.2/(0.5*Set_Rs*Gain),K287)</f>
        <v>2</v>
      </c>
      <c r="M287" s="5" t="n">
        <f aca="false">(I$60-I287)*L287</f>
        <v>59.019999999999</v>
      </c>
      <c r="N287" s="5"/>
      <c r="O287" s="5"/>
      <c r="P287" s="5"/>
      <c r="Q287" s="5"/>
    </row>
    <row r="288" customFormat="false" ht="12.75" hidden="false" customHeight="false" outlineLevel="0" collapsed="false">
      <c r="A288" s="5"/>
      <c r="B288" s="5"/>
      <c r="C288" s="5"/>
      <c r="D288" s="5"/>
      <c r="E288" s="5"/>
      <c r="F288" s="5"/>
      <c r="G288" s="5"/>
      <c r="H288" s="5" t="n">
        <v>0.06000000000002</v>
      </c>
      <c r="I288" s="5" t="n">
        <f aca="false">H288*VOFLB</f>
        <v>1.56000000000052</v>
      </c>
      <c r="J288" s="5" t="n">
        <f aca="false">I288*ActR9_sw/(ActR7_sw+ActR9_sw+Set_R8*1000)</f>
        <v>0.0600965961361746</v>
      </c>
      <c r="K288" s="91" t="n">
        <f aca="false">IF(J288/(0.5*Set_Rs*Gain) &gt;B$25,B$25,J288/(0.5*Set_Rs*Gain))</f>
        <v>0.600965961361746</v>
      </c>
      <c r="L288" s="91" t="n">
        <f aca="false">IF(J288&lt;0.2,0.2/(0.5*Set_Rs*Gain),K288)</f>
        <v>2</v>
      </c>
      <c r="M288" s="5" t="n">
        <f aca="false">(I$60-I288)*L288</f>
        <v>59.279999999999</v>
      </c>
      <c r="N288" s="5"/>
      <c r="O288" s="5"/>
      <c r="P288" s="5"/>
      <c r="Q288" s="5"/>
    </row>
    <row r="289" customFormat="false" ht="12.75" hidden="false" customHeight="false" outlineLevel="0" collapsed="false">
      <c r="A289" s="5"/>
      <c r="B289" s="5"/>
      <c r="C289" s="5"/>
      <c r="D289" s="5"/>
      <c r="E289" s="5"/>
      <c r="F289" s="5"/>
      <c r="G289" s="5"/>
      <c r="H289" s="5" t="n">
        <v>0.0550000000000199</v>
      </c>
      <c r="I289" s="5" t="n">
        <f aca="false">H289*VOFLB</f>
        <v>1.43000000000052</v>
      </c>
      <c r="J289" s="5" t="n">
        <f aca="false">I289*ActR9_sw/(ActR7_sw+ActR9_sw+Set_R8*1000)</f>
        <v>0.0550885464581617</v>
      </c>
      <c r="K289" s="91" t="n">
        <f aca="false">IF(J289/(0.5*Set_Rs*Gain) &gt;B$25,B$25,J289/(0.5*Set_Rs*Gain))</f>
        <v>0.550885464581617</v>
      </c>
      <c r="L289" s="91" t="n">
        <f aca="false">IF(J289&lt;0.2,0.2/(0.5*Set_Rs*Gain),K289)</f>
        <v>2</v>
      </c>
      <c r="M289" s="5" t="n">
        <f aca="false">(I$60-I289)*L289</f>
        <v>59.539999999999</v>
      </c>
      <c r="N289" s="5"/>
      <c r="O289" s="5"/>
      <c r="P289" s="5"/>
      <c r="Q289" s="5"/>
    </row>
    <row r="290" customFormat="false" ht="12.75" hidden="false" customHeight="false" outlineLevel="0" collapsed="false">
      <c r="A290" s="5"/>
      <c r="B290" s="5"/>
      <c r="C290" s="5"/>
      <c r="D290" s="5"/>
      <c r="E290" s="5"/>
      <c r="F290" s="5"/>
      <c r="G290" s="5"/>
      <c r="H290" s="5" t="n">
        <v>0.05000000000002</v>
      </c>
      <c r="I290" s="5" t="n">
        <f aca="false">H290*VOFLB</f>
        <v>1.30000000000052</v>
      </c>
      <c r="J290" s="5" t="n">
        <f aca="false">I290*ActR9_sw/(ActR7_sw+ActR9_sw+Set_R8*1000)</f>
        <v>0.0500804967801488</v>
      </c>
      <c r="K290" s="91" t="n">
        <f aca="false">IF(J290/(0.5*Set_Rs*Gain) &gt;B$25,B$25,J290/(0.5*Set_Rs*Gain))</f>
        <v>0.500804967801488</v>
      </c>
      <c r="L290" s="91" t="n">
        <f aca="false">IF(J290&lt;0.2,0.2/(0.5*Set_Rs*Gain),K290)</f>
        <v>2</v>
      </c>
      <c r="M290" s="5" t="n">
        <f aca="false">(I$60-I290)*L290</f>
        <v>59.799999999999</v>
      </c>
      <c r="N290" s="5"/>
      <c r="O290" s="5"/>
      <c r="P290" s="5"/>
      <c r="Q290" s="5"/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6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F22" activeCellId="0" sqref="F22"/>
    </sheetView>
  </sheetViews>
  <sheetFormatPr defaultColWidth="8.6796875" defaultRowHeight="12.8" customHeight="true" zeroHeight="false" outlineLevelRow="0" outlineLevelCol="0"/>
  <cols>
    <col collapsed="false" customWidth="true" hidden="false" outlineLevel="0" max="1" min="1" style="1" width="30.29"/>
    <col collapsed="false" customWidth="true" hidden="false" outlineLevel="0" max="6" min="6" style="1" width="56.15"/>
  </cols>
  <sheetData>
    <row r="1" customFormat="false" ht="12.75" hidden="false" customHeight="false" outlineLevel="0" collapsed="false">
      <c r="A1" s="100"/>
      <c r="B1" s="100"/>
      <c r="C1" s="100"/>
      <c r="D1" s="100"/>
      <c r="E1" s="100"/>
      <c r="F1" s="5"/>
    </row>
    <row r="2" customFormat="false" ht="12.75" hidden="false" customHeight="false" outlineLevel="0" collapsed="false">
      <c r="A2" s="101" t="s">
        <v>140</v>
      </c>
      <c r="B2" s="101" t="s">
        <v>141</v>
      </c>
      <c r="C2" s="101" t="s">
        <v>142</v>
      </c>
      <c r="D2" s="101" t="s">
        <v>143</v>
      </c>
      <c r="E2" s="101" t="s">
        <v>144</v>
      </c>
      <c r="F2" s="5"/>
    </row>
    <row r="3" customFormat="false" ht="12.75" hidden="false" customHeight="false" outlineLevel="0" collapsed="false">
      <c r="A3" s="100" t="s">
        <v>145</v>
      </c>
      <c r="B3" s="100" t="n">
        <v>0.99</v>
      </c>
      <c r="C3" s="100" t="n">
        <v>1</v>
      </c>
      <c r="D3" s="100" t="n">
        <v>1.01</v>
      </c>
      <c r="E3" s="100" t="s">
        <v>146</v>
      </c>
      <c r="F3" s="5"/>
    </row>
    <row r="4" customFormat="false" ht="12.75" hidden="false" customHeight="false" outlineLevel="0" collapsed="false">
      <c r="A4" s="100" t="s">
        <v>147</v>
      </c>
      <c r="B4" s="100" t="n">
        <v>0.05</v>
      </c>
      <c r="C4" s="100" t="n">
        <v>0.06</v>
      </c>
      <c r="D4" s="100" t="n">
        <v>0.07</v>
      </c>
      <c r="E4" s="100" t="s">
        <v>146</v>
      </c>
      <c r="F4" s="5"/>
    </row>
    <row r="5" customFormat="false" ht="12.75" hidden="false" customHeight="false" outlineLevel="0" collapsed="false">
      <c r="A5" s="100"/>
      <c r="B5" s="100"/>
      <c r="C5" s="100"/>
      <c r="D5" s="100"/>
      <c r="E5" s="100"/>
      <c r="F5" s="5"/>
    </row>
    <row r="6" customFormat="false" ht="12.75" hidden="false" customHeight="false" outlineLevel="0" collapsed="false">
      <c r="A6" s="101" t="s">
        <v>148</v>
      </c>
      <c r="B6" s="100" t="n">
        <v>0.99</v>
      </c>
      <c r="C6" s="100" t="n">
        <v>1</v>
      </c>
      <c r="D6" s="100" t="n">
        <v>1.01</v>
      </c>
      <c r="E6" s="100" t="s">
        <v>146</v>
      </c>
      <c r="F6" s="5"/>
    </row>
    <row r="7" customFormat="false" ht="12.75" hidden="false" customHeight="false" outlineLevel="0" collapsed="false">
      <c r="A7" s="100" t="s">
        <v>149</v>
      </c>
      <c r="B7" s="100" t="n">
        <v>0.02</v>
      </c>
      <c r="C7" s="100" t="n">
        <v>0.03</v>
      </c>
      <c r="D7" s="100" t="n">
        <v>0.04</v>
      </c>
      <c r="E7" s="100" t="s">
        <v>146</v>
      </c>
      <c r="F7" s="5"/>
    </row>
    <row r="8" customFormat="false" ht="12.75" hidden="false" customHeight="false" outlineLevel="0" collapsed="false">
      <c r="A8" s="100" t="s">
        <v>150</v>
      </c>
      <c r="B8" s="100"/>
      <c r="C8" s="100"/>
      <c r="D8" s="100"/>
      <c r="E8" s="100"/>
      <c r="F8" s="5"/>
    </row>
    <row r="9" customFormat="false" ht="12.75" hidden="false" customHeight="false" outlineLevel="0" collapsed="false">
      <c r="A9" s="100"/>
      <c r="B9" s="100"/>
      <c r="C9" s="100"/>
      <c r="D9" s="100"/>
      <c r="E9" s="100"/>
      <c r="F9" s="5"/>
    </row>
    <row r="10" customFormat="false" ht="12.75" hidden="false" customHeight="false" outlineLevel="0" collapsed="false">
      <c r="A10" s="101" t="s">
        <v>151</v>
      </c>
      <c r="B10" s="100"/>
      <c r="C10" s="100"/>
      <c r="D10" s="100"/>
      <c r="E10" s="100"/>
      <c r="F10" s="5"/>
    </row>
    <row r="11" customFormat="false" ht="12.75" hidden="false" customHeight="false" outlineLevel="0" collapsed="false">
      <c r="A11" s="100" t="s">
        <v>152</v>
      </c>
      <c r="B11" s="100"/>
      <c r="C11" s="100" t="n">
        <v>40</v>
      </c>
      <c r="D11" s="100" t="n">
        <v>80</v>
      </c>
      <c r="E11" s="100" t="s">
        <v>153</v>
      </c>
      <c r="F11" s="5"/>
    </row>
    <row r="12" customFormat="false" ht="12.75" hidden="false" customHeight="false" outlineLevel="0" collapsed="false">
      <c r="A12" s="100"/>
      <c r="B12" s="100"/>
      <c r="C12" s="100"/>
      <c r="D12" s="100"/>
      <c r="E12" s="100"/>
      <c r="F12" s="5"/>
    </row>
    <row r="13" customFormat="false" ht="12.75" hidden="false" customHeight="false" outlineLevel="0" collapsed="false">
      <c r="A13" s="101" t="s">
        <v>154</v>
      </c>
      <c r="B13" s="100"/>
      <c r="C13" s="100"/>
      <c r="D13" s="100"/>
      <c r="E13" s="100"/>
      <c r="F13" s="5"/>
    </row>
    <row r="14" customFormat="false" ht="12.75" hidden="false" customHeight="false" outlineLevel="0" collapsed="false">
      <c r="A14" s="100" t="s">
        <v>155</v>
      </c>
      <c r="B14" s="100" t="n">
        <v>3.546</v>
      </c>
      <c r="C14" s="100" t="n">
        <v>3.6</v>
      </c>
      <c r="D14" s="100" t="n">
        <v>3.654</v>
      </c>
      <c r="E14" s="100" t="s">
        <v>146</v>
      </c>
      <c r="F14" s="5"/>
    </row>
    <row r="15" customFormat="false" ht="12.75" hidden="false" customHeight="false" outlineLevel="0" collapsed="false">
      <c r="A15" s="100" t="s">
        <v>156</v>
      </c>
      <c r="B15" s="100"/>
      <c r="C15" s="100"/>
      <c r="D15" s="100" t="n">
        <v>3.4</v>
      </c>
      <c r="E15" s="100" t="s">
        <v>146</v>
      </c>
      <c r="F15" s="5"/>
    </row>
    <row r="16" customFormat="false" ht="12.75" hidden="false" customHeight="false" outlineLevel="0" collapsed="false">
      <c r="A16" s="100" t="s">
        <v>157</v>
      </c>
      <c r="B16" s="100" t="n">
        <v>3</v>
      </c>
      <c r="C16" s="100"/>
      <c r="D16" s="100"/>
      <c r="E16" s="100" t="s">
        <v>146</v>
      </c>
      <c r="F16" s="5"/>
    </row>
    <row r="17" customFormat="false" ht="12.75" hidden="false" customHeight="false" outlineLevel="0" collapsed="false">
      <c r="A17" s="100" t="s">
        <v>158</v>
      </c>
      <c r="B17" s="100"/>
      <c r="C17" s="100" t="n">
        <v>0.21</v>
      </c>
      <c r="D17" s="100"/>
      <c r="E17" s="100" t="s">
        <v>146</v>
      </c>
      <c r="F17" s="5"/>
    </row>
    <row r="18" customFormat="false" ht="12.75" hidden="false" customHeight="false" outlineLevel="0" collapsed="false">
      <c r="A18" s="100"/>
      <c r="B18" s="100"/>
      <c r="C18" s="100"/>
      <c r="D18" s="100"/>
      <c r="E18" s="100"/>
      <c r="F18" s="5"/>
    </row>
    <row r="19" customFormat="false" ht="12.75" hidden="false" customHeight="false" outlineLevel="0" collapsed="false">
      <c r="A19" s="101" t="s">
        <v>159</v>
      </c>
      <c r="B19" s="100"/>
      <c r="C19" s="100"/>
      <c r="D19" s="100"/>
      <c r="E19" s="100"/>
      <c r="F19" s="5"/>
    </row>
    <row r="20" customFormat="false" ht="12.75" hidden="false" customHeight="false" outlineLevel="0" collapsed="false">
      <c r="A20" s="100" t="s">
        <v>160</v>
      </c>
      <c r="B20" s="100" t="n">
        <v>2.55</v>
      </c>
      <c r="C20" s="100" t="n">
        <v>2.6</v>
      </c>
      <c r="D20" s="100" t="n">
        <v>2.65</v>
      </c>
      <c r="E20" s="100" t="s">
        <v>146</v>
      </c>
      <c r="F20" s="5"/>
    </row>
    <row r="21" customFormat="false" ht="12.75" hidden="false" customHeight="false" outlineLevel="0" collapsed="false">
      <c r="A21" s="100" t="s">
        <v>161</v>
      </c>
      <c r="B21" s="100"/>
      <c r="C21" s="100" t="n">
        <v>2</v>
      </c>
      <c r="D21" s="100"/>
      <c r="E21" s="100" t="s">
        <v>146</v>
      </c>
      <c r="F21" s="5"/>
    </row>
    <row r="22" customFormat="false" ht="12.75" hidden="false" customHeight="false" outlineLevel="0" collapsed="false">
      <c r="A22" s="100" t="s">
        <v>162</v>
      </c>
      <c r="B22" s="100"/>
      <c r="C22" s="100" t="n">
        <v>40</v>
      </c>
      <c r="D22" s="100"/>
      <c r="E22" s="100" t="s">
        <v>163</v>
      </c>
      <c r="F22" s="5"/>
    </row>
    <row r="23" customFormat="false" ht="12.75" hidden="false" customHeight="false" outlineLevel="0" collapsed="false">
      <c r="A23" s="100"/>
      <c r="B23" s="100"/>
      <c r="C23" s="100"/>
      <c r="D23" s="100"/>
      <c r="E23" s="100"/>
      <c r="F23" s="5"/>
    </row>
    <row r="24" customFormat="false" ht="12.75" hidden="false" customHeight="false" outlineLevel="0" collapsed="false">
      <c r="A24" s="101" t="s">
        <v>164</v>
      </c>
      <c r="B24" s="100"/>
      <c r="C24" s="100"/>
      <c r="D24" s="100"/>
      <c r="E24" s="100"/>
      <c r="F24" s="5"/>
    </row>
    <row r="25" customFormat="false" ht="12.75" hidden="false" customHeight="false" outlineLevel="0" collapsed="false">
      <c r="A25" s="100" t="s">
        <v>165</v>
      </c>
      <c r="B25" s="100" t="n">
        <v>10</v>
      </c>
      <c r="C25" s="100" t="n">
        <v>12</v>
      </c>
      <c r="D25" s="100" t="n">
        <v>14</v>
      </c>
      <c r="E25" s="100" t="s">
        <v>146</v>
      </c>
      <c r="F25" s="5"/>
    </row>
    <row r="26" customFormat="false" ht="12.75" hidden="false" customHeight="false" outlineLevel="0" collapsed="false">
      <c r="A26" s="100" t="s">
        <v>166</v>
      </c>
      <c r="B26" s="100" t="n">
        <v>7</v>
      </c>
      <c r="C26" s="100" t="n">
        <v>10</v>
      </c>
      <c r="D26" s="100" t="n">
        <v>13</v>
      </c>
      <c r="E26" s="100" t="s">
        <v>153</v>
      </c>
      <c r="F26" s="5"/>
    </row>
    <row r="27" customFormat="false" ht="12.75" hidden="false" customHeight="false" outlineLevel="0" collapsed="false">
      <c r="A27" s="100"/>
      <c r="B27" s="100"/>
      <c r="C27" s="100"/>
      <c r="D27" s="100"/>
      <c r="E27" s="100"/>
      <c r="F27" s="5"/>
    </row>
    <row r="28" customFormat="false" ht="12.75" hidden="false" customHeight="false" outlineLevel="0" collapsed="false">
      <c r="A28" s="101" t="s">
        <v>167</v>
      </c>
      <c r="B28" s="100"/>
      <c r="C28" s="100"/>
      <c r="D28" s="100"/>
      <c r="E28" s="100"/>
      <c r="F28" s="5"/>
    </row>
    <row r="29" customFormat="false" ht="12.75" hidden="false" customHeight="false" outlineLevel="0" collapsed="false">
      <c r="A29" s="102" t="s">
        <v>168</v>
      </c>
      <c r="B29" s="100" t="n">
        <v>10</v>
      </c>
      <c r="C29" s="100" t="n">
        <v>12</v>
      </c>
      <c r="D29" s="100" t="n">
        <v>14</v>
      </c>
      <c r="E29" s="100" t="s">
        <v>146</v>
      </c>
      <c r="F29" s="5"/>
    </row>
    <row r="30" customFormat="false" ht="12.75" hidden="false" customHeight="false" outlineLevel="0" collapsed="false">
      <c r="A30" s="100" t="s">
        <v>169</v>
      </c>
      <c r="B30" s="100" t="n">
        <v>20</v>
      </c>
      <c r="C30" s="100" t="n">
        <v>25</v>
      </c>
      <c r="D30" s="100" t="n">
        <v>30</v>
      </c>
      <c r="E30" s="100" t="s">
        <v>153</v>
      </c>
      <c r="F30" s="5"/>
    </row>
    <row r="31" customFormat="false" ht="12.75" hidden="false" customHeight="false" outlineLevel="0" collapsed="false">
      <c r="A31" s="100" t="s">
        <v>170</v>
      </c>
      <c r="B31" s="100"/>
      <c r="C31" s="100"/>
      <c r="D31" s="100"/>
      <c r="E31" s="100"/>
      <c r="F31" s="5"/>
    </row>
    <row r="32" customFormat="false" ht="12.75" hidden="false" customHeight="false" outlineLevel="0" collapsed="false">
      <c r="A32" s="100" t="s">
        <v>171</v>
      </c>
      <c r="B32" s="100" t="n">
        <v>-45</v>
      </c>
      <c r="C32" s="100" t="n">
        <v>-60</v>
      </c>
      <c r="D32" s="100" t="n">
        <v>-75</v>
      </c>
      <c r="E32" s="100" t="s">
        <v>153</v>
      </c>
      <c r="F32" s="5"/>
    </row>
    <row r="33" customFormat="false" ht="12.75" hidden="false" customHeight="false" outlineLevel="0" collapsed="false">
      <c r="A33" s="100" t="s">
        <v>172</v>
      </c>
      <c r="B33" s="100" t="n">
        <v>-7</v>
      </c>
      <c r="C33" s="100" t="n">
        <v>-13</v>
      </c>
      <c r="D33" s="100" t="n">
        <v>-20</v>
      </c>
      <c r="E33" s="100" t="s">
        <v>173</v>
      </c>
      <c r="F33" s="5"/>
    </row>
    <row r="34" customFormat="false" ht="12.75" hidden="false" customHeight="false" outlineLevel="0" collapsed="false">
      <c r="A34" s="100"/>
      <c r="B34" s="100"/>
      <c r="C34" s="100"/>
      <c r="D34" s="100"/>
      <c r="E34" s="100"/>
      <c r="F34" s="5"/>
    </row>
    <row r="35" customFormat="false" ht="12.75" hidden="false" customHeight="false" outlineLevel="0" collapsed="false">
      <c r="A35" s="101" t="s">
        <v>174</v>
      </c>
      <c r="B35" s="100"/>
      <c r="C35" s="100"/>
      <c r="D35" s="100"/>
      <c r="E35" s="100"/>
      <c r="F35" s="5"/>
    </row>
    <row r="36" customFormat="false" ht="12.75" hidden="false" customHeight="false" outlineLevel="0" collapsed="false">
      <c r="A36" s="100" t="s">
        <v>175</v>
      </c>
      <c r="B36" s="100" t="n">
        <v>0.0475</v>
      </c>
      <c r="C36" s="100" t="n">
        <v>0.05</v>
      </c>
      <c r="D36" s="100" t="n">
        <v>0.0525</v>
      </c>
      <c r="E36" s="100" t="s">
        <v>146</v>
      </c>
      <c r="F36" s="5"/>
    </row>
    <row r="37" customFormat="false" ht="12.75" hidden="false" customHeight="false" outlineLevel="0" collapsed="false">
      <c r="A37" s="100" t="s">
        <v>176</v>
      </c>
      <c r="B37" s="100"/>
      <c r="C37" s="100" t="n">
        <v>0.0625</v>
      </c>
      <c r="D37" s="100"/>
      <c r="E37" s="100" t="s">
        <v>146</v>
      </c>
      <c r="F37" s="5" t="s">
        <v>177</v>
      </c>
    </row>
    <row r="38" customFormat="false" ht="12.75" hidden="false" customHeight="false" outlineLevel="0" collapsed="false">
      <c r="A38" s="100"/>
      <c r="B38" s="100"/>
      <c r="C38" s="100" t="n">
        <v>0.05</v>
      </c>
      <c r="D38" s="100"/>
      <c r="E38" s="100" t="s">
        <v>146</v>
      </c>
      <c r="F38" s="5" t="s">
        <v>178</v>
      </c>
    </row>
    <row r="39" customFormat="false" ht="12.75" hidden="false" customHeight="false" outlineLevel="0" collapsed="false">
      <c r="A39" s="100"/>
      <c r="B39" s="100"/>
      <c r="C39" s="100" t="n">
        <v>0.025</v>
      </c>
      <c r="D39" s="100"/>
      <c r="E39" s="100" t="s">
        <v>146</v>
      </c>
      <c r="F39" s="5" t="s">
        <v>179</v>
      </c>
    </row>
    <row r="40" customFormat="false" ht="12.75" hidden="false" customHeight="false" outlineLevel="0" collapsed="false">
      <c r="A40" s="100"/>
      <c r="B40" s="100" t="n">
        <v>0.01</v>
      </c>
      <c r="C40" s="100" t="n">
        <v>0.0125</v>
      </c>
      <c r="D40" s="100" t="n">
        <v>0.015</v>
      </c>
      <c r="E40" s="100" t="s">
        <v>146</v>
      </c>
      <c r="F40" s="5" t="s">
        <v>180</v>
      </c>
    </row>
    <row r="41" customFormat="false" ht="12.75" hidden="false" customHeight="false" outlineLevel="0" collapsed="false">
      <c r="A41" s="100" t="s">
        <v>181</v>
      </c>
      <c r="B41" s="100" t="n">
        <v>0.0075</v>
      </c>
      <c r="C41" s="100" t="n">
        <v>0.01</v>
      </c>
      <c r="D41" s="100" t="n">
        <v>0.01255</v>
      </c>
      <c r="E41" s="100" t="s">
        <v>146</v>
      </c>
      <c r="F41" s="5" t="s">
        <v>182</v>
      </c>
    </row>
    <row r="42" customFormat="false" ht="12.75" hidden="false" customHeight="false" outlineLevel="0" collapsed="false">
      <c r="A42" s="100"/>
      <c r="B42" s="100" t="n">
        <v>0.0225</v>
      </c>
      <c r="C42" s="100" t="n">
        <v>0.025</v>
      </c>
      <c r="D42" s="100" t="n">
        <v>0.0275</v>
      </c>
      <c r="E42" s="100" t="s">
        <v>146</v>
      </c>
      <c r="F42" s="5" t="s">
        <v>183</v>
      </c>
    </row>
    <row r="43" customFormat="false" ht="12.75" hidden="false" customHeight="false" outlineLevel="0" collapsed="false">
      <c r="A43" s="100" t="s">
        <v>184</v>
      </c>
      <c r="B43" s="100" t="n">
        <v>0.0005</v>
      </c>
      <c r="C43" s="100" t="n">
        <v>0.001</v>
      </c>
      <c r="D43" s="100" t="n">
        <v>0.0015</v>
      </c>
      <c r="E43" s="100" t="s">
        <v>146</v>
      </c>
      <c r="F43" s="5"/>
    </row>
    <row r="44" customFormat="false" ht="12.75" hidden="false" customHeight="false" outlineLevel="0" collapsed="false">
      <c r="A44" s="100"/>
      <c r="B44" s="100"/>
      <c r="C44" s="100"/>
      <c r="D44" s="100"/>
      <c r="E44" s="100"/>
      <c r="F44" s="5"/>
    </row>
    <row r="45" customFormat="false" ht="12.75" hidden="false" customHeight="false" outlineLevel="0" collapsed="false">
      <c r="A45" s="101" t="s">
        <v>185</v>
      </c>
      <c r="B45" s="100"/>
      <c r="C45" s="100"/>
      <c r="D45" s="100"/>
      <c r="E45" s="100"/>
      <c r="F45" s="5"/>
    </row>
    <row r="46" customFormat="false" ht="12.75" hidden="false" customHeight="false" outlineLevel="0" collapsed="false">
      <c r="A46" s="100" t="s">
        <v>186</v>
      </c>
      <c r="B46" s="100" t="n">
        <v>0.09</v>
      </c>
      <c r="C46" s="100" t="n">
        <v>0.1</v>
      </c>
      <c r="D46" s="100" t="n">
        <v>0.11</v>
      </c>
      <c r="E46" s="100" t="s">
        <v>146</v>
      </c>
      <c r="F46" s="5" t="s">
        <v>187</v>
      </c>
    </row>
    <row r="47" customFormat="false" ht="12.75" hidden="false" customHeight="false" outlineLevel="0" collapsed="false">
      <c r="A47" s="100"/>
      <c r="B47" s="100" t="n">
        <v>0.02</v>
      </c>
      <c r="C47" s="100" t="n">
        <v>0.025</v>
      </c>
      <c r="D47" s="100" t="n">
        <v>0.03</v>
      </c>
      <c r="E47" s="100" t="s">
        <v>146</v>
      </c>
      <c r="F47" s="5" t="s">
        <v>188</v>
      </c>
    </row>
    <row r="48" customFormat="false" ht="12.75" hidden="false" customHeight="false" outlineLevel="0" collapsed="false">
      <c r="A48" s="100"/>
      <c r="B48" s="100"/>
      <c r="C48" s="100"/>
      <c r="D48" s="100"/>
      <c r="E48" s="100"/>
      <c r="F48" s="5"/>
    </row>
    <row r="49" customFormat="false" ht="12.75" hidden="false" customHeight="false" outlineLevel="0" collapsed="false">
      <c r="A49" s="101" t="s">
        <v>189</v>
      </c>
      <c r="B49" s="100"/>
      <c r="C49" s="100"/>
      <c r="D49" s="100"/>
      <c r="E49" s="100"/>
      <c r="F49" s="5"/>
    </row>
    <row r="50" customFormat="false" ht="12.75" hidden="false" customHeight="false" outlineLevel="0" collapsed="false">
      <c r="A50" s="100" t="s">
        <v>190</v>
      </c>
      <c r="B50" s="100" t="n">
        <v>-18</v>
      </c>
      <c r="C50" s="100" t="n">
        <v>-20</v>
      </c>
      <c r="D50" s="100" t="n">
        <v>-22</v>
      </c>
      <c r="E50" s="100" t="s">
        <v>153</v>
      </c>
      <c r="F50" s="5"/>
    </row>
    <row r="51" customFormat="false" ht="12.75" hidden="false" customHeight="false" outlineLevel="0" collapsed="false">
      <c r="A51" s="100" t="s">
        <v>191</v>
      </c>
      <c r="B51" s="100" t="n">
        <v>1.96</v>
      </c>
      <c r="C51" s="100" t="n">
        <v>2</v>
      </c>
      <c r="D51" s="100" t="n">
        <v>2.04</v>
      </c>
      <c r="E51" s="100" t="s">
        <v>146</v>
      </c>
      <c r="F51" s="5"/>
    </row>
    <row r="52" customFormat="false" ht="12.75" hidden="false" customHeight="false" outlineLevel="0" collapsed="false">
      <c r="A52" s="100" t="s">
        <v>192</v>
      </c>
      <c r="B52" s="100" t="n">
        <v>0.18</v>
      </c>
      <c r="C52" s="100" t="n">
        <v>0.2</v>
      </c>
      <c r="D52" s="100" t="n">
        <v>0.22</v>
      </c>
      <c r="E52" s="100" t="s">
        <v>146</v>
      </c>
      <c r="F52" s="5"/>
    </row>
    <row r="53" customFormat="false" ht="12.75" hidden="false" customHeight="false" outlineLevel="0" collapsed="false">
      <c r="A53" s="100"/>
      <c r="B53" s="100"/>
      <c r="C53" s="100"/>
      <c r="D53" s="100"/>
      <c r="E53" s="100"/>
      <c r="F53" s="5"/>
    </row>
    <row r="54" customFormat="false" ht="12.75" hidden="false" customHeight="false" outlineLevel="0" collapsed="false">
      <c r="A54" s="101" t="s">
        <v>193</v>
      </c>
      <c r="B54" s="100"/>
      <c r="C54" s="100"/>
      <c r="D54" s="100"/>
      <c r="E54" s="100"/>
      <c r="F54" s="5"/>
    </row>
    <row r="55" customFormat="false" ht="12.75" hidden="false" customHeight="false" outlineLevel="0" collapsed="false">
      <c r="A55" s="100" t="s">
        <v>194</v>
      </c>
      <c r="B55" s="100" t="n">
        <v>-18</v>
      </c>
      <c r="C55" s="100" t="n">
        <v>-20</v>
      </c>
      <c r="D55" s="100" t="n">
        <v>-22</v>
      </c>
      <c r="E55" s="100" t="s">
        <v>153</v>
      </c>
      <c r="F55" s="5"/>
    </row>
    <row r="56" customFormat="false" ht="12.75" hidden="false" customHeight="false" outlineLevel="0" collapsed="false">
      <c r="A56" s="100" t="s">
        <v>195</v>
      </c>
      <c r="B56" s="100" t="n">
        <v>-0.8</v>
      </c>
      <c r="C56" s="100" t="n">
        <v>-1</v>
      </c>
      <c r="D56" s="100" t="n">
        <v>-1.2</v>
      </c>
      <c r="E56" s="100" t="s">
        <v>153</v>
      </c>
      <c r="F56" s="5"/>
    </row>
    <row r="57" customFormat="false" ht="12.75" hidden="false" customHeight="false" outlineLevel="0" collapsed="false">
      <c r="A57" s="100" t="s">
        <v>196</v>
      </c>
      <c r="B57" s="100" t="n">
        <v>1.96</v>
      </c>
      <c r="C57" s="100" t="n">
        <v>2</v>
      </c>
      <c r="D57" s="100" t="n">
        <v>2.04</v>
      </c>
      <c r="E57" s="100" t="s">
        <v>146</v>
      </c>
      <c r="F57" s="5"/>
    </row>
    <row r="58" customFormat="false" ht="12.75" hidden="false" customHeight="false" outlineLevel="0" collapsed="false">
      <c r="A58" s="100"/>
      <c r="B58" s="100"/>
      <c r="C58" s="100"/>
      <c r="D58" s="100"/>
      <c r="E58" s="100"/>
      <c r="F58" s="5"/>
    </row>
    <row r="59" customFormat="false" ht="12.75" hidden="false" customHeight="false" outlineLevel="0" collapsed="false">
      <c r="A59" s="101" t="s">
        <v>197</v>
      </c>
      <c r="B59" s="100"/>
      <c r="C59" s="100"/>
      <c r="D59" s="100"/>
      <c r="E59" s="100"/>
      <c r="F59" s="5"/>
    </row>
    <row r="60" customFormat="false" ht="12.75" hidden="false" customHeight="false" outlineLevel="0" collapsed="false">
      <c r="A60" s="100" t="s">
        <v>198</v>
      </c>
      <c r="B60" s="100" t="n">
        <v>0.99</v>
      </c>
      <c r="C60" s="100" t="n">
        <v>1</v>
      </c>
      <c r="D60" s="100" t="n">
        <v>1.01</v>
      </c>
      <c r="E60" s="100" t="s">
        <v>146</v>
      </c>
      <c r="F60" s="5"/>
    </row>
    <row r="61" customFormat="false" ht="12.75" hidden="false" customHeight="false" outlineLevel="0" collapsed="false">
      <c r="A61" s="100" t="s">
        <v>199</v>
      </c>
      <c r="B61" s="100" t="n">
        <v>0.02</v>
      </c>
      <c r="C61" s="100" t="n">
        <v>0.03</v>
      </c>
      <c r="D61" s="100" t="n">
        <v>0.04</v>
      </c>
      <c r="E61" s="100" t="s">
        <v>146</v>
      </c>
      <c r="F61" s="5"/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62"/>
  <sheetViews>
    <sheetView showFormulas="false" showGridLines="true" showRowColHeaders="true" showZeros="true" rightToLeft="false" tabSelected="false" showOutlineSymbols="true" defaultGridColor="true" view="normal" topLeftCell="A46" colorId="64" zoomScale="85" zoomScaleNormal="85" zoomScalePageLayoutView="100" workbookViewId="0">
      <selection pane="topLeft" activeCell="F61" activeCellId="0" sqref="F61"/>
    </sheetView>
  </sheetViews>
  <sheetFormatPr defaultColWidth="8.6796875" defaultRowHeight="12.75" customHeight="true" zeroHeight="false" outlineLevelRow="0" outlineLevelCol="0"/>
  <cols>
    <col collapsed="false" customWidth="true" hidden="false" outlineLevel="0" max="1" min="1" style="103" width="18"/>
    <col collapsed="false" customWidth="true" hidden="false" outlineLevel="0" max="3" min="3" style="103" width="18"/>
    <col collapsed="false" customWidth="true" hidden="false" outlineLevel="0" max="5" min="5" style="103" width="18"/>
  </cols>
  <sheetData>
    <row r="1" customFormat="false" ht="12.75" hidden="false" customHeight="false" outlineLevel="0" collapsed="false">
      <c r="A1" s="104" t="s">
        <v>200</v>
      </c>
      <c r="B1" s="5" t="n">
        <f aca="false">'Datasheet Parameters'!B3</f>
        <v>0.99</v>
      </c>
      <c r="C1" s="104" t="s">
        <v>201</v>
      </c>
      <c r="D1" s="5" t="n">
        <f aca="false">'Datasheet Parameters'!C3</f>
        <v>1</v>
      </c>
      <c r="E1" s="104" t="s">
        <v>202</v>
      </c>
      <c r="F1" s="5" t="n">
        <f aca="false">'Datasheet Parameters'!D3</f>
        <v>1.01</v>
      </c>
    </row>
    <row r="2" customFormat="false" ht="12.75" hidden="false" customHeight="false" outlineLevel="0" collapsed="false">
      <c r="A2" s="104" t="s">
        <v>203</v>
      </c>
      <c r="B2" s="5" t="n">
        <f aca="false">'Datasheet Parameters'!B4</f>
        <v>0.05</v>
      </c>
      <c r="C2" s="104" t="s">
        <v>204</v>
      </c>
      <c r="D2" s="5" t="n">
        <f aca="false">'Datasheet Parameters'!C4</f>
        <v>0.06</v>
      </c>
      <c r="E2" s="104" t="s">
        <v>205</v>
      </c>
      <c r="F2" s="5" t="n">
        <f aca="false">'Datasheet Parameters'!D4</f>
        <v>0.07</v>
      </c>
    </row>
    <row r="3" customFormat="false" ht="12.75" hidden="false" customHeight="false" outlineLevel="0" collapsed="false">
      <c r="A3" s="104"/>
      <c r="B3" s="5"/>
      <c r="C3" s="104"/>
      <c r="D3" s="5"/>
      <c r="E3" s="104"/>
      <c r="F3" s="5"/>
    </row>
    <row r="4" customFormat="false" ht="12.75" hidden="false" customHeight="false" outlineLevel="0" collapsed="false">
      <c r="A4" s="104"/>
      <c r="B4" s="5"/>
      <c r="C4" s="104"/>
      <c r="D4" s="5"/>
      <c r="E4" s="104"/>
      <c r="F4" s="5"/>
    </row>
    <row r="5" customFormat="false" ht="12.75" hidden="false" customHeight="false" outlineLevel="0" collapsed="false">
      <c r="A5" s="104" t="s">
        <v>206</v>
      </c>
      <c r="B5" s="5" t="n">
        <f aca="false">'Datasheet Parameters'!B6</f>
        <v>0.99</v>
      </c>
      <c r="C5" s="104" t="s">
        <v>207</v>
      </c>
      <c r="D5" s="5" t="n">
        <f aca="false">'Datasheet Parameters'!C6</f>
        <v>1</v>
      </c>
      <c r="E5" s="104" t="s">
        <v>208</v>
      </c>
      <c r="F5" s="5" t="n">
        <f aca="false">'Datasheet Parameters'!D6</f>
        <v>1.01</v>
      </c>
    </row>
    <row r="6" customFormat="false" ht="12.75" hidden="false" customHeight="false" outlineLevel="0" collapsed="false">
      <c r="A6" s="104" t="s">
        <v>209</v>
      </c>
      <c r="B6" s="5" t="n">
        <f aca="false">'Datasheet Parameters'!B7</f>
        <v>0.02</v>
      </c>
      <c r="C6" s="104" t="s">
        <v>210</v>
      </c>
      <c r="D6" s="5" t="n">
        <f aca="false">'Datasheet Parameters'!C7</f>
        <v>0.03</v>
      </c>
      <c r="E6" s="104" t="s">
        <v>211</v>
      </c>
      <c r="F6" s="5" t="n">
        <f aca="false">'Datasheet Parameters'!D7</f>
        <v>0.04</v>
      </c>
    </row>
    <row r="7" customFormat="false" ht="12.75" hidden="false" customHeight="false" outlineLevel="0" collapsed="false">
      <c r="A7" s="104"/>
      <c r="B7" s="5"/>
      <c r="C7" s="104"/>
      <c r="D7" s="5"/>
      <c r="E7" s="104"/>
      <c r="F7" s="5"/>
    </row>
    <row r="8" customFormat="false" ht="12.75" hidden="false" customHeight="false" outlineLevel="0" collapsed="false">
      <c r="A8" s="104"/>
      <c r="B8" s="5"/>
      <c r="C8" s="104"/>
      <c r="D8" s="5"/>
      <c r="E8" s="104"/>
      <c r="F8" s="5"/>
    </row>
    <row r="9" customFormat="false" ht="12.75" hidden="false" customHeight="false" outlineLevel="0" collapsed="false">
      <c r="A9" s="104" t="s">
        <v>212</v>
      </c>
      <c r="B9" s="5" t="n">
        <f aca="false">'Datasheet Parameters'!B11</f>
        <v>0</v>
      </c>
      <c r="C9" s="104" t="s">
        <v>213</v>
      </c>
      <c r="D9" s="5" t="n">
        <f aca="false">'Datasheet Parameters'!C11</f>
        <v>40</v>
      </c>
      <c r="E9" s="104" t="s">
        <v>214</v>
      </c>
      <c r="F9" s="5" t="n">
        <f aca="false">'Datasheet Parameters'!D11</f>
        <v>80</v>
      </c>
    </row>
    <row r="10" customFormat="false" ht="12.75" hidden="false" customHeight="false" outlineLevel="0" collapsed="false">
      <c r="A10" s="104"/>
      <c r="B10" s="5"/>
      <c r="C10" s="104"/>
      <c r="D10" s="5"/>
      <c r="E10" s="104"/>
      <c r="F10" s="5"/>
    </row>
    <row r="11" customFormat="false" ht="12.75" hidden="false" customHeight="false" outlineLevel="0" collapsed="false">
      <c r="A11" s="104"/>
      <c r="B11" s="5"/>
      <c r="C11" s="104"/>
      <c r="D11" s="5"/>
      <c r="E11" s="104"/>
      <c r="F11" s="5"/>
    </row>
    <row r="12" customFormat="false" ht="12.75" hidden="false" customHeight="false" outlineLevel="0" collapsed="false">
      <c r="A12" s="104" t="s">
        <v>215</v>
      </c>
      <c r="B12" s="5" t="n">
        <f aca="false">'Datasheet Parameters'!B14</f>
        <v>3.546</v>
      </c>
      <c r="C12" s="104" t="s">
        <v>216</v>
      </c>
      <c r="D12" s="5" t="n">
        <f aca="false">'Datasheet Parameters'!C14</f>
        <v>3.6</v>
      </c>
      <c r="E12" s="104" t="s">
        <v>217</v>
      </c>
      <c r="F12" s="5" t="n">
        <f aca="false">'Datasheet Parameters'!D14</f>
        <v>3.654</v>
      </c>
    </row>
    <row r="13" customFormat="false" ht="12.75" hidden="false" customHeight="false" outlineLevel="0" collapsed="false">
      <c r="A13" s="104"/>
      <c r="B13" s="5"/>
      <c r="C13" s="104"/>
      <c r="D13" s="5"/>
      <c r="E13" s="104" t="s">
        <v>156</v>
      </c>
      <c r="F13" s="5" t="n">
        <f aca="false">'Datasheet Parameters'!D15</f>
        <v>3.4</v>
      </c>
    </row>
    <row r="14" customFormat="false" ht="12.75" hidden="false" customHeight="false" outlineLevel="0" collapsed="false">
      <c r="A14" s="104" t="s">
        <v>157</v>
      </c>
      <c r="B14" s="5" t="n">
        <f aca="false">'Datasheet Parameters'!B16</f>
        <v>3</v>
      </c>
      <c r="C14" s="104"/>
      <c r="D14" s="5"/>
      <c r="E14" s="104"/>
      <c r="F14" s="5"/>
    </row>
    <row r="15" customFormat="false" ht="12.75" hidden="false" customHeight="false" outlineLevel="0" collapsed="false">
      <c r="A15" s="104"/>
      <c r="B15" s="5"/>
      <c r="C15" s="104" t="s">
        <v>158</v>
      </c>
      <c r="D15" s="5" t="n">
        <f aca="false">'Datasheet Parameters'!C17</f>
        <v>0.21</v>
      </c>
      <c r="E15" s="104"/>
      <c r="F15" s="5"/>
    </row>
    <row r="16" customFormat="false" ht="12.75" hidden="false" customHeight="false" outlineLevel="0" collapsed="false">
      <c r="A16" s="104"/>
      <c r="B16" s="5"/>
      <c r="C16" s="104"/>
      <c r="D16" s="5"/>
      <c r="E16" s="104"/>
      <c r="F16" s="5"/>
    </row>
    <row r="17" customFormat="false" ht="12.75" hidden="false" customHeight="false" outlineLevel="0" collapsed="false">
      <c r="A17" s="104"/>
      <c r="B17" s="5"/>
      <c r="C17" s="104"/>
      <c r="D17" s="5"/>
      <c r="E17" s="104"/>
      <c r="F17" s="5"/>
    </row>
    <row r="18" customFormat="false" ht="12.75" hidden="false" customHeight="false" outlineLevel="0" collapsed="false">
      <c r="A18" s="104" t="s">
        <v>218</v>
      </c>
      <c r="B18" s="5" t="n">
        <f aca="false">'Datasheet Parameters'!B20</f>
        <v>2.55</v>
      </c>
      <c r="C18" s="104" t="s">
        <v>219</v>
      </c>
      <c r="D18" s="5" t="n">
        <f aca="false">'Datasheet Parameters'!C20</f>
        <v>2.6</v>
      </c>
      <c r="E18" s="104" t="s">
        <v>220</v>
      </c>
      <c r="F18" s="5" t="n">
        <f aca="false">'Datasheet Parameters'!D20</f>
        <v>2.65</v>
      </c>
    </row>
    <row r="19" customFormat="false" ht="12.75" hidden="false" customHeight="false" outlineLevel="0" collapsed="false">
      <c r="A19" s="104"/>
      <c r="B19" s="5"/>
      <c r="C19" s="104" t="s">
        <v>221</v>
      </c>
      <c r="D19" s="5" t="n">
        <f aca="false">'Datasheet Parameters'!C21</f>
        <v>2</v>
      </c>
      <c r="E19" s="104"/>
      <c r="F19" s="5"/>
    </row>
    <row r="20" customFormat="false" ht="12.75" hidden="false" customHeight="false" outlineLevel="0" collapsed="false">
      <c r="A20" s="104" t="s">
        <v>222</v>
      </c>
      <c r="B20" s="5"/>
      <c r="C20" s="104" t="s">
        <v>223</v>
      </c>
      <c r="D20" s="5" t="n">
        <f aca="false">'Datasheet Parameters'!C22</f>
        <v>40</v>
      </c>
      <c r="E20" s="104" t="s">
        <v>224</v>
      </c>
      <c r="F20" s="5"/>
    </row>
    <row r="21" customFormat="false" ht="12.75" hidden="false" customHeight="false" outlineLevel="0" collapsed="false">
      <c r="A21" s="104"/>
      <c r="B21" s="5"/>
      <c r="C21" s="104"/>
      <c r="D21" s="5"/>
      <c r="E21" s="104"/>
      <c r="F21" s="5"/>
    </row>
    <row r="22" customFormat="false" ht="12.75" hidden="false" customHeight="false" outlineLevel="0" collapsed="false">
      <c r="A22" s="104"/>
      <c r="B22" s="5"/>
      <c r="C22" s="104"/>
      <c r="D22" s="5"/>
      <c r="E22" s="104"/>
      <c r="F22" s="5"/>
    </row>
    <row r="23" customFormat="false" ht="12.75" hidden="false" customHeight="false" outlineLevel="0" collapsed="false">
      <c r="A23" s="104" t="s">
        <v>225</v>
      </c>
      <c r="B23" s="5" t="n">
        <f aca="false">'Datasheet Parameters'!B25</f>
        <v>10</v>
      </c>
      <c r="C23" s="104" t="s">
        <v>165</v>
      </c>
      <c r="D23" s="5" t="n">
        <f aca="false">'Datasheet Parameters'!C25</f>
        <v>12</v>
      </c>
      <c r="E23" s="104" t="s">
        <v>226</v>
      </c>
      <c r="F23" s="5" t="n">
        <f aca="false">'Datasheet Parameters'!D25</f>
        <v>14</v>
      </c>
    </row>
    <row r="24" customFormat="false" ht="12.75" hidden="false" customHeight="false" outlineLevel="0" collapsed="false">
      <c r="A24" s="104" t="s">
        <v>227</v>
      </c>
      <c r="B24" s="5" t="n">
        <f aca="false">'Datasheet Parameters'!B26</f>
        <v>7</v>
      </c>
      <c r="C24" s="104" t="s">
        <v>228</v>
      </c>
      <c r="D24" s="5" t="n">
        <f aca="false">'Datasheet Parameters'!C26</f>
        <v>10</v>
      </c>
      <c r="E24" s="104" t="s">
        <v>229</v>
      </c>
      <c r="F24" s="5" t="n">
        <f aca="false">'Datasheet Parameters'!D26</f>
        <v>13</v>
      </c>
    </row>
    <row r="25" customFormat="false" ht="12.75" hidden="false" customHeight="false" outlineLevel="0" collapsed="false">
      <c r="A25" s="104"/>
      <c r="B25" s="5"/>
      <c r="C25" s="104"/>
      <c r="D25" s="5"/>
      <c r="E25" s="104"/>
      <c r="F25" s="5"/>
    </row>
    <row r="26" customFormat="false" ht="12.75" hidden="false" customHeight="false" outlineLevel="0" collapsed="false">
      <c r="A26" s="104"/>
      <c r="B26" s="5"/>
      <c r="C26" s="104"/>
      <c r="D26" s="5"/>
      <c r="E26" s="104"/>
      <c r="F26" s="5"/>
    </row>
    <row r="27" customFormat="false" ht="12.75" hidden="false" customHeight="false" outlineLevel="0" collapsed="false">
      <c r="A27" s="104" t="s">
        <v>230</v>
      </c>
      <c r="B27" s="5" t="n">
        <f aca="false">'Datasheet Parameters'!B29</f>
        <v>10</v>
      </c>
      <c r="C27" s="104" t="s">
        <v>231</v>
      </c>
      <c r="D27" s="5" t="n">
        <f aca="false">'Datasheet Parameters'!C29</f>
        <v>12</v>
      </c>
      <c r="E27" s="104" t="s">
        <v>232</v>
      </c>
      <c r="F27" s="5" t="n">
        <f aca="false">'Datasheet Parameters'!D29</f>
        <v>14</v>
      </c>
    </row>
    <row r="28" customFormat="false" ht="12.75" hidden="false" customHeight="false" outlineLevel="0" collapsed="false">
      <c r="A28" s="104" t="s">
        <v>233</v>
      </c>
      <c r="B28" s="5" t="n">
        <f aca="false">'Datasheet Parameters'!B30</f>
        <v>20</v>
      </c>
      <c r="C28" s="104" t="s">
        <v>234</v>
      </c>
      <c r="D28" s="5" t="n">
        <f aca="false">'Datasheet Parameters'!C30</f>
        <v>25</v>
      </c>
      <c r="E28" s="104" t="s">
        <v>235</v>
      </c>
      <c r="F28" s="5" t="n">
        <f aca="false">'Datasheet Parameters'!D30</f>
        <v>30</v>
      </c>
    </row>
    <row r="29" customFormat="false" ht="12.75" hidden="false" customHeight="false" outlineLevel="0" collapsed="false">
      <c r="A29" s="104"/>
      <c r="B29" s="5"/>
      <c r="C29" s="104"/>
      <c r="D29" s="5"/>
      <c r="E29" s="104"/>
      <c r="F29" s="5"/>
    </row>
    <row r="30" customFormat="false" ht="12.75" hidden="false" customHeight="false" outlineLevel="0" collapsed="false">
      <c r="A30" s="104" t="s">
        <v>236</v>
      </c>
      <c r="B30" s="5" t="n">
        <f aca="false">'Datasheet Parameters'!B32</f>
        <v>-45</v>
      </c>
      <c r="C30" s="104" t="s">
        <v>237</v>
      </c>
      <c r="D30" s="5" t="n">
        <f aca="false">'Datasheet Parameters'!C32</f>
        <v>-60</v>
      </c>
      <c r="E30" s="104" t="s">
        <v>238</v>
      </c>
      <c r="F30" s="5" t="n">
        <f aca="false">'Datasheet Parameters'!D32</f>
        <v>-75</v>
      </c>
    </row>
    <row r="31" customFormat="false" ht="12.75" hidden="false" customHeight="false" outlineLevel="0" collapsed="false">
      <c r="A31" s="104" t="s">
        <v>239</v>
      </c>
      <c r="B31" s="5" t="n">
        <f aca="false">'Datasheet Parameters'!B33</f>
        <v>-7</v>
      </c>
      <c r="C31" s="104" t="s">
        <v>240</v>
      </c>
      <c r="D31" s="5" t="n">
        <f aca="false">'Datasheet Parameters'!C33</f>
        <v>-13</v>
      </c>
      <c r="E31" s="104" t="s">
        <v>241</v>
      </c>
      <c r="F31" s="5" t="n">
        <f aca="false">'Datasheet Parameters'!D33</f>
        <v>-20</v>
      </c>
    </row>
    <row r="32" customFormat="false" ht="12.75" hidden="false" customHeight="false" outlineLevel="0" collapsed="false">
      <c r="A32" s="104"/>
      <c r="B32" s="5"/>
      <c r="C32" s="104"/>
      <c r="D32" s="5"/>
      <c r="E32" s="104"/>
      <c r="F32" s="5"/>
    </row>
    <row r="33" customFormat="false" ht="12.75" hidden="false" customHeight="false" outlineLevel="0" collapsed="false">
      <c r="A33" s="104"/>
      <c r="B33" s="5"/>
      <c r="C33" s="104"/>
      <c r="D33" s="5"/>
      <c r="E33" s="104"/>
      <c r="F33" s="5"/>
    </row>
    <row r="34" customFormat="false" ht="12.75" hidden="false" customHeight="false" outlineLevel="0" collapsed="false">
      <c r="A34" s="104" t="s">
        <v>242</v>
      </c>
      <c r="B34" s="5" t="n">
        <f aca="false">'Datasheet Parameters'!B36</f>
        <v>0.0475</v>
      </c>
      <c r="C34" s="104" t="s">
        <v>175</v>
      </c>
      <c r="D34" s="5" t="n">
        <f aca="false">'Datasheet Parameters'!C36</f>
        <v>0.05</v>
      </c>
      <c r="E34" s="104" t="s">
        <v>243</v>
      </c>
      <c r="F34" s="5" t="n">
        <f aca="false">'Datasheet Parameters'!D36</f>
        <v>0.0525</v>
      </c>
    </row>
    <row r="35" customFormat="false" ht="12.75" hidden="false" customHeight="false" outlineLevel="0" collapsed="false">
      <c r="A35" s="104"/>
      <c r="B35" s="5" t="n">
        <f aca="false">'Datasheet Parameters'!B37</f>
        <v>0</v>
      </c>
      <c r="C35" s="104"/>
      <c r="D35" s="5" t="n">
        <f aca="false">'Datasheet Parameters'!C37</f>
        <v>0.0625</v>
      </c>
      <c r="E35" s="104"/>
      <c r="F35" s="5" t="n">
        <f aca="false">'Datasheet Parameters'!D37</f>
        <v>0</v>
      </c>
    </row>
    <row r="36" customFormat="false" ht="12.75" hidden="false" customHeight="false" outlineLevel="0" collapsed="false">
      <c r="A36" s="104"/>
      <c r="B36" s="5" t="n">
        <f aca="false">'Datasheet Parameters'!B38</f>
        <v>0</v>
      </c>
      <c r="C36" s="104"/>
      <c r="D36" s="5" t="n">
        <f aca="false">'Datasheet Parameters'!C38</f>
        <v>0.05</v>
      </c>
      <c r="E36" s="104"/>
      <c r="F36" s="5" t="n">
        <f aca="false">'Datasheet Parameters'!D38</f>
        <v>0</v>
      </c>
    </row>
    <row r="37" customFormat="false" ht="12.75" hidden="false" customHeight="false" outlineLevel="0" collapsed="false">
      <c r="A37" s="104"/>
      <c r="B37" s="5" t="n">
        <f aca="false">'Datasheet Parameters'!B39</f>
        <v>0</v>
      </c>
      <c r="C37" s="104"/>
      <c r="D37" s="5" t="n">
        <f aca="false">'Datasheet Parameters'!C39</f>
        <v>0.025</v>
      </c>
      <c r="E37" s="104"/>
      <c r="F37" s="5" t="n">
        <f aca="false">'Datasheet Parameters'!D39</f>
        <v>0</v>
      </c>
    </row>
    <row r="38" customFormat="false" ht="12.75" hidden="false" customHeight="false" outlineLevel="0" collapsed="false">
      <c r="A38" s="104" t="s">
        <v>244</v>
      </c>
      <c r="B38" s="5" t="n">
        <f aca="false">'Datasheet Parameters'!B40</f>
        <v>0.01</v>
      </c>
      <c r="C38" s="104" t="s">
        <v>245</v>
      </c>
      <c r="D38" s="5" t="n">
        <f aca="false">'Datasheet Parameters'!C40</f>
        <v>0.0125</v>
      </c>
      <c r="E38" s="104" t="s">
        <v>246</v>
      </c>
      <c r="F38" s="5" t="n">
        <f aca="false">'Datasheet Parameters'!D40</f>
        <v>0.015</v>
      </c>
    </row>
    <row r="39" customFormat="false" ht="12.75" hidden="false" customHeight="false" outlineLevel="0" collapsed="false">
      <c r="A39" s="104" t="s">
        <v>247</v>
      </c>
      <c r="B39" s="5" t="n">
        <f aca="false">'Datasheet Parameters'!B41</f>
        <v>0.0075</v>
      </c>
      <c r="C39" s="104" t="s">
        <v>248</v>
      </c>
      <c r="D39" s="5" t="n">
        <f aca="false">'Datasheet Parameters'!C41</f>
        <v>0.01</v>
      </c>
      <c r="E39" s="104" t="s">
        <v>249</v>
      </c>
      <c r="F39" s="5" t="n">
        <f aca="false">'Datasheet Parameters'!D41</f>
        <v>0.01255</v>
      </c>
    </row>
    <row r="40" customFormat="false" ht="12.75" hidden="false" customHeight="false" outlineLevel="0" collapsed="false">
      <c r="A40" s="104"/>
      <c r="B40" s="5" t="n">
        <f aca="false">'Datasheet Parameters'!B42</f>
        <v>0.0225</v>
      </c>
      <c r="C40" s="104"/>
      <c r="D40" s="5" t="n">
        <f aca="false">'Datasheet Parameters'!C42</f>
        <v>0.025</v>
      </c>
      <c r="E40" s="104"/>
      <c r="F40" s="5" t="n">
        <f aca="false">'Datasheet Parameters'!D42</f>
        <v>0.0275</v>
      </c>
    </row>
    <row r="41" customFormat="false" ht="12.75" hidden="false" customHeight="false" outlineLevel="0" collapsed="false">
      <c r="A41" s="104" t="s">
        <v>250</v>
      </c>
      <c r="B41" s="5" t="n">
        <f aca="false">'Datasheet Parameters'!B43</f>
        <v>0.0005</v>
      </c>
      <c r="C41" s="104" t="s">
        <v>184</v>
      </c>
      <c r="D41" s="5" t="n">
        <f aca="false">'Datasheet Parameters'!C43</f>
        <v>0.001</v>
      </c>
      <c r="E41" s="104" t="s">
        <v>251</v>
      </c>
      <c r="F41" s="5" t="n">
        <f aca="false">'Datasheet Parameters'!D43</f>
        <v>0.0015</v>
      </c>
    </row>
    <row r="42" customFormat="false" ht="12.75" hidden="false" customHeight="false" outlineLevel="0" collapsed="false">
      <c r="A42" s="104"/>
      <c r="B42" s="5"/>
      <c r="C42" s="104"/>
      <c r="D42" s="5"/>
      <c r="E42" s="104"/>
      <c r="F42" s="5"/>
    </row>
    <row r="43" customFormat="false" ht="12.75" hidden="false" customHeight="false" outlineLevel="0" collapsed="false">
      <c r="A43" s="104"/>
      <c r="B43" s="5"/>
      <c r="C43" s="104"/>
      <c r="D43" s="5"/>
      <c r="E43" s="104"/>
      <c r="F43" s="5"/>
    </row>
    <row r="44" customFormat="false" ht="12.75" hidden="false" customHeight="false" outlineLevel="0" collapsed="false">
      <c r="A44" s="104" t="s">
        <v>252</v>
      </c>
      <c r="B44" s="5" t="n">
        <f aca="false">'Datasheet Parameters'!B46</f>
        <v>0.09</v>
      </c>
      <c r="C44" s="104" t="s">
        <v>253</v>
      </c>
      <c r="D44" s="5" t="n">
        <f aca="false">'Datasheet Parameters'!C46</f>
        <v>0.1</v>
      </c>
      <c r="E44" s="104" t="s">
        <v>254</v>
      </c>
      <c r="F44" s="5" t="n">
        <f aca="false">'Datasheet Parameters'!D46</f>
        <v>0.11</v>
      </c>
    </row>
    <row r="45" customFormat="false" ht="12.75" hidden="false" customHeight="false" outlineLevel="0" collapsed="false">
      <c r="A45" s="104"/>
      <c r="B45" s="5" t="n">
        <f aca="false">'Datasheet Parameters'!B47</f>
        <v>0.02</v>
      </c>
      <c r="C45" s="104"/>
      <c r="D45" s="5" t="n">
        <f aca="false">'Datasheet Parameters'!C47</f>
        <v>0.025</v>
      </c>
      <c r="E45" s="104"/>
      <c r="F45" s="5" t="n">
        <f aca="false">'Datasheet Parameters'!D47</f>
        <v>0.03</v>
      </c>
    </row>
    <row r="46" customFormat="false" ht="12.75" hidden="false" customHeight="false" outlineLevel="0" collapsed="false">
      <c r="A46" s="104"/>
      <c r="B46" s="5"/>
      <c r="C46" s="104"/>
      <c r="D46" s="5"/>
      <c r="E46" s="104"/>
      <c r="F46" s="5"/>
    </row>
    <row r="47" customFormat="false" ht="12.75" hidden="false" customHeight="false" outlineLevel="0" collapsed="false">
      <c r="A47" s="104"/>
      <c r="B47" s="5"/>
      <c r="C47" s="104"/>
      <c r="D47" s="5"/>
      <c r="E47" s="104"/>
      <c r="F47" s="5"/>
    </row>
    <row r="48" customFormat="false" ht="12.75" hidden="false" customHeight="false" outlineLevel="0" collapsed="false">
      <c r="A48" s="104" t="s">
        <v>255</v>
      </c>
      <c r="B48" s="5" t="n">
        <f aca="false">'Datasheet Parameters'!B50</f>
        <v>-18</v>
      </c>
      <c r="C48" s="104" t="s">
        <v>256</v>
      </c>
      <c r="D48" s="5" t="n">
        <f aca="false">'Datasheet Parameters'!C50</f>
        <v>-20</v>
      </c>
      <c r="E48" s="104" t="s">
        <v>257</v>
      </c>
      <c r="F48" s="5" t="n">
        <f aca="false">'Datasheet Parameters'!D50</f>
        <v>-22</v>
      </c>
    </row>
    <row r="49" customFormat="false" ht="12.75" hidden="false" customHeight="false" outlineLevel="0" collapsed="false">
      <c r="A49" s="104" t="s">
        <v>258</v>
      </c>
      <c r="B49" s="5" t="n">
        <f aca="false">'Datasheet Parameters'!B51</f>
        <v>1.96</v>
      </c>
      <c r="C49" s="104" t="s">
        <v>259</v>
      </c>
      <c r="D49" s="5" t="n">
        <f aca="false">'Datasheet Parameters'!C51</f>
        <v>2</v>
      </c>
      <c r="E49" s="104" t="s">
        <v>260</v>
      </c>
      <c r="F49" s="5" t="n">
        <f aca="false">'Datasheet Parameters'!D51</f>
        <v>2.04</v>
      </c>
    </row>
    <row r="50" customFormat="false" ht="12.75" hidden="false" customHeight="false" outlineLevel="0" collapsed="false">
      <c r="A50" s="104" t="s">
        <v>261</v>
      </c>
      <c r="B50" s="5" t="n">
        <f aca="false">'Datasheet Parameters'!B52</f>
        <v>0.18</v>
      </c>
      <c r="C50" s="104" t="s">
        <v>262</v>
      </c>
      <c r="D50" s="5" t="n">
        <f aca="false">'Datasheet Parameters'!C52</f>
        <v>0.2</v>
      </c>
      <c r="E50" s="104" t="s">
        <v>263</v>
      </c>
      <c r="F50" s="5" t="n">
        <f aca="false">'Datasheet Parameters'!D52</f>
        <v>0.22</v>
      </c>
    </row>
    <row r="51" customFormat="false" ht="12.75" hidden="false" customHeight="false" outlineLevel="0" collapsed="false">
      <c r="A51" s="104"/>
      <c r="B51" s="5"/>
      <c r="C51" s="104"/>
      <c r="D51" s="5"/>
      <c r="E51" s="104"/>
      <c r="F51" s="5"/>
    </row>
    <row r="52" customFormat="false" ht="12.75" hidden="false" customHeight="false" outlineLevel="0" collapsed="false">
      <c r="A52" s="104"/>
      <c r="B52" s="5"/>
      <c r="C52" s="104"/>
      <c r="D52" s="5"/>
      <c r="E52" s="104"/>
      <c r="F52" s="5"/>
    </row>
    <row r="53" customFormat="false" ht="12.75" hidden="false" customHeight="false" outlineLevel="0" collapsed="false">
      <c r="A53" s="104" t="s">
        <v>264</v>
      </c>
      <c r="B53" s="5" t="n">
        <f aca="false">'Datasheet Parameters'!B55</f>
        <v>-18</v>
      </c>
      <c r="C53" s="104" t="s">
        <v>265</v>
      </c>
      <c r="D53" s="5" t="n">
        <f aca="false">'Datasheet Parameters'!C55</f>
        <v>-20</v>
      </c>
      <c r="E53" s="104" t="s">
        <v>266</v>
      </c>
      <c r="F53" s="5" t="n">
        <f aca="false">'Datasheet Parameters'!D55</f>
        <v>-22</v>
      </c>
    </row>
    <row r="54" customFormat="false" ht="12.75" hidden="false" customHeight="false" outlineLevel="0" collapsed="false">
      <c r="A54" s="104" t="s">
        <v>267</v>
      </c>
      <c r="B54" s="5" t="n">
        <f aca="false">'Datasheet Parameters'!B56</f>
        <v>-0.8</v>
      </c>
      <c r="C54" s="104" t="s">
        <v>268</v>
      </c>
      <c r="D54" s="5" t="n">
        <f aca="false">'Datasheet Parameters'!C56</f>
        <v>-1</v>
      </c>
      <c r="E54" s="104" t="s">
        <v>269</v>
      </c>
      <c r="F54" s="5" t="n">
        <f aca="false">'Datasheet Parameters'!D56</f>
        <v>-1.2</v>
      </c>
    </row>
    <row r="55" customFormat="false" ht="12.75" hidden="false" customHeight="false" outlineLevel="0" collapsed="false">
      <c r="A55" s="104" t="s">
        <v>270</v>
      </c>
      <c r="B55" s="5" t="n">
        <f aca="false">'Datasheet Parameters'!B57</f>
        <v>1.96</v>
      </c>
      <c r="C55" s="104" t="s">
        <v>271</v>
      </c>
      <c r="D55" s="5" t="n">
        <f aca="false">'Datasheet Parameters'!C57</f>
        <v>2</v>
      </c>
      <c r="E55" s="104" t="s">
        <v>272</v>
      </c>
      <c r="F55" s="5" t="n">
        <f aca="false">'Datasheet Parameters'!D57</f>
        <v>2.04</v>
      </c>
    </row>
    <row r="56" customFormat="false" ht="12.75" hidden="false" customHeight="false" outlineLevel="0" collapsed="false">
      <c r="A56" s="104"/>
      <c r="B56" s="5"/>
      <c r="C56" s="104"/>
      <c r="D56" s="5"/>
      <c r="E56" s="104"/>
      <c r="F56" s="5"/>
    </row>
    <row r="57" customFormat="false" ht="12.75" hidden="false" customHeight="false" outlineLevel="0" collapsed="false">
      <c r="A57" s="104"/>
      <c r="B57" s="5"/>
      <c r="C57" s="104"/>
      <c r="D57" s="5"/>
      <c r="E57" s="104"/>
      <c r="F57" s="5"/>
    </row>
    <row r="58" customFormat="false" ht="12.75" hidden="false" customHeight="false" outlineLevel="0" collapsed="false">
      <c r="A58" s="104" t="s">
        <v>273</v>
      </c>
      <c r="B58" s="5" t="n">
        <f aca="false">'Datasheet Parameters'!B60</f>
        <v>0.99</v>
      </c>
      <c r="C58" s="104" t="s">
        <v>274</v>
      </c>
      <c r="D58" s="5" t="n">
        <f aca="false">'Datasheet Parameters'!C60</f>
        <v>1</v>
      </c>
      <c r="E58" s="104" t="s">
        <v>275</v>
      </c>
      <c r="F58" s="5" t="n">
        <f aca="false">'Datasheet Parameters'!D60</f>
        <v>1.01</v>
      </c>
    </row>
    <row r="59" customFormat="false" ht="12.75" hidden="false" customHeight="false" outlineLevel="0" collapsed="false">
      <c r="A59" s="104" t="s">
        <v>276</v>
      </c>
      <c r="B59" s="5" t="n">
        <f aca="false">'Datasheet Parameters'!B61</f>
        <v>0.02</v>
      </c>
      <c r="C59" s="104" t="s">
        <v>277</v>
      </c>
      <c r="D59" s="5" t="n">
        <f aca="false">'Datasheet Parameters'!C61</f>
        <v>0.03</v>
      </c>
      <c r="E59" s="104" t="s">
        <v>278</v>
      </c>
      <c r="F59" s="5" t="n">
        <f aca="false">'Datasheet Parameters'!D61</f>
        <v>0.04</v>
      </c>
    </row>
    <row r="60" customFormat="false" ht="12.75" hidden="false" customHeight="false" outlineLevel="0" collapsed="false">
      <c r="A60" s="104"/>
      <c r="B60" s="5"/>
      <c r="C60" s="104"/>
      <c r="D60" s="5"/>
      <c r="E60" s="104"/>
      <c r="F60" s="5"/>
    </row>
    <row r="61" customFormat="false" ht="12.75" hidden="false" customHeight="false" outlineLevel="0" collapsed="false">
      <c r="A61" s="104" t="s">
        <v>279</v>
      </c>
      <c r="B61" s="105" t="n">
        <v>0.14</v>
      </c>
      <c r="C61" s="104" t="s">
        <v>280</v>
      </c>
      <c r="D61" s="106" t="s">
        <v>281</v>
      </c>
      <c r="E61" s="104" t="s">
        <v>282</v>
      </c>
      <c r="F61" s="105"/>
    </row>
    <row r="62" customFormat="false" ht="12.75" hidden="false" customHeight="false" outlineLevel="0" collapsed="false">
      <c r="A62" s="104" t="s">
        <v>283</v>
      </c>
      <c r="B62" s="106" t="s">
        <v>284</v>
      </c>
      <c r="C62" s="104"/>
      <c r="D62" s="5"/>
      <c r="E62" s="104"/>
      <c r="F62" s="5"/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481"/>
  <sheetViews>
    <sheetView showFormulas="false" showGridLines="true" showRowColHeaders="true" showZeros="true" rightToLeft="false" tabSelected="false" showOutlineSymbols="true" defaultGridColor="true" view="normal" topLeftCell="A302" colorId="64" zoomScale="85" zoomScaleNormal="85" zoomScalePageLayoutView="100" workbookViewId="0">
      <selection pane="topLeft" activeCell="C463" activeCellId="0" sqref="C463"/>
    </sheetView>
  </sheetViews>
  <sheetFormatPr defaultColWidth="8.6796875" defaultRowHeight="12.8" customHeight="true" zeroHeight="false" outlineLevelRow="0" outlineLevelCol="0"/>
  <sheetData>
    <row r="1" customFormat="false" ht="12.75" hidden="false" customHeight="false" outlineLevel="0" collapsed="false">
      <c r="A1" s="107" t="n">
        <v>100</v>
      </c>
      <c r="B1" s="108" t="n">
        <v>10000000</v>
      </c>
    </row>
    <row r="2" customFormat="false" ht="12.75" hidden="false" customHeight="false" outlineLevel="0" collapsed="false">
      <c r="A2" s="107" t="n">
        <v>102</v>
      </c>
      <c r="B2" s="108" t="n">
        <v>9760000</v>
      </c>
    </row>
    <row r="3" customFormat="false" ht="12.75" hidden="false" customHeight="false" outlineLevel="0" collapsed="false">
      <c r="A3" s="107" t="n">
        <v>105</v>
      </c>
      <c r="B3" s="108" t="n">
        <v>9530000</v>
      </c>
    </row>
    <row r="4" customFormat="false" ht="12.75" hidden="false" customHeight="false" outlineLevel="0" collapsed="false">
      <c r="A4" s="107" t="n">
        <v>107</v>
      </c>
      <c r="B4" s="108" t="n">
        <v>9310000</v>
      </c>
    </row>
    <row r="5" customFormat="false" ht="12.75" hidden="false" customHeight="false" outlineLevel="0" collapsed="false">
      <c r="A5" s="107" t="n">
        <v>110</v>
      </c>
      <c r="B5" s="108" t="n">
        <v>9090000</v>
      </c>
    </row>
    <row r="6" customFormat="false" ht="12.75" hidden="false" customHeight="false" outlineLevel="0" collapsed="false">
      <c r="A6" s="107" t="n">
        <v>113</v>
      </c>
      <c r="B6" s="108" t="n">
        <v>8870000</v>
      </c>
    </row>
    <row r="7" customFormat="false" ht="12.75" hidden="false" customHeight="false" outlineLevel="0" collapsed="false">
      <c r="A7" s="107" t="n">
        <v>115</v>
      </c>
      <c r="B7" s="108" t="n">
        <v>8660000</v>
      </c>
    </row>
    <row r="8" customFormat="false" ht="12.75" hidden="false" customHeight="false" outlineLevel="0" collapsed="false">
      <c r="A8" s="107" t="n">
        <v>118</v>
      </c>
      <c r="B8" s="108" t="n">
        <v>8450000</v>
      </c>
    </row>
    <row r="9" customFormat="false" ht="12.75" hidden="false" customHeight="false" outlineLevel="0" collapsed="false">
      <c r="A9" s="107" t="n">
        <v>121</v>
      </c>
      <c r="B9" s="108" t="n">
        <v>8250000</v>
      </c>
    </row>
    <row r="10" customFormat="false" ht="12.75" hidden="false" customHeight="false" outlineLevel="0" collapsed="false">
      <c r="A10" s="107" t="n">
        <v>124</v>
      </c>
      <c r="B10" s="108" t="n">
        <v>8060000</v>
      </c>
    </row>
    <row r="11" customFormat="false" ht="12.75" hidden="false" customHeight="false" outlineLevel="0" collapsed="false">
      <c r="A11" s="107" t="n">
        <v>127</v>
      </c>
      <c r="B11" s="108" t="n">
        <v>7870000</v>
      </c>
    </row>
    <row r="12" customFormat="false" ht="12.75" hidden="false" customHeight="false" outlineLevel="0" collapsed="false">
      <c r="A12" s="107" t="n">
        <v>130</v>
      </c>
      <c r="B12" s="108" t="n">
        <v>7680000</v>
      </c>
    </row>
    <row r="13" customFormat="false" ht="12.75" hidden="false" customHeight="false" outlineLevel="0" collapsed="false">
      <c r="A13" s="107" t="n">
        <v>133</v>
      </c>
      <c r="B13" s="108" t="n">
        <v>7500000</v>
      </c>
    </row>
    <row r="14" customFormat="false" ht="12.75" hidden="false" customHeight="false" outlineLevel="0" collapsed="false">
      <c r="A14" s="107" t="n">
        <v>137</v>
      </c>
      <c r="B14" s="108" t="n">
        <v>7320000</v>
      </c>
    </row>
    <row r="15" customFormat="false" ht="12.75" hidden="false" customHeight="false" outlineLevel="0" collapsed="false">
      <c r="A15" s="107" t="n">
        <v>140</v>
      </c>
      <c r="B15" s="108" t="n">
        <v>7150000</v>
      </c>
    </row>
    <row r="16" customFormat="false" ht="12.75" hidden="false" customHeight="false" outlineLevel="0" collapsed="false">
      <c r="A16" s="107" t="n">
        <v>143</v>
      </c>
      <c r="B16" s="108" t="n">
        <v>6980000</v>
      </c>
    </row>
    <row r="17" customFormat="false" ht="12.75" hidden="false" customHeight="false" outlineLevel="0" collapsed="false">
      <c r="A17" s="107" t="n">
        <v>147</v>
      </c>
      <c r="B17" s="108" t="n">
        <v>6810000</v>
      </c>
    </row>
    <row r="18" customFormat="false" ht="12.75" hidden="false" customHeight="false" outlineLevel="0" collapsed="false">
      <c r="A18" s="107" t="n">
        <v>150</v>
      </c>
      <c r="B18" s="108" t="n">
        <v>6650000</v>
      </c>
    </row>
    <row r="19" customFormat="false" ht="12.75" hidden="false" customHeight="false" outlineLevel="0" collapsed="false">
      <c r="A19" s="107" t="n">
        <v>154</v>
      </c>
      <c r="B19" s="108" t="n">
        <v>6490000</v>
      </c>
    </row>
    <row r="20" customFormat="false" ht="12.75" hidden="false" customHeight="false" outlineLevel="0" collapsed="false">
      <c r="A20" s="107" t="n">
        <v>158</v>
      </c>
      <c r="B20" s="108" t="n">
        <v>6340000</v>
      </c>
    </row>
    <row r="21" customFormat="false" ht="12.75" hidden="false" customHeight="false" outlineLevel="0" collapsed="false">
      <c r="A21" s="107" t="n">
        <v>162</v>
      </c>
      <c r="B21" s="108" t="n">
        <v>6190000</v>
      </c>
    </row>
    <row r="22" customFormat="false" ht="12.75" hidden="false" customHeight="false" outlineLevel="0" collapsed="false">
      <c r="A22" s="107" t="n">
        <v>165</v>
      </c>
      <c r="B22" s="108" t="n">
        <v>6040000</v>
      </c>
    </row>
    <row r="23" customFormat="false" ht="12.75" hidden="false" customHeight="false" outlineLevel="0" collapsed="false">
      <c r="A23" s="107" t="n">
        <v>169</v>
      </c>
      <c r="B23" s="108" t="n">
        <v>5900000</v>
      </c>
    </row>
    <row r="24" customFormat="false" ht="12.75" hidden="false" customHeight="false" outlineLevel="0" collapsed="false">
      <c r="A24" s="107" t="n">
        <v>174</v>
      </c>
      <c r="B24" s="108" t="n">
        <v>5760000</v>
      </c>
    </row>
    <row r="25" customFormat="false" ht="12.75" hidden="false" customHeight="false" outlineLevel="0" collapsed="false">
      <c r="A25" s="107" t="n">
        <v>178</v>
      </c>
      <c r="B25" s="108" t="n">
        <v>5620000</v>
      </c>
    </row>
    <row r="26" customFormat="false" ht="12.75" hidden="false" customHeight="false" outlineLevel="0" collapsed="false">
      <c r="A26" s="107" t="n">
        <v>182</v>
      </c>
      <c r="B26" s="108" t="n">
        <v>5490000</v>
      </c>
    </row>
    <row r="27" customFormat="false" ht="12.75" hidden="false" customHeight="false" outlineLevel="0" collapsed="false">
      <c r="A27" s="107" t="n">
        <v>187</v>
      </c>
      <c r="B27" s="108" t="n">
        <v>5360000</v>
      </c>
    </row>
    <row r="28" customFormat="false" ht="12.75" hidden="false" customHeight="false" outlineLevel="0" collapsed="false">
      <c r="A28" s="107" t="n">
        <v>191</v>
      </c>
      <c r="B28" s="108" t="n">
        <v>5230000</v>
      </c>
    </row>
    <row r="29" customFormat="false" ht="12.75" hidden="false" customHeight="false" outlineLevel="0" collapsed="false">
      <c r="A29" s="107" t="n">
        <v>196</v>
      </c>
      <c r="B29" s="108" t="n">
        <v>5110000</v>
      </c>
    </row>
    <row r="30" customFormat="false" ht="12.75" hidden="false" customHeight="false" outlineLevel="0" collapsed="false">
      <c r="A30" s="107" t="n">
        <v>200</v>
      </c>
      <c r="B30" s="108" t="n">
        <v>4990000</v>
      </c>
    </row>
    <row r="31" customFormat="false" ht="12.75" hidden="false" customHeight="false" outlineLevel="0" collapsed="false">
      <c r="A31" s="107" t="n">
        <v>205</v>
      </c>
      <c r="B31" s="108" t="n">
        <v>4870000</v>
      </c>
    </row>
    <row r="32" customFormat="false" ht="12.75" hidden="false" customHeight="false" outlineLevel="0" collapsed="false">
      <c r="A32" s="107" t="n">
        <v>210</v>
      </c>
      <c r="B32" s="108" t="n">
        <v>4750000</v>
      </c>
    </row>
    <row r="33" customFormat="false" ht="12.75" hidden="false" customHeight="false" outlineLevel="0" collapsed="false">
      <c r="A33" s="107" t="n">
        <v>215</v>
      </c>
      <c r="B33" s="108" t="n">
        <v>4640000</v>
      </c>
    </row>
    <row r="34" customFormat="false" ht="12.75" hidden="false" customHeight="false" outlineLevel="0" collapsed="false">
      <c r="A34" s="107" t="n">
        <v>221</v>
      </c>
      <c r="B34" s="108" t="n">
        <v>4530000</v>
      </c>
    </row>
    <row r="35" customFormat="false" ht="12.75" hidden="false" customHeight="false" outlineLevel="0" collapsed="false">
      <c r="A35" s="107" t="n">
        <v>226</v>
      </c>
      <c r="B35" s="108" t="n">
        <v>4420000</v>
      </c>
    </row>
    <row r="36" customFormat="false" ht="12.75" hidden="false" customHeight="false" outlineLevel="0" collapsed="false">
      <c r="A36" s="107" t="n">
        <v>232</v>
      </c>
      <c r="B36" s="108" t="n">
        <v>4320000</v>
      </c>
    </row>
    <row r="37" customFormat="false" ht="12.75" hidden="false" customHeight="false" outlineLevel="0" collapsed="false">
      <c r="A37" s="107" t="n">
        <v>237</v>
      </c>
      <c r="B37" s="108" t="n">
        <v>4220000</v>
      </c>
    </row>
    <row r="38" customFormat="false" ht="12.75" hidden="false" customHeight="false" outlineLevel="0" collapsed="false">
      <c r="A38" s="107" t="n">
        <v>243</v>
      </c>
      <c r="B38" s="108" t="n">
        <v>4120000</v>
      </c>
    </row>
    <row r="39" customFormat="false" ht="12.75" hidden="false" customHeight="false" outlineLevel="0" collapsed="false">
      <c r="A39" s="107" t="n">
        <v>249</v>
      </c>
      <c r="B39" s="108" t="n">
        <v>4020000</v>
      </c>
    </row>
    <row r="40" customFormat="false" ht="12.75" hidden="false" customHeight="false" outlineLevel="0" collapsed="false">
      <c r="A40" s="107" t="n">
        <v>255</v>
      </c>
      <c r="B40" s="108" t="n">
        <v>3920000</v>
      </c>
    </row>
    <row r="41" customFormat="false" ht="12.75" hidden="false" customHeight="false" outlineLevel="0" collapsed="false">
      <c r="A41" s="107" t="n">
        <v>261</v>
      </c>
      <c r="B41" s="108" t="n">
        <v>3830000</v>
      </c>
    </row>
    <row r="42" customFormat="false" ht="12.75" hidden="false" customHeight="false" outlineLevel="0" collapsed="false">
      <c r="A42" s="107" t="n">
        <v>267</v>
      </c>
      <c r="B42" s="108" t="n">
        <v>3740000</v>
      </c>
    </row>
    <row r="43" customFormat="false" ht="12.75" hidden="false" customHeight="false" outlineLevel="0" collapsed="false">
      <c r="A43" s="107" t="n">
        <v>274</v>
      </c>
      <c r="B43" s="108" t="n">
        <v>3650000</v>
      </c>
    </row>
    <row r="44" customFormat="false" ht="12.75" hidden="false" customHeight="false" outlineLevel="0" collapsed="false">
      <c r="A44" s="107" t="n">
        <v>280</v>
      </c>
      <c r="B44" s="108" t="n">
        <v>3570000</v>
      </c>
    </row>
    <row r="45" customFormat="false" ht="12.75" hidden="false" customHeight="false" outlineLevel="0" collapsed="false">
      <c r="A45" s="107" t="n">
        <v>287</v>
      </c>
      <c r="B45" s="108" t="n">
        <v>3480000</v>
      </c>
    </row>
    <row r="46" customFormat="false" ht="12.75" hidden="false" customHeight="false" outlineLevel="0" collapsed="false">
      <c r="A46" s="107" t="n">
        <v>294</v>
      </c>
      <c r="B46" s="108" t="n">
        <v>3400000</v>
      </c>
    </row>
    <row r="47" customFormat="false" ht="12.75" hidden="false" customHeight="false" outlineLevel="0" collapsed="false">
      <c r="A47" s="107" t="n">
        <v>301</v>
      </c>
      <c r="B47" s="108" t="n">
        <v>3320000</v>
      </c>
    </row>
    <row r="48" customFormat="false" ht="12.75" hidden="false" customHeight="false" outlineLevel="0" collapsed="false">
      <c r="A48" s="107" t="n">
        <v>309</v>
      </c>
      <c r="B48" s="108" t="n">
        <v>3240000</v>
      </c>
    </row>
    <row r="49" customFormat="false" ht="12.75" hidden="false" customHeight="false" outlineLevel="0" collapsed="false">
      <c r="A49" s="107" t="n">
        <v>316</v>
      </c>
      <c r="B49" s="108" t="n">
        <v>3160000</v>
      </c>
    </row>
    <row r="50" customFormat="false" ht="12.75" hidden="false" customHeight="false" outlineLevel="0" collapsed="false">
      <c r="A50" s="107" t="n">
        <v>324</v>
      </c>
      <c r="B50" s="108" t="n">
        <v>3090000</v>
      </c>
    </row>
    <row r="51" customFormat="false" ht="12.75" hidden="false" customHeight="false" outlineLevel="0" collapsed="false">
      <c r="A51" s="107" t="n">
        <v>332</v>
      </c>
      <c r="B51" s="108" t="n">
        <v>3010000</v>
      </c>
    </row>
    <row r="52" customFormat="false" ht="12.75" hidden="false" customHeight="false" outlineLevel="0" collapsed="false">
      <c r="A52" s="107" t="n">
        <v>340</v>
      </c>
      <c r="B52" s="108" t="n">
        <v>2940000</v>
      </c>
    </row>
    <row r="53" customFormat="false" ht="12.75" hidden="false" customHeight="false" outlineLevel="0" collapsed="false">
      <c r="A53" s="107" t="n">
        <v>348</v>
      </c>
      <c r="B53" s="108" t="n">
        <v>2870000</v>
      </c>
    </row>
    <row r="54" customFormat="false" ht="12.75" hidden="false" customHeight="false" outlineLevel="0" collapsed="false">
      <c r="A54" s="107" t="n">
        <v>357</v>
      </c>
      <c r="B54" s="108" t="n">
        <v>2800000</v>
      </c>
    </row>
    <row r="55" customFormat="false" ht="12.75" hidden="false" customHeight="false" outlineLevel="0" collapsed="false">
      <c r="A55" s="107" t="n">
        <v>365</v>
      </c>
      <c r="B55" s="108" t="n">
        <v>2740000</v>
      </c>
    </row>
    <row r="56" customFormat="false" ht="12.75" hidden="false" customHeight="false" outlineLevel="0" collapsed="false">
      <c r="A56" s="107" t="n">
        <v>374</v>
      </c>
      <c r="B56" s="108" t="n">
        <v>2670000</v>
      </c>
    </row>
    <row r="57" customFormat="false" ht="12.75" hidden="false" customHeight="false" outlineLevel="0" collapsed="false">
      <c r="A57" s="107" t="n">
        <v>383</v>
      </c>
      <c r="B57" s="108" t="n">
        <v>2610000</v>
      </c>
    </row>
    <row r="58" customFormat="false" ht="12.75" hidden="false" customHeight="false" outlineLevel="0" collapsed="false">
      <c r="A58" s="107" t="n">
        <v>392</v>
      </c>
      <c r="B58" s="108" t="n">
        <v>2550000</v>
      </c>
    </row>
    <row r="59" customFormat="false" ht="12.75" hidden="false" customHeight="false" outlineLevel="0" collapsed="false">
      <c r="A59" s="107" t="n">
        <v>402</v>
      </c>
      <c r="B59" s="108" t="n">
        <v>2490000</v>
      </c>
    </row>
    <row r="60" customFormat="false" ht="12.75" hidden="false" customHeight="false" outlineLevel="0" collapsed="false">
      <c r="A60" s="107" t="n">
        <v>412</v>
      </c>
      <c r="B60" s="108" t="n">
        <v>2430000</v>
      </c>
    </row>
    <row r="61" customFormat="false" ht="12.75" hidden="false" customHeight="false" outlineLevel="0" collapsed="false">
      <c r="A61" s="107" t="n">
        <v>422</v>
      </c>
      <c r="B61" s="108" t="n">
        <v>2370000</v>
      </c>
    </row>
    <row r="62" customFormat="false" ht="12.75" hidden="false" customHeight="false" outlineLevel="0" collapsed="false">
      <c r="A62" s="107" t="n">
        <v>432</v>
      </c>
      <c r="B62" s="108" t="n">
        <v>2320000</v>
      </c>
    </row>
    <row r="63" customFormat="false" ht="12.75" hidden="false" customHeight="false" outlineLevel="0" collapsed="false">
      <c r="A63" s="107" t="n">
        <v>442</v>
      </c>
      <c r="B63" s="108" t="n">
        <v>2260000</v>
      </c>
    </row>
    <row r="64" customFormat="false" ht="12.75" hidden="false" customHeight="false" outlineLevel="0" collapsed="false">
      <c r="A64" s="107" t="n">
        <v>453</v>
      </c>
      <c r="B64" s="108" t="n">
        <v>2210000</v>
      </c>
    </row>
    <row r="65" customFormat="false" ht="12.75" hidden="false" customHeight="false" outlineLevel="0" collapsed="false">
      <c r="A65" s="107" t="n">
        <v>464</v>
      </c>
      <c r="B65" s="108" t="n">
        <v>2150000</v>
      </c>
    </row>
    <row r="66" customFormat="false" ht="12.75" hidden="false" customHeight="false" outlineLevel="0" collapsed="false">
      <c r="A66" s="107" t="n">
        <v>475</v>
      </c>
      <c r="B66" s="108" t="n">
        <v>2100000</v>
      </c>
    </row>
    <row r="67" customFormat="false" ht="12.75" hidden="false" customHeight="false" outlineLevel="0" collapsed="false">
      <c r="A67" s="107" t="n">
        <v>487</v>
      </c>
      <c r="B67" s="108" t="n">
        <v>2050000</v>
      </c>
    </row>
    <row r="68" customFormat="false" ht="12.75" hidden="false" customHeight="false" outlineLevel="0" collapsed="false">
      <c r="A68" s="107" t="n">
        <v>499</v>
      </c>
      <c r="B68" s="108" t="n">
        <v>2000000</v>
      </c>
    </row>
    <row r="69" customFormat="false" ht="12.75" hidden="false" customHeight="false" outlineLevel="0" collapsed="false">
      <c r="A69" s="107" t="n">
        <v>511</v>
      </c>
      <c r="B69" s="108" t="n">
        <v>1960000</v>
      </c>
    </row>
    <row r="70" customFormat="false" ht="12.75" hidden="false" customHeight="false" outlineLevel="0" collapsed="false">
      <c r="A70" s="107" t="n">
        <v>523</v>
      </c>
      <c r="B70" s="108" t="n">
        <v>1910000</v>
      </c>
    </row>
    <row r="71" customFormat="false" ht="12.75" hidden="false" customHeight="false" outlineLevel="0" collapsed="false">
      <c r="A71" s="107" t="n">
        <v>536</v>
      </c>
      <c r="B71" s="108" t="n">
        <v>1870000</v>
      </c>
    </row>
    <row r="72" customFormat="false" ht="12.75" hidden="false" customHeight="false" outlineLevel="0" collapsed="false">
      <c r="A72" s="107" t="n">
        <v>549</v>
      </c>
      <c r="B72" s="108" t="n">
        <v>1820000</v>
      </c>
    </row>
    <row r="73" customFormat="false" ht="12.75" hidden="false" customHeight="false" outlineLevel="0" collapsed="false">
      <c r="A73" s="107" t="n">
        <v>562</v>
      </c>
      <c r="B73" s="108" t="n">
        <v>1780000</v>
      </c>
    </row>
    <row r="74" customFormat="false" ht="12.75" hidden="false" customHeight="false" outlineLevel="0" collapsed="false">
      <c r="A74" s="107" t="n">
        <v>576</v>
      </c>
      <c r="B74" s="108" t="n">
        <v>1740000</v>
      </c>
    </row>
    <row r="75" customFormat="false" ht="12.75" hidden="false" customHeight="false" outlineLevel="0" collapsed="false">
      <c r="A75" s="107" t="n">
        <v>590</v>
      </c>
      <c r="B75" s="108" t="n">
        <v>1690000</v>
      </c>
    </row>
    <row r="76" customFormat="false" ht="12.75" hidden="false" customHeight="false" outlineLevel="0" collapsed="false">
      <c r="A76" s="107" t="n">
        <v>604</v>
      </c>
      <c r="B76" s="108" t="n">
        <v>1650000</v>
      </c>
    </row>
    <row r="77" customFormat="false" ht="12.75" hidden="false" customHeight="false" outlineLevel="0" collapsed="false">
      <c r="A77" s="107" t="n">
        <v>619</v>
      </c>
      <c r="B77" s="108" t="n">
        <v>1620000</v>
      </c>
    </row>
    <row r="78" customFormat="false" ht="12.75" hidden="false" customHeight="false" outlineLevel="0" collapsed="false">
      <c r="A78" s="107" t="n">
        <v>634</v>
      </c>
      <c r="B78" s="108" t="n">
        <v>1580000</v>
      </c>
    </row>
    <row r="79" customFormat="false" ht="12.75" hidden="false" customHeight="false" outlineLevel="0" collapsed="false">
      <c r="A79" s="107" t="n">
        <v>649</v>
      </c>
      <c r="B79" s="108" t="n">
        <v>1540000</v>
      </c>
    </row>
    <row r="80" customFormat="false" ht="12.75" hidden="false" customHeight="false" outlineLevel="0" collapsed="false">
      <c r="A80" s="107" t="n">
        <v>665</v>
      </c>
      <c r="B80" s="108" t="n">
        <v>1500000</v>
      </c>
    </row>
    <row r="81" customFormat="false" ht="12.75" hidden="false" customHeight="false" outlineLevel="0" collapsed="false">
      <c r="A81" s="107" t="n">
        <v>681</v>
      </c>
      <c r="B81" s="108" t="n">
        <v>1470000</v>
      </c>
    </row>
    <row r="82" customFormat="false" ht="12.75" hidden="false" customHeight="false" outlineLevel="0" collapsed="false">
      <c r="A82" s="107" t="n">
        <v>698</v>
      </c>
      <c r="B82" s="108" t="n">
        <v>1430000</v>
      </c>
    </row>
    <row r="83" customFormat="false" ht="12.75" hidden="false" customHeight="false" outlineLevel="0" collapsed="false">
      <c r="A83" s="107" t="n">
        <v>715</v>
      </c>
      <c r="B83" s="108" t="n">
        <v>1400000</v>
      </c>
    </row>
    <row r="84" customFormat="false" ht="12.75" hidden="false" customHeight="false" outlineLevel="0" collapsed="false">
      <c r="A84" s="107" t="n">
        <v>732</v>
      </c>
      <c r="B84" s="108" t="n">
        <v>1370000</v>
      </c>
    </row>
    <row r="85" customFormat="false" ht="12.75" hidden="false" customHeight="false" outlineLevel="0" collapsed="false">
      <c r="A85" s="107" t="n">
        <v>750</v>
      </c>
      <c r="B85" s="108" t="n">
        <v>1330000</v>
      </c>
    </row>
    <row r="86" customFormat="false" ht="12.75" hidden="false" customHeight="false" outlineLevel="0" collapsed="false">
      <c r="A86" s="107" t="n">
        <v>768</v>
      </c>
      <c r="B86" s="108" t="n">
        <v>1300000</v>
      </c>
    </row>
    <row r="87" customFormat="false" ht="12.75" hidden="false" customHeight="false" outlineLevel="0" collapsed="false">
      <c r="A87" s="107" t="n">
        <v>787</v>
      </c>
      <c r="B87" s="108" t="n">
        <v>1270000</v>
      </c>
    </row>
    <row r="88" customFormat="false" ht="12.75" hidden="false" customHeight="false" outlineLevel="0" collapsed="false">
      <c r="A88" s="107" t="n">
        <v>806</v>
      </c>
      <c r="B88" s="108" t="n">
        <v>1240000</v>
      </c>
    </row>
    <row r="89" customFormat="false" ht="12.75" hidden="false" customHeight="false" outlineLevel="0" collapsed="false">
      <c r="A89" s="107" t="n">
        <v>825</v>
      </c>
      <c r="B89" s="108" t="n">
        <v>1210000</v>
      </c>
    </row>
    <row r="90" customFormat="false" ht="12.75" hidden="false" customHeight="false" outlineLevel="0" collapsed="false">
      <c r="A90" s="107" t="n">
        <v>845</v>
      </c>
      <c r="B90" s="108" t="n">
        <v>1180000</v>
      </c>
    </row>
    <row r="91" customFormat="false" ht="12.75" hidden="false" customHeight="false" outlineLevel="0" collapsed="false">
      <c r="A91" s="107" t="n">
        <v>866</v>
      </c>
      <c r="B91" s="108" t="n">
        <v>1150000</v>
      </c>
    </row>
    <row r="92" customFormat="false" ht="12.75" hidden="false" customHeight="false" outlineLevel="0" collapsed="false">
      <c r="A92" s="107" t="n">
        <v>887</v>
      </c>
      <c r="B92" s="108" t="n">
        <v>1130000</v>
      </c>
    </row>
    <row r="93" customFormat="false" ht="12.75" hidden="false" customHeight="false" outlineLevel="0" collapsed="false">
      <c r="A93" s="107" t="n">
        <v>909</v>
      </c>
      <c r="B93" s="108" t="n">
        <v>1100000</v>
      </c>
    </row>
    <row r="94" customFormat="false" ht="12.75" hidden="false" customHeight="false" outlineLevel="0" collapsed="false">
      <c r="A94" s="107" t="n">
        <v>931</v>
      </c>
      <c r="B94" s="108" t="n">
        <v>1070000</v>
      </c>
    </row>
    <row r="95" customFormat="false" ht="12.75" hidden="false" customHeight="false" outlineLevel="0" collapsed="false">
      <c r="A95" s="107" t="n">
        <v>953</v>
      </c>
      <c r="B95" s="108" t="n">
        <v>1050000</v>
      </c>
    </row>
    <row r="96" customFormat="false" ht="12.75" hidden="false" customHeight="false" outlineLevel="0" collapsed="false">
      <c r="A96" s="107" t="n">
        <v>976</v>
      </c>
      <c r="B96" s="108" t="n">
        <v>1020000</v>
      </c>
    </row>
    <row r="97" customFormat="false" ht="12.75" hidden="false" customHeight="false" outlineLevel="0" collapsed="false">
      <c r="A97" s="5" t="n">
        <v>1000</v>
      </c>
      <c r="B97" s="108" t="n">
        <v>1000000</v>
      </c>
    </row>
    <row r="98" customFormat="false" ht="12.75" hidden="false" customHeight="false" outlineLevel="0" collapsed="false">
      <c r="A98" s="5" t="n">
        <v>1020</v>
      </c>
      <c r="B98" s="109" t="n">
        <v>976000</v>
      </c>
    </row>
    <row r="99" customFormat="false" ht="12.75" hidden="false" customHeight="false" outlineLevel="0" collapsed="false">
      <c r="A99" s="5" t="n">
        <v>1050</v>
      </c>
      <c r="B99" s="109" t="n">
        <v>953000</v>
      </c>
    </row>
    <row r="100" customFormat="false" ht="12.75" hidden="false" customHeight="false" outlineLevel="0" collapsed="false">
      <c r="A100" s="5" t="n">
        <v>1070</v>
      </c>
      <c r="B100" s="109" t="n">
        <v>931000</v>
      </c>
    </row>
    <row r="101" customFormat="false" ht="12.75" hidden="false" customHeight="false" outlineLevel="0" collapsed="false">
      <c r="A101" s="5" t="n">
        <v>1100</v>
      </c>
      <c r="B101" s="109" t="n">
        <v>909000</v>
      </c>
    </row>
    <row r="102" customFormat="false" ht="12.75" hidden="false" customHeight="false" outlineLevel="0" collapsed="false">
      <c r="A102" s="5" t="n">
        <v>1130</v>
      </c>
      <c r="B102" s="109" t="n">
        <v>887000</v>
      </c>
    </row>
    <row r="103" customFormat="false" ht="12.75" hidden="false" customHeight="false" outlineLevel="0" collapsed="false">
      <c r="A103" s="5" t="n">
        <v>1150</v>
      </c>
      <c r="B103" s="109" t="n">
        <v>866000</v>
      </c>
    </row>
    <row r="104" customFormat="false" ht="12.75" hidden="false" customHeight="false" outlineLevel="0" collapsed="false">
      <c r="A104" s="5" t="n">
        <v>1180</v>
      </c>
      <c r="B104" s="109" t="n">
        <v>845000</v>
      </c>
    </row>
    <row r="105" customFormat="false" ht="12.75" hidden="false" customHeight="false" outlineLevel="0" collapsed="false">
      <c r="A105" s="5" t="n">
        <v>1210</v>
      </c>
      <c r="B105" s="109" t="n">
        <v>825000</v>
      </c>
    </row>
    <row r="106" customFormat="false" ht="12.75" hidden="false" customHeight="false" outlineLevel="0" collapsed="false">
      <c r="A106" s="5" t="n">
        <v>1240</v>
      </c>
      <c r="B106" s="109" t="n">
        <v>806000</v>
      </c>
    </row>
    <row r="107" customFormat="false" ht="12.75" hidden="false" customHeight="false" outlineLevel="0" collapsed="false">
      <c r="A107" s="5" t="n">
        <v>1270</v>
      </c>
      <c r="B107" s="109" t="n">
        <v>787000</v>
      </c>
    </row>
    <row r="108" customFormat="false" ht="12.75" hidden="false" customHeight="false" outlineLevel="0" collapsed="false">
      <c r="A108" s="5" t="n">
        <v>1300</v>
      </c>
      <c r="B108" s="109" t="n">
        <v>768000</v>
      </c>
    </row>
    <row r="109" customFormat="false" ht="12.75" hidden="false" customHeight="false" outlineLevel="0" collapsed="false">
      <c r="A109" s="5" t="n">
        <v>1330</v>
      </c>
      <c r="B109" s="109" t="n">
        <v>750000</v>
      </c>
    </row>
    <row r="110" customFormat="false" ht="12.75" hidden="false" customHeight="false" outlineLevel="0" collapsed="false">
      <c r="A110" s="5" t="n">
        <v>1370</v>
      </c>
      <c r="B110" s="109" t="n">
        <v>732000</v>
      </c>
    </row>
    <row r="111" customFormat="false" ht="12.75" hidden="false" customHeight="false" outlineLevel="0" collapsed="false">
      <c r="A111" s="5" t="n">
        <v>1400</v>
      </c>
      <c r="B111" s="109" t="n">
        <v>715000</v>
      </c>
    </row>
    <row r="112" customFormat="false" ht="12.75" hidden="false" customHeight="false" outlineLevel="0" collapsed="false">
      <c r="A112" s="5" t="n">
        <v>1430</v>
      </c>
      <c r="B112" s="109" t="n">
        <v>698000</v>
      </c>
    </row>
    <row r="113" customFormat="false" ht="12.75" hidden="false" customHeight="false" outlineLevel="0" collapsed="false">
      <c r="A113" s="5" t="n">
        <v>1470</v>
      </c>
      <c r="B113" s="109" t="n">
        <v>681000</v>
      </c>
    </row>
    <row r="114" customFormat="false" ht="12.75" hidden="false" customHeight="false" outlineLevel="0" collapsed="false">
      <c r="A114" s="5" t="n">
        <v>1500</v>
      </c>
      <c r="B114" s="109" t="n">
        <v>665000</v>
      </c>
    </row>
    <row r="115" customFormat="false" ht="12.75" hidden="false" customHeight="false" outlineLevel="0" collapsed="false">
      <c r="A115" s="5" t="n">
        <v>1540</v>
      </c>
      <c r="B115" s="109" t="n">
        <v>649000</v>
      </c>
    </row>
    <row r="116" customFormat="false" ht="12.75" hidden="false" customHeight="false" outlineLevel="0" collapsed="false">
      <c r="A116" s="5" t="n">
        <v>1580</v>
      </c>
      <c r="B116" s="109" t="n">
        <v>634000</v>
      </c>
    </row>
    <row r="117" customFormat="false" ht="12.75" hidden="false" customHeight="false" outlineLevel="0" collapsed="false">
      <c r="A117" s="5" t="n">
        <v>1620</v>
      </c>
      <c r="B117" s="109" t="n">
        <v>619000</v>
      </c>
    </row>
    <row r="118" customFormat="false" ht="12.75" hidden="false" customHeight="false" outlineLevel="0" collapsed="false">
      <c r="A118" s="5" t="n">
        <v>1650</v>
      </c>
      <c r="B118" s="109" t="n">
        <v>604000</v>
      </c>
    </row>
    <row r="119" customFormat="false" ht="12.75" hidden="false" customHeight="false" outlineLevel="0" collapsed="false">
      <c r="A119" s="5" t="n">
        <v>1690</v>
      </c>
      <c r="B119" s="109" t="n">
        <v>590000</v>
      </c>
    </row>
    <row r="120" customFormat="false" ht="12.75" hidden="false" customHeight="false" outlineLevel="0" collapsed="false">
      <c r="A120" s="5" t="n">
        <v>1740</v>
      </c>
      <c r="B120" s="109" t="n">
        <v>576000</v>
      </c>
    </row>
    <row r="121" customFormat="false" ht="12.75" hidden="false" customHeight="false" outlineLevel="0" collapsed="false">
      <c r="A121" s="5" t="n">
        <v>1780</v>
      </c>
      <c r="B121" s="109" t="n">
        <v>562000</v>
      </c>
    </row>
    <row r="122" customFormat="false" ht="12.75" hidden="false" customHeight="false" outlineLevel="0" collapsed="false">
      <c r="A122" s="5" t="n">
        <v>1820</v>
      </c>
      <c r="B122" s="109" t="n">
        <v>549000</v>
      </c>
    </row>
    <row r="123" customFormat="false" ht="12.75" hidden="false" customHeight="false" outlineLevel="0" collapsed="false">
      <c r="A123" s="5" t="n">
        <v>1870</v>
      </c>
      <c r="B123" s="109" t="n">
        <v>536000</v>
      </c>
    </row>
    <row r="124" customFormat="false" ht="12.75" hidden="false" customHeight="false" outlineLevel="0" collapsed="false">
      <c r="A124" s="5" t="n">
        <v>1910</v>
      </c>
      <c r="B124" s="109" t="n">
        <v>523000</v>
      </c>
    </row>
    <row r="125" customFormat="false" ht="12.75" hidden="false" customHeight="false" outlineLevel="0" collapsed="false">
      <c r="A125" s="5" t="n">
        <v>1960</v>
      </c>
      <c r="B125" s="109" t="n">
        <v>511000</v>
      </c>
    </row>
    <row r="126" customFormat="false" ht="12.75" hidden="false" customHeight="false" outlineLevel="0" collapsed="false">
      <c r="A126" s="5" t="n">
        <v>2000</v>
      </c>
      <c r="B126" s="109" t="n">
        <v>499000</v>
      </c>
    </row>
    <row r="127" customFormat="false" ht="12.75" hidden="false" customHeight="false" outlineLevel="0" collapsed="false">
      <c r="A127" s="5" t="n">
        <v>2050</v>
      </c>
      <c r="B127" s="109" t="n">
        <v>487000</v>
      </c>
    </row>
    <row r="128" customFormat="false" ht="12.75" hidden="false" customHeight="false" outlineLevel="0" collapsed="false">
      <c r="A128" s="5" t="n">
        <v>2100</v>
      </c>
      <c r="B128" s="109" t="n">
        <v>475000</v>
      </c>
    </row>
    <row r="129" customFormat="false" ht="12.75" hidden="false" customHeight="false" outlineLevel="0" collapsed="false">
      <c r="A129" s="5" t="n">
        <v>2150</v>
      </c>
      <c r="B129" s="109" t="n">
        <v>464000</v>
      </c>
    </row>
    <row r="130" customFormat="false" ht="12.75" hidden="false" customHeight="false" outlineLevel="0" collapsed="false">
      <c r="A130" s="5" t="n">
        <v>2210</v>
      </c>
      <c r="B130" s="109" t="n">
        <v>453000</v>
      </c>
    </row>
    <row r="131" customFormat="false" ht="12.75" hidden="false" customHeight="false" outlineLevel="0" collapsed="false">
      <c r="A131" s="5" t="n">
        <v>2260</v>
      </c>
      <c r="B131" s="109" t="n">
        <v>442000</v>
      </c>
    </row>
    <row r="132" customFormat="false" ht="12.75" hidden="false" customHeight="false" outlineLevel="0" collapsed="false">
      <c r="A132" s="5" t="n">
        <v>2320</v>
      </c>
      <c r="B132" s="109" t="n">
        <v>432000</v>
      </c>
    </row>
    <row r="133" customFormat="false" ht="12.75" hidden="false" customHeight="false" outlineLevel="0" collapsed="false">
      <c r="A133" s="5" t="n">
        <v>2370</v>
      </c>
      <c r="B133" s="109" t="n">
        <v>422000</v>
      </c>
    </row>
    <row r="134" customFormat="false" ht="12.75" hidden="false" customHeight="false" outlineLevel="0" collapsed="false">
      <c r="A134" s="5" t="n">
        <v>2430</v>
      </c>
      <c r="B134" s="109" t="n">
        <v>412000</v>
      </c>
    </row>
    <row r="135" customFormat="false" ht="12.75" hidden="false" customHeight="false" outlineLevel="0" collapsed="false">
      <c r="A135" s="5" t="n">
        <v>2490</v>
      </c>
      <c r="B135" s="109" t="n">
        <v>402000</v>
      </c>
    </row>
    <row r="136" customFormat="false" ht="12.75" hidden="false" customHeight="false" outlineLevel="0" collapsed="false">
      <c r="A136" s="5" t="n">
        <v>2550</v>
      </c>
      <c r="B136" s="109" t="n">
        <v>392000</v>
      </c>
    </row>
    <row r="137" customFormat="false" ht="12.75" hidden="false" customHeight="false" outlineLevel="0" collapsed="false">
      <c r="A137" s="5" t="n">
        <v>2610</v>
      </c>
      <c r="B137" s="109" t="n">
        <v>383000</v>
      </c>
    </row>
    <row r="138" customFormat="false" ht="12.75" hidden="false" customHeight="false" outlineLevel="0" collapsed="false">
      <c r="A138" s="5" t="n">
        <v>2670</v>
      </c>
      <c r="B138" s="109" t="n">
        <v>374000</v>
      </c>
    </row>
    <row r="139" customFormat="false" ht="12.75" hidden="false" customHeight="false" outlineLevel="0" collapsed="false">
      <c r="A139" s="5" t="n">
        <v>2740</v>
      </c>
      <c r="B139" s="109" t="n">
        <v>365000</v>
      </c>
    </row>
    <row r="140" customFormat="false" ht="12.75" hidden="false" customHeight="false" outlineLevel="0" collapsed="false">
      <c r="A140" s="5" t="n">
        <v>2800</v>
      </c>
      <c r="B140" s="109" t="n">
        <v>357000</v>
      </c>
    </row>
    <row r="141" customFormat="false" ht="12.75" hidden="false" customHeight="false" outlineLevel="0" collapsed="false">
      <c r="A141" s="5" t="n">
        <v>2870</v>
      </c>
      <c r="B141" s="109" t="n">
        <v>348000</v>
      </c>
    </row>
    <row r="142" customFormat="false" ht="12.75" hidden="false" customHeight="false" outlineLevel="0" collapsed="false">
      <c r="A142" s="5" t="n">
        <v>2940</v>
      </c>
      <c r="B142" s="109" t="n">
        <v>340000</v>
      </c>
    </row>
    <row r="143" customFormat="false" ht="12.75" hidden="false" customHeight="false" outlineLevel="0" collapsed="false">
      <c r="A143" s="5" t="n">
        <v>3010</v>
      </c>
      <c r="B143" s="109" t="n">
        <v>332000</v>
      </c>
    </row>
    <row r="144" customFormat="false" ht="12.75" hidden="false" customHeight="false" outlineLevel="0" collapsed="false">
      <c r="A144" s="5" t="n">
        <v>3090</v>
      </c>
      <c r="B144" s="109" t="n">
        <v>324000</v>
      </c>
    </row>
    <row r="145" customFormat="false" ht="12.75" hidden="false" customHeight="false" outlineLevel="0" collapsed="false">
      <c r="A145" s="5" t="n">
        <v>3160</v>
      </c>
      <c r="B145" s="109" t="n">
        <v>316000</v>
      </c>
    </row>
    <row r="146" customFormat="false" ht="12.75" hidden="false" customHeight="false" outlineLevel="0" collapsed="false">
      <c r="A146" s="5" t="n">
        <v>3240</v>
      </c>
      <c r="B146" s="109" t="n">
        <v>309000</v>
      </c>
    </row>
    <row r="147" customFormat="false" ht="12.75" hidden="false" customHeight="false" outlineLevel="0" collapsed="false">
      <c r="A147" s="5" t="n">
        <v>3320</v>
      </c>
      <c r="B147" s="109" t="n">
        <v>301000</v>
      </c>
    </row>
    <row r="148" customFormat="false" ht="12.75" hidden="false" customHeight="false" outlineLevel="0" collapsed="false">
      <c r="A148" s="5" t="n">
        <v>3400</v>
      </c>
      <c r="B148" s="109" t="n">
        <v>294000</v>
      </c>
    </row>
    <row r="149" customFormat="false" ht="12.75" hidden="false" customHeight="false" outlineLevel="0" collapsed="false">
      <c r="A149" s="5" t="n">
        <v>3480</v>
      </c>
      <c r="B149" s="109" t="n">
        <v>287000</v>
      </c>
    </row>
    <row r="150" customFormat="false" ht="12.75" hidden="false" customHeight="false" outlineLevel="0" collapsed="false">
      <c r="A150" s="5" t="n">
        <v>3570</v>
      </c>
      <c r="B150" s="109" t="n">
        <v>280000</v>
      </c>
    </row>
    <row r="151" customFormat="false" ht="12.75" hidden="false" customHeight="false" outlineLevel="0" collapsed="false">
      <c r="A151" s="5" t="n">
        <v>3650</v>
      </c>
      <c r="B151" s="109" t="n">
        <v>274000</v>
      </c>
    </row>
    <row r="152" customFormat="false" ht="12.75" hidden="false" customHeight="false" outlineLevel="0" collapsed="false">
      <c r="A152" s="5" t="n">
        <v>3740</v>
      </c>
      <c r="B152" s="109" t="n">
        <v>267000</v>
      </c>
    </row>
    <row r="153" customFormat="false" ht="12.75" hidden="false" customHeight="false" outlineLevel="0" collapsed="false">
      <c r="A153" s="5" t="n">
        <v>3830</v>
      </c>
      <c r="B153" s="109" t="n">
        <v>261000</v>
      </c>
    </row>
    <row r="154" customFormat="false" ht="12.75" hidden="false" customHeight="false" outlineLevel="0" collapsed="false">
      <c r="A154" s="5" t="n">
        <v>3920</v>
      </c>
      <c r="B154" s="109" t="n">
        <v>255000</v>
      </c>
    </row>
    <row r="155" customFormat="false" ht="12.75" hidden="false" customHeight="false" outlineLevel="0" collapsed="false">
      <c r="A155" s="5" t="n">
        <v>4020</v>
      </c>
      <c r="B155" s="109" t="n">
        <v>249000</v>
      </c>
    </row>
    <row r="156" customFormat="false" ht="12.75" hidden="false" customHeight="false" outlineLevel="0" collapsed="false">
      <c r="A156" s="5" t="n">
        <v>4120</v>
      </c>
      <c r="B156" s="109" t="n">
        <v>243000</v>
      </c>
    </row>
    <row r="157" customFormat="false" ht="12.75" hidden="false" customHeight="false" outlineLevel="0" collapsed="false">
      <c r="A157" s="5" t="n">
        <v>4220</v>
      </c>
      <c r="B157" s="109" t="n">
        <v>237000</v>
      </c>
    </row>
    <row r="158" customFormat="false" ht="12.75" hidden="false" customHeight="false" outlineLevel="0" collapsed="false">
      <c r="A158" s="5" t="n">
        <v>4320</v>
      </c>
      <c r="B158" s="109" t="n">
        <v>232000</v>
      </c>
    </row>
    <row r="159" customFormat="false" ht="12.75" hidden="false" customHeight="false" outlineLevel="0" collapsed="false">
      <c r="A159" s="5" t="n">
        <v>4420</v>
      </c>
      <c r="B159" s="109" t="n">
        <v>226000</v>
      </c>
    </row>
    <row r="160" customFormat="false" ht="12.75" hidden="false" customHeight="false" outlineLevel="0" collapsed="false">
      <c r="A160" s="5" t="n">
        <v>4530</v>
      </c>
      <c r="B160" s="109" t="n">
        <v>221000</v>
      </c>
    </row>
    <row r="161" customFormat="false" ht="12.75" hidden="false" customHeight="false" outlineLevel="0" collapsed="false">
      <c r="A161" s="5" t="n">
        <v>4640</v>
      </c>
      <c r="B161" s="109" t="n">
        <v>215000</v>
      </c>
    </row>
    <row r="162" customFormat="false" ht="12.75" hidden="false" customHeight="false" outlineLevel="0" collapsed="false">
      <c r="A162" s="5" t="n">
        <v>4750</v>
      </c>
      <c r="B162" s="109" t="n">
        <v>210000</v>
      </c>
    </row>
    <row r="163" customFormat="false" ht="12.75" hidden="false" customHeight="false" outlineLevel="0" collapsed="false">
      <c r="A163" s="5" t="n">
        <v>4870</v>
      </c>
      <c r="B163" s="109" t="n">
        <v>205000</v>
      </c>
    </row>
    <row r="164" customFormat="false" ht="12.75" hidden="false" customHeight="false" outlineLevel="0" collapsed="false">
      <c r="A164" s="5" t="n">
        <v>4990</v>
      </c>
      <c r="B164" s="109" t="n">
        <v>200000</v>
      </c>
    </row>
    <row r="165" customFormat="false" ht="12.75" hidden="false" customHeight="false" outlineLevel="0" collapsed="false">
      <c r="A165" s="5" t="n">
        <v>5110</v>
      </c>
      <c r="B165" s="109" t="n">
        <v>196000</v>
      </c>
    </row>
    <row r="166" customFormat="false" ht="12.75" hidden="false" customHeight="false" outlineLevel="0" collapsed="false">
      <c r="A166" s="5" t="n">
        <v>5230</v>
      </c>
      <c r="B166" s="109" t="n">
        <v>191000</v>
      </c>
    </row>
    <row r="167" customFormat="false" ht="12.75" hidden="false" customHeight="false" outlineLevel="0" collapsed="false">
      <c r="A167" s="5" t="n">
        <v>5360</v>
      </c>
      <c r="B167" s="109" t="n">
        <v>187000</v>
      </c>
    </row>
    <row r="168" customFormat="false" ht="12.75" hidden="false" customHeight="false" outlineLevel="0" collapsed="false">
      <c r="A168" s="5" t="n">
        <v>5490</v>
      </c>
      <c r="B168" s="109" t="n">
        <v>182000</v>
      </c>
    </row>
    <row r="169" customFormat="false" ht="12.75" hidden="false" customHeight="false" outlineLevel="0" collapsed="false">
      <c r="A169" s="5" t="n">
        <v>5620</v>
      </c>
      <c r="B169" s="109" t="n">
        <v>178000</v>
      </c>
    </row>
    <row r="170" customFormat="false" ht="12.75" hidden="false" customHeight="false" outlineLevel="0" collapsed="false">
      <c r="A170" s="5" t="n">
        <v>5760</v>
      </c>
      <c r="B170" s="109" t="n">
        <v>174000</v>
      </c>
    </row>
    <row r="171" customFormat="false" ht="12.75" hidden="false" customHeight="false" outlineLevel="0" collapsed="false">
      <c r="A171" s="5" t="n">
        <v>5900</v>
      </c>
      <c r="B171" s="109" t="n">
        <v>169000</v>
      </c>
    </row>
    <row r="172" customFormat="false" ht="12.75" hidden="false" customHeight="false" outlineLevel="0" collapsed="false">
      <c r="A172" s="5" t="n">
        <v>6040</v>
      </c>
      <c r="B172" s="109" t="n">
        <v>165000</v>
      </c>
    </row>
    <row r="173" customFormat="false" ht="12.75" hidden="false" customHeight="false" outlineLevel="0" collapsed="false">
      <c r="A173" s="5" t="n">
        <v>6190</v>
      </c>
      <c r="B173" s="109" t="n">
        <v>162000</v>
      </c>
    </row>
    <row r="174" customFormat="false" ht="12.75" hidden="false" customHeight="false" outlineLevel="0" collapsed="false">
      <c r="A174" s="5" t="n">
        <v>6340</v>
      </c>
      <c r="B174" s="109" t="n">
        <v>158000</v>
      </c>
    </row>
    <row r="175" customFormat="false" ht="12.75" hidden="false" customHeight="false" outlineLevel="0" collapsed="false">
      <c r="A175" s="5" t="n">
        <v>6490</v>
      </c>
      <c r="B175" s="109" t="n">
        <v>154000</v>
      </c>
    </row>
    <row r="176" customFormat="false" ht="12.75" hidden="false" customHeight="false" outlineLevel="0" collapsed="false">
      <c r="A176" s="5" t="n">
        <v>6650</v>
      </c>
      <c r="B176" s="109" t="n">
        <v>150000</v>
      </c>
    </row>
    <row r="177" customFormat="false" ht="12.75" hidden="false" customHeight="false" outlineLevel="0" collapsed="false">
      <c r="A177" s="5" t="n">
        <v>6810</v>
      </c>
      <c r="B177" s="109" t="n">
        <v>147000</v>
      </c>
    </row>
    <row r="178" customFormat="false" ht="12.75" hidden="false" customHeight="false" outlineLevel="0" collapsed="false">
      <c r="A178" s="5" t="n">
        <v>6980</v>
      </c>
      <c r="B178" s="109" t="n">
        <v>143000</v>
      </c>
    </row>
    <row r="179" customFormat="false" ht="12.75" hidden="false" customHeight="false" outlineLevel="0" collapsed="false">
      <c r="A179" s="5" t="n">
        <v>7150</v>
      </c>
      <c r="B179" s="109" t="n">
        <v>140000</v>
      </c>
    </row>
    <row r="180" customFormat="false" ht="12.75" hidden="false" customHeight="false" outlineLevel="0" collapsed="false">
      <c r="A180" s="5" t="n">
        <v>7320</v>
      </c>
      <c r="B180" s="109" t="n">
        <v>137000</v>
      </c>
    </row>
    <row r="181" customFormat="false" ht="12.75" hidden="false" customHeight="false" outlineLevel="0" collapsed="false">
      <c r="A181" s="5" t="n">
        <v>7500</v>
      </c>
      <c r="B181" s="109" t="n">
        <v>133000</v>
      </c>
    </row>
    <row r="182" customFormat="false" ht="12.75" hidden="false" customHeight="false" outlineLevel="0" collapsed="false">
      <c r="A182" s="5" t="n">
        <v>7680</v>
      </c>
      <c r="B182" s="109" t="n">
        <v>130000</v>
      </c>
    </row>
    <row r="183" customFormat="false" ht="12.75" hidden="false" customHeight="false" outlineLevel="0" collapsed="false">
      <c r="A183" s="5" t="n">
        <v>7870</v>
      </c>
      <c r="B183" s="109" t="n">
        <v>127000</v>
      </c>
    </row>
    <row r="184" customFormat="false" ht="12.75" hidden="false" customHeight="false" outlineLevel="0" collapsed="false">
      <c r="A184" s="5" t="n">
        <v>8060</v>
      </c>
      <c r="B184" s="109" t="n">
        <v>124000</v>
      </c>
    </row>
    <row r="185" customFormat="false" ht="12.75" hidden="false" customHeight="false" outlineLevel="0" collapsed="false">
      <c r="A185" s="5" t="n">
        <v>8250</v>
      </c>
      <c r="B185" s="109" t="n">
        <v>121000</v>
      </c>
    </row>
    <row r="186" customFormat="false" ht="12.75" hidden="false" customHeight="false" outlineLevel="0" collapsed="false">
      <c r="A186" s="5" t="n">
        <v>8450</v>
      </c>
      <c r="B186" s="109" t="n">
        <v>118000</v>
      </c>
    </row>
    <row r="187" customFormat="false" ht="12.75" hidden="false" customHeight="false" outlineLevel="0" collapsed="false">
      <c r="A187" s="5" t="n">
        <v>8660</v>
      </c>
      <c r="B187" s="109" t="n">
        <v>115000</v>
      </c>
    </row>
    <row r="188" customFormat="false" ht="12.75" hidden="false" customHeight="false" outlineLevel="0" collapsed="false">
      <c r="A188" s="5" t="n">
        <v>8870</v>
      </c>
      <c r="B188" s="109" t="n">
        <v>113000</v>
      </c>
    </row>
    <row r="189" customFormat="false" ht="12.75" hidden="false" customHeight="false" outlineLevel="0" collapsed="false">
      <c r="A189" s="5" t="n">
        <v>9090</v>
      </c>
      <c r="B189" s="109" t="n">
        <v>110000</v>
      </c>
    </row>
    <row r="190" customFormat="false" ht="12.75" hidden="false" customHeight="false" outlineLevel="0" collapsed="false">
      <c r="A190" s="5" t="n">
        <v>9310</v>
      </c>
      <c r="B190" s="109" t="n">
        <v>107000</v>
      </c>
    </row>
    <row r="191" customFormat="false" ht="12.75" hidden="false" customHeight="false" outlineLevel="0" collapsed="false">
      <c r="A191" s="5" t="n">
        <v>9530</v>
      </c>
      <c r="B191" s="109" t="n">
        <v>105000</v>
      </c>
    </row>
    <row r="192" customFormat="false" ht="12.75" hidden="false" customHeight="false" outlineLevel="0" collapsed="false">
      <c r="A192" s="5" t="n">
        <v>9760</v>
      </c>
      <c r="B192" s="109" t="n">
        <v>102000</v>
      </c>
    </row>
    <row r="193" customFormat="false" ht="12.75" hidden="false" customHeight="false" outlineLevel="0" collapsed="false">
      <c r="A193" s="100" t="n">
        <v>10000</v>
      </c>
      <c r="B193" s="109" t="n">
        <v>100000</v>
      </c>
    </row>
    <row r="194" customFormat="false" ht="12.75" hidden="false" customHeight="false" outlineLevel="0" collapsed="false">
      <c r="A194" s="100" t="n">
        <v>10200</v>
      </c>
      <c r="B194" s="100" t="n">
        <v>97600</v>
      </c>
    </row>
    <row r="195" customFormat="false" ht="12.75" hidden="false" customHeight="false" outlineLevel="0" collapsed="false">
      <c r="A195" s="100" t="n">
        <v>10500</v>
      </c>
      <c r="B195" s="100" t="n">
        <v>95300</v>
      </c>
    </row>
    <row r="196" customFormat="false" ht="12.75" hidden="false" customHeight="false" outlineLevel="0" collapsed="false">
      <c r="A196" s="100" t="n">
        <v>10700</v>
      </c>
      <c r="B196" s="100" t="n">
        <v>93100</v>
      </c>
    </row>
    <row r="197" customFormat="false" ht="12.75" hidden="false" customHeight="false" outlineLevel="0" collapsed="false">
      <c r="A197" s="100" t="n">
        <v>11000</v>
      </c>
      <c r="B197" s="100" t="n">
        <v>90900</v>
      </c>
    </row>
    <row r="198" customFormat="false" ht="12.75" hidden="false" customHeight="false" outlineLevel="0" collapsed="false">
      <c r="A198" s="100" t="n">
        <v>11300</v>
      </c>
      <c r="B198" s="100" t="n">
        <v>88700</v>
      </c>
    </row>
    <row r="199" customFormat="false" ht="12.75" hidden="false" customHeight="false" outlineLevel="0" collapsed="false">
      <c r="A199" s="100" t="n">
        <v>11500</v>
      </c>
      <c r="B199" s="100" t="n">
        <v>86600</v>
      </c>
    </row>
    <row r="200" customFormat="false" ht="12.75" hidden="false" customHeight="false" outlineLevel="0" collapsed="false">
      <c r="A200" s="100" t="n">
        <v>11800</v>
      </c>
      <c r="B200" s="100" t="n">
        <v>84500</v>
      </c>
    </row>
    <row r="201" customFormat="false" ht="12.75" hidden="false" customHeight="false" outlineLevel="0" collapsed="false">
      <c r="A201" s="100" t="n">
        <v>12100</v>
      </c>
      <c r="B201" s="100" t="n">
        <v>82500</v>
      </c>
    </row>
    <row r="202" customFormat="false" ht="12.75" hidden="false" customHeight="false" outlineLevel="0" collapsed="false">
      <c r="A202" s="100" t="n">
        <v>12400</v>
      </c>
      <c r="B202" s="100" t="n">
        <v>80600</v>
      </c>
    </row>
    <row r="203" customFormat="false" ht="12.75" hidden="false" customHeight="false" outlineLevel="0" collapsed="false">
      <c r="A203" s="100" t="n">
        <v>12700</v>
      </c>
      <c r="B203" s="100" t="n">
        <v>78700</v>
      </c>
    </row>
    <row r="204" customFormat="false" ht="12.75" hidden="false" customHeight="false" outlineLevel="0" collapsed="false">
      <c r="A204" s="100" t="n">
        <v>13000</v>
      </c>
      <c r="B204" s="100" t="n">
        <v>76800</v>
      </c>
    </row>
    <row r="205" customFormat="false" ht="12.75" hidden="false" customHeight="false" outlineLevel="0" collapsed="false">
      <c r="A205" s="100" t="n">
        <v>13300</v>
      </c>
      <c r="B205" s="100" t="n">
        <v>75000</v>
      </c>
    </row>
    <row r="206" customFormat="false" ht="12.75" hidden="false" customHeight="false" outlineLevel="0" collapsed="false">
      <c r="A206" s="100" t="n">
        <v>13700</v>
      </c>
      <c r="B206" s="100" t="n">
        <v>73200</v>
      </c>
    </row>
    <row r="207" customFormat="false" ht="12.75" hidden="false" customHeight="false" outlineLevel="0" collapsed="false">
      <c r="A207" s="100" t="n">
        <v>14000</v>
      </c>
      <c r="B207" s="100" t="n">
        <v>71500</v>
      </c>
    </row>
    <row r="208" customFormat="false" ht="12.75" hidden="false" customHeight="false" outlineLevel="0" collapsed="false">
      <c r="A208" s="100" t="n">
        <v>14300</v>
      </c>
      <c r="B208" s="100" t="n">
        <v>69800</v>
      </c>
    </row>
    <row r="209" customFormat="false" ht="12.75" hidden="false" customHeight="false" outlineLevel="0" collapsed="false">
      <c r="A209" s="100" t="n">
        <v>14700</v>
      </c>
      <c r="B209" s="100" t="n">
        <v>68100</v>
      </c>
    </row>
    <row r="210" customFormat="false" ht="12.75" hidden="false" customHeight="false" outlineLevel="0" collapsed="false">
      <c r="A210" s="100" t="n">
        <v>15000</v>
      </c>
      <c r="B210" s="100" t="n">
        <v>66500</v>
      </c>
    </row>
    <row r="211" customFormat="false" ht="12.75" hidden="false" customHeight="false" outlineLevel="0" collapsed="false">
      <c r="A211" s="100" t="n">
        <v>15400</v>
      </c>
      <c r="B211" s="100" t="n">
        <v>64900</v>
      </c>
    </row>
    <row r="212" customFormat="false" ht="12.75" hidden="false" customHeight="false" outlineLevel="0" collapsed="false">
      <c r="A212" s="100" t="n">
        <v>15800</v>
      </c>
      <c r="B212" s="100" t="n">
        <v>63400</v>
      </c>
    </row>
    <row r="213" customFormat="false" ht="12.75" hidden="false" customHeight="false" outlineLevel="0" collapsed="false">
      <c r="A213" s="100" t="n">
        <v>16200</v>
      </c>
      <c r="B213" s="100" t="n">
        <v>61900</v>
      </c>
    </row>
    <row r="214" customFormat="false" ht="12.75" hidden="false" customHeight="false" outlineLevel="0" collapsed="false">
      <c r="A214" s="100" t="n">
        <v>16500</v>
      </c>
      <c r="B214" s="100" t="n">
        <v>60400</v>
      </c>
    </row>
    <row r="215" customFormat="false" ht="12.75" hidden="false" customHeight="false" outlineLevel="0" collapsed="false">
      <c r="A215" s="100" t="n">
        <v>16900</v>
      </c>
      <c r="B215" s="100" t="n">
        <v>59000</v>
      </c>
    </row>
    <row r="216" customFormat="false" ht="12.75" hidden="false" customHeight="false" outlineLevel="0" collapsed="false">
      <c r="A216" s="100" t="n">
        <v>17400</v>
      </c>
      <c r="B216" s="100" t="n">
        <v>57600</v>
      </c>
    </row>
    <row r="217" customFormat="false" ht="12.75" hidden="false" customHeight="false" outlineLevel="0" collapsed="false">
      <c r="A217" s="100" t="n">
        <v>17800</v>
      </c>
      <c r="B217" s="100" t="n">
        <v>56200</v>
      </c>
    </row>
    <row r="218" customFormat="false" ht="12.75" hidden="false" customHeight="false" outlineLevel="0" collapsed="false">
      <c r="A218" s="100" t="n">
        <v>18200</v>
      </c>
      <c r="B218" s="100" t="n">
        <v>54900</v>
      </c>
    </row>
    <row r="219" customFormat="false" ht="12.75" hidden="false" customHeight="false" outlineLevel="0" collapsed="false">
      <c r="A219" s="100" t="n">
        <v>18700</v>
      </c>
      <c r="B219" s="100" t="n">
        <v>53600</v>
      </c>
    </row>
    <row r="220" customFormat="false" ht="12.75" hidden="false" customHeight="false" outlineLevel="0" collapsed="false">
      <c r="A220" s="100" t="n">
        <v>19100</v>
      </c>
      <c r="B220" s="100" t="n">
        <v>52300</v>
      </c>
    </row>
    <row r="221" customFormat="false" ht="12.75" hidden="false" customHeight="false" outlineLevel="0" collapsed="false">
      <c r="A221" s="100" t="n">
        <v>19600</v>
      </c>
      <c r="B221" s="100" t="n">
        <v>51100</v>
      </c>
    </row>
    <row r="222" customFormat="false" ht="12.75" hidden="false" customHeight="false" outlineLevel="0" collapsed="false">
      <c r="A222" s="100" t="n">
        <v>20000</v>
      </c>
      <c r="B222" s="100" t="n">
        <v>49900</v>
      </c>
    </row>
    <row r="223" customFormat="false" ht="12.75" hidden="false" customHeight="false" outlineLevel="0" collapsed="false">
      <c r="A223" s="100" t="n">
        <v>20500</v>
      </c>
      <c r="B223" s="100" t="n">
        <v>48700</v>
      </c>
    </row>
    <row r="224" customFormat="false" ht="12.75" hidden="false" customHeight="false" outlineLevel="0" collapsed="false">
      <c r="A224" s="100" t="n">
        <v>21000</v>
      </c>
      <c r="B224" s="100" t="n">
        <v>47500</v>
      </c>
    </row>
    <row r="225" customFormat="false" ht="12.75" hidden="false" customHeight="false" outlineLevel="0" collapsed="false">
      <c r="A225" s="100" t="n">
        <v>21500</v>
      </c>
      <c r="B225" s="100" t="n">
        <v>46400</v>
      </c>
    </row>
    <row r="226" customFormat="false" ht="12.75" hidden="false" customHeight="false" outlineLevel="0" collapsed="false">
      <c r="A226" s="100" t="n">
        <v>22100</v>
      </c>
      <c r="B226" s="100" t="n">
        <v>45300</v>
      </c>
    </row>
    <row r="227" customFormat="false" ht="12.75" hidden="false" customHeight="false" outlineLevel="0" collapsed="false">
      <c r="A227" s="100" t="n">
        <v>22600</v>
      </c>
      <c r="B227" s="100" t="n">
        <v>44200</v>
      </c>
    </row>
    <row r="228" customFormat="false" ht="12.75" hidden="false" customHeight="false" outlineLevel="0" collapsed="false">
      <c r="A228" s="100" t="n">
        <v>23200</v>
      </c>
      <c r="B228" s="100" t="n">
        <v>43200</v>
      </c>
    </row>
    <row r="229" customFormat="false" ht="12.75" hidden="false" customHeight="false" outlineLevel="0" collapsed="false">
      <c r="A229" s="100" t="n">
        <v>23700</v>
      </c>
      <c r="B229" s="100" t="n">
        <v>42200</v>
      </c>
    </row>
    <row r="230" customFormat="false" ht="12.75" hidden="false" customHeight="false" outlineLevel="0" collapsed="false">
      <c r="A230" s="100" t="n">
        <v>24300</v>
      </c>
      <c r="B230" s="100" t="n">
        <v>41200</v>
      </c>
    </row>
    <row r="231" customFormat="false" ht="12.75" hidden="false" customHeight="false" outlineLevel="0" collapsed="false">
      <c r="A231" s="100" t="n">
        <v>24900</v>
      </c>
      <c r="B231" s="100" t="n">
        <v>40200</v>
      </c>
    </row>
    <row r="232" customFormat="false" ht="12.75" hidden="false" customHeight="false" outlineLevel="0" collapsed="false">
      <c r="A232" s="100" t="n">
        <v>25500</v>
      </c>
      <c r="B232" s="100" t="n">
        <v>39200</v>
      </c>
    </row>
    <row r="233" customFormat="false" ht="12.75" hidden="false" customHeight="false" outlineLevel="0" collapsed="false">
      <c r="A233" s="100" t="n">
        <v>26100</v>
      </c>
      <c r="B233" s="100" t="n">
        <v>38300</v>
      </c>
    </row>
    <row r="234" customFormat="false" ht="12.75" hidden="false" customHeight="false" outlineLevel="0" collapsed="false">
      <c r="A234" s="100" t="n">
        <v>26700</v>
      </c>
      <c r="B234" s="100" t="n">
        <v>37400</v>
      </c>
    </row>
    <row r="235" customFormat="false" ht="12.75" hidden="false" customHeight="false" outlineLevel="0" collapsed="false">
      <c r="A235" s="100" t="n">
        <v>27400</v>
      </c>
      <c r="B235" s="100" t="n">
        <v>36500</v>
      </c>
    </row>
    <row r="236" customFormat="false" ht="12.75" hidden="false" customHeight="false" outlineLevel="0" collapsed="false">
      <c r="A236" s="100" t="n">
        <v>28000</v>
      </c>
      <c r="B236" s="100" t="n">
        <v>35700</v>
      </c>
    </row>
    <row r="237" customFormat="false" ht="12.75" hidden="false" customHeight="false" outlineLevel="0" collapsed="false">
      <c r="A237" s="100" t="n">
        <v>28700</v>
      </c>
      <c r="B237" s="100" t="n">
        <v>34800</v>
      </c>
    </row>
    <row r="238" customFormat="false" ht="12.75" hidden="false" customHeight="false" outlineLevel="0" collapsed="false">
      <c r="A238" s="100" t="n">
        <v>29400</v>
      </c>
      <c r="B238" s="100" t="n">
        <v>34000</v>
      </c>
    </row>
    <row r="239" customFormat="false" ht="12.75" hidden="false" customHeight="false" outlineLevel="0" collapsed="false">
      <c r="A239" s="100" t="n">
        <v>30100</v>
      </c>
      <c r="B239" s="100" t="n">
        <v>33200</v>
      </c>
    </row>
    <row r="240" customFormat="false" ht="12.75" hidden="false" customHeight="false" outlineLevel="0" collapsed="false">
      <c r="A240" s="100" t="n">
        <v>30900</v>
      </c>
      <c r="B240" s="100" t="n">
        <v>32400</v>
      </c>
    </row>
    <row r="241" customFormat="false" ht="12.75" hidden="false" customHeight="false" outlineLevel="0" collapsed="false">
      <c r="A241" s="100" t="n">
        <v>31600</v>
      </c>
      <c r="B241" s="100" t="n">
        <v>31600</v>
      </c>
    </row>
    <row r="242" customFormat="false" ht="12.75" hidden="false" customHeight="false" outlineLevel="0" collapsed="false">
      <c r="A242" s="100" t="n">
        <v>32400</v>
      </c>
      <c r="B242" s="100" t="n">
        <v>30900</v>
      </c>
    </row>
    <row r="243" customFormat="false" ht="12.75" hidden="false" customHeight="false" outlineLevel="0" collapsed="false">
      <c r="A243" s="100" t="n">
        <v>33200</v>
      </c>
      <c r="B243" s="100" t="n">
        <v>30100</v>
      </c>
    </row>
    <row r="244" customFormat="false" ht="12.75" hidden="false" customHeight="false" outlineLevel="0" collapsed="false">
      <c r="A244" s="100" t="n">
        <v>34000</v>
      </c>
      <c r="B244" s="100" t="n">
        <v>29400</v>
      </c>
    </row>
    <row r="245" customFormat="false" ht="12.75" hidden="false" customHeight="false" outlineLevel="0" collapsed="false">
      <c r="A245" s="100" t="n">
        <v>34800</v>
      </c>
      <c r="B245" s="100" t="n">
        <v>28700</v>
      </c>
    </row>
    <row r="246" customFormat="false" ht="12.75" hidden="false" customHeight="false" outlineLevel="0" collapsed="false">
      <c r="A246" s="100" t="n">
        <v>35700</v>
      </c>
      <c r="B246" s="100" t="n">
        <v>28000</v>
      </c>
    </row>
    <row r="247" customFormat="false" ht="12.75" hidden="false" customHeight="false" outlineLevel="0" collapsed="false">
      <c r="A247" s="100" t="n">
        <v>36500</v>
      </c>
      <c r="B247" s="100" t="n">
        <v>27400</v>
      </c>
    </row>
    <row r="248" customFormat="false" ht="12.75" hidden="false" customHeight="false" outlineLevel="0" collapsed="false">
      <c r="A248" s="100" t="n">
        <v>37400</v>
      </c>
      <c r="B248" s="100" t="n">
        <v>26700</v>
      </c>
    </row>
    <row r="249" customFormat="false" ht="12.75" hidden="false" customHeight="false" outlineLevel="0" collapsed="false">
      <c r="A249" s="100" t="n">
        <v>38300</v>
      </c>
      <c r="B249" s="100" t="n">
        <v>26100</v>
      </c>
    </row>
    <row r="250" customFormat="false" ht="12.75" hidden="false" customHeight="false" outlineLevel="0" collapsed="false">
      <c r="A250" s="100" t="n">
        <v>39200</v>
      </c>
      <c r="B250" s="100" t="n">
        <v>25500</v>
      </c>
    </row>
    <row r="251" customFormat="false" ht="12.75" hidden="false" customHeight="false" outlineLevel="0" collapsed="false">
      <c r="A251" s="100" t="n">
        <v>40200</v>
      </c>
      <c r="B251" s="100" t="n">
        <v>24900</v>
      </c>
    </row>
    <row r="252" customFormat="false" ht="12.75" hidden="false" customHeight="false" outlineLevel="0" collapsed="false">
      <c r="A252" s="100" t="n">
        <v>41200</v>
      </c>
      <c r="B252" s="100" t="n">
        <v>24300</v>
      </c>
    </row>
    <row r="253" customFormat="false" ht="12.75" hidden="false" customHeight="false" outlineLevel="0" collapsed="false">
      <c r="A253" s="100" t="n">
        <v>42200</v>
      </c>
      <c r="B253" s="100" t="n">
        <v>23700</v>
      </c>
    </row>
    <row r="254" customFormat="false" ht="12.75" hidden="false" customHeight="false" outlineLevel="0" collapsed="false">
      <c r="A254" s="100" t="n">
        <v>43200</v>
      </c>
      <c r="B254" s="100" t="n">
        <v>23200</v>
      </c>
    </row>
    <row r="255" customFormat="false" ht="12.75" hidden="false" customHeight="false" outlineLevel="0" collapsed="false">
      <c r="A255" s="100" t="n">
        <v>44200</v>
      </c>
      <c r="B255" s="100" t="n">
        <v>22600</v>
      </c>
    </row>
    <row r="256" customFormat="false" ht="12.75" hidden="false" customHeight="false" outlineLevel="0" collapsed="false">
      <c r="A256" s="100" t="n">
        <v>45300</v>
      </c>
      <c r="B256" s="100" t="n">
        <v>22100</v>
      </c>
    </row>
    <row r="257" customFormat="false" ht="12.75" hidden="false" customHeight="false" outlineLevel="0" collapsed="false">
      <c r="A257" s="100" t="n">
        <v>46400</v>
      </c>
      <c r="B257" s="100" t="n">
        <v>21500</v>
      </c>
    </row>
    <row r="258" customFormat="false" ht="12.75" hidden="false" customHeight="false" outlineLevel="0" collapsed="false">
      <c r="A258" s="100" t="n">
        <v>47500</v>
      </c>
      <c r="B258" s="100" t="n">
        <v>21000</v>
      </c>
    </row>
    <row r="259" customFormat="false" ht="12.75" hidden="false" customHeight="false" outlineLevel="0" collapsed="false">
      <c r="A259" s="100" t="n">
        <v>48700</v>
      </c>
      <c r="B259" s="100" t="n">
        <v>20500</v>
      </c>
    </row>
    <row r="260" customFormat="false" ht="12.75" hidden="false" customHeight="false" outlineLevel="0" collapsed="false">
      <c r="A260" s="100" t="n">
        <v>49900</v>
      </c>
      <c r="B260" s="100" t="n">
        <v>20000</v>
      </c>
    </row>
    <row r="261" customFormat="false" ht="12.75" hidden="false" customHeight="false" outlineLevel="0" collapsed="false">
      <c r="A261" s="100" t="n">
        <v>51100</v>
      </c>
      <c r="B261" s="100" t="n">
        <v>19600</v>
      </c>
    </row>
    <row r="262" customFormat="false" ht="12.75" hidden="false" customHeight="false" outlineLevel="0" collapsed="false">
      <c r="A262" s="100" t="n">
        <v>52300</v>
      </c>
      <c r="B262" s="100" t="n">
        <v>19100</v>
      </c>
    </row>
    <row r="263" customFormat="false" ht="12.75" hidden="false" customHeight="false" outlineLevel="0" collapsed="false">
      <c r="A263" s="100" t="n">
        <v>53600</v>
      </c>
      <c r="B263" s="100" t="n">
        <v>18700</v>
      </c>
    </row>
    <row r="264" customFormat="false" ht="12.75" hidden="false" customHeight="false" outlineLevel="0" collapsed="false">
      <c r="A264" s="100" t="n">
        <v>54900</v>
      </c>
      <c r="B264" s="100" t="n">
        <v>18200</v>
      </c>
    </row>
    <row r="265" customFormat="false" ht="12.75" hidden="false" customHeight="false" outlineLevel="0" collapsed="false">
      <c r="A265" s="100" t="n">
        <v>56200</v>
      </c>
      <c r="B265" s="100" t="n">
        <v>17800</v>
      </c>
    </row>
    <row r="266" customFormat="false" ht="12.75" hidden="false" customHeight="false" outlineLevel="0" collapsed="false">
      <c r="A266" s="100" t="n">
        <v>57600</v>
      </c>
      <c r="B266" s="100" t="n">
        <v>17400</v>
      </c>
    </row>
    <row r="267" customFormat="false" ht="12.75" hidden="false" customHeight="false" outlineLevel="0" collapsed="false">
      <c r="A267" s="100" t="n">
        <v>59000</v>
      </c>
      <c r="B267" s="100" t="n">
        <v>16900</v>
      </c>
    </row>
    <row r="268" customFormat="false" ht="12.75" hidden="false" customHeight="false" outlineLevel="0" collapsed="false">
      <c r="A268" s="100" t="n">
        <v>60400</v>
      </c>
      <c r="B268" s="100" t="n">
        <v>16500</v>
      </c>
    </row>
    <row r="269" customFormat="false" ht="12.75" hidden="false" customHeight="false" outlineLevel="0" collapsed="false">
      <c r="A269" s="100" t="n">
        <v>61900</v>
      </c>
      <c r="B269" s="100" t="n">
        <v>16200</v>
      </c>
    </row>
    <row r="270" customFormat="false" ht="12.75" hidden="false" customHeight="false" outlineLevel="0" collapsed="false">
      <c r="A270" s="100" t="n">
        <v>63400</v>
      </c>
      <c r="B270" s="100" t="n">
        <v>15800</v>
      </c>
    </row>
    <row r="271" customFormat="false" ht="12.75" hidden="false" customHeight="false" outlineLevel="0" collapsed="false">
      <c r="A271" s="100" t="n">
        <v>64900</v>
      </c>
      <c r="B271" s="100" t="n">
        <v>15400</v>
      </c>
    </row>
    <row r="272" customFormat="false" ht="12.75" hidden="false" customHeight="false" outlineLevel="0" collapsed="false">
      <c r="A272" s="100" t="n">
        <v>66500</v>
      </c>
      <c r="B272" s="100" t="n">
        <v>15000</v>
      </c>
    </row>
    <row r="273" customFormat="false" ht="12.75" hidden="false" customHeight="false" outlineLevel="0" collapsed="false">
      <c r="A273" s="100" t="n">
        <v>68100</v>
      </c>
      <c r="B273" s="100" t="n">
        <v>14700</v>
      </c>
    </row>
    <row r="274" customFormat="false" ht="12.75" hidden="false" customHeight="false" outlineLevel="0" collapsed="false">
      <c r="A274" s="100" t="n">
        <v>69800</v>
      </c>
      <c r="B274" s="100" t="n">
        <v>14300</v>
      </c>
    </row>
    <row r="275" customFormat="false" ht="12.75" hidden="false" customHeight="false" outlineLevel="0" collapsed="false">
      <c r="A275" s="100" t="n">
        <v>71500</v>
      </c>
      <c r="B275" s="100" t="n">
        <v>14000</v>
      </c>
    </row>
    <row r="276" customFormat="false" ht="12.75" hidden="false" customHeight="false" outlineLevel="0" collapsed="false">
      <c r="A276" s="100" t="n">
        <v>73200</v>
      </c>
      <c r="B276" s="100" t="n">
        <v>13700</v>
      </c>
    </row>
    <row r="277" customFormat="false" ht="12.75" hidden="false" customHeight="false" outlineLevel="0" collapsed="false">
      <c r="A277" s="100" t="n">
        <v>75000</v>
      </c>
      <c r="B277" s="100" t="n">
        <v>13300</v>
      </c>
    </row>
    <row r="278" customFormat="false" ht="12.75" hidden="false" customHeight="false" outlineLevel="0" collapsed="false">
      <c r="A278" s="100" t="n">
        <v>76800</v>
      </c>
      <c r="B278" s="100" t="n">
        <v>13000</v>
      </c>
    </row>
    <row r="279" customFormat="false" ht="12.75" hidden="false" customHeight="false" outlineLevel="0" collapsed="false">
      <c r="A279" s="100" t="n">
        <v>78700</v>
      </c>
      <c r="B279" s="100" t="n">
        <v>12700</v>
      </c>
    </row>
    <row r="280" customFormat="false" ht="12.75" hidden="false" customHeight="false" outlineLevel="0" collapsed="false">
      <c r="A280" s="100" t="n">
        <v>80600</v>
      </c>
      <c r="B280" s="100" t="n">
        <v>12400</v>
      </c>
    </row>
    <row r="281" customFormat="false" ht="12.75" hidden="false" customHeight="false" outlineLevel="0" collapsed="false">
      <c r="A281" s="100" t="n">
        <v>82500</v>
      </c>
      <c r="B281" s="100" t="n">
        <v>12100</v>
      </c>
    </row>
    <row r="282" customFormat="false" ht="12.75" hidden="false" customHeight="false" outlineLevel="0" collapsed="false">
      <c r="A282" s="100" t="n">
        <v>84500</v>
      </c>
      <c r="B282" s="100" t="n">
        <v>11800</v>
      </c>
    </row>
    <row r="283" customFormat="false" ht="12.75" hidden="false" customHeight="false" outlineLevel="0" collapsed="false">
      <c r="A283" s="100" t="n">
        <v>86600</v>
      </c>
      <c r="B283" s="100" t="n">
        <v>11500</v>
      </c>
    </row>
    <row r="284" customFormat="false" ht="12.75" hidden="false" customHeight="false" outlineLevel="0" collapsed="false">
      <c r="A284" s="100" t="n">
        <v>88700</v>
      </c>
      <c r="B284" s="100" t="n">
        <v>11300</v>
      </c>
    </row>
    <row r="285" customFormat="false" ht="12.75" hidden="false" customHeight="false" outlineLevel="0" collapsed="false">
      <c r="A285" s="100" t="n">
        <v>90900</v>
      </c>
      <c r="B285" s="100" t="n">
        <v>11000</v>
      </c>
    </row>
    <row r="286" customFormat="false" ht="12.75" hidden="false" customHeight="false" outlineLevel="0" collapsed="false">
      <c r="A286" s="100" t="n">
        <v>93100</v>
      </c>
      <c r="B286" s="100" t="n">
        <v>10700</v>
      </c>
    </row>
    <row r="287" customFormat="false" ht="12.75" hidden="false" customHeight="false" outlineLevel="0" collapsed="false">
      <c r="A287" s="100" t="n">
        <v>95300</v>
      </c>
      <c r="B287" s="100" t="n">
        <v>10500</v>
      </c>
    </row>
    <row r="288" customFormat="false" ht="12.75" hidden="false" customHeight="false" outlineLevel="0" collapsed="false">
      <c r="A288" s="100" t="n">
        <v>97600</v>
      </c>
      <c r="B288" s="100" t="n">
        <v>10200</v>
      </c>
    </row>
    <row r="289" customFormat="false" ht="12.75" hidden="false" customHeight="false" outlineLevel="0" collapsed="false">
      <c r="A289" s="109" t="n">
        <v>100000</v>
      </c>
      <c r="B289" s="100" t="n">
        <v>10000</v>
      </c>
    </row>
    <row r="290" customFormat="false" ht="12.75" hidden="false" customHeight="false" outlineLevel="0" collapsed="false">
      <c r="A290" s="109" t="n">
        <v>102000</v>
      </c>
      <c r="B290" s="107" t="n">
        <v>9760</v>
      </c>
    </row>
    <row r="291" customFormat="false" ht="12.75" hidden="false" customHeight="false" outlineLevel="0" collapsed="false">
      <c r="A291" s="109" t="n">
        <v>105000</v>
      </c>
      <c r="B291" s="107" t="n">
        <v>9530</v>
      </c>
    </row>
    <row r="292" customFormat="false" ht="12.75" hidden="false" customHeight="false" outlineLevel="0" collapsed="false">
      <c r="A292" s="109" t="n">
        <v>107000</v>
      </c>
      <c r="B292" s="107" t="n">
        <v>9310</v>
      </c>
    </row>
    <row r="293" customFormat="false" ht="12.75" hidden="false" customHeight="false" outlineLevel="0" collapsed="false">
      <c r="A293" s="109" t="n">
        <v>110000</v>
      </c>
      <c r="B293" s="107" t="n">
        <v>9090</v>
      </c>
    </row>
    <row r="294" customFormat="false" ht="12.75" hidden="false" customHeight="false" outlineLevel="0" collapsed="false">
      <c r="A294" s="109" t="n">
        <v>113000</v>
      </c>
      <c r="B294" s="107" t="n">
        <v>8870</v>
      </c>
    </row>
    <row r="295" customFormat="false" ht="12.75" hidden="false" customHeight="false" outlineLevel="0" collapsed="false">
      <c r="A295" s="109" t="n">
        <v>115000</v>
      </c>
      <c r="B295" s="107" t="n">
        <v>8660</v>
      </c>
    </row>
    <row r="296" customFormat="false" ht="12.75" hidden="false" customHeight="false" outlineLevel="0" collapsed="false">
      <c r="A296" s="109" t="n">
        <v>118000</v>
      </c>
      <c r="B296" s="107" t="n">
        <v>8450</v>
      </c>
    </row>
    <row r="297" customFormat="false" ht="12.75" hidden="false" customHeight="false" outlineLevel="0" collapsed="false">
      <c r="A297" s="109" t="n">
        <v>121000</v>
      </c>
      <c r="B297" s="107" t="n">
        <v>8250</v>
      </c>
    </row>
    <row r="298" customFormat="false" ht="12.75" hidden="false" customHeight="false" outlineLevel="0" collapsed="false">
      <c r="A298" s="109" t="n">
        <v>124000</v>
      </c>
      <c r="B298" s="107" t="n">
        <v>8060</v>
      </c>
    </row>
    <row r="299" customFormat="false" ht="12.75" hidden="false" customHeight="false" outlineLevel="0" collapsed="false">
      <c r="A299" s="109" t="n">
        <v>127000</v>
      </c>
      <c r="B299" s="107" t="n">
        <v>7870</v>
      </c>
    </row>
    <row r="300" customFormat="false" ht="12.75" hidden="false" customHeight="false" outlineLevel="0" collapsed="false">
      <c r="A300" s="109" t="n">
        <v>130000</v>
      </c>
      <c r="B300" s="107" t="n">
        <v>7680</v>
      </c>
    </row>
    <row r="301" customFormat="false" ht="12.75" hidden="false" customHeight="false" outlineLevel="0" collapsed="false">
      <c r="A301" s="109" t="n">
        <v>133000</v>
      </c>
      <c r="B301" s="107" t="n">
        <v>7500</v>
      </c>
    </row>
    <row r="302" customFormat="false" ht="12.75" hidden="false" customHeight="false" outlineLevel="0" collapsed="false">
      <c r="A302" s="109" t="n">
        <v>137000</v>
      </c>
      <c r="B302" s="107" t="n">
        <v>7320</v>
      </c>
    </row>
    <row r="303" customFormat="false" ht="12.75" hidden="false" customHeight="false" outlineLevel="0" collapsed="false">
      <c r="A303" s="109" t="n">
        <v>140000</v>
      </c>
      <c r="B303" s="107" t="n">
        <v>7150</v>
      </c>
    </row>
    <row r="304" customFormat="false" ht="12.75" hidden="false" customHeight="false" outlineLevel="0" collapsed="false">
      <c r="A304" s="109" t="n">
        <v>143000</v>
      </c>
      <c r="B304" s="107" t="n">
        <v>6980</v>
      </c>
    </row>
    <row r="305" customFormat="false" ht="12.75" hidden="false" customHeight="false" outlineLevel="0" collapsed="false">
      <c r="A305" s="109" t="n">
        <v>147000</v>
      </c>
      <c r="B305" s="107" t="n">
        <v>6810</v>
      </c>
    </row>
    <row r="306" customFormat="false" ht="12.75" hidden="false" customHeight="false" outlineLevel="0" collapsed="false">
      <c r="A306" s="109" t="n">
        <v>150000</v>
      </c>
      <c r="B306" s="107" t="n">
        <v>6650</v>
      </c>
    </row>
    <row r="307" customFormat="false" ht="12.75" hidden="false" customHeight="false" outlineLevel="0" collapsed="false">
      <c r="A307" s="109" t="n">
        <v>154000</v>
      </c>
      <c r="B307" s="107" t="n">
        <v>6490</v>
      </c>
    </row>
    <row r="308" customFormat="false" ht="12.75" hidden="false" customHeight="false" outlineLevel="0" collapsed="false">
      <c r="A308" s="109" t="n">
        <v>158000</v>
      </c>
      <c r="B308" s="107" t="n">
        <v>6340</v>
      </c>
    </row>
    <row r="309" customFormat="false" ht="12.75" hidden="false" customHeight="false" outlineLevel="0" collapsed="false">
      <c r="A309" s="109" t="n">
        <v>162000</v>
      </c>
      <c r="B309" s="107" t="n">
        <v>6190</v>
      </c>
    </row>
    <row r="310" customFormat="false" ht="12.75" hidden="false" customHeight="false" outlineLevel="0" collapsed="false">
      <c r="A310" s="109" t="n">
        <v>165000</v>
      </c>
      <c r="B310" s="107" t="n">
        <v>6040</v>
      </c>
    </row>
    <row r="311" customFormat="false" ht="12.75" hidden="false" customHeight="false" outlineLevel="0" collapsed="false">
      <c r="A311" s="109" t="n">
        <v>169000</v>
      </c>
      <c r="B311" s="107" t="n">
        <v>5900</v>
      </c>
    </row>
    <row r="312" customFormat="false" ht="12.75" hidden="false" customHeight="false" outlineLevel="0" collapsed="false">
      <c r="A312" s="109" t="n">
        <v>174000</v>
      </c>
      <c r="B312" s="107" t="n">
        <v>5760</v>
      </c>
    </row>
    <row r="313" customFormat="false" ht="12.75" hidden="false" customHeight="false" outlineLevel="0" collapsed="false">
      <c r="A313" s="109" t="n">
        <v>178000</v>
      </c>
      <c r="B313" s="107" t="n">
        <v>5620</v>
      </c>
    </row>
    <row r="314" customFormat="false" ht="12.75" hidden="false" customHeight="false" outlineLevel="0" collapsed="false">
      <c r="A314" s="109" t="n">
        <v>182000</v>
      </c>
      <c r="B314" s="107" t="n">
        <v>5490</v>
      </c>
    </row>
    <row r="315" customFormat="false" ht="12.75" hidden="false" customHeight="false" outlineLevel="0" collapsed="false">
      <c r="A315" s="109" t="n">
        <v>187000</v>
      </c>
      <c r="B315" s="107" t="n">
        <v>5360</v>
      </c>
    </row>
    <row r="316" customFormat="false" ht="12.75" hidden="false" customHeight="false" outlineLevel="0" collapsed="false">
      <c r="A316" s="109" t="n">
        <v>191000</v>
      </c>
      <c r="B316" s="107" t="n">
        <v>5230</v>
      </c>
    </row>
    <row r="317" customFormat="false" ht="12.75" hidden="false" customHeight="false" outlineLevel="0" collapsed="false">
      <c r="A317" s="109" t="n">
        <v>196000</v>
      </c>
      <c r="B317" s="107" t="n">
        <v>5110</v>
      </c>
    </row>
    <row r="318" customFormat="false" ht="12.75" hidden="false" customHeight="false" outlineLevel="0" collapsed="false">
      <c r="A318" s="109" t="n">
        <v>200000</v>
      </c>
      <c r="B318" s="107" t="n">
        <v>4990</v>
      </c>
    </row>
    <row r="319" customFormat="false" ht="12.75" hidden="false" customHeight="false" outlineLevel="0" collapsed="false">
      <c r="A319" s="109" t="n">
        <v>205000</v>
      </c>
      <c r="B319" s="107" t="n">
        <v>4870</v>
      </c>
    </row>
    <row r="320" customFormat="false" ht="12.75" hidden="false" customHeight="false" outlineLevel="0" collapsed="false">
      <c r="A320" s="109" t="n">
        <v>210000</v>
      </c>
      <c r="B320" s="107" t="n">
        <v>4750</v>
      </c>
    </row>
    <row r="321" customFormat="false" ht="12.75" hidden="false" customHeight="false" outlineLevel="0" collapsed="false">
      <c r="A321" s="109" t="n">
        <v>215000</v>
      </c>
      <c r="B321" s="107" t="n">
        <v>4640</v>
      </c>
    </row>
    <row r="322" customFormat="false" ht="12.75" hidden="false" customHeight="false" outlineLevel="0" collapsed="false">
      <c r="A322" s="109" t="n">
        <v>221000</v>
      </c>
      <c r="B322" s="107" t="n">
        <v>4530</v>
      </c>
    </row>
    <row r="323" customFormat="false" ht="12.75" hidden="false" customHeight="false" outlineLevel="0" collapsed="false">
      <c r="A323" s="109" t="n">
        <v>226000</v>
      </c>
      <c r="B323" s="107" t="n">
        <v>4420</v>
      </c>
    </row>
    <row r="324" customFormat="false" ht="12.75" hidden="false" customHeight="false" outlineLevel="0" collapsed="false">
      <c r="A324" s="109" t="n">
        <v>232000</v>
      </c>
      <c r="B324" s="107" t="n">
        <v>4320</v>
      </c>
    </row>
    <row r="325" customFormat="false" ht="12.75" hidden="false" customHeight="false" outlineLevel="0" collapsed="false">
      <c r="A325" s="109" t="n">
        <v>237000</v>
      </c>
      <c r="B325" s="107" t="n">
        <v>4220</v>
      </c>
    </row>
    <row r="326" customFormat="false" ht="12.75" hidden="false" customHeight="false" outlineLevel="0" collapsed="false">
      <c r="A326" s="109" t="n">
        <v>243000</v>
      </c>
      <c r="B326" s="107" t="n">
        <v>4120</v>
      </c>
    </row>
    <row r="327" customFormat="false" ht="12.75" hidden="false" customHeight="false" outlineLevel="0" collapsed="false">
      <c r="A327" s="109" t="n">
        <v>249000</v>
      </c>
      <c r="B327" s="107" t="n">
        <v>4020</v>
      </c>
    </row>
    <row r="328" customFormat="false" ht="12.75" hidden="false" customHeight="false" outlineLevel="0" collapsed="false">
      <c r="A328" s="109" t="n">
        <v>255000</v>
      </c>
      <c r="B328" s="107" t="n">
        <v>3920</v>
      </c>
    </row>
    <row r="329" customFormat="false" ht="12.75" hidden="false" customHeight="false" outlineLevel="0" collapsed="false">
      <c r="A329" s="109" t="n">
        <v>261000</v>
      </c>
      <c r="B329" s="107" t="n">
        <v>3830</v>
      </c>
    </row>
    <row r="330" customFormat="false" ht="12.75" hidden="false" customHeight="false" outlineLevel="0" collapsed="false">
      <c r="A330" s="109" t="n">
        <v>267000</v>
      </c>
      <c r="B330" s="107" t="n">
        <v>3740</v>
      </c>
    </row>
    <row r="331" customFormat="false" ht="12.75" hidden="false" customHeight="false" outlineLevel="0" collapsed="false">
      <c r="A331" s="109" t="n">
        <v>274000</v>
      </c>
      <c r="B331" s="107" t="n">
        <v>3650</v>
      </c>
    </row>
    <row r="332" customFormat="false" ht="12.75" hidden="false" customHeight="false" outlineLevel="0" collapsed="false">
      <c r="A332" s="109" t="n">
        <v>280000</v>
      </c>
      <c r="B332" s="107" t="n">
        <v>3570</v>
      </c>
    </row>
    <row r="333" customFormat="false" ht="12.75" hidden="false" customHeight="false" outlineLevel="0" collapsed="false">
      <c r="A333" s="109" t="n">
        <v>287000</v>
      </c>
      <c r="B333" s="107" t="n">
        <v>3480</v>
      </c>
    </row>
    <row r="334" customFormat="false" ht="12.75" hidden="false" customHeight="false" outlineLevel="0" collapsed="false">
      <c r="A334" s="109" t="n">
        <v>294000</v>
      </c>
      <c r="B334" s="107" t="n">
        <v>3400</v>
      </c>
    </row>
    <row r="335" customFormat="false" ht="12.75" hidden="false" customHeight="false" outlineLevel="0" collapsed="false">
      <c r="A335" s="109" t="n">
        <v>301000</v>
      </c>
      <c r="B335" s="107" t="n">
        <v>3320</v>
      </c>
    </row>
    <row r="336" customFormat="false" ht="12.75" hidden="false" customHeight="false" outlineLevel="0" collapsed="false">
      <c r="A336" s="109" t="n">
        <v>309000</v>
      </c>
      <c r="B336" s="107" t="n">
        <v>3240</v>
      </c>
    </row>
    <row r="337" customFormat="false" ht="12.75" hidden="false" customHeight="false" outlineLevel="0" collapsed="false">
      <c r="A337" s="109" t="n">
        <v>316000</v>
      </c>
      <c r="B337" s="107" t="n">
        <v>3160</v>
      </c>
    </row>
    <row r="338" customFormat="false" ht="12.75" hidden="false" customHeight="false" outlineLevel="0" collapsed="false">
      <c r="A338" s="109" t="n">
        <v>324000</v>
      </c>
      <c r="B338" s="107" t="n">
        <v>3090</v>
      </c>
    </row>
    <row r="339" customFormat="false" ht="12.75" hidden="false" customHeight="false" outlineLevel="0" collapsed="false">
      <c r="A339" s="109" t="n">
        <v>332000</v>
      </c>
      <c r="B339" s="107" t="n">
        <v>3010</v>
      </c>
    </row>
    <row r="340" customFormat="false" ht="12.75" hidden="false" customHeight="false" outlineLevel="0" collapsed="false">
      <c r="A340" s="109" t="n">
        <v>340000</v>
      </c>
      <c r="B340" s="107" t="n">
        <v>2940</v>
      </c>
    </row>
    <row r="341" customFormat="false" ht="12.75" hidden="false" customHeight="false" outlineLevel="0" collapsed="false">
      <c r="A341" s="109" t="n">
        <v>348000</v>
      </c>
      <c r="B341" s="107" t="n">
        <v>2870</v>
      </c>
    </row>
    <row r="342" customFormat="false" ht="12.75" hidden="false" customHeight="false" outlineLevel="0" collapsed="false">
      <c r="A342" s="109" t="n">
        <v>357000</v>
      </c>
      <c r="B342" s="107" t="n">
        <v>2800</v>
      </c>
    </row>
    <row r="343" customFormat="false" ht="12.75" hidden="false" customHeight="false" outlineLevel="0" collapsed="false">
      <c r="A343" s="109" t="n">
        <v>365000</v>
      </c>
      <c r="B343" s="107" t="n">
        <v>2740</v>
      </c>
    </row>
    <row r="344" customFormat="false" ht="12.75" hidden="false" customHeight="false" outlineLevel="0" collapsed="false">
      <c r="A344" s="109" t="n">
        <v>374000</v>
      </c>
      <c r="B344" s="107" t="n">
        <v>2670</v>
      </c>
    </row>
    <row r="345" customFormat="false" ht="12.75" hidden="false" customHeight="false" outlineLevel="0" collapsed="false">
      <c r="A345" s="109" t="n">
        <v>383000</v>
      </c>
      <c r="B345" s="107" t="n">
        <v>2610</v>
      </c>
    </row>
    <row r="346" customFormat="false" ht="12.75" hidden="false" customHeight="false" outlineLevel="0" collapsed="false">
      <c r="A346" s="109" t="n">
        <v>392000</v>
      </c>
      <c r="B346" s="107" t="n">
        <v>2550</v>
      </c>
    </row>
    <row r="347" customFormat="false" ht="12.75" hidden="false" customHeight="false" outlineLevel="0" collapsed="false">
      <c r="A347" s="109" t="n">
        <v>402000</v>
      </c>
      <c r="B347" s="107" t="n">
        <v>2490</v>
      </c>
    </row>
    <row r="348" customFormat="false" ht="12.75" hidden="false" customHeight="false" outlineLevel="0" collapsed="false">
      <c r="A348" s="109" t="n">
        <v>412000</v>
      </c>
      <c r="B348" s="107" t="n">
        <v>2430</v>
      </c>
    </row>
    <row r="349" customFormat="false" ht="12.75" hidden="false" customHeight="false" outlineLevel="0" collapsed="false">
      <c r="A349" s="109" t="n">
        <v>422000</v>
      </c>
      <c r="B349" s="107" t="n">
        <v>2370</v>
      </c>
    </row>
    <row r="350" customFormat="false" ht="12.75" hidden="false" customHeight="false" outlineLevel="0" collapsed="false">
      <c r="A350" s="109" t="n">
        <v>432000</v>
      </c>
      <c r="B350" s="107" t="n">
        <v>2320</v>
      </c>
    </row>
    <row r="351" customFormat="false" ht="12.75" hidden="false" customHeight="false" outlineLevel="0" collapsed="false">
      <c r="A351" s="109" t="n">
        <v>442000</v>
      </c>
      <c r="B351" s="107" t="n">
        <v>2260</v>
      </c>
    </row>
    <row r="352" customFormat="false" ht="12.75" hidden="false" customHeight="false" outlineLevel="0" collapsed="false">
      <c r="A352" s="109" t="n">
        <v>453000</v>
      </c>
      <c r="B352" s="107" t="n">
        <v>2210</v>
      </c>
    </row>
    <row r="353" customFormat="false" ht="12.75" hidden="false" customHeight="false" outlineLevel="0" collapsed="false">
      <c r="A353" s="109" t="n">
        <v>464000</v>
      </c>
      <c r="B353" s="107" t="n">
        <v>2150</v>
      </c>
    </row>
    <row r="354" customFormat="false" ht="12.75" hidden="false" customHeight="false" outlineLevel="0" collapsed="false">
      <c r="A354" s="109" t="n">
        <v>475000</v>
      </c>
      <c r="B354" s="107" t="n">
        <v>2100</v>
      </c>
    </row>
    <row r="355" customFormat="false" ht="12.75" hidden="false" customHeight="false" outlineLevel="0" collapsed="false">
      <c r="A355" s="109" t="n">
        <v>487000</v>
      </c>
      <c r="B355" s="107" t="n">
        <v>2050</v>
      </c>
    </row>
    <row r="356" customFormat="false" ht="12.75" hidden="false" customHeight="false" outlineLevel="0" collapsed="false">
      <c r="A356" s="109" t="n">
        <v>499000</v>
      </c>
      <c r="B356" s="107" t="n">
        <v>2000</v>
      </c>
    </row>
    <row r="357" customFormat="false" ht="12.75" hidden="false" customHeight="false" outlineLevel="0" collapsed="false">
      <c r="A357" s="109" t="n">
        <v>511000</v>
      </c>
      <c r="B357" s="107" t="n">
        <v>1960</v>
      </c>
    </row>
    <row r="358" customFormat="false" ht="12.75" hidden="false" customHeight="false" outlineLevel="0" collapsed="false">
      <c r="A358" s="109" t="n">
        <v>523000</v>
      </c>
      <c r="B358" s="107" t="n">
        <v>1910</v>
      </c>
    </row>
    <row r="359" customFormat="false" ht="12.75" hidden="false" customHeight="false" outlineLevel="0" collapsed="false">
      <c r="A359" s="109" t="n">
        <v>536000</v>
      </c>
      <c r="B359" s="107" t="n">
        <v>1870</v>
      </c>
    </row>
    <row r="360" customFormat="false" ht="12.75" hidden="false" customHeight="false" outlineLevel="0" collapsed="false">
      <c r="A360" s="109" t="n">
        <v>549000</v>
      </c>
      <c r="B360" s="107" t="n">
        <v>1820</v>
      </c>
    </row>
    <row r="361" customFormat="false" ht="12.75" hidden="false" customHeight="false" outlineLevel="0" collapsed="false">
      <c r="A361" s="109" t="n">
        <v>562000</v>
      </c>
      <c r="B361" s="107" t="n">
        <v>1780</v>
      </c>
    </row>
    <row r="362" customFormat="false" ht="12.75" hidden="false" customHeight="false" outlineLevel="0" collapsed="false">
      <c r="A362" s="109" t="n">
        <v>576000</v>
      </c>
      <c r="B362" s="107" t="n">
        <v>1740</v>
      </c>
    </row>
    <row r="363" customFormat="false" ht="12.75" hidden="false" customHeight="false" outlineLevel="0" collapsed="false">
      <c r="A363" s="109" t="n">
        <v>590000</v>
      </c>
      <c r="B363" s="107" t="n">
        <v>1690</v>
      </c>
    </row>
    <row r="364" customFormat="false" ht="12.75" hidden="false" customHeight="false" outlineLevel="0" collapsed="false">
      <c r="A364" s="109" t="n">
        <v>604000</v>
      </c>
      <c r="B364" s="107" t="n">
        <v>1650</v>
      </c>
    </row>
    <row r="365" customFormat="false" ht="12.75" hidden="false" customHeight="false" outlineLevel="0" collapsed="false">
      <c r="A365" s="109" t="n">
        <v>619000</v>
      </c>
      <c r="B365" s="107" t="n">
        <v>1620</v>
      </c>
    </row>
    <row r="366" customFormat="false" ht="12.75" hidden="false" customHeight="false" outlineLevel="0" collapsed="false">
      <c r="A366" s="109" t="n">
        <v>634000</v>
      </c>
      <c r="B366" s="107" t="n">
        <v>1580</v>
      </c>
    </row>
    <row r="367" customFormat="false" ht="12.75" hidden="false" customHeight="false" outlineLevel="0" collapsed="false">
      <c r="A367" s="109" t="n">
        <v>649000</v>
      </c>
      <c r="B367" s="107" t="n">
        <v>1540</v>
      </c>
    </row>
    <row r="368" customFormat="false" ht="12.75" hidden="false" customHeight="false" outlineLevel="0" collapsed="false">
      <c r="A368" s="109" t="n">
        <v>665000</v>
      </c>
      <c r="B368" s="107" t="n">
        <v>1500</v>
      </c>
    </row>
    <row r="369" customFormat="false" ht="12.75" hidden="false" customHeight="false" outlineLevel="0" collapsed="false">
      <c r="A369" s="109" t="n">
        <v>681000</v>
      </c>
      <c r="B369" s="107" t="n">
        <v>1470</v>
      </c>
    </row>
    <row r="370" customFormat="false" ht="12.75" hidden="false" customHeight="false" outlineLevel="0" collapsed="false">
      <c r="A370" s="109" t="n">
        <v>698000</v>
      </c>
      <c r="B370" s="107" t="n">
        <v>1430</v>
      </c>
    </row>
    <row r="371" customFormat="false" ht="12.75" hidden="false" customHeight="false" outlineLevel="0" collapsed="false">
      <c r="A371" s="109" t="n">
        <v>715000</v>
      </c>
      <c r="B371" s="107" t="n">
        <v>1400</v>
      </c>
    </row>
    <row r="372" customFormat="false" ht="12.75" hidden="false" customHeight="false" outlineLevel="0" collapsed="false">
      <c r="A372" s="109" t="n">
        <v>732000</v>
      </c>
      <c r="B372" s="107" t="n">
        <v>1370</v>
      </c>
    </row>
    <row r="373" customFormat="false" ht="12.75" hidden="false" customHeight="false" outlineLevel="0" collapsed="false">
      <c r="A373" s="109" t="n">
        <v>750000</v>
      </c>
      <c r="B373" s="107" t="n">
        <v>1330</v>
      </c>
    </row>
    <row r="374" customFormat="false" ht="12.75" hidden="false" customHeight="false" outlineLevel="0" collapsed="false">
      <c r="A374" s="109" t="n">
        <v>768000</v>
      </c>
      <c r="B374" s="107" t="n">
        <v>1300</v>
      </c>
    </row>
    <row r="375" customFormat="false" ht="12.75" hidden="false" customHeight="false" outlineLevel="0" collapsed="false">
      <c r="A375" s="109" t="n">
        <v>787000</v>
      </c>
      <c r="B375" s="107" t="n">
        <v>1270</v>
      </c>
    </row>
    <row r="376" customFormat="false" ht="12.75" hidden="false" customHeight="false" outlineLevel="0" collapsed="false">
      <c r="A376" s="109" t="n">
        <v>806000</v>
      </c>
      <c r="B376" s="107" t="n">
        <v>1240</v>
      </c>
    </row>
    <row r="377" customFormat="false" ht="12.75" hidden="false" customHeight="false" outlineLevel="0" collapsed="false">
      <c r="A377" s="109" t="n">
        <v>825000</v>
      </c>
      <c r="B377" s="107" t="n">
        <v>1210</v>
      </c>
    </row>
    <row r="378" customFormat="false" ht="12.75" hidden="false" customHeight="false" outlineLevel="0" collapsed="false">
      <c r="A378" s="109" t="n">
        <v>845000</v>
      </c>
      <c r="B378" s="107" t="n">
        <v>1180</v>
      </c>
    </row>
    <row r="379" customFormat="false" ht="12.75" hidden="false" customHeight="false" outlineLevel="0" collapsed="false">
      <c r="A379" s="109" t="n">
        <v>866000</v>
      </c>
      <c r="B379" s="107" t="n">
        <v>1150</v>
      </c>
    </row>
    <row r="380" customFormat="false" ht="12.75" hidden="false" customHeight="false" outlineLevel="0" collapsed="false">
      <c r="A380" s="109" t="n">
        <v>887000</v>
      </c>
      <c r="B380" s="107" t="n">
        <v>1130</v>
      </c>
    </row>
    <row r="381" customFormat="false" ht="12.75" hidden="false" customHeight="false" outlineLevel="0" collapsed="false">
      <c r="A381" s="109" t="n">
        <v>909000</v>
      </c>
      <c r="B381" s="107" t="n">
        <v>1100</v>
      </c>
    </row>
    <row r="382" customFormat="false" ht="12.75" hidden="false" customHeight="false" outlineLevel="0" collapsed="false">
      <c r="A382" s="109" t="n">
        <v>931000</v>
      </c>
      <c r="B382" s="107" t="n">
        <v>1070</v>
      </c>
    </row>
    <row r="383" customFormat="false" ht="12.75" hidden="false" customHeight="false" outlineLevel="0" collapsed="false">
      <c r="A383" s="109" t="n">
        <v>953000</v>
      </c>
      <c r="B383" s="107" t="n">
        <v>1050</v>
      </c>
    </row>
    <row r="384" customFormat="false" ht="12.75" hidden="false" customHeight="false" outlineLevel="0" collapsed="false">
      <c r="A384" s="109" t="n">
        <v>976000</v>
      </c>
      <c r="B384" s="107" t="n">
        <v>1020</v>
      </c>
    </row>
    <row r="385" customFormat="false" ht="12.75" hidden="false" customHeight="false" outlineLevel="0" collapsed="false">
      <c r="A385" s="108" t="n">
        <v>1000000</v>
      </c>
      <c r="B385" s="107" t="n">
        <v>1000</v>
      </c>
    </row>
    <row r="386" customFormat="false" ht="12.75" hidden="false" customHeight="false" outlineLevel="0" collapsed="false">
      <c r="A386" s="108" t="n">
        <v>1020000</v>
      </c>
      <c r="B386" s="5" t="n">
        <v>976</v>
      </c>
    </row>
    <row r="387" customFormat="false" ht="12.75" hidden="false" customHeight="false" outlineLevel="0" collapsed="false">
      <c r="A387" s="108" t="n">
        <v>1050000</v>
      </c>
      <c r="B387" s="5" t="n">
        <v>953</v>
      </c>
    </row>
    <row r="388" customFormat="false" ht="12.75" hidden="false" customHeight="false" outlineLevel="0" collapsed="false">
      <c r="A388" s="108" t="n">
        <v>1070000</v>
      </c>
      <c r="B388" s="5" t="n">
        <v>931</v>
      </c>
    </row>
    <row r="389" customFormat="false" ht="12.75" hidden="false" customHeight="false" outlineLevel="0" collapsed="false">
      <c r="A389" s="108" t="n">
        <v>1100000</v>
      </c>
      <c r="B389" s="5" t="n">
        <v>909</v>
      </c>
    </row>
    <row r="390" customFormat="false" ht="12.75" hidden="false" customHeight="false" outlineLevel="0" collapsed="false">
      <c r="A390" s="108" t="n">
        <v>1130000</v>
      </c>
      <c r="B390" s="5" t="n">
        <v>887</v>
      </c>
    </row>
    <row r="391" customFormat="false" ht="12.75" hidden="false" customHeight="false" outlineLevel="0" collapsed="false">
      <c r="A391" s="108" t="n">
        <v>1150000</v>
      </c>
      <c r="B391" s="5" t="n">
        <v>866</v>
      </c>
    </row>
    <row r="392" customFormat="false" ht="12.75" hidden="false" customHeight="false" outlineLevel="0" collapsed="false">
      <c r="A392" s="108" t="n">
        <v>1180000</v>
      </c>
      <c r="B392" s="5" t="n">
        <v>845</v>
      </c>
    </row>
    <row r="393" customFormat="false" ht="12.75" hidden="false" customHeight="false" outlineLevel="0" collapsed="false">
      <c r="A393" s="108" t="n">
        <v>1210000</v>
      </c>
      <c r="B393" s="5" t="n">
        <v>825</v>
      </c>
    </row>
    <row r="394" customFormat="false" ht="12.75" hidden="false" customHeight="false" outlineLevel="0" collapsed="false">
      <c r="A394" s="108" t="n">
        <v>1240000</v>
      </c>
      <c r="B394" s="5" t="n">
        <v>806</v>
      </c>
    </row>
    <row r="395" customFormat="false" ht="12.75" hidden="false" customHeight="false" outlineLevel="0" collapsed="false">
      <c r="A395" s="108" t="n">
        <v>1270000</v>
      </c>
      <c r="B395" s="5" t="n">
        <v>787</v>
      </c>
    </row>
    <row r="396" customFormat="false" ht="12.75" hidden="false" customHeight="false" outlineLevel="0" collapsed="false">
      <c r="A396" s="108" t="n">
        <v>1300000</v>
      </c>
      <c r="B396" s="5" t="n">
        <v>768</v>
      </c>
    </row>
    <row r="397" customFormat="false" ht="12.75" hidden="false" customHeight="false" outlineLevel="0" collapsed="false">
      <c r="A397" s="108" t="n">
        <v>1330000</v>
      </c>
      <c r="B397" s="5" t="n">
        <v>750</v>
      </c>
    </row>
    <row r="398" customFormat="false" ht="12.75" hidden="false" customHeight="false" outlineLevel="0" collapsed="false">
      <c r="A398" s="108" t="n">
        <v>1370000</v>
      </c>
      <c r="B398" s="5" t="n">
        <v>732</v>
      </c>
    </row>
    <row r="399" customFormat="false" ht="12.75" hidden="false" customHeight="false" outlineLevel="0" collapsed="false">
      <c r="A399" s="108" t="n">
        <v>1400000</v>
      </c>
      <c r="B399" s="5" t="n">
        <v>715</v>
      </c>
    </row>
    <row r="400" customFormat="false" ht="12.75" hidden="false" customHeight="false" outlineLevel="0" collapsed="false">
      <c r="A400" s="108" t="n">
        <v>1430000</v>
      </c>
      <c r="B400" s="5" t="n">
        <v>698</v>
      </c>
    </row>
    <row r="401" customFormat="false" ht="12.75" hidden="false" customHeight="false" outlineLevel="0" collapsed="false">
      <c r="A401" s="108" t="n">
        <v>1470000</v>
      </c>
      <c r="B401" s="5" t="n">
        <v>681</v>
      </c>
    </row>
    <row r="402" customFormat="false" ht="12.75" hidden="false" customHeight="false" outlineLevel="0" collapsed="false">
      <c r="A402" s="108" t="n">
        <v>1500000</v>
      </c>
      <c r="B402" s="5" t="n">
        <v>665</v>
      </c>
    </row>
    <row r="403" customFormat="false" ht="12.75" hidden="false" customHeight="false" outlineLevel="0" collapsed="false">
      <c r="A403" s="108" t="n">
        <v>1540000</v>
      </c>
      <c r="B403" s="5" t="n">
        <v>649</v>
      </c>
    </row>
    <row r="404" customFormat="false" ht="12.75" hidden="false" customHeight="false" outlineLevel="0" collapsed="false">
      <c r="A404" s="108" t="n">
        <v>1580000</v>
      </c>
      <c r="B404" s="5" t="n">
        <v>634</v>
      </c>
    </row>
    <row r="405" customFormat="false" ht="12.75" hidden="false" customHeight="false" outlineLevel="0" collapsed="false">
      <c r="A405" s="108" t="n">
        <v>1620000</v>
      </c>
      <c r="B405" s="5" t="n">
        <v>619</v>
      </c>
    </row>
    <row r="406" customFormat="false" ht="12.75" hidden="false" customHeight="false" outlineLevel="0" collapsed="false">
      <c r="A406" s="108" t="n">
        <v>1650000</v>
      </c>
      <c r="B406" s="5" t="n">
        <v>604</v>
      </c>
    </row>
    <row r="407" customFormat="false" ht="12.75" hidden="false" customHeight="false" outlineLevel="0" collapsed="false">
      <c r="A407" s="108" t="n">
        <v>1690000</v>
      </c>
      <c r="B407" s="5" t="n">
        <v>590</v>
      </c>
    </row>
    <row r="408" customFormat="false" ht="12.75" hidden="false" customHeight="false" outlineLevel="0" collapsed="false">
      <c r="A408" s="108" t="n">
        <v>1740000</v>
      </c>
      <c r="B408" s="5" t="n">
        <v>576</v>
      </c>
    </row>
    <row r="409" customFormat="false" ht="12.75" hidden="false" customHeight="false" outlineLevel="0" collapsed="false">
      <c r="A409" s="108" t="n">
        <v>1780000</v>
      </c>
      <c r="B409" s="5" t="n">
        <v>562</v>
      </c>
    </row>
    <row r="410" customFormat="false" ht="12.75" hidden="false" customHeight="false" outlineLevel="0" collapsed="false">
      <c r="A410" s="108" t="n">
        <v>1820000</v>
      </c>
      <c r="B410" s="5" t="n">
        <v>549</v>
      </c>
    </row>
    <row r="411" customFormat="false" ht="12.75" hidden="false" customHeight="false" outlineLevel="0" collapsed="false">
      <c r="A411" s="108" t="n">
        <v>1870000</v>
      </c>
      <c r="B411" s="5" t="n">
        <v>536</v>
      </c>
    </row>
    <row r="412" customFormat="false" ht="12.75" hidden="false" customHeight="false" outlineLevel="0" collapsed="false">
      <c r="A412" s="108" t="n">
        <v>1910000</v>
      </c>
      <c r="B412" s="5" t="n">
        <v>523</v>
      </c>
    </row>
    <row r="413" customFormat="false" ht="12.75" hidden="false" customHeight="false" outlineLevel="0" collapsed="false">
      <c r="A413" s="108" t="n">
        <v>1960000</v>
      </c>
      <c r="B413" s="5" t="n">
        <v>511</v>
      </c>
    </row>
    <row r="414" customFormat="false" ht="12.75" hidden="false" customHeight="false" outlineLevel="0" collapsed="false">
      <c r="A414" s="108" t="n">
        <v>2000000</v>
      </c>
      <c r="B414" s="5" t="n">
        <v>499</v>
      </c>
    </row>
    <row r="415" customFormat="false" ht="12.75" hidden="false" customHeight="false" outlineLevel="0" collapsed="false">
      <c r="A415" s="108" t="n">
        <v>2050000</v>
      </c>
      <c r="B415" s="5" t="n">
        <v>487</v>
      </c>
    </row>
    <row r="416" customFormat="false" ht="12.75" hidden="false" customHeight="false" outlineLevel="0" collapsed="false">
      <c r="A416" s="108" t="n">
        <v>2100000</v>
      </c>
      <c r="B416" s="5" t="n">
        <v>475</v>
      </c>
    </row>
    <row r="417" customFormat="false" ht="12.75" hidden="false" customHeight="false" outlineLevel="0" collapsed="false">
      <c r="A417" s="108" t="n">
        <v>2150000</v>
      </c>
      <c r="B417" s="5" t="n">
        <v>464</v>
      </c>
    </row>
    <row r="418" customFormat="false" ht="12.75" hidden="false" customHeight="false" outlineLevel="0" collapsed="false">
      <c r="A418" s="108" t="n">
        <v>2210000</v>
      </c>
      <c r="B418" s="5" t="n">
        <v>453</v>
      </c>
    </row>
    <row r="419" customFormat="false" ht="12.75" hidden="false" customHeight="false" outlineLevel="0" collapsed="false">
      <c r="A419" s="108" t="n">
        <v>2260000</v>
      </c>
      <c r="B419" s="5" t="n">
        <v>442</v>
      </c>
    </row>
    <row r="420" customFormat="false" ht="12.75" hidden="false" customHeight="false" outlineLevel="0" collapsed="false">
      <c r="A420" s="108" t="n">
        <v>2320000</v>
      </c>
      <c r="B420" s="5" t="n">
        <v>432</v>
      </c>
    </row>
    <row r="421" customFormat="false" ht="12.75" hidden="false" customHeight="false" outlineLevel="0" collapsed="false">
      <c r="A421" s="108" t="n">
        <v>2370000</v>
      </c>
      <c r="B421" s="5" t="n">
        <v>422</v>
      </c>
    </row>
    <row r="422" customFormat="false" ht="12.75" hidden="false" customHeight="false" outlineLevel="0" collapsed="false">
      <c r="A422" s="108" t="n">
        <v>2430000</v>
      </c>
      <c r="B422" s="5" t="n">
        <v>412</v>
      </c>
    </row>
    <row r="423" customFormat="false" ht="12.75" hidden="false" customHeight="false" outlineLevel="0" collapsed="false">
      <c r="A423" s="108" t="n">
        <v>2490000</v>
      </c>
      <c r="B423" s="5" t="n">
        <v>402</v>
      </c>
    </row>
    <row r="424" customFormat="false" ht="12.75" hidden="false" customHeight="false" outlineLevel="0" collapsed="false">
      <c r="A424" s="108" t="n">
        <v>2550000</v>
      </c>
      <c r="B424" s="5" t="n">
        <v>392</v>
      </c>
    </row>
    <row r="425" customFormat="false" ht="12.75" hidden="false" customHeight="false" outlineLevel="0" collapsed="false">
      <c r="A425" s="108" t="n">
        <v>2610000</v>
      </c>
      <c r="B425" s="5" t="n">
        <v>383</v>
      </c>
    </row>
    <row r="426" customFormat="false" ht="12.75" hidden="false" customHeight="false" outlineLevel="0" collapsed="false">
      <c r="A426" s="108" t="n">
        <v>2670000</v>
      </c>
      <c r="B426" s="5" t="n">
        <v>374</v>
      </c>
    </row>
    <row r="427" customFormat="false" ht="12.75" hidden="false" customHeight="false" outlineLevel="0" collapsed="false">
      <c r="A427" s="108" t="n">
        <v>2740000</v>
      </c>
      <c r="B427" s="5" t="n">
        <v>365</v>
      </c>
    </row>
    <row r="428" customFormat="false" ht="12.75" hidden="false" customHeight="false" outlineLevel="0" collapsed="false">
      <c r="A428" s="108" t="n">
        <v>2800000</v>
      </c>
      <c r="B428" s="5" t="n">
        <v>357</v>
      </c>
    </row>
    <row r="429" customFormat="false" ht="12.75" hidden="false" customHeight="false" outlineLevel="0" collapsed="false">
      <c r="A429" s="108" t="n">
        <v>2870000</v>
      </c>
      <c r="B429" s="5" t="n">
        <v>348</v>
      </c>
    </row>
    <row r="430" customFormat="false" ht="12.75" hidden="false" customHeight="false" outlineLevel="0" collapsed="false">
      <c r="A430" s="108" t="n">
        <v>2940000</v>
      </c>
      <c r="B430" s="5" t="n">
        <v>340</v>
      </c>
    </row>
    <row r="431" customFormat="false" ht="12.75" hidden="false" customHeight="false" outlineLevel="0" collapsed="false">
      <c r="A431" s="108" t="n">
        <v>3010000</v>
      </c>
      <c r="B431" s="5" t="n">
        <v>332</v>
      </c>
    </row>
    <row r="432" customFormat="false" ht="12.75" hidden="false" customHeight="false" outlineLevel="0" collapsed="false">
      <c r="A432" s="108" t="n">
        <v>3090000</v>
      </c>
      <c r="B432" s="5" t="n">
        <v>324</v>
      </c>
    </row>
    <row r="433" customFormat="false" ht="12.75" hidden="false" customHeight="false" outlineLevel="0" collapsed="false">
      <c r="A433" s="108" t="n">
        <v>3160000</v>
      </c>
      <c r="B433" s="5" t="n">
        <v>316</v>
      </c>
    </row>
    <row r="434" customFormat="false" ht="12.75" hidden="false" customHeight="false" outlineLevel="0" collapsed="false">
      <c r="A434" s="108" t="n">
        <v>3240000</v>
      </c>
      <c r="B434" s="5" t="n">
        <v>309</v>
      </c>
    </row>
    <row r="435" customFormat="false" ht="12.75" hidden="false" customHeight="false" outlineLevel="0" collapsed="false">
      <c r="A435" s="108" t="n">
        <v>3320000</v>
      </c>
      <c r="B435" s="5" t="n">
        <v>301</v>
      </c>
    </row>
    <row r="436" customFormat="false" ht="12.75" hidden="false" customHeight="false" outlineLevel="0" collapsed="false">
      <c r="A436" s="108" t="n">
        <v>3400000</v>
      </c>
      <c r="B436" s="5" t="n">
        <v>294</v>
      </c>
    </row>
    <row r="437" customFormat="false" ht="12.75" hidden="false" customHeight="false" outlineLevel="0" collapsed="false">
      <c r="A437" s="108" t="n">
        <v>3480000</v>
      </c>
      <c r="B437" s="5" t="n">
        <v>287</v>
      </c>
    </row>
    <row r="438" customFormat="false" ht="12.75" hidden="false" customHeight="false" outlineLevel="0" collapsed="false">
      <c r="A438" s="108" t="n">
        <v>3570000</v>
      </c>
      <c r="B438" s="5" t="n">
        <v>280</v>
      </c>
    </row>
    <row r="439" customFormat="false" ht="12.75" hidden="false" customHeight="false" outlineLevel="0" collapsed="false">
      <c r="A439" s="108" t="n">
        <v>3650000</v>
      </c>
      <c r="B439" s="5" t="n">
        <v>274</v>
      </c>
    </row>
    <row r="440" customFormat="false" ht="12.75" hidden="false" customHeight="false" outlineLevel="0" collapsed="false">
      <c r="A440" s="108" t="n">
        <v>3740000</v>
      </c>
      <c r="B440" s="5" t="n">
        <v>267</v>
      </c>
    </row>
    <row r="441" customFormat="false" ht="12.75" hidden="false" customHeight="false" outlineLevel="0" collapsed="false">
      <c r="A441" s="108" t="n">
        <v>3830000</v>
      </c>
      <c r="B441" s="5" t="n">
        <v>261</v>
      </c>
    </row>
    <row r="442" customFormat="false" ht="12.75" hidden="false" customHeight="false" outlineLevel="0" collapsed="false">
      <c r="A442" s="108" t="n">
        <v>3920000</v>
      </c>
      <c r="B442" s="5" t="n">
        <v>255</v>
      </c>
    </row>
    <row r="443" customFormat="false" ht="12.75" hidden="false" customHeight="false" outlineLevel="0" collapsed="false">
      <c r="A443" s="108" t="n">
        <v>4020000</v>
      </c>
      <c r="B443" s="5" t="n">
        <v>249</v>
      </c>
    </row>
    <row r="444" customFormat="false" ht="12.75" hidden="false" customHeight="false" outlineLevel="0" collapsed="false">
      <c r="A444" s="108" t="n">
        <v>4120000</v>
      </c>
      <c r="B444" s="5" t="n">
        <v>243</v>
      </c>
    </row>
    <row r="445" customFormat="false" ht="12.75" hidden="false" customHeight="false" outlineLevel="0" collapsed="false">
      <c r="A445" s="108" t="n">
        <v>4220000</v>
      </c>
      <c r="B445" s="5" t="n">
        <v>237</v>
      </c>
    </row>
    <row r="446" customFormat="false" ht="12.75" hidden="false" customHeight="false" outlineLevel="0" collapsed="false">
      <c r="A446" s="108" t="n">
        <v>4320000</v>
      </c>
      <c r="B446" s="5" t="n">
        <v>232</v>
      </c>
    </row>
    <row r="447" customFormat="false" ht="12.75" hidden="false" customHeight="false" outlineLevel="0" collapsed="false">
      <c r="A447" s="108" t="n">
        <v>4420000</v>
      </c>
      <c r="B447" s="5" t="n">
        <v>226</v>
      </c>
    </row>
    <row r="448" customFormat="false" ht="12.75" hidden="false" customHeight="false" outlineLevel="0" collapsed="false">
      <c r="A448" s="108" t="n">
        <v>4530000</v>
      </c>
      <c r="B448" s="5" t="n">
        <v>221</v>
      </c>
    </row>
    <row r="449" customFormat="false" ht="12.75" hidden="false" customHeight="false" outlineLevel="0" collapsed="false">
      <c r="A449" s="108" t="n">
        <v>4640000</v>
      </c>
      <c r="B449" s="5" t="n">
        <v>215</v>
      </c>
    </row>
    <row r="450" customFormat="false" ht="12.75" hidden="false" customHeight="false" outlineLevel="0" collapsed="false">
      <c r="A450" s="108" t="n">
        <v>4750000</v>
      </c>
      <c r="B450" s="5" t="n">
        <v>210</v>
      </c>
    </row>
    <row r="451" customFormat="false" ht="12.75" hidden="false" customHeight="false" outlineLevel="0" collapsed="false">
      <c r="A451" s="108" t="n">
        <v>4870000</v>
      </c>
      <c r="B451" s="5" t="n">
        <v>205</v>
      </c>
    </row>
    <row r="452" customFormat="false" ht="12.75" hidden="false" customHeight="false" outlineLevel="0" collapsed="false">
      <c r="A452" s="108" t="n">
        <v>4990000</v>
      </c>
      <c r="B452" s="5" t="n">
        <v>200</v>
      </c>
    </row>
    <row r="453" customFormat="false" ht="12.75" hidden="false" customHeight="false" outlineLevel="0" collapsed="false">
      <c r="A453" s="108" t="n">
        <v>5110000</v>
      </c>
      <c r="B453" s="5" t="n">
        <v>196</v>
      </c>
    </row>
    <row r="454" customFormat="false" ht="12.75" hidden="false" customHeight="false" outlineLevel="0" collapsed="false">
      <c r="A454" s="108" t="n">
        <v>5230000</v>
      </c>
      <c r="B454" s="5" t="n">
        <v>191</v>
      </c>
    </row>
    <row r="455" customFormat="false" ht="12.75" hidden="false" customHeight="false" outlineLevel="0" collapsed="false">
      <c r="A455" s="108" t="n">
        <v>5360000</v>
      </c>
      <c r="B455" s="5" t="n">
        <v>187</v>
      </c>
    </row>
    <row r="456" customFormat="false" ht="12.75" hidden="false" customHeight="false" outlineLevel="0" collapsed="false">
      <c r="A456" s="108" t="n">
        <v>5490000</v>
      </c>
      <c r="B456" s="5" t="n">
        <v>182</v>
      </c>
    </row>
    <row r="457" customFormat="false" ht="12.75" hidden="false" customHeight="false" outlineLevel="0" collapsed="false">
      <c r="A457" s="108" t="n">
        <v>5620000</v>
      </c>
      <c r="B457" s="5" t="n">
        <v>178</v>
      </c>
    </row>
    <row r="458" customFormat="false" ht="12.75" hidden="false" customHeight="false" outlineLevel="0" collapsed="false">
      <c r="A458" s="108" t="n">
        <v>5760000</v>
      </c>
      <c r="B458" s="5" t="n">
        <v>174</v>
      </c>
    </row>
    <row r="459" customFormat="false" ht="12.75" hidden="false" customHeight="false" outlineLevel="0" collapsed="false">
      <c r="A459" s="108" t="n">
        <v>5900000</v>
      </c>
      <c r="B459" s="5" t="n">
        <v>169</v>
      </c>
    </row>
    <row r="460" customFormat="false" ht="12.75" hidden="false" customHeight="false" outlineLevel="0" collapsed="false">
      <c r="A460" s="108" t="n">
        <v>6040000</v>
      </c>
      <c r="B460" s="5" t="n">
        <v>165</v>
      </c>
    </row>
    <row r="461" customFormat="false" ht="12.75" hidden="false" customHeight="false" outlineLevel="0" collapsed="false">
      <c r="A461" s="108" t="n">
        <v>6190000</v>
      </c>
      <c r="B461" s="5" t="n">
        <v>162</v>
      </c>
    </row>
    <row r="462" customFormat="false" ht="12.75" hidden="false" customHeight="false" outlineLevel="0" collapsed="false">
      <c r="A462" s="108" t="n">
        <v>6340000</v>
      </c>
      <c r="B462" s="5" t="n">
        <v>158</v>
      </c>
    </row>
    <row r="463" customFormat="false" ht="12.75" hidden="false" customHeight="false" outlineLevel="0" collapsed="false">
      <c r="A463" s="108" t="n">
        <v>6490000</v>
      </c>
      <c r="B463" s="5" t="n">
        <v>154</v>
      </c>
    </row>
    <row r="464" customFormat="false" ht="12.75" hidden="false" customHeight="false" outlineLevel="0" collapsed="false">
      <c r="A464" s="108" t="n">
        <v>6650000</v>
      </c>
      <c r="B464" s="5" t="n">
        <v>150</v>
      </c>
    </row>
    <row r="465" customFormat="false" ht="12.75" hidden="false" customHeight="false" outlineLevel="0" collapsed="false">
      <c r="A465" s="108" t="n">
        <v>6810000</v>
      </c>
      <c r="B465" s="5" t="n">
        <v>147</v>
      </c>
    </row>
    <row r="466" customFormat="false" ht="12.75" hidden="false" customHeight="false" outlineLevel="0" collapsed="false">
      <c r="A466" s="108" t="n">
        <v>6980000</v>
      </c>
      <c r="B466" s="5" t="n">
        <v>143</v>
      </c>
    </row>
    <row r="467" customFormat="false" ht="12.75" hidden="false" customHeight="false" outlineLevel="0" collapsed="false">
      <c r="A467" s="108" t="n">
        <v>7150000</v>
      </c>
      <c r="B467" s="5" t="n">
        <v>140</v>
      </c>
    </row>
    <row r="468" customFormat="false" ht="12.75" hidden="false" customHeight="false" outlineLevel="0" collapsed="false">
      <c r="A468" s="108" t="n">
        <v>7320000</v>
      </c>
      <c r="B468" s="5" t="n">
        <v>137</v>
      </c>
    </row>
    <row r="469" customFormat="false" ht="12.75" hidden="false" customHeight="false" outlineLevel="0" collapsed="false">
      <c r="A469" s="108" t="n">
        <v>7500000</v>
      </c>
      <c r="B469" s="5" t="n">
        <v>133</v>
      </c>
    </row>
    <row r="470" customFormat="false" ht="12.75" hidden="false" customHeight="false" outlineLevel="0" collapsed="false">
      <c r="A470" s="108" t="n">
        <v>7680000</v>
      </c>
      <c r="B470" s="5" t="n">
        <v>130</v>
      </c>
    </row>
    <row r="471" customFormat="false" ht="12.75" hidden="false" customHeight="false" outlineLevel="0" collapsed="false">
      <c r="A471" s="108" t="n">
        <v>7870000</v>
      </c>
      <c r="B471" s="5" t="n">
        <v>127</v>
      </c>
    </row>
    <row r="472" customFormat="false" ht="12.75" hidden="false" customHeight="false" outlineLevel="0" collapsed="false">
      <c r="A472" s="108" t="n">
        <v>8060000</v>
      </c>
      <c r="B472" s="5" t="n">
        <v>124</v>
      </c>
    </row>
    <row r="473" customFormat="false" ht="12.75" hidden="false" customHeight="false" outlineLevel="0" collapsed="false">
      <c r="A473" s="108" t="n">
        <v>8250000</v>
      </c>
      <c r="B473" s="5" t="n">
        <v>121</v>
      </c>
    </row>
    <row r="474" customFormat="false" ht="12.75" hidden="false" customHeight="false" outlineLevel="0" collapsed="false">
      <c r="A474" s="108" t="n">
        <v>8450000</v>
      </c>
      <c r="B474" s="5" t="n">
        <v>118</v>
      </c>
    </row>
    <row r="475" customFormat="false" ht="12.75" hidden="false" customHeight="false" outlineLevel="0" collapsed="false">
      <c r="A475" s="108" t="n">
        <v>8660000</v>
      </c>
      <c r="B475" s="5" t="n">
        <v>115</v>
      </c>
    </row>
    <row r="476" customFormat="false" ht="12.75" hidden="false" customHeight="false" outlineLevel="0" collapsed="false">
      <c r="A476" s="108" t="n">
        <v>8870000</v>
      </c>
      <c r="B476" s="5" t="n">
        <v>113</v>
      </c>
    </row>
    <row r="477" customFormat="false" ht="12.75" hidden="false" customHeight="false" outlineLevel="0" collapsed="false">
      <c r="A477" s="108" t="n">
        <v>9090000</v>
      </c>
      <c r="B477" s="5" t="n">
        <v>110</v>
      </c>
    </row>
    <row r="478" customFormat="false" ht="12.75" hidden="false" customHeight="false" outlineLevel="0" collapsed="false">
      <c r="A478" s="108" t="n">
        <v>9310000</v>
      </c>
      <c r="B478" s="5" t="n">
        <v>107</v>
      </c>
    </row>
    <row r="479" customFormat="false" ht="12.75" hidden="false" customHeight="false" outlineLevel="0" collapsed="false">
      <c r="A479" s="108" t="n">
        <v>9530000</v>
      </c>
      <c r="B479" s="5" t="n">
        <v>105</v>
      </c>
    </row>
    <row r="480" customFormat="false" ht="12.75" hidden="false" customHeight="false" outlineLevel="0" collapsed="false">
      <c r="A480" s="108" t="n">
        <v>9760000</v>
      </c>
      <c r="B480" s="5" t="n">
        <v>102</v>
      </c>
    </row>
    <row r="481" customFormat="false" ht="12.75" hidden="false" customHeight="false" outlineLevel="0" collapsed="false">
      <c r="A481" s="108" t="n">
        <v>10000000</v>
      </c>
      <c r="B481" s="5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1642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995" activeCellId="0" sqref="A995"/>
    </sheetView>
  </sheetViews>
  <sheetFormatPr defaultColWidth="8.6796875" defaultRowHeight="12.8" customHeight="true" zeroHeight="false" outlineLevelRow="0" outlineLevelCol="0"/>
  <cols>
    <col collapsed="false" customWidth="true" hidden="false" outlineLevel="0" max="1" min="1" style="1" width="11.85"/>
    <col collapsed="false" customWidth="true" hidden="false" outlineLevel="0" max="7" min="7" style="1" width="12.15"/>
    <col collapsed="false" customWidth="true" hidden="false" outlineLevel="0" max="13" min="13" style="1" width="12.42"/>
  </cols>
  <sheetData>
    <row r="1" customFormat="false" ht="12.8" hidden="false" customHeight="false" outlineLevel="0" collapsed="false">
      <c r="A1" s="5" t="str">
        <f aca="false">'Design Calculations'!B59</f>
        <v>Vout Factor</v>
      </c>
      <c r="B1" s="5" t="str">
        <f aca="false">'Design Calculations'!C59</f>
        <v>Vout</v>
      </c>
      <c r="C1" s="5" t="str">
        <f aca="false">'Design Calculations'!D59</f>
        <v>VFLB</v>
      </c>
      <c r="D1" s="5" t="str">
        <f aca="false">'Design Calculations'!E59</f>
        <v>OC</v>
      </c>
      <c r="E1" s="5" t="str">
        <f aca="false">'Design Calculations'!F59</f>
        <v>FLB OC</v>
      </c>
      <c r="F1" s="5" t="str">
        <f aca="false">'Design Calculations'!G59</f>
        <v>Power</v>
      </c>
      <c r="G1" s="5" t="str">
        <f aca="false">'Design Calculations'!H59</f>
        <v>Vout Factor</v>
      </c>
      <c r="H1" s="5" t="str">
        <f aca="false">'Design Calculations'!I59</f>
        <v>Vout</v>
      </c>
      <c r="I1" s="5" t="str">
        <f aca="false">'Design Calculations'!J59</f>
        <v>VFLB</v>
      </c>
      <c r="J1" s="5" t="str">
        <f aca="false">'Design Calculations'!K59</f>
        <v>OC</v>
      </c>
      <c r="K1" s="5" t="str">
        <f aca="false">'Design Calculations'!L59</f>
        <v>FLB OC</v>
      </c>
      <c r="L1" s="5"/>
      <c r="M1" s="5"/>
      <c r="N1" s="5"/>
    </row>
    <row r="2" customFormat="false" ht="12.8" hidden="false" customHeight="false" outlineLevel="0" collapsed="false">
      <c r="A2" s="5" t="n">
        <f aca="false">'Design Calculations'!B280</f>
        <v>0</v>
      </c>
      <c r="B2" s="5" t="n">
        <f aca="false">'Design Calculations'!C280</f>
        <v>0</v>
      </c>
      <c r="C2" s="5" t="n">
        <f aca="false">'Design Calculations'!D280</f>
        <v>0</v>
      </c>
      <c r="D2" s="5" t="n">
        <f aca="false">'Design Calculations'!E280</f>
        <v>0</v>
      </c>
      <c r="E2" s="5" t="n">
        <f aca="false">'Design Calculations'!F280</f>
        <v>0</v>
      </c>
      <c r="F2" s="5" t="n">
        <f aca="false">'Design Calculations'!G280</f>
        <v>0</v>
      </c>
      <c r="G2" s="5" t="n">
        <f aca="false">'Design Calculations'!H280</f>
        <v>0.10000000000002</v>
      </c>
      <c r="H2" s="5" t="n">
        <f aca="false">'Design Calculations'!I280</f>
        <v>2.60000000000052</v>
      </c>
      <c r="I2" s="5" t="n">
        <f aca="false">'Design Calculations'!J280</f>
        <v>0.100160993560278</v>
      </c>
      <c r="J2" s="91" t="n">
        <f aca="false">'Design Calculations'!K280</f>
        <v>1.00160993560278</v>
      </c>
      <c r="K2" s="91" t="n">
        <f aca="false">'Design Calculations'!L280</f>
        <v>2</v>
      </c>
      <c r="L2" s="5"/>
      <c r="M2" s="5"/>
      <c r="N2" s="5"/>
    </row>
    <row r="3" customFormat="false" ht="12.8" hidden="false" customHeight="false" outlineLevel="0" collapsed="false">
      <c r="A3" s="5" t="n">
        <f aca="false">'Design Calculations'!B281</f>
        <v>0</v>
      </c>
      <c r="B3" s="5" t="n">
        <f aca="false">'Design Calculations'!C281</f>
        <v>0</v>
      </c>
      <c r="C3" s="5" t="n">
        <f aca="false">'Design Calculations'!D281</f>
        <v>0</v>
      </c>
      <c r="D3" s="5" t="n">
        <f aca="false">'Design Calculations'!E281</f>
        <v>0</v>
      </c>
      <c r="E3" s="5" t="n">
        <f aca="false">'Design Calculations'!F281</f>
        <v>0</v>
      </c>
      <c r="F3" s="5" t="n">
        <f aca="false">'Design Calculations'!G281</f>
        <v>0</v>
      </c>
      <c r="G3" s="5" t="n">
        <f aca="false">'Design Calculations'!H281</f>
        <v>0.09500000000002</v>
      </c>
      <c r="H3" s="5" t="n">
        <f aca="false">'Design Calculations'!I281</f>
        <v>2.47000000000052</v>
      </c>
      <c r="I3" s="5" t="n">
        <f aca="false">'Design Calculations'!J281</f>
        <v>0.0951529438822647</v>
      </c>
      <c r="J3" s="91" t="n">
        <f aca="false">'Design Calculations'!K281</f>
        <v>0.951529438822647</v>
      </c>
      <c r="K3" s="91" t="n">
        <f aca="false">'Design Calculations'!L281</f>
        <v>2</v>
      </c>
      <c r="L3" s="5"/>
      <c r="M3" s="5"/>
      <c r="N3" s="5"/>
    </row>
    <row r="4" customFormat="false" ht="12.8" hidden="false" customHeight="false" outlineLevel="0" collapsed="false">
      <c r="A4" s="5" t="n">
        <f aca="false">'Design Calculations'!B282</f>
        <v>0</v>
      </c>
      <c r="B4" s="5" t="n">
        <f aca="false">'Design Calculations'!C282</f>
        <v>0</v>
      </c>
      <c r="C4" s="5" t="n">
        <f aca="false">'Design Calculations'!D282</f>
        <v>0</v>
      </c>
      <c r="D4" s="5" t="n">
        <f aca="false">'Design Calculations'!E282</f>
        <v>0</v>
      </c>
      <c r="E4" s="5" t="n">
        <f aca="false">'Design Calculations'!F282</f>
        <v>0</v>
      </c>
      <c r="F4" s="5" t="n">
        <f aca="false">'Design Calculations'!G282</f>
        <v>0</v>
      </c>
      <c r="G4" s="5" t="n">
        <f aca="false">'Design Calculations'!H282</f>
        <v>0.0900000000000201</v>
      </c>
      <c r="H4" s="5" t="n">
        <f aca="false">'Design Calculations'!I282</f>
        <v>2.34000000000052</v>
      </c>
      <c r="I4" s="5" t="n">
        <f aca="false">'Design Calculations'!J282</f>
        <v>0.0901448942042519</v>
      </c>
      <c r="J4" s="91" t="n">
        <f aca="false">'Design Calculations'!K282</f>
        <v>0.901448942042519</v>
      </c>
      <c r="K4" s="91" t="n">
        <f aca="false">'Design Calculations'!L282</f>
        <v>2</v>
      </c>
      <c r="L4" s="5"/>
      <c r="M4" s="5"/>
      <c r="N4" s="5"/>
    </row>
    <row r="5" customFormat="false" ht="12.8" hidden="false" customHeight="false" outlineLevel="0" collapsed="false">
      <c r="A5" s="5" t="n">
        <f aca="false">'Design Calculations'!B283</f>
        <v>0</v>
      </c>
      <c r="B5" s="5" t="n">
        <f aca="false">'Design Calculations'!C283</f>
        <v>0</v>
      </c>
      <c r="C5" s="5" t="n">
        <f aca="false">'Design Calculations'!D283</f>
        <v>0</v>
      </c>
      <c r="D5" s="5" t="n">
        <f aca="false">'Design Calculations'!E283</f>
        <v>0</v>
      </c>
      <c r="E5" s="5" t="n">
        <f aca="false">'Design Calculations'!F283</f>
        <v>0</v>
      </c>
      <c r="F5" s="5" t="n">
        <f aca="false">'Design Calculations'!G283</f>
        <v>0</v>
      </c>
      <c r="G5" s="5" t="n">
        <f aca="false">'Design Calculations'!H283</f>
        <v>0.0850000000000199</v>
      </c>
      <c r="H5" s="5" t="n">
        <f aca="false">'Design Calculations'!I283</f>
        <v>2.21000000000052</v>
      </c>
      <c r="I5" s="5" t="n">
        <f aca="false">'Design Calculations'!J283</f>
        <v>0.085136844526239</v>
      </c>
      <c r="J5" s="91" t="n">
        <f aca="false">'Design Calculations'!K283</f>
        <v>0.85136844526239</v>
      </c>
      <c r="K5" s="91" t="n">
        <f aca="false">'Design Calculations'!L283</f>
        <v>2</v>
      </c>
      <c r="L5" s="5"/>
      <c r="M5" s="5"/>
      <c r="N5" s="5"/>
    </row>
    <row r="6" customFormat="false" ht="12.8" hidden="false" customHeight="false" outlineLevel="0" collapsed="false">
      <c r="A6" s="5" t="n">
        <f aca="false">'Design Calculations'!B284</f>
        <v>0</v>
      </c>
      <c r="B6" s="5" t="n">
        <f aca="false">'Design Calculations'!C284</f>
        <v>0</v>
      </c>
      <c r="C6" s="5" t="n">
        <f aca="false">'Design Calculations'!D284</f>
        <v>0</v>
      </c>
      <c r="D6" s="5" t="n">
        <f aca="false">'Design Calculations'!E284</f>
        <v>0</v>
      </c>
      <c r="E6" s="5" t="n">
        <f aca="false">'Design Calculations'!F284</f>
        <v>0</v>
      </c>
      <c r="F6" s="5" t="n">
        <f aca="false">'Design Calculations'!G284</f>
        <v>0</v>
      </c>
      <c r="G6" s="5" t="n">
        <f aca="false">'Design Calculations'!H284</f>
        <v>0.0800000000000201</v>
      </c>
      <c r="H6" s="5" t="n">
        <f aca="false">'Design Calculations'!I284</f>
        <v>2.08000000000052</v>
      </c>
      <c r="I6" s="5" t="n">
        <f aca="false">'Design Calculations'!J284</f>
        <v>0.0801287948482261</v>
      </c>
      <c r="J6" s="91" t="n">
        <f aca="false">'Design Calculations'!K284</f>
        <v>0.801287948482261</v>
      </c>
      <c r="K6" s="91" t="n">
        <f aca="false">'Design Calculations'!L284</f>
        <v>2</v>
      </c>
      <c r="L6" s="5"/>
      <c r="M6" s="5"/>
      <c r="N6" s="5"/>
    </row>
    <row r="7" customFormat="false" ht="12.8" hidden="false" customHeight="false" outlineLevel="0" collapsed="false">
      <c r="A7" s="5" t="n">
        <f aca="false">'Design Calculations'!B285</f>
        <v>0</v>
      </c>
      <c r="B7" s="5" t="n">
        <f aca="false">'Design Calculations'!C285</f>
        <v>0</v>
      </c>
      <c r="C7" s="5" t="n">
        <f aca="false">'Design Calculations'!D285</f>
        <v>0</v>
      </c>
      <c r="D7" s="5" t="n">
        <f aca="false">'Design Calculations'!E285</f>
        <v>0</v>
      </c>
      <c r="E7" s="5" t="n">
        <f aca="false">'Design Calculations'!F285</f>
        <v>0</v>
      </c>
      <c r="F7" s="5" t="n">
        <f aca="false">'Design Calculations'!G285</f>
        <v>0</v>
      </c>
      <c r="G7" s="5" t="n">
        <f aca="false">'Design Calculations'!H285</f>
        <v>0.0750000000000199</v>
      </c>
      <c r="H7" s="5" t="n">
        <f aca="false">'Design Calculations'!I285</f>
        <v>1.95000000000052</v>
      </c>
      <c r="I7" s="5" t="n">
        <f aca="false">'Design Calculations'!J285</f>
        <v>0.0751207451702132</v>
      </c>
      <c r="J7" s="91" t="n">
        <f aca="false">'Design Calculations'!K285</f>
        <v>0.751207451702132</v>
      </c>
      <c r="K7" s="91" t="n">
        <f aca="false">'Design Calculations'!L285</f>
        <v>2</v>
      </c>
      <c r="L7" s="5"/>
      <c r="M7" s="5"/>
      <c r="N7" s="5"/>
    </row>
    <row r="8" customFormat="false" ht="12.8" hidden="false" customHeight="false" outlineLevel="0" collapsed="false">
      <c r="A8" s="5" t="n">
        <f aca="false">'Design Calculations'!B286</f>
        <v>0</v>
      </c>
      <c r="B8" s="5" t="n">
        <f aca="false">'Design Calculations'!C286</f>
        <v>0</v>
      </c>
      <c r="C8" s="5" t="n">
        <f aca="false">'Design Calculations'!D286</f>
        <v>0</v>
      </c>
      <c r="D8" s="5" t="n">
        <f aca="false">'Design Calculations'!E286</f>
        <v>0</v>
      </c>
      <c r="E8" s="5" t="n">
        <f aca="false">'Design Calculations'!F286</f>
        <v>0</v>
      </c>
      <c r="F8" s="5" t="n">
        <f aca="false">'Design Calculations'!G286</f>
        <v>0</v>
      </c>
      <c r="G8" s="5" t="n">
        <f aca="false">'Design Calculations'!H286</f>
        <v>0.07000000000002</v>
      </c>
      <c r="H8" s="5" t="n">
        <f aca="false">'Design Calculations'!I286</f>
        <v>1.82000000000052</v>
      </c>
      <c r="I8" s="5" t="n">
        <f aca="false">'Design Calculations'!J286</f>
        <v>0.0701126954922004</v>
      </c>
      <c r="J8" s="91" t="n">
        <f aca="false">'Design Calculations'!K286</f>
        <v>0.701126954922004</v>
      </c>
      <c r="K8" s="91" t="n">
        <f aca="false">'Design Calculations'!L286</f>
        <v>2</v>
      </c>
      <c r="L8" s="5"/>
      <c r="M8" s="5"/>
      <c r="N8" s="5"/>
    </row>
    <row r="9" customFormat="false" ht="12.8" hidden="false" customHeight="false" outlineLevel="0" collapsed="false">
      <c r="A9" s="5" t="n">
        <f aca="false">'Design Calculations'!B287</f>
        <v>0</v>
      </c>
      <c r="B9" s="5" t="n">
        <f aca="false">'Design Calculations'!C287</f>
        <v>0</v>
      </c>
      <c r="C9" s="5" t="n">
        <f aca="false">'Design Calculations'!D287</f>
        <v>0</v>
      </c>
      <c r="D9" s="5" t="n">
        <f aca="false">'Design Calculations'!E287</f>
        <v>0</v>
      </c>
      <c r="E9" s="5" t="n">
        <f aca="false">'Design Calculations'!F287</f>
        <v>0</v>
      </c>
      <c r="F9" s="5" t="n">
        <f aca="false">'Design Calculations'!G287</f>
        <v>0</v>
      </c>
      <c r="G9" s="5" t="n">
        <f aca="false">'Design Calculations'!H287</f>
        <v>0.0650000000000199</v>
      </c>
      <c r="H9" s="5" t="n">
        <f aca="false">'Design Calculations'!I287</f>
        <v>1.69000000000052</v>
      </c>
      <c r="I9" s="5" t="n">
        <f aca="false">'Design Calculations'!J287</f>
        <v>0.0651046458141875</v>
      </c>
      <c r="J9" s="91" t="n">
        <f aca="false">'Design Calculations'!K287</f>
        <v>0.651046458141875</v>
      </c>
      <c r="K9" s="91" t="n">
        <f aca="false">'Design Calculations'!L287</f>
        <v>2</v>
      </c>
      <c r="L9" s="5"/>
      <c r="M9" s="5"/>
      <c r="N9" s="5"/>
    </row>
    <row r="10" customFormat="false" ht="12.8" hidden="false" customHeight="false" outlineLevel="0" collapsed="false">
      <c r="A10" s="5" t="n">
        <f aca="false">'Design Calculations'!B288</f>
        <v>0</v>
      </c>
      <c r="B10" s="5" t="n">
        <f aca="false">'Design Calculations'!C288</f>
        <v>0</v>
      </c>
      <c r="C10" s="5" t="n">
        <f aca="false">'Design Calculations'!D288</f>
        <v>0</v>
      </c>
      <c r="D10" s="5" t="n">
        <f aca="false">'Design Calculations'!E288</f>
        <v>0</v>
      </c>
      <c r="E10" s="5" t="n">
        <f aca="false">'Design Calculations'!F288</f>
        <v>0</v>
      </c>
      <c r="F10" s="5" t="n">
        <f aca="false">'Design Calculations'!G288</f>
        <v>0</v>
      </c>
      <c r="G10" s="5" t="n">
        <f aca="false">'Design Calculations'!H288</f>
        <v>0.06000000000002</v>
      </c>
      <c r="H10" s="5" t="n">
        <f aca="false">'Design Calculations'!I288</f>
        <v>1.56000000000052</v>
      </c>
      <c r="I10" s="5" t="n">
        <f aca="false">'Design Calculations'!J288</f>
        <v>0.0600965961361746</v>
      </c>
      <c r="J10" s="91" t="n">
        <f aca="false">'Design Calculations'!K288</f>
        <v>0.600965961361746</v>
      </c>
      <c r="K10" s="91" t="n">
        <f aca="false">'Design Calculations'!L288</f>
        <v>2</v>
      </c>
      <c r="L10" s="5"/>
      <c r="M10" s="5"/>
      <c r="N10" s="5"/>
    </row>
    <row r="11" customFormat="false" ht="12.8" hidden="false" customHeight="false" outlineLevel="0" collapsed="false">
      <c r="A11" s="5" t="n">
        <f aca="false">'Design Calculations'!B289</f>
        <v>0</v>
      </c>
      <c r="B11" s="5" t="n">
        <f aca="false">'Design Calculations'!C289</f>
        <v>0</v>
      </c>
      <c r="C11" s="5" t="n">
        <f aca="false">'Design Calculations'!D289</f>
        <v>0</v>
      </c>
      <c r="D11" s="5" t="n">
        <f aca="false">'Design Calculations'!E289</f>
        <v>0</v>
      </c>
      <c r="E11" s="5" t="n">
        <f aca="false">'Design Calculations'!F289</f>
        <v>0</v>
      </c>
      <c r="F11" s="5" t="n">
        <f aca="false">'Design Calculations'!G289</f>
        <v>0</v>
      </c>
      <c r="G11" s="5" t="n">
        <f aca="false">'Design Calculations'!H289</f>
        <v>0.0550000000000199</v>
      </c>
      <c r="H11" s="5" t="n">
        <f aca="false">'Design Calculations'!I289</f>
        <v>1.43000000000052</v>
      </c>
      <c r="I11" s="5" t="n">
        <f aca="false">'Design Calculations'!J289</f>
        <v>0.0550885464581617</v>
      </c>
      <c r="J11" s="91" t="n">
        <f aca="false">'Design Calculations'!K289</f>
        <v>0.550885464581617</v>
      </c>
      <c r="K11" s="91" t="n">
        <f aca="false">'Design Calculations'!L289</f>
        <v>2</v>
      </c>
      <c r="L11" s="5"/>
      <c r="M11" s="5" t="s">
        <v>44</v>
      </c>
      <c r="N11" s="5" t="s">
        <v>135</v>
      </c>
    </row>
    <row r="12" customFormat="false" ht="12.8" hidden="false" customHeight="false" outlineLevel="0" collapsed="false">
      <c r="A12" s="5" t="n">
        <f aca="false">'Design Calculations'!B290</f>
        <v>0</v>
      </c>
      <c r="B12" s="5" t="n">
        <f aca="false">'Design Calculations'!C290</f>
        <v>0</v>
      </c>
      <c r="C12" s="5" t="n">
        <f aca="false">'Design Calculations'!D290</f>
        <v>0</v>
      </c>
      <c r="D12" s="5" t="n">
        <f aca="false">'Design Calculations'!E290</f>
        <v>0</v>
      </c>
      <c r="E12" s="5" t="n">
        <f aca="false">'Design Calculations'!F290</f>
        <v>0</v>
      </c>
      <c r="F12" s="5" t="n">
        <f aca="false">'Design Calculations'!G290</f>
        <v>0</v>
      </c>
      <c r="G12" s="5" t="n">
        <f aca="false">'Design Calculations'!H290</f>
        <v>0.05000000000002</v>
      </c>
      <c r="H12" s="5" t="n">
        <f aca="false">'Design Calculations'!I290</f>
        <v>1.30000000000052</v>
      </c>
      <c r="I12" s="5" t="n">
        <f aca="false">'Design Calculations'!J290</f>
        <v>0.0500804967801488</v>
      </c>
      <c r="J12" s="91" t="n">
        <f aca="false">'Design Calculations'!K290</f>
        <v>0.500804967801488</v>
      </c>
      <c r="K12" s="91" t="n">
        <f aca="false">'Design Calculations'!L290</f>
        <v>2</v>
      </c>
      <c r="L12" s="5"/>
      <c r="M12" s="5" t="e">
        <f aca="false">0.000001*('Design Worksheet'!B$88)*(B13-B12)/(0.5*(E12+E13))</f>
        <v>#N/A</v>
      </c>
      <c r="N12" s="5" t="n">
        <f aca="false">B12</f>
        <v>0</v>
      </c>
    </row>
    <row r="13" customFormat="false" ht="12.8" hidden="false" customHeight="false" outlineLevel="0" collapsed="false">
      <c r="A13" s="5" t="n">
        <f aca="false">'Design Calculations'!B279</f>
        <v>0.00499999999999901</v>
      </c>
      <c r="B13" s="5" t="n">
        <f aca="false">'Design Calculations'!C279</f>
        <v>0.129999999999974</v>
      </c>
      <c r="C13" s="5" t="e">
        <f aca="false">'Design Calculations'!D279</f>
        <v>#N/A</v>
      </c>
      <c r="D13" s="5" t="e">
        <f aca="false">'Design Calculations'!E279</f>
        <v>#N/A</v>
      </c>
      <c r="E13" s="5" t="e">
        <f aca="false">'Design Calculations'!F279</f>
        <v>#N/A</v>
      </c>
      <c r="F13" s="5" t="e">
        <f aca="false">'Design Calculations'!G279</f>
        <v>#N/A</v>
      </c>
      <c r="G13" s="5" t="n">
        <f aca="false">'Design Calculations'!H279</f>
        <v>0.10500000000002</v>
      </c>
      <c r="H13" s="5" t="n">
        <f aca="false">'Design Calculations'!I279</f>
        <v>2.73000000000052</v>
      </c>
      <c r="I13" s="5" t="n">
        <f aca="false">'Design Calculations'!J279</f>
        <v>0.105169043238291</v>
      </c>
      <c r="J13" s="91" t="n">
        <f aca="false">'Design Calculations'!K279</f>
        <v>1.05169043238291</v>
      </c>
      <c r="K13" s="91" t="n">
        <f aca="false">'Design Calculations'!L279</f>
        <v>2</v>
      </c>
      <c r="L13" s="5"/>
      <c r="M13" s="5" t="e">
        <f aca="false">0.000001*('Design Worksheet'!B$88)*(B14-B13)/(0.5*(E13+E14))+M12</f>
        <v>#N/A</v>
      </c>
      <c r="N13" s="5" t="n">
        <f aca="false">B13</f>
        <v>0.129999999999974</v>
      </c>
    </row>
    <row r="14" customFormat="false" ht="12.8" hidden="false" customHeight="false" outlineLevel="0" collapsed="false">
      <c r="A14" s="5" t="n">
        <f aca="false">'Design Calculations'!B278</f>
        <v>0.00999999999999901</v>
      </c>
      <c r="B14" s="5" t="n">
        <f aca="false">'Design Calculations'!C278</f>
        <v>0.259999999999974</v>
      </c>
      <c r="C14" s="5" t="e">
        <f aca="false">'Design Calculations'!D278</f>
        <v>#N/A</v>
      </c>
      <c r="D14" s="5" t="e">
        <f aca="false">'Design Calculations'!E278</f>
        <v>#N/A</v>
      </c>
      <c r="E14" s="5" t="e">
        <f aca="false">'Design Calculations'!F278</f>
        <v>#N/A</v>
      </c>
      <c r="F14" s="5" t="e">
        <f aca="false">'Design Calculations'!G278</f>
        <v>#N/A</v>
      </c>
      <c r="G14" s="5" t="n">
        <f aca="false">'Design Calculations'!H278</f>
        <v>0.11000000000002</v>
      </c>
      <c r="H14" s="5" t="n">
        <f aca="false">'Design Calculations'!I278</f>
        <v>2.86000000000052</v>
      </c>
      <c r="I14" s="5" t="n">
        <f aca="false">'Design Calculations'!J278</f>
        <v>0.110177092916303</v>
      </c>
      <c r="J14" s="91" t="n">
        <f aca="false">'Design Calculations'!K278</f>
        <v>1.10177092916303</v>
      </c>
      <c r="K14" s="91" t="n">
        <f aca="false">'Design Calculations'!L278</f>
        <v>2</v>
      </c>
      <c r="L14" s="5"/>
      <c r="M14" s="5" t="e">
        <f aca="false">0.000001*('Design Worksheet'!B$88)*(B15-B14)/(0.5*(E14+E15))+M13</f>
        <v>#N/A</v>
      </c>
      <c r="N14" s="5" t="n">
        <f aca="false">B14</f>
        <v>0.259999999999974</v>
      </c>
    </row>
    <row r="15" customFormat="false" ht="12.8" hidden="false" customHeight="false" outlineLevel="0" collapsed="false">
      <c r="A15" s="5" t="n">
        <f aca="false">'Design Calculations'!B277</f>
        <v>0.014999999999999</v>
      </c>
      <c r="B15" s="5" t="n">
        <f aca="false">'Design Calculations'!C277</f>
        <v>0.389999999999974</v>
      </c>
      <c r="C15" s="5" t="e">
        <f aca="false">'Design Calculations'!D277</f>
        <v>#N/A</v>
      </c>
      <c r="D15" s="5" t="e">
        <f aca="false">'Design Calculations'!E277</f>
        <v>#N/A</v>
      </c>
      <c r="E15" s="5" t="e">
        <f aca="false">'Design Calculations'!F277</f>
        <v>#N/A</v>
      </c>
      <c r="F15" s="5" t="e">
        <f aca="false">'Design Calculations'!G277</f>
        <v>#N/A</v>
      </c>
      <c r="G15" s="5" t="n">
        <f aca="false">'Design Calculations'!H277</f>
        <v>0.11500000000002</v>
      </c>
      <c r="H15" s="5" t="n">
        <f aca="false">'Design Calculations'!I277</f>
        <v>2.99000000000052</v>
      </c>
      <c r="I15" s="5" t="n">
        <f aca="false">'Design Calculations'!J277</f>
        <v>0.115185142594316</v>
      </c>
      <c r="J15" s="91" t="n">
        <f aca="false">'Design Calculations'!K277</f>
        <v>1.15185142594316</v>
      </c>
      <c r="K15" s="91" t="n">
        <f aca="false">'Design Calculations'!L277</f>
        <v>2</v>
      </c>
      <c r="L15" s="5"/>
      <c r="M15" s="5" t="e">
        <f aca="false">0.000001*('Design Worksheet'!B$88)*(B16-B15)/(0.5*(E15+E16))+M14</f>
        <v>#N/A</v>
      </c>
      <c r="N15" s="5" t="n">
        <f aca="false">B15</f>
        <v>0.389999999999974</v>
      </c>
    </row>
    <row r="16" customFormat="false" ht="12.8" hidden="false" customHeight="false" outlineLevel="0" collapsed="false">
      <c r="A16" s="5" t="n">
        <f aca="false">'Design Calculations'!B276</f>
        <v>0.019999999999999</v>
      </c>
      <c r="B16" s="5" t="n">
        <f aca="false">'Design Calculations'!C276</f>
        <v>0.519999999999974</v>
      </c>
      <c r="C16" s="5" t="e">
        <f aca="false">'Design Calculations'!D276</f>
        <v>#N/A</v>
      </c>
      <c r="D16" s="5" t="e">
        <f aca="false">'Design Calculations'!E276</f>
        <v>#N/A</v>
      </c>
      <c r="E16" s="5" t="e">
        <f aca="false">'Design Calculations'!F276</f>
        <v>#N/A</v>
      </c>
      <c r="F16" s="5" t="e">
        <f aca="false">'Design Calculations'!G276</f>
        <v>#N/A</v>
      </c>
      <c r="G16" s="5" t="n">
        <f aca="false">'Design Calculations'!H276</f>
        <v>0.12000000000002</v>
      </c>
      <c r="H16" s="5" t="n">
        <f aca="false">'Design Calculations'!I276</f>
        <v>3.12000000000052</v>
      </c>
      <c r="I16" s="5" t="n">
        <f aca="false">'Design Calculations'!J276</f>
        <v>0.120193192272329</v>
      </c>
      <c r="J16" s="91" t="n">
        <f aca="false">'Design Calculations'!K276</f>
        <v>1.20193192272329</v>
      </c>
      <c r="K16" s="91" t="n">
        <f aca="false">'Design Calculations'!L276</f>
        <v>2</v>
      </c>
      <c r="L16" s="5"/>
      <c r="M16" s="5" t="e">
        <f aca="false">0.000001*('Design Worksheet'!B$88)*(B17-B16)/(0.5*(E16+E17))+M15</f>
        <v>#N/A</v>
      </c>
      <c r="N16" s="5" t="n">
        <f aca="false">B16</f>
        <v>0.519999999999974</v>
      </c>
    </row>
    <row r="17" customFormat="false" ht="12.8" hidden="false" customHeight="false" outlineLevel="0" collapsed="false">
      <c r="A17" s="5" t="n">
        <f aca="false">'Design Calculations'!B275</f>
        <v>0.024999999999999</v>
      </c>
      <c r="B17" s="5" t="n">
        <f aca="false">'Design Calculations'!C275</f>
        <v>0.649999999999974</v>
      </c>
      <c r="C17" s="5" t="e">
        <f aca="false">'Design Calculations'!D275</f>
        <v>#N/A</v>
      </c>
      <c r="D17" s="5" t="e">
        <f aca="false">'Design Calculations'!E275</f>
        <v>#N/A</v>
      </c>
      <c r="E17" s="5" t="e">
        <f aca="false">'Design Calculations'!F275</f>
        <v>#N/A</v>
      </c>
      <c r="F17" s="5" t="e">
        <f aca="false">'Design Calculations'!G275</f>
        <v>#N/A</v>
      </c>
      <c r="G17" s="5" t="n">
        <f aca="false">'Design Calculations'!H275</f>
        <v>0.12500000000002</v>
      </c>
      <c r="H17" s="5" t="n">
        <f aca="false">'Design Calculations'!I275</f>
        <v>3.25000000000052</v>
      </c>
      <c r="I17" s="5" t="n">
        <f aca="false">'Design Calculations'!J275</f>
        <v>0.125201241950342</v>
      </c>
      <c r="J17" s="91" t="n">
        <f aca="false">'Design Calculations'!K275</f>
        <v>1.25201241950342</v>
      </c>
      <c r="K17" s="91" t="n">
        <f aca="false">'Design Calculations'!L275</f>
        <v>2</v>
      </c>
      <c r="L17" s="5"/>
      <c r="M17" s="5" t="e">
        <f aca="false">0.000001*('Design Worksheet'!B$88)*(B18-B17)/(0.5*(E17+E18))+M16</f>
        <v>#N/A</v>
      </c>
      <c r="N17" s="5" t="n">
        <f aca="false">B17</f>
        <v>0.649999999999974</v>
      </c>
    </row>
    <row r="18" customFormat="false" ht="12.8" hidden="false" customHeight="false" outlineLevel="0" collapsed="false">
      <c r="A18" s="5" t="n">
        <f aca="false">'Design Calculations'!B274</f>
        <v>0.029999999999999</v>
      </c>
      <c r="B18" s="5" t="n">
        <f aca="false">'Design Calculations'!C274</f>
        <v>0.779999999999974</v>
      </c>
      <c r="C18" s="5" t="e">
        <f aca="false">'Design Calculations'!D274</f>
        <v>#N/A</v>
      </c>
      <c r="D18" s="5" t="e">
        <f aca="false">'Design Calculations'!E274</f>
        <v>#N/A</v>
      </c>
      <c r="E18" s="5" t="e">
        <f aca="false">'Design Calculations'!F274</f>
        <v>#N/A</v>
      </c>
      <c r="F18" s="5" t="e">
        <f aca="false">'Design Calculations'!G274</f>
        <v>#N/A</v>
      </c>
      <c r="G18" s="5" t="n">
        <f aca="false">'Design Calculations'!H274</f>
        <v>0.13000000000002</v>
      </c>
      <c r="H18" s="5" t="n">
        <f aca="false">'Design Calculations'!I274</f>
        <v>3.38000000000052</v>
      </c>
      <c r="I18" s="5" t="n">
        <f aca="false">'Design Calculations'!J274</f>
        <v>0.130209291628355</v>
      </c>
      <c r="J18" s="91" t="n">
        <f aca="false">'Design Calculations'!K274</f>
        <v>1.30209291628355</v>
      </c>
      <c r="K18" s="91" t="n">
        <f aca="false">'Design Calculations'!L274</f>
        <v>2</v>
      </c>
      <c r="L18" s="5"/>
      <c r="M18" s="5" t="e">
        <f aca="false">0.000001*('Design Worksheet'!B$88)*(B19-B18)/(0.5*(E18+E19))+M17</f>
        <v>#N/A</v>
      </c>
      <c r="N18" s="5" t="n">
        <f aca="false">B18</f>
        <v>0.779999999999974</v>
      </c>
    </row>
    <row r="19" customFormat="false" ht="12.8" hidden="false" customHeight="false" outlineLevel="0" collapsed="false">
      <c r="A19" s="5" t="n">
        <f aca="false">'Design Calculations'!B273</f>
        <v>0.034999999999999</v>
      </c>
      <c r="B19" s="5" t="n">
        <f aca="false">'Design Calculations'!C273</f>
        <v>0.909999999999974</v>
      </c>
      <c r="C19" s="5" t="e">
        <f aca="false">'Design Calculations'!D273</f>
        <v>#N/A</v>
      </c>
      <c r="D19" s="5" t="e">
        <f aca="false">'Design Calculations'!E273</f>
        <v>#N/A</v>
      </c>
      <c r="E19" s="5" t="e">
        <f aca="false">'Design Calculations'!F273</f>
        <v>#N/A</v>
      </c>
      <c r="F19" s="5" t="e">
        <f aca="false">'Design Calculations'!G273</f>
        <v>#N/A</v>
      </c>
      <c r="G19" s="5" t="n">
        <f aca="false">'Design Calculations'!H273</f>
        <v>0.13500000000002</v>
      </c>
      <c r="H19" s="5" t="n">
        <f aca="false">'Design Calculations'!I273</f>
        <v>3.51000000000052</v>
      </c>
      <c r="I19" s="5" t="n">
        <f aca="false">'Design Calculations'!J273</f>
        <v>0.135217341306368</v>
      </c>
      <c r="J19" s="91" t="n">
        <f aca="false">'Design Calculations'!K273</f>
        <v>1.35217341306368</v>
      </c>
      <c r="K19" s="91" t="n">
        <f aca="false">'Design Calculations'!L273</f>
        <v>2</v>
      </c>
      <c r="L19" s="5"/>
      <c r="M19" s="5" t="e">
        <f aca="false">0.000001*('Design Worksheet'!B$88)*(B20-B19)/(0.5*(E19+E20))+M18</f>
        <v>#N/A</v>
      </c>
      <c r="N19" s="5" t="n">
        <f aca="false">B19</f>
        <v>0.909999999999974</v>
      </c>
    </row>
    <row r="20" customFormat="false" ht="12.8" hidden="false" customHeight="false" outlineLevel="0" collapsed="false">
      <c r="A20" s="5" t="n">
        <f aca="false">'Design Calculations'!B272</f>
        <v>0.039999999999999</v>
      </c>
      <c r="B20" s="5" t="n">
        <f aca="false">'Design Calculations'!C272</f>
        <v>1.03999999999997</v>
      </c>
      <c r="C20" s="5" t="e">
        <f aca="false">'Design Calculations'!D272</f>
        <v>#N/A</v>
      </c>
      <c r="D20" s="5" t="e">
        <f aca="false">'Design Calculations'!E272</f>
        <v>#N/A</v>
      </c>
      <c r="E20" s="5" t="e">
        <f aca="false">'Design Calculations'!F272</f>
        <v>#N/A</v>
      </c>
      <c r="F20" s="5" t="e">
        <f aca="false">'Design Calculations'!G272</f>
        <v>#N/A</v>
      </c>
      <c r="G20" s="5" t="n">
        <f aca="false">'Design Calculations'!H272</f>
        <v>0.14000000000002</v>
      </c>
      <c r="H20" s="5" t="n">
        <f aca="false">'Design Calculations'!I272</f>
        <v>3.64000000000052</v>
      </c>
      <c r="I20" s="5" t="n">
        <f aca="false">'Design Calculations'!J272</f>
        <v>0.140225390984381</v>
      </c>
      <c r="J20" s="91" t="n">
        <f aca="false">'Design Calculations'!K272</f>
        <v>1.40225390984381</v>
      </c>
      <c r="K20" s="91" t="n">
        <f aca="false">'Design Calculations'!L272</f>
        <v>2</v>
      </c>
      <c r="L20" s="5"/>
      <c r="M20" s="5" t="e">
        <f aca="false">0.000001*('Design Worksheet'!B$88)*(B21-B20)/(0.5*(E20+E21))+M19</f>
        <v>#N/A</v>
      </c>
      <c r="N20" s="5" t="n">
        <f aca="false">B20</f>
        <v>1.03999999999997</v>
      </c>
    </row>
    <row r="21" customFormat="false" ht="12.8" hidden="false" customHeight="false" outlineLevel="0" collapsed="false">
      <c r="A21" s="5" t="n">
        <f aca="false">'Design Calculations'!B271</f>
        <v>0.044999999999999</v>
      </c>
      <c r="B21" s="5" t="n">
        <f aca="false">'Design Calculations'!C271</f>
        <v>1.16999999999997</v>
      </c>
      <c r="C21" s="5" t="e">
        <f aca="false">'Design Calculations'!D271</f>
        <v>#N/A</v>
      </c>
      <c r="D21" s="5" t="e">
        <f aca="false">'Design Calculations'!E271</f>
        <v>#N/A</v>
      </c>
      <c r="E21" s="5" t="e">
        <f aca="false">'Design Calculations'!F271</f>
        <v>#N/A</v>
      </c>
      <c r="F21" s="5" t="e">
        <f aca="false">'Design Calculations'!G271</f>
        <v>#N/A</v>
      </c>
      <c r="G21" s="5" t="n">
        <f aca="false">'Design Calculations'!H271</f>
        <v>0.14500000000002</v>
      </c>
      <c r="H21" s="5" t="n">
        <f aca="false">'Design Calculations'!I271</f>
        <v>3.77000000000052</v>
      </c>
      <c r="I21" s="5" t="n">
        <f aca="false">'Design Calculations'!J271</f>
        <v>0.145233440662394</v>
      </c>
      <c r="J21" s="91" t="n">
        <f aca="false">'Design Calculations'!K271</f>
        <v>1.45233440662394</v>
      </c>
      <c r="K21" s="91" t="n">
        <f aca="false">'Design Calculations'!L271</f>
        <v>2</v>
      </c>
      <c r="L21" s="5"/>
      <c r="M21" s="5" t="e">
        <f aca="false">0.000001*('Design Worksheet'!B$88)*(B22-B21)/(0.5*(E21+E22))+M20</f>
        <v>#N/A</v>
      </c>
      <c r="N21" s="5" t="n">
        <f aca="false">B21</f>
        <v>1.16999999999997</v>
      </c>
    </row>
    <row r="22" customFormat="false" ht="12.8" hidden="false" customHeight="false" outlineLevel="0" collapsed="false">
      <c r="A22" s="5" t="n">
        <f aca="false">'Design Calculations'!B270</f>
        <v>0.049999999999999</v>
      </c>
      <c r="B22" s="5" t="n">
        <f aca="false">'Design Calculations'!C270</f>
        <v>1.29999999999997</v>
      </c>
      <c r="C22" s="5" t="e">
        <f aca="false">'Design Calculations'!D270</f>
        <v>#N/A</v>
      </c>
      <c r="D22" s="5" t="e">
        <f aca="false">'Design Calculations'!E270</f>
        <v>#N/A</v>
      </c>
      <c r="E22" s="5" t="e">
        <f aca="false">'Design Calculations'!F270</f>
        <v>#N/A</v>
      </c>
      <c r="F22" s="5" t="e">
        <f aca="false">'Design Calculations'!G270</f>
        <v>#N/A</v>
      </c>
      <c r="G22" s="5" t="n">
        <f aca="false">'Design Calculations'!H270</f>
        <v>0.15000000000002</v>
      </c>
      <c r="H22" s="5" t="n">
        <f aca="false">'Design Calculations'!I270</f>
        <v>3.90000000000052</v>
      </c>
      <c r="I22" s="5" t="n">
        <f aca="false">'Design Calculations'!J270</f>
        <v>0.150241490340406</v>
      </c>
      <c r="J22" s="91" t="n">
        <f aca="false">'Design Calculations'!K270</f>
        <v>1.50241490340406</v>
      </c>
      <c r="K22" s="91" t="n">
        <f aca="false">'Design Calculations'!L270</f>
        <v>2</v>
      </c>
      <c r="L22" s="5"/>
      <c r="M22" s="5" t="e">
        <f aca="false">0.000001*('Design Worksheet'!B$88)*(B23-B22)/(0.5*(E22+E23))+M21</f>
        <v>#N/A</v>
      </c>
      <c r="N22" s="5" t="n">
        <f aca="false">B22</f>
        <v>1.29999999999997</v>
      </c>
    </row>
    <row r="23" customFormat="false" ht="12.8" hidden="false" customHeight="false" outlineLevel="0" collapsed="false">
      <c r="A23" s="5" t="n">
        <f aca="false">'Design Calculations'!B269</f>
        <v>0.054999999999999</v>
      </c>
      <c r="B23" s="5" t="n">
        <f aca="false">'Design Calculations'!C269</f>
        <v>1.42999999999997</v>
      </c>
      <c r="C23" s="5" t="e">
        <f aca="false">'Design Calculations'!D269</f>
        <v>#N/A</v>
      </c>
      <c r="D23" s="5" t="e">
        <f aca="false">'Design Calculations'!E269</f>
        <v>#N/A</v>
      </c>
      <c r="E23" s="5" t="e">
        <f aca="false">'Design Calculations'!F269</f>
        <v>#N/A</v>
      </c>
      <c r="F23" s="5" t="e">
        <f aca="false">'Design Calculations'!G269</f>
        <v>#N/A</v>
      </c>
      <c r="G23" s="5" t="n">
        <f aca="false">'Design Calculations'!H269</f>
        <v>0.15500000000002</v>
      </c>
      <c r="H23" s="5" t="n">
        <f aca="false">'Design Calculations'!I269</f>
        <v>4.03000000000052</v>
      </c>
      <c r="I23" s="5" t="n">
        <f aca="false">'Design Calculations'!J269</f>
        <v>0.155249540018419</v>
      </c>
      <c r="J23" s="91" t="n">
        <f aca="false">'Design Calculations'!K269</f>
        <v>1.55249540018419</v>
      </c>
      <c r="K23" s="91" t="n">
        <f aca="false">'Design Calculations'!L269</f>
        <v>2</v>
      </c>
      <c r="L23" s="5"/>
      <c r="M23" s="5" t="e">
        <f aca="false">0.000001*('Design Worksheet'!B$88)*(B24-B23)/(0.5*(E23+E24))+M22</f>
        <v>#N/A</v>
      </c>
      <c r="N23" s="5" t="n">
        <f aca="false">B23</f>
        <v>1.42999999999997</v>
      </c>
    </row>
    <row r="24" customFormat="false" ht="12.8" hidden="false" customHeight="false" outlineLevel="0" collapsed="false">
      <c r="A24" s="5" t="n">
        <f aca="false">'Design Calculations'!B268</f>
        <v>0.0599999999999991</v>
      </c>
      <c r="B24" s="5" t="n">
        <f aca="false">'Design Calculations'!C268</f>
        <v>1.55999999999998</v>
      </c>
      <c r="C24" s="5" t="e">
        <f aca="false">'Design Calculations'!D268</f>
        <v>#N/A</v>
      </c>
      <c r="D24" s="5" t="e">
        <f aca="false">'Design Calculations'!E268</f>
        <v>#N/A</v>
      </c>
      <c r="E24" s="5" t="e">
        <f aca="false">'Design Calculations'!F268</f>
        <v>#N/A</v>
      </c>
      <c r="F24" s="5" t="e">
        <f aca="false">'Design Calculations'!G268</f>
        <v>#N/A</v>
      </c>
      <c r="G24" s="5" t="n">
        <f aca="false">'Design Calculations'!H268</f>
        <v>0.16000000000002</v>
      </c>
      <c r="H24" s="5" t="n">
        <f aca="false">'Design Calculations'!I268</f>
        <v>4.16000000000052</v>
      </c>
      <c r="I24" s="5" t="n">
        <f aca="false">'Design Calculations'!J268</f>
        <v>0.160257589696432</v>
      </c>
      <c r="J24" s="91" t="n">
        <f aca="false">'Design Calculations'!K268</f>
        <v>1.60257589696432</v>
      </c>
      <c r="K24" s="91" t="n">
        <f aca="false">'Design Calculations'!L268</f>
        <v>2</v>
      </c>
      <c r="L24" s="5"/>
      <c r="M24" s="5" t="e">
        <f aca="false">0.000001*('Design Worksheet'!B$88)*(B25-B24)/(0.5*(E24+E25))+M23</f>
        <v>#N/A</v>
      </c>
      <c r="N24" s="5" t="n">
        <f aca="false">B24</f>
        <v>1.55999999999998</v>
      </c>
    </row>
    <row r="25" customFormat="false" ht="12.8" hidden="false" customHeight="false" outlineLevel="0" collapsed="false">
      <c r="A25" s="5" t="n">
        <f aca="false">'Design Calculations'!B267</f>
        <v>0.0649999999999989</v>
      </c>
      <c r="B25" s="5" t="n">
        <f aca="false">'Design Calculations'!C267</f>
        <v>1.68999999999997</v>
      </c>
      <c r="C25" s="5" t="e">
        <f aca="false">'Design Calculations'!D267</f>
        <v>#N/A</v>
      </c>
      <c r="D25" s="5" t="e">
        <f aca="false">'Design Calculations'!E267</f>
        <v>#N/A</v>
      </c>
      <c r="E25" s="5" t="e">
        <f aca="false">'Design Calculations'!F267</f>
        <v>#N/A</v>
      </c>
      <c r="F25" s="5" t="e">
        <f aca="false">'Design Calculations'!G267</f>
        <v>#N/A</v>
      </c>
      <c r="G25" s="5" t="n">
        <f aca="false">'Design Calculations'!H267</f>
        <v>0.16500000000002</v>
      </c>
      <c r="H25" s="5" t="n">
        <f aca="false">'Design Calculations'!I267</f>
        <v>4.29000000000052</v>
      </c>
      <c r="I25" s="5" t="n">
        <f aca="false">'Design Calculations'!J267</f>
        <v>0.165265639374445</v>
      </c>
      <c r="J25" s="91" t="n">
        <f aca="false">'Design Calculations'!K267</f>
        <v>1.65265639374445</v>
      </c>
      <c r="K25" s="91" t="n">
        <f aca="false">'Design Calculations'!L267</f>
        <v>2</v>
      </c>
      <c r="L25" s="5"/>
      <c r="M25" s="5" t="e">
        <f aca="false">0.000001*('Design Worksheet'!B$88)*(B26-B25)/(0.5*(E25+E26))+M24</f>
        <v>#N/A</v>
      </c>
      <c r="N25" s="5" t="n">
        <f aca="false">B25</f>
        <v>1.68999999999997</v>
      </c>
    </row>
    <row r="26" customFormat="false" ht="12.8" hidden="false" customHeight="false" outlineLevel="0" collapsed="false">
      <c r="A26" s="5" t="n">
        <f aca="false">'Design Calculations'!B266</f>
        <v>0.069999999999999</v>
      </c>
      <c r="B26" s="5" t="n">
        <f aca="false">'Design Calculations'!C266</f>
        <v>1.81999999999997</v>
      </c>
      <c r="C26" s="5" t="e">
        <f aca="false">'Design Calculations'!D266</f>
        <v>#N/A</v>
      </c>
      <c r="D26" s="5" t="e">
        <f aca="false">'Design Calculations'!E266</f>
        <v>#N/A</v>
      </c>
      <c r="E26" s="5" t="e">
        <f aca="false">'Design Calculations'!F266</f>
        <v>#N/A</v>
      </c>
      <c r="F26" s="5" t="e">
        <f aca="false">'Design Calculations'!G266</f>
        <v>#N/A</v>
      </c>
      <c r="G26" s="5" t="n">
        <f aca="false">'Design Calculations'!H266</f>
        <v>0.17000000000002</v>
      </c>
      <c r="H26" s="5" t="n">
        <f aca="false">'Design Calculations'!I266</f>
        <v>4.42000000000052</v>
      </c>
      <c r="I26" s="5" t="n">
        <f aca="false">'Design Calculations'!J266</f>
        <v>0.170273689052458</v>
      </c>
      <c r="J26" s="91" t="n">
        <f aca="false">'Design Calculations'!K266</f>
        <v>1.70273689052458</v>
      </c>
      <c r="K26" s="91" t="n">
        <f aca="false">'Design Calculations'!L266</f>
        <v>2</v>
      </c>
      <c r="L26" s="5"/>
      <c r="M26" s="5" t="e">
        <f aca="false">0.000001*('Design Worksheet'!B$88)*(B27-B26)/(0.5*(E26+E27))+M25</f>
        <v>#N/A</v>
      </c>
      <c r="N26" s="5" t="n">
        <f aca="false">B26</f>
        <v>1.81999999999997</v>
      </c>
    </row>
    <row r="27" customFormat="false" ht="12.8" hidden="false" customHeight="false" outlineLevel="0" collapsed="false">
      <c r="A27" s="5" t="n">
        <f aca="false">'Design Calculations'!B265</f>
        <v>0.074999999999999</v>
      </c>
      <c r="B27" s="5" t="n">
        <f aca="false">'Design Calculations'!C265</f>
        <v>1.94999999999997</v>
      </c>
      <c r="C27" s="5" t="e">
        <f aca="false">'Design Calculations'!D265</f>
        <v>#N/A</v>
      </c>
      <c r="D27" s="5" t="e">
        <f aca="false">'Design Calculations'!E265</f>
        <v>#N/A</v>
      </c>
      <c r="E27" s="5" t="e">
        <f aca="false">'Design Calculations'!F265</f>
        <v>#N/A</v>
      </c>
      <c r="F27" s="5" t="e">
        <f aca="false">'Design Calculations'!G265</f>
        <v>#N/A</v>
      </c>
      <c r="G27" s="5" t="n">
        <f aca="false">'Design Calculations'!H265</f>
        <v>0.17500000000002</v>
      </c>
      <c r="H27" s="5" t="n">
        <f aca="false">'Design Calculations'!I265</f>
        <v>4.55000000000052</v>
      </c>
      <c r="I27" s="5" t="n">
        <f aca="false">'Design Calculations'!J265</f>
        <v>0.175281738730471</v>
      </c>
      <c r="J27" s="91" t="n">
        <f aca="false">'Design Calculations'!K265</f>
        <v>1.75281738730471</v>
      </c>
      <c r="K27" s="91" t="n">
        <f aca="false">'Design Calculations'!L265</f>
        <v>2</v>
      </c>
      <c r="L27" s="5"/>
      <c r="M27" s="5" t="e">
        <f aca="false">0.000001*('Design Worksheet'!B$88)*(B28-B27)/(0.5*(E27+E28))+M26</f>
        <v>#N/A</v>
      </c>
      <c r="N27" s="5" t="n">
        <f aca="false">B27</f>
        <v>1.94999999999997</v>
      </c>
    </row>
    <row r="28" customFormat="false" ht="12.8" hidden="false" customHeight="false" outlineLevel="0" collapsed="false">
      <c r="A28" s="5" t="n">
        <f aca="false">'Design Calculations'!B264</f>
        <v>0.079999999999999</v>
      </c>
      <c r="B28" s="5" t="n">
        <f aca="false">'Design Calculations'!C264</f>
        <v>2.07999999999997</v>
      </c>
      <c r="C28" s="5" t="e">
        <f aca="false">'Design Calculations'!D264</f>
        <v>#N/A</v>
      </c>
      <c r="D28" s="5" t="e">
        <f aca="false">'Design Calculations'!E264</f>
        <v>#N/A</v>
      </c>
      <c r="E28" s="5" t="e">
        <f aca="false">'Design Calculations'!F264</f>
        <v>#N/A</v>
      </c>
      <c r="F28" s="5" t="e">
        <f aca="false">'Design Calculations'!G264</f>
        <v>#N/A</v>
      </c>
      <c r="G28" s="5" t="n">
        <f aca="false">'Design Calculations'!H264</f>
        <v>0.18000000000002</v>
      </c>
      <c r="H28" s="5" t="n">
        <f aca="false">'Design Calculations'!I264</f>
        <v>4.68000000000052</v>
      </c>
      <c r="I28" s="5" t="n">
        <f aca="false">'Design Calculations'!J264</f>
        <v>0.180289788408484</v>
      </c>
      <c r="J28" s="91" t="n">
        <f aca="false">'Design Calculations'!K264</f>
        <v>1.80289788408484</v>
      </c>
      <c r="K28" s="91" t="n">
        <f aca="false">'Design Calculations'!L264</f>
        <v>2</v>
      </c>
      <c r="L28" s="5"/>
      <c r="M28" s="5" t="e">
        <f aca="false">0.000001*('Design Worksheet'!B$88)*(B29-B28)/(0.5*(E28+E29))+M27</f>
        <v>#N/A</v>
      </c>
      <c r="N28" s="5" t="n">
        <f aca="false">B28</f>
        <v>2.07999999999997</v>
      </c>
    </row>
    <row r="29" customFormat="false" ht="12.8" hidden="false" customHeight="false" outlineLevel="0" collapsed="false">
      <c r="A29" s="5" t="n">
        <f aca="false">'Design Calculations'!B263</f>
        <v>0.084999999999999</v>
      </c>
      <c r="B29" s="5" t="n">
        <f aca="false">'Design Calculations'!C263</f>
        <v>2.20999999999997</v>
      </c>
      <c r="C29" s="5" t="e">
        <f aca="false">'Design Calculations'!D263</f>
        <v>#N/A</v>
      </c>
      <c r="D29" s="5" t="e">
        <f aca="false">'Design Calculations'!E263</f>
        <v>#N/A</v>
      </c>
      <c r="E29" s="5" t="e">
        <f aca="false">'Design Calculations'!F263</f>
        <v>#N/A</v>
      </c>
      <c r="F29" s="5" t="e">
        <f aca="false">'Design Calculations'!G263</f>
        <v>#N/A</v>
      </c>
      <c r="G29" s="5" t="n">
        <f aca="false">'Design Calculations'!H263</f>
        <v>0.18500000000002</v>
      </c>
      <c r="H29" s="5" t="n">
        <f aca="false">'Design Calculations'!I263</f>
        <v>4.81000000000052</v>
      </c>
      <c r="I29" s="5" t="n">
        <f aca="false">'Design Calculations'!J263</f>
        <v>0.185297838086497</v>
      </c>
      <c r="J29" s="91" t="n">
        <f aca="false">'Design Calculations'!K263</f>
        <v>1.85297838086497</v>
      </c>
      <c r="K29" s="91" t="n">
        <f aca="false">'Design Calculations'!L263</f>
        <v>2</v>
      </c>
      <c r="L29" s="5"/>
      <c r="M29" s="5" t="e">
        <f aca="false">0.000001*('Design Worksheet'!B$88)*(B30-B29)/(0.5*(E29+E30))+M28</f>
        <v>#N/A</v>
      </c>
      <c r="N29" s="5" t="n">
        <f aca="false">B29</f>
        <v>2.20999999999997</v>
      </c>
    </row>
    <row r="30" customFormat="false" ht="12.8" hidden="false" customHeight="false" outlineLevel="0" collapsed="false">
      <c r="A30" s="5" t="n">
        <f aca="false">'Design Calculations'!B262</f>
        <v>0.089999999999999</v>
      </c>
      <c r="B30" s="5" t="n">
        <f aca="false">'Design Calculations'!C262</f>
        <v>2.33999999999997</v>
      </c>
      <c r="C30" s="5" t="e">
        <f aca="false">'Design Calculations'!D262</f>
        <v>#N/A</v>
      </c>
      <c r="D30" s="5" t="e">
        <f aca="false">'Design Calculations'!E262</f>
        <v>#N/A</v>
      </c>
      <c r="E30" s="5" t="e">
        <f aca="false">'Design Calculations'!F262</f>
        <v>#N/A</v>
      </c>
      <c r="F30" s="5" t="e">
        <f aca="false">'Design Calculations'!G262</f>
        <v>#N/A</v>
      </c>
      <c r="G30" s="5" t="n">
        <f aca="false">'Design Calculations'!H262</f>
        <v>0.19000000000002</v>
      </c>
      <c r="H30" s="5" t="n">
        <f aca="false">'Design Calculations'!I262</f>
        <v>4.94000000000052</v>
      </c>
      <c r="I30" s="5" t="n">
        <f aca="false">'Design Calculations'!J262</f>
        <v>0.190305887764509</v>
      </c>
      <c r="J30" s="91" t="n">
        <f aca="false">'Design Calculations'!K262</f>
        <v>1.90305887764509</v>
      </c>
      <c r="K30" s="91" t="n">
        <f aca="false">'Design Calculations'!L262</f>
        <v>2</v>
      </c>
      <c r="L30" s="5"/>
      <c r="M30" s="5" t="e">
        <f aca="false">0.000001*('Design Worksheet'!B$88)*(B31-B30)/(0.5*(E30+E31))+M29</f>
        <v>#N/A</v>
      </c>
      <c r="N30" s="5" t="n">
        <f aca="false">B30</f>
        <v>2.33999999999997</v>
      </c>
    </row>
    <row r="31" customFormat="false" ht="12.8" hidden="false" customHeight="false" outlineLevel="0" collapsed="false">
      <c r="A31" s="5" t="n">
        <f aca="false">'Design Calculations'!B261</f>
        <v>0.094999999999999</v>
      </c>
      <c r="B31" s="5" t="n">
        <f aca="false">'Design Calculations'!C261</f>
        <v>2.46999999999997</v>
      </c>
      <c r="C31" s="5" t="e">
        <f aca="false">'Design Calculations'!D261</f>
        <v>#N/A</v>
      </c>
      <c r="D31" s="5" t="e">
        <f aca="false">'Design Calculations'!E261</f>
        <v>#N/A</v>
      </c>
      <c r="E31" s="5" t="e">
        <f aca="false">'Design Calculations'!F261</f>
        <v>#N/A</v>
      </c>
      <c r="F31" s="5" t="e">
        <f aca="false">'Design Calculations'!G261</f>
        <v>#N/A</v>
      </c>
      <c r="G31" s="5" t="n">
        <f aca="false">'Design Calculations'!H261</f>
        <v>0.19500000000002</v>
      </c>
      <c r="H31" s="5" t="n">
        <f aca="false">'Design Calculations'!I261</f>
        <v>5.07000000000052</v>
      </c>
      <c r="I31" s="5" t="n">
        <f aca="false">'Design Calculations'!J261</f>
        <v>0.195313937442522</v>
      </c>
      <c r="J31" s="91" t="n">
        <f aca="false">'Design Calculations'!K261</f>
        <v>1.95313937442522</v>
      </c>
      <c r="K31" s="91" t="n">
        <f aca="false">'Design Calculations'!L261</f>
        <v>2</v>
      </c>
      <c r="L31" s="5"/>
      <c r="M31" s="5" t="e">
        <f aca="false">0.000001*('Design Worksheet'!B$88)*(B32-B31)/(0.5*(E31+E32))+M30</f>
        <v>#N/A</v>
      </c>
      <c r="N31" s="5" t="n">
        <f aca="false">B31</f>
        <v>2.46999999999997</v>
      </c>
    </row>
    <row r="32" customFormat="false" ht="12.8" hidden="false" customHeight="false" outlineLevel="0" collapsed="false">
      <c r="A32" s="5" t="n">
        <f aca="false">'Design Calculations'!B260</f>
        <v>0.099999999999999</v>
      </c>
      <c r="B32" s="5" t="n">
        <f aca="false">'Design Calculations'!C260</f>
        <v>2.59999999999997</v>
      </c>
      <c r="C32" s="5" t="e">
        <f aca="false">'Design Calculations'!D260</f>
        <v>#N/A</v>
      </c>
      <c r="D32" s="5" t="e">
        <f aca="false">'Design Calculations'!E260</f>
        <v>#N/A</v>
      </c>
      <c r="E32" s="5" t="e">
        <f aca="false">'Design Calculations'!F260</f>
        <v>#N/A</v>
      </c>
      <c r="F32" s="5" t="e">
        <f aca="false">'Design Calculations'!G260</f>
        <v>#N/A</v>
      </c>
      <c r="G32" s="5" t="n">
        <f aca="false">'Design Calculations'!H260</f>
        <v>0.200000000000021</v>
      </c>
      <c r="H32" s="5" t="n">
        <f aca="false">'Design Calculations'!I260</f>
        <v>5.20000000000055</v>
      </c>
      <c r="I32" s="5" t="n">
        <f aca="false">'Design Calculations'!J260</f>
        <v>0.200321987120536</v>
      </c>
      <c r="J32" s="91" t="n">
        <f aca="false">'Design Calculations'!K260</f>
        <v>2.00321987120536</v>
      </c>
      <c r="K32" s="91" t="n">
        <f aca="false">'Design Calculations'!L260</f>
        <v>2.00321987120536</v>
      </c>
      <c r="L32" s="5"/>
      <c r="M32" s="5" t="e">
        <f aca="false">0.000001*('Design Worksheet'!B$88)*(B33-B32)/(0.5*(E32+E33))+M31</f>
        <v>#N/A</v>
      </c>
      <c r="N32" s="5" t="n">
        <f aca="false">B32</f>
        <v>2.59999999999997</v>
      </c>
    </row>
    <row r="33" customFormat="false" ht="12.8" hidden="false" customHeight="false" outlineLevel="0" collapsed="false">
      <c r="A33" s="5" t="n">
        <f aca="false">'Design Calculations'!B259</f>
        <v>0.104999999999999</v>
      </c>
      <c r="B33" s="5" t="n">
        <f aca="false">'Design Calculations'!C259</f>
        <v>2.72999999999997</v>
      </c>
      <c r="C33" s="5" t="e">
        <f aca="false">'Design Calculations'!D259</f>
        <v>#N/A</v>
      </c>
      <c r="D33" s="5" t="e">
        <f aca="false">'Design Calculations'!E259</f>
        <v>#N/A</v>
      </c>
      <c r="E33" s="5" t="e">
        <f aca="false">'Design Calculations'!F259</f>
        <v>#N/A</v>
      </c>
      <c r="F33" s="5" t="e">
        <f aca="false">'Design Calculations'!G259</f>
        <v>#N/A</v>
      </c>
      <c r="G33" s="5" t="n">
        <f aca="false">'Design Calculations'!H259</f>
        <v>0.205000000000021</v>
      </c>
      <c r="H33" s="5" t="n">
        <f aca="false">'Design Calculations'!I259</f>
        <v>5.33000000000055</v>
      </c>
      <c r="I33" s="5" t="n">
        <f aca="false">'Design Calculations'!J259</f>
        <v>0.205330036798549</v>
      </c>
      <c r="J33" s="91" t="n">
        <f aca="false">'Design Calculations'!K259</f>
        <v>2.05330036798549</v>
      </c>
      <c r="K33" s="91" t="n">
        <f aca="false">'Design Calculations'!L259</f>
        <v>2.05330036798549</v>
      </c>
      <c r="L33" s="5"/>
      <c r="M33" s="5" t="e">
        <f aca="false">0.000001*('Design Worksheet'!B$88)*(B34-B33)/(0.5*(E33+E34))+M32</f>
        <v>#N/A</v>
      </c>
      <c r="N33" s="5" t="n">
        <f aca="false">B33</f>
        <v>2.72999999999997</v>
      </c>
    </row>
    <row r="34" customFormat="false" ht="12.8" hidden="false" customHeight="false" outlineLevel="0" collapsed="false">
      <c r="A34" s="5" t="n">
        <f aca="false">'Design Calculations'!B258</f>
        <v>0.109999999999999</v>
      </c>
      <c r="B34" s="5" t="n">
        <f aca="false">'Design Calculations'!C258</f>
        <v>2.85999999999997</v>
      </c>
      <c r="C34" s="5" t="e">
        <f aca="false">'Design Calculations'!D258</f>
        <v>#N/A</v>
      </c>
      <c r="D34" s="5" t="e">
        <f aca="false">'Design Calculations'!E258</f>
        <v>#N/A</v>
      </c>
      <c r="E34" s="5" t="e">
        <f aca="false">'Design Calculations'!F258</f>
        <v>#N/A</v>
      </c>
      <c r="F34" s="5" t="e">
        <f aca="false">'Design Calculations'!G258</f>
        <v>#N/A</v>
      </c>
      <c r="G34" s="5" t="n">
        <f aca="false">'Design Calculations'!H258</f>
        <v>0.210000000000021</v>
      </c>
      <c r="H34" s="5" t="n">
        <f aca="false">'Design Calculations'!I258</f>
        <v>5.46000000000055</v>
      </c>
      <c r="I34" s="5" t="n">
        <f aca="false">'Design Calculations'!J258</f>
        <v>0.210338086476562</v>
      </c>
      <c r="J34" s="91" t="n">
        <f aca="false">'Design Calculations'!K258</f>
        <v>2.10338086476562</v>
      </c>
      <c r="K34" s="91" t="n">
        <f aca="false">'Design Calculations'!L258</f>
        <v>2.10338086476562</v>
      </c>
      <c r="L34" s="5"/>
      <c r="M34" s="5" t="e">
        <f aca="false">0.000001*('Design Worksheet'!B$88)*(B35-B34)/(0.5*(E34+E35))+M33</f>
        <v>#N/A</v>
      </c>
      <c r="N34" s="5" t="n">
        <f aca="false">B34</f>
        <v>2.85999999999997</v>
      </c>
    </row>
    <row r="35" customFormat="false" ht="12.8" hidden="false" customHeight="false" outlineLevel="0" collapsed="false">
      <c r="A35" s="5" t="n">
        <f aca="false">'Design Calculations'!B257</f>
        <v>0.114999999999999</v>
      </c>
      <c r="B35" s="5" t="n">
        <f aca="false">'Design Calculations'!C257</f>
        <v>2.98999999999997</v>
      </c>
      <c r="C35" s="5" t="e">
        <f aca="false">'Design Calculations'!D257</f>
        <v>#N/A</v>
      </c>
      <c r="D35" s="5" t="e">
        <f aca="false">'Design Calculations'!E257</f>
        <v>#N/A</v>
      </c>
      <c r="E35" s="5" t="e">
        <f aca="false">'Design Calculations'!F257</f>
        <v>#N/A</v>
      </c>
      <c r="F35" s="5" t="e">
        <f aca="false">'Design Calculations'!G257</f>
        <v>#N/A</v>
      </c>
      <c r="G35" s="5" t="n">
        <f aca="false">'Design Calculations'!H257</f>
        <v>0.215000000000021</v>
      </c>
      <c r="H35" s="5" t="n">
        <f aca="false">'Design Calculations'!I257</f>
        <v>5.59000000000055</v>
      </c>
      <c r="I35" s="5" t="n">
        <f aca="false">'Design Calculations'!J257</f>
        <v>0.215346136154575</v>
      </c>
      <c r="J35" s="91" t="n">
        <f aca="false">'Design Calculations'!K257</f>
        <v>2.15346136154575</v>
      </c>
      <c r="K35" s="91" t="n">
        <f aca="false">'Design Calculations'!L257</f>
        <v>2.15346136154575</v>
      </c>
      <c r="L35" s="5"/>
      <c r="M35" s="5" t="e">
        <f aca="false">0.000001*('Design Worksheet'!B$88)*(B36-B35)/(0.5*(E35+E36))+M34</f>
        <v>#N/A</v>
      </c>
      <c r="N35" s="5" t="n">
        <f aca="false">B35</f>
        <v>2.98999999999997</v>
      </c>
    </row>
    <row r="36" customFormat="false" ht="12.8" hidden="false" customHeight="false" outlineLevel="0" collapsed="false">
      <c r="A36" s="5" t="n">
        <f aca="false">'Design Calculations'!B256</f>
        <v>0.119999999999999</v>
      </c>
      <c r="B36" s="5" t="n">
        <f aca="false">'Design Calculations'!C256</f>
        <v>3.11999999999997</v>
      </c>
      <c r="C36" s="5" t="e">
        <f aca="false">'Design Calculations'!D256</f>
        <v>#N/A</v>
      </c>
      <c r="D36" s="5" t="e">
        <f aca="false">'Design Calculations'!E256</f>
        <v>#N/A</v>
      </c>
      <c r="E36" s="5" t="e">
        <f aca="false">'Design Calculations'!F256</f>
        <v>#N/A</v>
      </c>
      <c r="F36" s="5" t="e">
        <f aca="false">'Design Calculations'!G256</f>
        <v>#N/A</v>
      </c>
      <c r="G36" s="5" t="n">
        <f aca="false">'Design Calculations'!H256</f>
        <v>0.220000000000021</v>
      </c>
      <c r="H36" s="5" t="n">
        <f aca="false">'Design Calculations'!I256</f>
        <v>5.72000000000055</v>
      </c>
      <c r="I36" s="5" t="n">
        <f aca="false">'Design Calculations'!J256</f>
        <v>0.220354185832588</v>
      </c>
      <c r="J36" s="91" t="n">
        <f aca="false">'Design Calculations'!K256</f>
        <v>2.20354185832588</v>
      </c>
      <c r="K36" s="91" t="n">
        <f aca="false">'Design Calculations'!L256</f>
        <v>2.20354185832588</v>
      </c>
      <c r="L36" s="5"/>
      <c r="M36" s="5" t="e">
        <f aca="false">0.000001*('Design Worksheet'!B$88)*(B37-B36)/(0.5*(E36+E37))+M35</f>
        <v>#N/A</v>
      </c>
      <c r="N36" s="5" t="n">
        <f aca="false">B36</f>
        <v>3.11999999999997</v>
      </c>
    </row>
    <row r="37" customFormat="false" ht="12.8" hidden="false" customHeight="false" outlineLevel="0" collapsed="false">
      <c r="A37" s="5" t="n">
        <f aca="false">'Design Calculations'!B255</f>
        <v>0.124999999999999</v>
      </c>
      <c r="B37" s="5" t="n">
        <f aca="false">'Design Calculations'!C255</f>
        <v>3.24999999999997</v>
      </c>
      <c r="C37" s="5" t="e">
        <f aca="false">'Design Calculations'!D255</f>
        <v>#N/A</v>
      </c>
      <c r="D37" s="5" t="e">
        <f aca="false">'Design Calculations'!E255</f>
        <v>#N/A</v>
      </c>
      <c r="E37" s="5" t="e">
        <f aca="false">'Design Calculations'!F255</f>
        <v>#N/A</v>
      </c>
      <c r="F37" s="5" t="e">
        <f aca="false">'Design Calculations'!G255</f>
        <v>#N/A</v>
      </c>
      <c r="G37" s="5" t="n">
        <f aca="false">'Design Calculations'!H255</f>
        <v>0.225000000000021</v>
      </c>
      <c r="H37" s="5" t="n">
        <f aca="false">'Design Calculations'!I255</f>
        <v>5.85000000000055</v>
      </c>
      <c r="I37" s="5" t="n">
        <f aca="false">'Design Calculations'!J255</f>
        <v>0.225362235510601</v>
      </c>
      <c r="J37" s="91" t="n">
        <f aca="false">'Design Calculations'!K255</f>
        <v>2.25362235510601</v>
      </c>
      <c r="K37" s="91" t="n">
        <f aca="false">'Design Calculations'!L255</f>
        <v>2.25362235510601</v>
      </c>
      <c r="L37" s="5"/>
      <c r="M37" s="5" t="e">
        <f aca="false">0.000001*('Design Worksheet'!B$88)*(B38-B37)/(0.5*(E37+E38))+M36</f>
        <v>#N/A</v>
      </c>
      <c r="N37" s="5" t="n">
        <f aca="false">B37</f>
        <v>3.24999999999997</v>
      </c>
    </row>
    <row r="38" customFormat="false" ht="12.8" hidden="false" customHeight="false" outlineLevel="0" collapsed="false">
      <c r="A38" s="5" t="n">
        <f aca="false">'Design Calculations'!B254</f>
        <v>0.129999999999999</v>
      </c>
      <c r="B38" s="5" t="n">
        <f aca="false">'Design Calculations'!C254</f>
        <v>3.37999999999997</v>
      </c>
      <c r="C38" s="5" t="e">
        <f aca="false">'Design Calculations'!D254</f>
        <v>#N/A</v>
      </c>
      <c r="D38" s="5" t="e">
        <f aca="false">'Design Calculations'!E254</f>
        <v>#N/A</v>
      </c>
      <c r="E38" s="5" t="e">
        <f aca="false">'Design Calculations'!F254</f>
        <v>#N/A</v>
      </c>
      <c r="F38" s="5" t="e">
        <f aca="false">'Design Calculations'!G254</f>
        <v>#N/A</v>
      </c>
      <c r="G38" s="5" t="n">
        <f aca="false">'Design Calculations'!H254</f>
        <v>0.230000000000021</v>
      </c>
      <c r="H38" s="5" t="n">
        <f aca="false">'Design Calculations'!I254</f>
        <v>5.98000000000055</v>
      </c>
      <c r="I38" s="5" t="n">
        <f aca="false">'Design Calculations'!J254</f>
        <v>0.230370285188614</v>
      </c>
      <c r="J38" s="91" t="n">
        <f aca="false">'Design Calculations'!K254</f>
        <v>2.30370285188614</v>
      </c>
      <c r="K38" s="91" t="n">
        <f aca="false">'Design Calculations'!L254</f>
        <v>2.30370285188614</v>
      </c>
      <c r="L38" s="5"/>
      <c r="M38" s="5" t="e">
        <f aca="false">0.000001*('Design Worksheet'!B$88)*(B39-B38)/(0.5*(E38+E39))+M37</f>
        <v>#N/A</v>
      </c>
      <c r="N38" s="5" t="n">
        <f aca="false">B38</f>
        <v>3.37999999999997</v>
      </c>
    </row>
    <row r="39" customFormat="false" ht="12.8" hidden="false" customHeight="false" outlineLevel="0" collapsed="false">
      <c r="A39" s="5" t="n">
        <f aca="false">'Design Calculations'!B253</f>
        <v>0.134999999999999</v>
      </c>
      <c r="B39" s="5" t="n">
        <f aca="false">'Design Calculations'!C253</f>
        <v>3.50999999999997</v>
      </c>
      <c r="C39" s="5" t="e">
        <f aca="false">'Design Calculations'!D253</f>
        <v>#N/A</v>
      </c>
      <c r="D39" s="5" t="e">
        <f aca="false">'Design Calculations'!E253</f>
        <v>#N/A</v>
      </c>
      <c r="E39" s="5" t="e">
        <f aca="false">'Design Calculations'!F253</f>
        <v>#N/A</v>
      </c>
      <c r="F39" s="5" t="e">
        <f aca="false">'Design Calculations'!G253</f>
        <v>#N/A</v>
      </c>
      <c r="G39" s="5" t="n">
        <f aca="false">'Design Calculations'!H253</f>
        <v>0.235000000000021</v>
      </c>
      <c r="H39" s="5" t="n">
        <f aca="false">'Design Calculations'!I253</f>
        <v>6.11000000000055</v>
      </c>
      <c r="I39" s="5" t="n">
        <f aca="false">'Design Calculations'!J253</f>
        <v>0.235378334866627</v>
      </c>
      <c r="J39" s="91" t="n">
        <f aca="false">'Design Calculations'!K253</f>
        <v>2.35378334866627</v>
      </c>
      <c r="K39" s="91" t="n">
        <f aca="false">'Design Calculations'!L253</f>
        <v>2.35378334866627</v>
      </c>
      <c r="L39" s="5"/>
      <c r="M39" s="5" t="e">
        <f aca="false">0.000001*('Design Worksheet'!B$88)*(B40-B39)/(0.5*(E39+E40))+M38</f>
        <v>#N/A</v>
      </c>
      <c r="N39" s="5" t="n">
        <f aca="false">B39</f>
        <v>3.50999999999997</v>
      </c>
    </row>
    <row r="40" customFormat="false" ht="12.8" hidden="false" customHeight="false" outlineLevel="0" collapsed="false">
      <c r="A40" s="5" t="n">
        <f aca="false">'Design Calculations'!B252</f>
        <v>0.139999999999999</v>
      </c>
      <c r="B40" s="5" t="n">
        <f aca="false">'Design Calculations'!C252</f>
        <v>3.63999999999997</v>
      </c>
      <c r="C40" s="5" t="e">
        <f aca="false">'Design Calculations'!D252</f>
        <v>#N/A</v>
      </c>
      <c r="D40" s="5" t="e">
        <f aca="false">'Design Calculations'!E252</f>
        <v>#N/A</v>
      </c>
      <c r="E40" s="5" t="e">
        <f aca="false">'Design Calculations'!F252</f>
        <v>#N/A</v>
      </c>
      <c r="F40" s="5" t="e">
        <f aca="false">'Design Calculations'!G252</f>
        <v>#N/A</v>
      </c>
      <c r="G40" s="5" t="n">
        <f aca="false">'Design Calculations'!H252</f>
        <v>0.24000000000002</v>
      </c>
      <c r="H40" s="5" t="n">
        <f aca="false">'Design Calculations'!I252</f>
        <v>6.24000000000052</v>
      </c>
      <c r="I40" s="5" t="n">
        <f aca="false">'Design Calculations'!J252</f>
        <v>0.240386384544638</v>
      </c>
      <c r="J40" s="91" t="n">
        <f aca="false">'Design Calculations'!K252</f>
        <v>2.40386384544638</v>
      </c>
      <c r="K40" s="91" t="n">
        <f aca="false">'Design Calculations'!L252</f>
        <v>2.40386384544638</v>
      </c>
      <c r="L40" s="5"/>
      <c r="M40" s="5" t="e">
        <f aca="false">0.000001*('Design Worksheet'!B$88)*(B41-B40)/(0.5*(E40+E41))+M39</f>
        <v>#N/A</v>
      </c>
      <c r="N40" s="5" t="n">
        <f aca="false">B40</f>
        <v>3.63999999999997</v>
      </c>
    </row>
    <row r="41" customFormat="false" ht="12.8" hidden="false" customHeight="false" outlineLevel="0" collapsed="false">
      <c r="A41" s="5" t="n">
        <f aca="false">'Design Calculations'!B251</f>
        <v>0.144999999999999</v>
      </c>
      <c r="B41" s="5" t="n">
        <f aca="false">'Design Calculations'!C251</f>
        <v>3.76999999999997</v>
      </c>
      <c r="C41" s="5" t="e">
        <f aca="false">'Design Calculations'!D251</f>
        <v>#N/A</v>
      </c>
      <c r="D41" s="5" t="e">
        <f aca="false">'Design Calculations'!E251</f>
        <v>#N/A</v>
      </c>
      <c r="E41" s="5" t="e">
        <f aca="false">'Design Calculations'!F251</f>
        <v>#N/A</v>
      </c>
      <c r="F41" s="5" t="e">
        <f aca="false">'Design Calculations'!G251</f>
        <v>#N/A</v>
      </c>
      <c r="G41" s="5" t="n">
        <f aca="false">'Design Calculations'!H251</f>
        <v>0.24500000000002</v>
      </c>
      <c r="H41" s="5" t="n">
        <f aca="false">'Design Calculations'!I251</f>
        <v>6.37000000000052</v>
      </c>
      <c r="I41" s="5" t="n">
        <f aca="false">'Design Calculations'!J251</f>
        <v>0.245394434222651</v>
      </c>
      <c r="J41" s="91" t="n">
        <f aca="false">'Design Calculations'!K251</f>
        <v>2.45394434222651</v>
      </c>
      <c r="K41" s="91" t="n">
        <f aca="false">'Design Calculations'!L251</f>
        <v>2.45394434222651</v>
      </c>
      <c r="L41" s="5"/>
      <c r="M41" s="5" t="e">
        <f aca="false">0.000001*('Design Worksheet'!B$88)*(B42-B41)/(0.5*(E41+E42))+M40</f>
        <v>#N/A</v>
      </c>
      <c r="N41" s="5" t="n">
        <f aca="false">B41</f>
        <v>3.76999999999997</v>
      </c>
    </row>
    <row r="42" customFormat="false" ht="12.8" hidden="false" customHeight="false" outlineLevel="0" collapsed="false">
      <c r="A42" s="5" t="n">
        <f aca="false">'Design Calculations'!B250</f>
        <v>0.149999999999999</v>
      </c>
      <c r="B42" s="5" t="n">
        <f aca="false">'Design Calculations'!C250</f>
        <v>3.89999999999997</v>
      </c>
      <c r="C42" s="5" t="e">
        <f aca="false">'Design Calculations'!D250</f>
        <v>#N/A</v>
      </c>
      <c r="D42" s="5" t="e">
        <f aca="false">'Design Calculations'!E250</f>
        <v>#N/A</v>
      </c>
      <c r="E42" s="5" t="e">
        <f aca="false">'Design Calculations'!F250</f>
        <v>#N/A</v>
      </c>
      <c r="F42" s="5" t="e">
        <f aca="false">'Design Calculations'!G250</f>
        <v>#N/A</v>
      </c>
      <c r="G42" s="5" t="n">
        <f aca="false">'Design Calculations'!H250</f>
        <v>0.25000000000002</v>
      </c>
      <c r="H42" s="5" t="n">
        <f aca="false">'Design Calculations'!I250</f>
        <v>6.50000000000052</v>
      </c>
      <c r="I42" s="5" t="n">
        <f aca="false">'Design Calculations'!J250</f>
        <v>0.250402483900664</v>
      </c>
      <c r="J42" s="91" t="n">
        <f aca="false">'Design Calculations'!K250</f>
        <v>2.50402483900664</v>
      </c>
      <c r="K42" s="91" t="n">
        <f aca="false">'Design Calculations'!L250</f>
        <v>2.50402483900664</v>
      </c>
      <c r="L42" s="5"/>
      <c r="M42" s="5" t="e">
        <f aca="false">0.000001*('Design Worksheet'!B$88)*(B43-B42)/(0.5*(E42+E43))+M41</f>
        <v>#N/A</v>
      </c>
      <c r="N42" s="5" t="n">
        <f aca="false">B42</f>
        <v>3.89999999999997</v>
      </c>
    </row>
    <row r="43" customFormat="false" ht="12.8" hidden="false" customHeight="false" outlineLevel="0" collapsed="false">
      <c r="A43" s="5" t="n">
        <f aca="false">'Design Calculations'!B249</f>
        <v>0.154999999999999</v>
      </c>
      <c r="B43" s="5" t="n">
        <f aca="false">'Design Calculations'!C249</f>
        <v>4.02999999999997</v>
      </c>
      <c r="C43" s="5" t="e">
        <f aca="false">'Design Calculations'!D249</f>
        <v>#N/A</v>
      </c>
      <c r="D43" s="5" t="e">
        <f aca="false">'Design Calculations'!E249</f>
        <v>#N/A</v>
      </c>
      <c r="E43" s="5" t="e">
        <f aca="false">'Design Calculations'!F249</f>
        <v>#N/A</v>
      </c>
      <c r="F43" s="5" t="e">
        <f aca="false">'Design Calculations'!G249</f>
        <v>#N/A</v>
      </c>
      <c r="G43" s="5" t="n">
        <f aca="false">'Design Calculations'!H249</f>
        <v>0.25500000000002</v>
      </c>
      <c r="H43" s="5" t="n">
        <f aca="false">'Design Calculations'!I249</f>
        <v>6.63000000000052</v>
      </c>
      <c r="I43" s="5" t="n">
        <f aca="false">'Design Calculations'!J249</f>
        <v>0.255410533578677</v>
      </c>
      <c r="J43" s="91" t="n">
        <f aca="false">'Design Calculations'!K249</f>
        <v>2.55410533578677</v>
      </c>
      <c r="K43" s="91" t="n">
        <f aca="false">'Design Calculations'!L249</f>
        <v>2.55410533578677</v>
      </c>
      <c r="L43" s="5"/>
      <c r="M43" s="5" t="e">
        <f aca="false">0.000001*('Design Worksheet'!B$88)*(B44-B43)/(0.5*(E43+E44))+M42</f>
        <v>#N/A</v>
      </c>
      <c r="N43" s="5" t="n">
        <f aca="false">B43</f>
        <v>4.02999999999997</v>
      </c>
    </row>
    <row r="44" customFormat="false" ht="12.8" hidden="false" customHeight="false" outlineLevel="0" collapsed="false">
      <c r="A44" s="5" t="n">
        <f aca="false">'Design Calculations'!B248</f>
        <v>0.159999999999999</v>
      </c>
      <c r="B44" s="5" t="n">
        <f aca="false">'Design Calculations'!C248</f>
        <v>4.15999999999997</v>
      </c>
      <c r="C44" s="5" t="e">
        <f aca="false">'Design Calculations'!D248</f>
        <v>#N/A</v>
      </c>
      <c r="D44" s="5" t="e">
        <f aca="false">'Design Calculations'!E248</f>
        <v>#N/A</v>
      </c>
      <c r="E44" s="5" t="e">
        <f aca="false">'Design Calculations'!F248</f>
        <v>#N/A</v>
      </c>
      <c r="F44" s="5" t="e">
        <f aca="false">'Design Calculations'!G248</f>
        <v>#N/A</v>
      </c>
      <c r="G44" s="5" t="n">
        <f aca="false">'Design Calculations'!H248</f>
        <v>0.26000000000002</v>
      </c>
      <c r="H44" s="5" t="n">
        <f aca="false">'Design Calculations'!I248</f>
        <v>6.76000000000052</v>
      </c>
      <c r="I44" s="5" t="n">
        <f aca="false">'Design Calculations'!J248</f>
        <v>0.26041858325669</v>
      </c>
      <c r="J44" s="91" t="n">
        <f aca="false">'Design Calculations'!K248</f>
        <v>2.6041858325669</v>
      </c>
      <c r="K44" s="91" t="n">
        <f aca="false">'Design Calculations'!L248</f>
        <v>2.6041858325669</v>
      </c>
      <c r="L44" s="5"/>
      <c r="M44" s="5" t="e">
        <f aca="false">0.000001*('Design Worksheet'!B$88)*(B45-B44)/(0.5*(E44+E45))+M43</f>
        <v>#N/A</v>
      </c>
      <c r="N44" s="5" t="n">
        <f aca="false">B44</f>
        <v>4.15999999999997</v>
      </c>
    </row>
    <row r="45" customFormat="false" ht="12.8" hidden="false" customHeight="false" outlineLevel="0" collapsed="false">
      <c r="A45" s="5" t="n">
        <f aca="false">'Design Calculations'!B247</f>
        <v>0.164999999999999</v>
      </c>
      <c r="B45" s="5" t="n">
        <f aca="false">'Design Calculations'!C247</f>
        <v>4.28999999999997</v>
      </c>
      <c r="C45" s="5" t="e">
        <f aca="false">'Design Calculations'!D247</f>
        <v>#N/A</v>
      </c>
      <c r="D45" s="5" t="e">
        <f aca="false">'Design Calculations'!E247</f>
        <v>#N/A</v>
      </c>
      <c r="E45" s="5" t="e">
        <f aca="false">'Design Calculations'!F247</f>
        <v>#N/A</v>
      </c>
      <c r="F45" s="5" t="e">
        <f aca="false">'Design Calculations'!G247</f>
        <v>#N/A</v>
      </c>
      <c r="G45" s="5" t="n">
        <f aca="false">'Design Calculations'!H247</f>
        <v>0.26500000000002</v>
      </c>
      <c r="H45" s="5" t="n">
        <f aca="false">'Design Calculations'!I247</f>
        <v>6.89000000000052</v>
      </c>
      <c r="I45" s="5" t="n">
        <f aca="false">'Design Calculations'!J247</f>
        <v>0.265426632934703</v>
      </c>
      <c r="J45" s="91" t="n">
        <f aca="false">'Design Calculations'!K247</f>
        <v>2.65426632934703</v>
      </c>
      <c r="K45" s="91" t="n">
        <f aca="false">'Design Calculations'!L247</f>
        <v>2.65426632934703</v>
      </c>
      <c r="L45" s="5"/>
      <c r="M45" s="5" t="e">
        <f aca="false">0.000001*('Design Worksheet'!B$88)*(B46-B45)/(0.5*(E45+E46))+M44</f>
        <v>#N/A</v>
      </c>
      <c r="N45" s="5" t="n">
        <f aca="false">B45</f>
        <v>4.28999999999997</v>
      </c>
    </row>
    <row r="46" customFormat="false" ht="12.8" hidden="false" customHeight="false" outlineLevel="0" collapsed="false">
      <c r="A46" s="5" t="n">
        <f aca="false">'Design Calculations'!B246</f>
        <v>0.169999999999999</v>
      </c>
      <c r="B46" s="5" t="n">
        <f aca="false">'Design Calculations'!C246</f>
        <v>4.41999999999997</v>
      </c>
      <c r="C46" s="5" t="e">
        <f aca="false">'Design Calculations'!D246</f>
        <v>#N/A</v>
      </c>
      <c r="D46" s="5" t="e">
        <f aca="false">'Design Calculations'!E246</f>
        <v>#N/A</v>
      </c>
      <c r="E46" s="5" t="e">
        <f aca="false">'Design Calculations'!F246</f>
        <v>#N/A</v>
      </c>
      <c r="F46" s="5" t="e">
        <f aca="false">'Design Calculations'!G246</f>
        <v>#N/A</v>
      </c>
      <c r="G46" s="5" t="n">
        <f aca="false">'Design Calculations'!H246</f>
        <v>0.27000000000002</v>
      </c>
      <c r="H46" s="5" t="n">
        <f aca="false">'Design Calculations'!I246</f>
        <v>7.02000000000052</v>
      </c>
      <c r="I46" s="5" t="n">
        <f aca="false">'Design Calculations'!J246</f>
        <v>0.270434682612716</v>
      </c>
      <c r="J46" s="91" t="n">
        <f aca="false">'Design Calculations'!K246</f>
        <v>2.70434682612716</v>
      </c>
      <c r="K46" s="91" t="n">
        <f aca="false">'Design Calculations'!L246</f>
        <v>2.70434682612716</v>
      </c>
      <c r="L46" s="5"/>
      <c r="M46" s="5" t="e">
        <f aca="false">0.000001*('Design Worksheet'!B$88)*(B47-B46)/(0.5*(E46+E47))+M45</f>
        <v>#N/A</v>
      </c>
      <c r="N46" s="5" t="n">
        <f aca="false">B46</f>
        <v>4.41999999999997</v>
      </c>
    </row>
    <row r="47" customFormat="false" ht="12.8" hidden="false" customHeight="false" outlineLevel="0" collapsed="false">
      <c r="A47" s="5" t="n">
        <f aca="false">'Design Calculations'!B245</f>
        <v>0.174999999999999</v>
      </c>
      <c r="B47" s="5" t="n">
        <f aca="false">'Design Calculations'!C245</f>
        <v>4.54999999999997</v>
      </c>
      <c r="C47" s="5" t="e">
        <f aca="false">'Design Calculations'!D245</f>
        <v>#N/A</v>
      </c>
      <c r="D47" s="5" t="e">
        <f aca="false">'Design Calculations'!E245</f>
        <v>#N/A</v>
      </c>
      <c r="E47" s="5" t="e">
        <f aca="false">'Design Calculations'!F245</f>
        <v>#N/A</v>
      </c>
      <c r="F47" s="5" t="e">
        <f aca="false">'Design Calculations'!G245</f>
        <v>#N/A</v>
      </c>
      <c r="G47" s="5" t="n">
        <f aca="false">'Design Calculations'!H245</f>
        <v>0.27500000000002</v>
      </c>
      <c r="H47" s="5" t="n">
        <f aca="false">'Design Calculations'!I245</f>
        <v>7.15000000000052</v>
      </c>
      <c r="I47" s="5" t="n">
        <f aca="false">'Design Calculations'!J245</f>
        <v>0.275442732290728</v>
      </c>
      <c r="J47" s="91" t="n">
        <f aca="false">'Design Calculations'!K245</f>
        <v>2.75442732290728</v>
      </c>
      <c r="K47" s="91" t="n">
        <f aca="false">'Design Calculations'!L245</f>
        <v>2.75442732290728</v>
      </c>
      <c r="L47" s="5"/>
      <c r="M47" s="5" t="e">
        <f aca="false">0.000001*('Design Worksheet'!B$88)*(B48-B47)/(0.5*(E47+E48))+M46</f>
        <v>#N/A</v>
      </c>
      <c r="N47" s="5" t="n">
        <f aca="false">B47</f>
        <v>4.54999999999997</v>
      </c>
    </row>
    <row r="48" customFormat="false" ht="12.8" hidden="false" customHeight="false" outlineLevel="0" collapsed="false">
      <c r="A48" s="5" t="n">
        <f aca="false">'Design Calculations'!B244</f>
        <v>0.179999999999999</v>
      </c>
      <c r="B48" s="5" t="n">
        <f aca="false">'Design Calculations'!C244</f>
        <v>4.67999999999997</v>
      </c>
      <c r="C48" s="5" t="e">
        <f aca="false">'Design Calculations'!D244</f>
        <v>#N/A</v>
      </c>
      <c r="D48" s="5" t="e">
        <f aca="false">'Design Calculations'!E244</f>
        <v>#N/A</v>
      </c>
      <c r="E48" s="5" t="e">
        <f aca="false">'Design Calculations'!F244</f>
        <v>#N/A</v>
      </c>
      <c r="F48" s="5" t="e">
        <f aca="false">'Design Calculations'!G244</f>
        <v>#N/A</v>
      </c>
      <c r="G48" s="5" t="n">
        <f aca="false">'Design Calculations'!H244</f>
        <v>0.28000000000002</v>
      </c>
      <c r="H48" s="5" t="n">
        <f aca="false">'Design Calculations'!I244</f>
        <v>7.28000000000052</v>
      </c>
      <c r="I48" s="5" t="n">
        <f aca="false">'Design Calculations'!J244</f>
        <v>0.280450781968741</v>
      </c>
      <c r="J48" s="91" t="n">
        <f aca="false">'Design Calculations'!K244</f>
        <v>2.80450781968741</v>
      </c>
      <c r="K48" s="91" t="n">
        <f aca="false">'Design Calculations'!L244</f>
        <v>2.80450781968741</v>
      </c>
      <c r="L48" s="5"/>
      <c r="M48" s="5" t="e">
        <f aca="false">0.000001*('Design Worksheet'!B$88)*(B49-B48)/(0.5*(E48+E49))+M47</f>
        <v>#N/A</v>
      </c>
      <c r="N48" s="5" t="n">
        <f aca="false">B48</f>
        <v>4.67999999999997</v>
      </c>
    </row>
    <row r="49" customFormat="false" ht="12.8" hidden="false" customHeight="false" outlineLevel="0" collapsed="false">
      <c r="A49" s="5" t="n">
        <f aca="false">'Design Calculations'!B243</f>
        <v>0.184999999999999</v>
      </c>
      <c r="B49" s="5" t="n">
        <f aca="false">'Design Calculations'!C243</f>
        <v>4.80999999999997</v>
      </c>
      <c r="C49" s="5" t="e">
        <f aca="false">'Design Calculations'!D243</f>
        <v>#N/A</v>
      </c>
      <c r="D49" s="5" t="e">
        <f aca="false">'Design Calculations'!E243</f>
        <v>#N/A</v>
      </c>
      <c r="E49" s="5" t="e">
        <f aca="false">'Design Calculations'!F243</f>
        <v>#N/A</v>
      </c>
      <c r="F49" s="5" t="e">
        <f aca="false">'Design Calculations'!G243</f>
        <v>#N/A</v>
      </c>
      <c r="G49" s="5" t="n">
        <f aca="false">'Design Calculations'!H243</f>
        <v>0.28500000000002</v>
      </c>
      <c r="H49" s="5" t="n">
        <f aca="false">'Design Calculations'!I243</f>
        <v>7.41000000000052</v>
      </c>
      <c r="I49" s="5" t="n">
        <f aca="false">'Design Calculations'!J243</f>
        <v>0.285458831646754</v>
      </c>
      <c r="J49" s="91" t="n">
        <f aca="false">'Design Calculations'!K243</f>
        <v>2.85458831646754</v>
      </c>
      <c r="K49" s="91" t="n">
        <f aca="false">'Design Calculations'!L243</f>
        <v>2.85458831646754</v>
      </c>
      <c r="L49" s="5"/>
      <c r="M49" s="5" t="e">
        <f aca="false">0.000001*('Design Worksheet'!B$88)*(B50-B49)/(0.5*(E49+E50))+M48</f>
        <v>#N/A</v>
      </c>
      <c r="N49" s="5" t="n">
        <f aca="false">B49</f>
        <v>4.80999999999997</v>
      </c>
    </row>
    <row r="50" customFormat="false" ht="12.8" hidden="false" customHeight="false" outlineLevel="0" collapsed="false">
      <c r="A50" s="5" t="n">
        <f aca="false">'Design Calculations'!B242</f>
        <v>0.189999999999999</v>
      </c>
      <c r="B50" s="5" t="n">
        <f aca="false">'Design Calculations'!C242</f>
        <v>4.93999999999997</v>
      </c>
      <c r="C50" s="5" t="e">
        <f aca="false">'Design Calculations'!D242</f>
        <v>#N/A</v>
      </c>
      <c r="D50" s="5" t="e">
        <f aca="false">'Design Calculations'!E242</f>
        <v>#N/A</v>
      </c>
      <c r="E50" s="5" t="e">
        <f aca="false">'Design Calculations'!F242</f>
        <v>#N/A</v>
      </c>
      <c r="F50" s="5" t="e">
        <f aca="false">'Design Calculations'!G242</f>
        <v>#N/A</v>
      </c>
      <c r="G50" s="5" t="n">
        <f aca="false">'Design Calculations'!H242</f>
        <v>0.290000000000019</v>
      </c>
      <c r="H50" s="5" t="n">
        <f aca="false">'Design Calculations'!I242</f>
        <v>7.5400000000005</v>
      </c>
      <c r="I50" s="5" t="n">
        <f aca="false">'Design Calculations'!J242</f>
        <v>0.290466881324766</v>
      </c>
      <c r="J50" s="91" t="n">
        <f aca="false">'Design Calculations'!K242</f>
        <v>2.90466881324766</v>
      </c>
      <c r="K50" s="91" t="n">
        <f aca="false">'Design Calculations'!L242</f>
        <v>2.90466881324766</v>
      </c>
      <c r="L50" s="5"/>
      <c r="M50" s="5" t="e">
        <f aca="false">0.000001*('Design Worksheet'!B$88)*(B51-B50)/(0.5*(E50+E51))+M49</f>
        <v>#N/A</v>
      </c>
      <c r="N50" s="5" t="n">
        <f aca="false">B50</f>
        <v>4.93999999999997</v>
      </c>
    </row>
    <row r="51" customFormat="false" ht="12.8" hidden="false" customHeight="false" outlineLevel="0" collapsed="false">
      <c r="A51" s="5" t="n">
        <f aca="false">'Design Calculations'!B241</f>
        <v>0.194999999999999</v>
      </c>
      <c r="B51" s="5" t="n">
        <f aca="false">'Design Calculations'!C241</f>
        <v>5.06999999999997</v>
      </c>
      <c r="C51" s="5" t="e">
        <f aca="false">'Design Calculations'!D241</f>
        <v>#N/A</v>
      </c>
      <c r="D51" s="5" t="e">
        <f aca="false">'Design Calculations'!E241</f>
        <v>#N/A</v>
      </c>
      <c r="E51" s="5" t="e">
        <f aca="false">'Design Calculations'!F241</f>
        <v>#N/A</v>
      </c>
      <c r="F51" s="5" t="e">
        <f aca="false">'Design Calculations'!G241</f>
        <v>#N/A</v>
      </c>
      <c r="G51" s="5" t="n">
        <f aca="false">'Design Calculations'!H241</f>
        <v>0.295000000000019</v>
      </c>
      <c r="H51" s="5" t="n">
        <f aca="false">'Design Calculations'!I241</f>
        <v>7.6700000000005</v>
      </c>
      <c r="I51" s="5" t="n">
        <f aca="false">'Design Calculations'!J241</f>
        <v>0.295474931002779</v>
      </c>
      <c r="J51" s="91" t="n">
        <f aca="false">'Design Calculations'!K241</f>
        <v>2.95474931002779</v>
      </c>
      <c r="K51" s="91" t="n">
        <f aca="false">'Design Calculations'!L241</f>
        <v>2.95474931002779</v>
      </c>
      <c r="L51" s="5"/>
      <c r="M51" s="5" t="e">
        <f aca="false">0.000001*('Design Worksheet'!B$88)*(B52-B51)/(0.5*(E51+E52))+M50</f>
        <v>#N/A</v>
      </c>
      <c r="N51" s="5" t="n">
        <f aca="false">B51</f>
        <v>5.06999999999997</v>
      </c>
    </row>
    <row r="52" customFormat="false" ht="12.8" hidden="false" customHeight="false" outlineLevel="0" collapsed="false">
      <c r="A52" s="5" t="n">
        <f aca="false">'Design Calculations'!B240</f>
        <v>0.199999999999999</v>
      </c>
      <c r="B52" s="5" t="n">
        <f aca="false">'Design Calculations'!C240</f>
        <v>5.19999999999997</v>
      </c>
      <c r="C52" s="5" t="e">
        <f aca="false">'Design Calculations'!D240</f>
        <v>#N/A</v>
      </c>
      <c r="D52" s="5" t="e">
        <f aca="false">'Design Calculations'!E240</f>
        <v>#N/A</v>
      </c>
      <c r="E52" s="5" t="e">
        <f aca="false">'Design Calculations'!F240</f>
        <v>#N/A</v>
      </c>
      <c r="F52" s="5" t="e">
        <f aca="false">'Design Calculations'!G240</f>
        <v>#N/A</v>
      </c>
      <c r="G52" s="5" t="n">
        <f aca="false">'Design Calculations'!H240</f>
        <v>0.300000000000019</v>
      </c>
      <c r="H52" s="5" t="n">
        <f aca="false">'Design Calculations'!I240</f>
        <v>7.80000000000049</v>
      </c>
      <c r="I52" s="5" t="n">
        <f aca="false">'Design Calculations'!J240</f>
        <v>0.300482980680792</v>
      </c>
      <c r="J52" s="91" t="n">
        <f aca="false">'Design Calculations'!K240</f>
        <v>3.00482980680792</v>
      </c>
      <c r="K52" s="91" t="n">
        <f aca="false">'Design Calculations'!L240</f>
        <v>3.00482980680792</v>
      </c>
      <c r="L52" s="5"/>
      <c r="M52" s="5" t="e">
        <f aca="false">0.000001*('Design Worksheet'!B$88)*(B53-B52)/(0.5*(E52+E53))+M51</f>
        <v>#N/A</v>
      </c>
      <c r="N52" s="5" t="n">
        <f aca="false">B52</f>
        <v>5.19999999999997</v>
      </c>
    </row>
    <row r="53" customFormat="false" ht="12.8" hidden="false" customHeight="false" outlineLevel="0" collapsed="false">
      <c r="A53" s="5" t="n">
        <f aca="false">'Design Calculations'!B239</f>
        <v>0.204999999999999</v>
      </c>
      <c r="B53" s="5" t="n">
        <f aca="false">'Design Calculations'!C239</f>
        <v>5.32999999999997</v>
      </c>
      <c r="C53" s="5" t="e">
        <f aca="false">'Design Calculations'!D239</f>
        <v>#N/A</v>
      </c>
      <c r="D53" s="5" t="e">
        <f aca="false">'Design Calculations'!E239</f>
        <v>#N/A</v>
      </c>
      <c r="E53" s="5" t="e">
        <f aca="false">'Design Calculations'!F239</f>
        <v>#N/A</v>
      </c>
      <c r="F53" s="5" t="e">
        <f aca="false">'Design Calculations'!G239</f>
        <v>#N/A</v>
      </c>
      <c r="G53" s="5" t="n">
        <f aca="false">'Design Calculations'!H239</f>
        <v>0.305000000000019</v>
      </c>
      <c r="H53" s="5" t="n">
        <f aca="false">'Design Calculations'!I239</f>
        <v>7.93000000000049</v>
      </c>
      <c r="I53" s="5" t="n">
        <f aca="false">'Design Calculations'!J239</f>
        <v>0.305491030358805</v>
      </c>
      <c r="J53" s="91" t="n">
        <f aca="false">'Design Calculations'!K239</f>
        <v>3.05491030358805</v>
      </c>
      <c r="K53" s="91" t="n">
        <f aca="false">'Design Calculations'!L239</f>
        <v>3.05491030358805</v>
      </c>
      <c r="L53" s="5"/>
      <c r="M53" s="5" t="e">
        <f aca="false">0.000001*('Design Worksheet'!B$88)*(B54-B53)/(0.5*(E53+E54))+M52</f>
        <v>#N/A</v>
      </c>
      <c r="N53" s="5" t="n">
        <f aca="false">B53</f>
        <v>5.32999999999997</v>
      </c>
    </row>
    <row r="54" customFormat="false" ht="12.8" hidden="false" customHeight="false" outlineLevel="0" collapsed="false">
      <c r="A54" s="5" t="n">
        <f aca="false">'Design Calculations'!B238</f>
        <v>0.209999999999999</v>
      </c>
      <c r="B54" s="5" t="n">
        <f aca="false">'Design Calculations'!C238</f>
        <v>5.45999999999997</v>
      </c>
      <c r="C54" s="5" t="e">
        <f aca="false">'Design Calculations'!D238</f>
        <v>#N/A</v>
      </c>
      <c r="D54" s="5" t="e">
        <f aca="false">'Design Calculations'!E238</f>
        <v>#N/A</v>
      </c>
      <c r="E54" s="5" t="e">
        <f aca="false">'Design Calculations'!F238</f>
        <v>#N/A</v>
      </c>
      <c r="F54" s="5" t="e">
        <f aca="false">'Design Calculations'!G238</f>
        <v>#N/A</v>
      </c>
      <c r="G54" s="5" t="n">
        <f aca="false">'Design Calculations'!H238</f>
        <v>0.310000000000019</v>
      </c>
      <c r="H54" s="5" t="n">
        <f aca="false">'Design Calculations'!I238</f>
        <v>8.06000000000049</v>
      </c>
      <c r="I54" s="5" t="n">
        <f aca="false">'Design Calculations'!J238</f>
        <v>0.310499080036817</v>
      </c>
      <c r="J54" s="91" t="n">
        <f aca="false">'Design Calculations'!K238</f>
        <v>3.10499080036817</v>
      </c>
      <c r="K54" s="91" t="n">
        <f aca="false">'Design Calculations'!L238</f>
        <v>3.10499080036817</v>
      </c>
      <c r="L54" s="5"/>
      <c r="M54" s="5" t="e">
        <f aca="false">0.000001*('Design Worksheet'!B$88)*(B55-B54)/(0.5*(E54+E55))+M53</f>
        <v>#N/A</v>
      </c>
      <c r="N54" s="5" t="n">
        <f aca="false">B54</f>
        <v>5.45999999999997</v>
      </c>
    </row>
    <row r="55" customFormat="false" ht="12.8" hidden="false" customHeight="false" outlineLevel="0" collapsed="false">
      <c r="A55" s="5" t="n">
        <f aca="false">'Design Calculations'!B237</f>
        <v>0.214999999999999</v>
      </c>
      <c r="B55" s="5" t="n">
        <f aca="false">'Design Calculations'!C237</f>
        <v>5.58999999999997</v>
      </c>
      <c r="C55" s="5" t="e">
        <f aca="false">'Design Calculations'!D237</f>
        <v>#N/A</v>
      </c>
      <c r="D55" s="5" t="e">
        <f aca="false">'Design Calculations'!E237</f>
        <v>#N/A</v>
      </c>
      <c r="E55" s="5" t="e">
        <f aca="false">'Design Calculations'!F237</f>
        <v>#N/A</v>
      </c>
      <c r="F55" s="5" t="e">
        <f aca="false">'Design Calculations'!G237</f>
        <v>#N/A</v>
      </c>
      <c r="G55" s="5" t="n">
        <f aca="false">'Design Calculations'!H237</f>
        <v>0.315000000000019</v>
      </c>
      <c r="H55" s="5" t="n">
        <f aca="false">'Design Calculations'!I237</f>
        <v>8.19000000000049</v>
      </c>
      <c r="I55" s="5" t="n">
        <f aca="false">'Design Calculations'!J237</f>
        <v>0.31550712971483</v>
      </c>
      <c r="J55" s="91" t="n">
        <f aca="false">'Design Calculations'!K237</f>
        <v>3.1550712971483</v>
      </c>
      <c r="K55" s="91" t="n">
        <f aca="false">'Design Calculations'!L237</f>
        <v>3.1550712971483</v>
      </c>
      <c r="L55" s="5"/>
      <c r="M55" s="5" t="e">
        <f aca="false">0.000001*('Design Worksheet'!B$88)*(B56-B55)/(0.5*(E55+E56))+M54</f>
        <v>#N/A</v>
      </c>
      <c r="N55" s="5" t="n">
        <f aca="false">B55</f>
        <v>5.58999999999997</v>
      </c>
    </row>
    <row r="56" customFormat="false" ht="12.8" hidden="false" customHeight="false" outlineLevel="0" collapsed="false">
      <c r="A56" s="5" t="n">
        <f aca="false">'Design Calculations'!B236</f>
        <v>0.219999999999999</v>
      </c>
      <c r="B56" s="5" t="n">
        <f aca="false">'Design Calculations'!C236</f>
        <v>5.71999999999997</v>
      </c>
      <c r="C56" s="5" t="e">
        <f aca="false">'Design Calculations'!D236</f>
        <v>#N/A</v>
      </c>
      <c r="D56" s="5" t="e">
        <f aca="false">'Design Calculations'!E236</f>
        <v>#N/A</v>
      </c>
      <c r="E56" s="5" t="e">
        <f aca="false">'Design Calculations'!F236</f>
        <v>#N/A</v>
      </c>
      <c r="F56" s="5" t="e">
        <f aca="false">'Design Calculations'!G236</f>
        <v>#N/A</v>
      </c>
      <c r="G56" s="5" t="n">
        <f aca="false">'Design Calculations'!H236</f>
        <v>0.320000000000019</v>
      </c>
      <c r="H56" s="5" t="n">
        <f aca="false">'Design Calculations'!I236</f>
        <v>8.32000000000049</v>
      </c>
      <c r="I56" s="5" t="n">
        <f aca="false">'Design Calculations'!J236</f>
        <v>0.320515179392843</v>
      </c>
      <c r="J56" s="91" t="n">
        <f aca="false">'Design Calculations'!K236</f>
        <v>3.20515179392843</v>
      </c>
      <c r="K56" s="91" t="n">
        <f aca="false">'Design Calculations'!L236</f>
        <v>3.20515179392843</v>
      </c>
      <c r="L56" s="5"/>
      <c r="M56" s="5" t="e">
        <f aca="false">0.000001*('Design Worksheet'!B$88)*(B57-B56)/(0.5*(E56+E57))+M55</f>
        <v>#N/A</v>
      </c>
      <c r="N56" s="5" t="n">
        <f aca="false">B56</f>
        <v>5.71999999999997</v>
      </c>
    </row>
    <row r="57" customFormat="false" ht="12.8" hidden="false" customHeight="false" outlineLevel="0" collapsed="false">
      <c r="A57" s="5" t="n">
        <f aca="false">'Design Calculations'!B235</f>
        <v>0.224999999999999</v>
      </c>
      <c r="B57" s="5" t="n">
        <f aca="false">'Design Calculations'!C235</f>
        <v>5.84999999999997</v>
      </c>
      <c r="C57" s="5" t="e">
        <f aca="false">'Design Calculations'!D235</f>
        <v>#N/A</v>
      </c>
      <c r="D57" s="5" t="e">
        <f aca="false">'Design Calculations'!E235</f>
        <v>#N/A</v>
      </c>
      <c r="E57" s="5" t="e">
        <f aca="false">'Design Calculations'!F235</f>
        <v>#N/A</v>
      </c>
      <c r="F57" s="5" t="e">
        <f aca="false">'Design Calculations'!G235</f>
        <v>#N/A</v>
      </c>
      <c r="G57" s="5" t="n">
        <f aca="false">'Design Calculations'!H235</f>
        <v>0.325000000000019</v>
      </c>
      <c r="H57" s="5" t="n">
        <f aca="false">'Design Calculations'!I235</f>
        <v>8.45000000000049</v>
      </c>
      <c r="I57" s="5" t="n">
        <f aca="false">'Design Calculations'!J235</f>
        <v>0.325523229070856</v>
      </c>
      <c r="J57" s="91" t="n">
        <f aca="false">'Design Calculations'!K235</f>
        <v>3.25523229070856</v>
      </c>
      <c r="K57" s="91" t="n">
        <f aca="false">'Design Calculations'!L235</f>
        <v>3.25523229070856</v>
      </c>
      <c r="L57" s="5"/>
      <c r="M57" s="5" t="e">
        <f aca="false">0.000001*('Design Worksheet'!B$88)*(B58-B57)/(0.5*(E57+E58))+M56</f>
        <v>#N/A</v>
      </c>
      <c r="N57" s="5" t="n">
        <f aca="false">B57</f>
        <v>5.84999999999997</v>
      </c>
    </row>
    <row r="58" customFormat="false" ht="12.8" hidden="false" customHeight="false" outlineLevel="0" collapsed="false">
      <c r="A58" s="5" t="n">
        <f aca="false">'Design Calculations'!B234</f>
        <v>0.229999999999999</v>
      </c>
      <c r="B58" s="5" t="n">
        <f aca="false">'Design Calculations'!C234</f>
        <v>5.97999999999998</v>
      </c>
      <c r="C58" s="5" t="e">
        <f aca="false">'Design Calculations'!D234</f>
        <v>#N/A</v>
      </c>
      <c r="D58" s="5" t="e">
        <f aca="false">'Design Calculations'!E234</f>
        <v>#N/A</v>
      </c>
      <c r="E58" s="5" t="e">
        <f aca="false">'Design Calculations'!F234</f>
        <v>#N/A</v>
      </c>
      <c r="F58" s="5" t="e">
        <f aca="false">'Design Calculations'!G234</f>
        <v>#N/A</v>
      </c>
      <c r="G58" s="5" t="n">
        <f aca="false">'Design Calculations'!H234</f>
        <v>0.330000000000019</v>
      </c>
      <c r="H58" s="5" t="n">
        <f aca="false">'Design Calculations'!I234</f>
        <v>8.58000000000049</v>
      </c>
      <c r="I58" s="5" t="n">
        <f aca="false">'Design Calculations'!J234</f>
        <v>0.330531278748869</v>
      </c>
      <c r="J58" s="91" t="n">
        <f aca="false">'Design Calculations'!K234</f>
        <v>3.30531278748869</v>
      </c>
      <c r="K58" s="91" t="n">
        <f aca="false">'Design Calculations'!L234</f>
        <v>3.30531278748869</v>
      </c>
      <c r="L58" s="5"/>
      <c r="M58" s="5" t="e">
        <f aca="false">0.000001*('Design Worksheet'!B$88)*(B59-B58)/(0.5*(E58+E59))+M57</f>
        <v>#N/A</v>
      </c>
      <c r="N58" s="5" t="n">
        <f aca="false">B58</f>
        <v>5.97999999999998</v>
      </c>
    </row>
    <row r="59" customFormat="false" ht="12.8" hidden="false" customHeight="false" outlineLevel="0" collapsed="false">
      <c r="A59" s="5" t="n">
        <f aca="false">'Design Calculations'!B233</f>
        <v>0.234999999999999</v>
      </c>
      <c r="B59" s="5" t="n">
        <f aca="false">'Design Calculations'!C233</f>
        <v>6.10999999999997</v>
      </c>
      <c r="C59" s="5" t="e">
        <f aca="false">'Design Calculations'!D233</f>
        <v>#N/A</v>
      </c>
      <c r="D59" s="5" t="e">
        <f aca="false">'Design Calculations'!E233</f>
        <v>#N/A</v>
      </c>
      <c r="E59" s="5" t="e">
        <f aca="false">'Design Calculations'!F233</f>
        <v>#N/A</v>
      </c>
      <c r="F59" s="5" t="e">
        <f aca="false">'Design Calculations'!G233</f>
        <v>#N/A</v>
      </c>
      <c r="G59" s="5" t="n">
        <f aca="false">'Design Calculations'!H233</f>
        <v>0.335000000000018</v>
      </c>
      <c r="H59" s="5" t="n">
        <f aca="false">'Design Calculations'!I233</f>
        <v>8.71000000000047</v>
      </c>
      <c r="I59" s="5" t="n">
        <f aca="false">'Design Calculations'!J233</f>
        <v>0.335539328426881</v>
      </c>
      <c r="J59" s="91" t="n">
        <f aca="false">'Design Calculations'!K233</f>
        <v>3.35539328426881</v>
      </c>
      <c r="K59" s="91" t="n">
        <f aca="false">'Design Calculations'!L233</f>
        <v>3.35539328426881</v>
      </c>
      <c r="L59" s="5"/>
      <c r="M59" s="5" t="e">
        <f aca="false">0.000001*('Design Worksheet'!B$88)*(B60-B59)/(0.5*(E59+E60))+M58</f>
        <v>#N/A</v>
      </c>
      <c r="N59" s="5" t="n">
        <f aca="false">B59</f>
        <v>6.10999999999997</v>
      </c>
    </row>
    <row r="60" customFormat="false" ht="12.8" hidden="false" customHeight="false" outlineLevel="0" collapsed="false">
      <c r="A60" s="5" t="n">
        <f aca="false">'Design Calculations'!B232</f>
        <v>0.239999999999999</v>
      </c>
      <c r="B60" s="5" t="n">
        <f aca="false">'Design Calculations'!C232</f>
        <v>6.23999999999997</v>
      </c>
      <c r="C60" s="5" t="e">
        <f aca="false">'Design Calculations'!D232</f>
        <v>#N/A</v>
      </c>
      <c r="D60" s="5" t="e">
        <f aca="false">'Design Calculations'!E232</f>
        <v>#N/A</v>
      </c>
      <c r="E60" s="5" t="e">
        <f aca="false">'Design Calculations'!F232</f>
        <v>#N/A</v>
      </c>
      <c r="F60" s="5" t="e">
        <f aca="false">'Design Calculations'!G232</f>
        <v>#N/A</v>
      </c>
      <c r="G60" s="5" t="n">
        <f aca="false">'Design Calculations'!H232</f>
        <v>0.340000000000018</v>
      </c>
      <c r="H60" s="5" t="n">
        <f aca="false">'Design Calculations'!I232</f>
        <v>8.84000000000047</v>
      </c>
      <c r="I60" s="5" t="n">
        <f aca="false">'Design Calculations'!J232</f>
        <v>0.340547378104894</v>
      </c>
      <c r="J60" s="91" t="n">
        <f aca="false">'Design Calculations'!K232</f>
        <v>3.40547378104894</v>
      </c>
      <c r="K60" s="91" t="n">
        <f aca="false">'Design Calculations'!L232</f>
        <v>3.40547378104894</v>
      </c>
      <c r="L60" s="5"/>
      <c r="M60" s="5" t="e">
        <f aca="false">0.000001*('Design Worksheet'!B$88)*(B61-B60)/(0.5*(E60+E61))+M59</f>
        <v>#N/A</v>
      </c>
      <c r="N60" s="5" t="n">
        <f aca="false">B60</f>
        <v>6.23999999999997</v>
      </c>
    </row>
    <row r="61" customFormat="false" ht="12.8" hidden="false" customHeight="false" outlineLevel="0" collapsed="false">
      <c r="A61" s="5" t="n">
        <f aca="false">'Design Calculations'!B231</f>
        <v>0.244999999999999</v>
      </c>
      <c r="B61" s="5" t="n">
        <f aca="false">'Design Calculations'!C231</f>
        <v>6.36999999999997</v>
      </c>
      <c r="C61" s="5" t="e">
        <f aca="false">'Design Calculations'!D231</f>
        <v>#N/A</v>
      </c>
      <c r="D61" s="5" t="e">
        <f aca="false">'Design Calculations'!E231</f>
        <v>#N/A</v>
      </c>
      <c r="E61" s="5" t="e">
        <f aca="false">'Design Calculations'!F231</f>
        <v>#N/A</v>
      </c>
      <c r="F61" s="5" t="e">
        <f aca="false">'Design Calculations'!G231</f>
        <v>#N/A</v>
      </c>
      <c r="G61" s="5" t="n">
        <f aca="false">'Design Calculations'!H231</f>
        <v>0.345000000000018</v>
      </c>
      <c r="H61" s="5" t="n">
        <f aca="false">'Design Calculations'!I231</f>
        <v>8.97000000000047</v>
      </c>
      <c r="I61" s="5" t="n">
        <f aca="false">'Design Calculations'!J231</f>
        <v>0.345555427782907</v>
      </c>
      <c r="J61" s="91" t="n">
        <f aca="false">'Design Calculations'!K231</f>
        <v>3.45555427782907</v>
      </c>
      <c r="K61" s="91" t="n">
        <f aca="false">'Design Calculations'!L231</f>
        <v>3.45555427782907</v>
      </c>
      <c r="L61" s="5"/>
      <c r="M61" s="5" t="e">
        <f aca="false">0.000001*('Design Worksheet'!B$88)*(B62-B61)/(0.5*(E61+E62))+M60</f>
        <v>#N/A</v>
      </c>
      <c r="N61" s="5" t="n">
        <f aca="false">B61</f>
        <v>6.36999999999997</v>
      </c>
    </row>
    <row r="62" customFormat="false" ht="12.8" hidden="false" customHeight="false" outlineLevel="0" collapsed="false">
      <c r="A62" s="5" t="n">
        <f aca="false">'Design Calculations'!B230</f>
        <v>0.249999999999999</v>
      </c>
      <c r="B62" s="5" t="n">
        <f aca="false">'Design Calculations'!C230</f>
        <v>6.49999999999997</v>
      </c>
      <c r="C62" s="5" t="e">
        <f aca="false">'Design Calculations'!D230</f>
        <v>#N/A</v>
      </c>
      <c r="D62" s="5" t="e">
        <f aca="false">'Design Calculations'!E230</f>
        <v>#N/A</v>
      </c>
      <c r="E62" s="5" t="e">
        <f aca="false">'Design Calculations'!F230</f>
        <v>#N/A</v>
      </c>
      <c r="F62" s="5" t="e">
        <f aca="false">'Design Calculations'!G230</f>
        <v>#N/A</v>
      </c>
      <c r="G62" s="5" t="n">
        <f aca="false">'Design Calculations'!H230</f>
        <v>0.350000000000018</v>
      </c>
      <c r="H62" s="5" t="n">
        <f aca="false">'Design Calculations'!I230</f>
        <v>9.10000000000047</v>
      </c>
      <c r="I62" s="5" t="n">
        <f aca="false">'Design Calculations'!J230</f>
        <v>0.35056347746092</v>
      </c>
      <c r="J62" s="91" t="n">
        <f aca="false">'Design Calculations'!K230</f>
        <v>3.5056347746092</v>
      </c>
      <c r="K62" s="91" t="n">
        <f aca="false">'Design Calculations'!L230</f>
        <v>3.5056347746092</v>
      </c>
      <c r="L62" s="5"/>
      <c r="M62" s="5" t="e">
        <f aca="false">0.000001*('Design Worksheet'!B$88)*(B63-B62)/(0.5*(E62+E63))+M61</f>
        <v>#N/A</v>
      </c>
      <c r="N62" s="5" t="n">
        <f aca="false">B62</f>
        <v>6.49999999999997</v>
      </c>
    </row>
    <row r="63" customFormat="false" ht="12.8" hidden="false" customHeight="false" outlineLevel="0" collapsed="false">
      <c r="A63" s="5" t="n">
        <f aca="false">'Design Calculations'!B229</f>
        <v>0.254999999999999</v>
      </c>
      <c r="B63" s="5" t="n">
        <f aca="false">'Design Calculations'!C229</f>
        <v>6.62999999999997</v>
      </c>
      <c r="C63" s="5" t="e">
        <f aca="false">'Design Calculations'!D229</f>
        <v>#N/A</v>
      </c>
      <c r="D63" s="5" t="e">
        <f aca="false">'Design Calculations'!E229</f>
        <v>#N/A</v>
      </c>
      <c r="E63" s="5" t="e">
        <f aca="false">'Design Calculations'!F229</f>
        <v>#N/A</v>
      </c>
      <c r="F63" s="5" t="e">
        <f aca="false">'Design Calculations'!G229</f>
        <v>#N/A</v>
      </c>
      <c r="G63" s="5" t="n">
        <f aca="false">'Design Calculations'!H229</f>
        <v>0.355000000000018</v>
      </c>
      <c r="H63" s="5" t="n">
        <f aca="false">'Design Calculations'!I229</f>
        <v>9.23000000000047</v>
      </c>
      <c r="I63" s="5" t="n">
        <f aca="false">'Design Calculations'!J229</f>
        <v>0.355571527138933</v>
      </c>
      <c r="J63" s="91" t="n">
        <f aca="false">'Design Calculations'!K229</f>
        <v>3.55571527138933</v>
      </c>
      <c r="K63" s="91" t="n">
        <f aca="false">'Design Calculations'!L229</f>
        <v>3.55571527138933</v>
      </c>
      <c r="L63" s="5"/>
      <c r="M63" s="5" t="e">
        <f aca="false">0.000001*('Design Worksheet'!B$88)*(B64-B63)/(0.5*(E63+E64))+M62</f>
        <v>#N/A</v>
      </c>
      <c r="N63" s="5" t="n">
        <f aca="false">B63</f>
        <v>6.62999999999997</v>
      </c>
    </row>
    <row r="64" customFormat="false" ht="12.8" hidden="false" customHeight="false" outlineLevel="0" collapsed="false">
      <c r="A64" s="5" t="n">
        <f aca="false">'Design Calculations'!B228</f>
        <v>0.259999999999999</v>
      </c>
      <c r="B64" s="5" t="n">
        <f aca="false">'Design Calculations'!C228</f>
        <v>6.75999999999997</v>
      </c>
      <c r="C64" s="5" t="e">
        <f aca="false">'Design Calculations'!D228</f>
        <v>#N/A</v>
      </c>
      <c r="D64" s="5" t="e">
        <f aca="false">'Design Calculations'!E228</f>
        <v>#N/A</v>
      </c>
      <c r="E64" s="5" t="e">
        <f aca="false">'Design Calculations'!F228</f>
        <v>#N/A</v>
      </c>
      <c r="F64" s="5" t="e">
        <f aca="false">'Design Calculations'!G228</f>
        <v>#N/A</v>
      </c>
      <c r="G64" s="5" t="n">
        <f aca="false">'Design Calculations'!H228</f>
        <v>0.360000000000018</v>
      </c>
      <c r="H64" s="5" t="n">
        <f aca="false">'Design Calculations'!I228</f>
        <v>9.36000000000047</v>
      </c>
      <c r="I64" s="5" t="n">
        <f aca="false">'Design Calculations'!J228</f>
        <v>0.360579576816945</v>
      </c>
      <c r="J64" s="91" t="n">
        <f aca="false">'Design Calculations'!K228</f>
        <v>3.60579576816945</v>
      </c>
      <c r="K64" s="91" t="n">
        <f aca="false">'Design Calculations'!L228</f>
        <v>3.60579576816945</v>
      </c>
      <c r="L64" s="5"/>
      <c r="M64" s="5" t="e">
        <f aca="false">0.000001*('Design Worksheet'!B$88)*(B65-B64)/(0.5*(E64+E65))+M63</f>
        <v>#N/A</v>
      </c>
      <c r="N64" s="5" t="n">
        <f aca="false">B64</f>
        <v>6.75999999999997</v>
      </c>
    </row>
    <row r="65" customFormat="false" ht="12.8" hidden="false" customHeight="false" outlineLevel="0" collapsed="false">
      <c r="A65" s="5" t="n">
        <f aca="false">'Design Calculations'!B227</f>
        <v>0.264999999999999</v>
      </c>
      <c r="B65" s="5" t="n">
        <f aca="false">'Design Calculations'!C227</f>
        <v>6.88999999999997</v>
      </c>
      <c r="C65" s="5" t="e">
        <f aca="false">'Design Calculations'!D227</f>
        <v>#N/A</v>
      </c>
      <c r="D65" s="5" t="e">
        <f aca="false">'Design Calculations'!E227</f>
        <v>#N/A</v>
      </c>
      <c r="E65" s="5" t="e">
        <f aca="false">'Design Calculations'!F227</f>
        <v>#N/A</v>
      </c>
      <c r="F65" s="5" t="e">
        <f aca="false">'Design Calculations'!G227</f>
        <v>#N/A</v>
      </c>
      <c r="G65" s="5" t="n">
        <f aca="false">'Design Calculations'!H227</f>
        <v>0.365000000000018</v>
      </c>
      <c r="H65" s="5" t="n">
        <f aca="false">'Design Calculations'!I227</f>
        <v>9.49000000000047</v>
      </c>
      <c r="I65" s="5" t="n">
        <f aca="false">'Design Calculations'!J227</f>
        <v>0.365587626494958</v>
      </c>
      <c r="J65" s="91" t="n">
        <f aca="false">'Design Calculations'!K227</f>
        <v>3.65587626494958</v>
      </c>
      <c r="K65" s="91" t="n">
        <f aca="false">'Design Calculations'!L227</f>
        <v>3.65587626494958</v>
      </c>
      <c r="L65" s="5"/>
      <c r="M65" s="5" t="e">
        <f aca="false">0.000001*('Design Worksheet'!B$88)*(B66-B65)/(0.5*(E65+E66))+M64</f>
        <v>#N/A</v>
      </c>
      <c r="N65" s="5" t="n">
        <f aca="false">B65</f>
        <v>6.88999999999997</v>
      </c>
    </row>
    <row r="66" customFormat="false" ht="12.8" hidden="false" customHeight="false" outlineLevel="0" collapsed="false">
      <c r="A66" s="5" t="n">
        <f aca="false">'Design Calculations'!B226</f>
        <v>0.269999999999999</v>
      </c>
      <c r="B66" s="5" t="n">
        <f aca="false">'Design Calculations'!C226</f>
        <v>7.01999999999998</v>
      </c>
      <c r="C66" s="5" t="e">
        <f aca="false">'Design Calculations'!D226</f>
        <v>#N/A</v>
      </c>
      <c r="D66" s="5" t="e">
        <f aca="false">'Design Calculations'!E226</f>
        <v>#N/A</v>
      </c>
      <c r="E66" s="5" t="e">
        <f aca="false">'Design Calculations'!F226</f>
        <v>#N/A</v>
      </c>
      <c r="F66" s="5" t="e">
        <f aca="false">'Design Calculations'!G226</f>
        <v>#N/A</v>
      </c>
      <c r="G66" s="5" t="n">
        <f aca="false">'Design Calculations'!H226</f>
        <v>0.370000000000018</v>
      </c>
      <c r="H66" s="5" t="n">
        <f aca="false">'Design Calculations'!I226</f>
        <v>9.62000000000047</v>
      </c>
      <c r="I66" s="5" t="n">
        <f aca="false">'Design Calculations'!J226</f>
        <v>0.370595676172971</v>
      </c>
      <c r="J66" s="91" t="n">
        <f aca="false">'Design Calculations'!K226</f>
        <v>3.70595676172971</v>
      </c>
      <c r="K66" s="91" t="n">
        <f aca="false">'Design Calculations'!L226</f>
        <v>3.70595676172971</v>
      </c>
      <c r="L66" s="5"/>
      <c r="M66" s="5" t="e">
        <f aca="false">0.000001*('Design Worksheet'!B$88)*(B67-B66)/(0.5*(E66+E67))+M65</f>
        <v>#N/A</v>
      </c>
      <c r="N66" s="5" t="n">
        <f aca="false">B66</f>
        <v>7.01999999999998</v>
      </c>
    </row>
    <row r="67" customFormat="false" ht="12.8" hidden="false" customHeight="false" outlineLevel="0" collapsed="false">
      <c r="A67" s="5" t="n">
        <f aca="false">'Design Calculations'!B225</f>
        <v>0.274999999999999</v>
      </c>
      <c r="B67" s="5" t="n">
        <f aca="false">'Design Calculations'!C225</f>
        <v>7.14999999999998</v>
      </c>
      <c r="C67" s="5" t="e">
        <f aca="false">'Design Calculations'!D225</f>
        <v>#N/A</v>
      </c>
      <c r="D67" s="5" t="e">
        <f aca="false">'Design Calculations'!E225</f>
        <v>#N/A</v>
      </c>
      <c r="E67" s="5" t="e">
        <f aca="false">'Design Calculations'!F225</f>
        <v>#N/A</v>
      </c>
      <c r="F67" s="5" t="e">
        <f aca="false">'Design Calculations'!G225</f>
        <v>#N/A</v>
      </c>
      <c r="G67" s="5" t="n">
        <f aca="false">'Design Calculations'!H225</f>
        <v>0.375000000000018</v>
      </c>
      <c r="H67" s="5" t="n">
        <f aca="false">'Design Calculations'!I225</f>
        <v>9.75000000000047</v>
      </c>
      <c r="I67" s="5" t="n">
        <f aca="false">'Design Calculations'!J225</f>
        <v>0.375603725850984</v>
      </c>
      <c r="J67" s="91" t="n">
        <f aca="false">'Design Calculations'!K225</f>
        <v>3.75603725850984</v>
      </c>
      <c r="K67" s="91" t="n">
        <f aca="false">'Design Calculations'!L225</f>
        <v>3.75603725850984</v>
      </c>
      <c r="L67" s="5"/>
      <c r="M67" s="5" t="e">
        <f aca="false">0.000001*('Design Worksheet'!B$88)*(B68-B67)/(0.5*(E67+E68))+M66</f>
        <v>#N/A</v>
      </c>
      <c r="N67" s="5" t="n">
        <f aca="false">B67</f>
        <v>7.14999999999998</v>
      </c>
    </row>
    <row r="68" customFormat="false" ht="12.8" hidden="false" customHeight="false" outlineLevel="0" collapsed="false">
      <c r="A68" s="5" t="n">
        <f aca="false">'Design Calculations'!B224</f>
        <v>0.279999999999999</v>
      </c>
      <c r="B68" s="5" t="n">
        <f aca="false">'Design Calculations'!C224</f>
        <v>7.27999999999997</v>
      </c>
      <c r="C68" s="5" t="e">
        <f aca="false">'Design Calculations'!D224</f>
        <v>#N/A</v>
      </c>
      <c r="D68" s="5" t="e">
        <f aca="false">'Design Calculations'!E224</f>
        <v>#N/A</v>
      </c>
      <c r="E68" s="5" t="e">
        <f aca="false">'Design Calculations'!F224</f>
        <v>#N/A</v>
      </c>
      <c r="F68" s="5" t="e">
        <f aca="false">'Design Calculations'!G224</f>
        <v>#N/A</v>
      </c>
      <c r="G68" s="5" t="n">
        <f aca="false">'Design Calculations'!H224</f>
        <v>0.380000000000017</v>
      </c>
      <c r="H68" s="5" t="n">
        <f aca="false">'Design Calculations'!I224</f>
        <v>9.88000000000044</v>
      </c>
      <c r="I68" s="5" t="n">
        <f aca="false">'Design Calculations'!J224</f>
        <v>0.380611775528996</v>
      </c>
      <c r="J68" s="91" t="n">
        <f aca="false">'Design Calculations'!K224</f>
        <v>3.80611775528996</v>
      </c>
      <c r="K68" s="91" t="n">
        <f aca="false">'Design Calculations'!L224</f>
        <v>3.80611775528996</v>
      </c>
      <c r="L68" s="5"/>
      <c r="M68" s="5" t="e">
        <f aca="false">0.000001*('Design Worksheet'!B$88)*(B69-B68)/(0.5*(E68+E69))+M67</f>
        <v>#N/A</v>
      </c>
      <c r="N68" s="5" t="n">
        <f aca="false">B68</f>
        <v>7.27999999999997</v>
      </c>
    </row>
    <row r="69" customFormat="false" ht="12.8" hidden="false" customHeight="false" outlineLevel="0" collapsed="false">
      <c r="A69" s="5" t="n">
        <f aca="false">'Design Calculations'!B223</f>
        <v>0.284999999999999</v>
      </c>
      <c r="B69" s="5" t="n">
        <f aca="false">'Design Calculations'!C223</f>
        <v>7.40999999999997</v>
      </c>
      <c r="C69" s="5" t="e">
        <f aca="false">'Design Calculations'!D223</f>
        <v>#N/A</v>
      </c>
      <c r="D69" s="5" t="e">
        <f aca="false">'Design Calculations'!E223</f>
        <v>#N/A</v>
      </c>
      <c r="E69" s="5" t="e">
        <f aca="false">'Design Calculations'!F223</f>
        <v>#N/A</v>
      </c>
      <c r="F69" s="5" t="e">
        <f aca="false">'Design Calculations'!G223</f>
        <v>#N/A</v>
      </c>
      <c r="G69" s="5" t="n">
        <f aca="false">'Design Calculations'!H223</f>
        <v>0.385000000000017</v>
      </c>
      <c r="H69" s="5" t="n">
        <f aca="false">'Design Calculations'!I223</f>
        <v>10.0100000000004</v>
      </c>
      <c r="I69" s="5" t="n">
        <f aca="false">'Design Calculations'!J223</f>
        <v>0.385619825207007</v>
      </c>
      <c r="J69" s="91" t="n">
        <f aca="false">'Design Calculations'!K223</f>
        <v>3.85619825207007</v>
      </c>
      <c r="K69" s="91" t="n">
        <f aca="false">'Design Calculations'!L223</f>
        <v>3.85619825207007</v>
      </c>
      <c r="L69" s="5"/>
      <c r="M69" s="5" t="e">
        <f aca="false">0.000001*('Design Worksheet'!B$88)*(B70-B69)/(0.5*(E69+E70))+M68</f>
        <v>#N/A</v>
      </c>
      <c r="N69" s="5" t="n">
        <f aca="false">B69</f>
        <v>7.40999999999997</v>
      </c>
    </row>
    <row r="70" customFormat="false" ht="12.8" hidden="false" customHeight="false" outlineLevel="0" collapsed="false">
      <c r="A70" s="5" t="n">
        <f aca="false">'Design Calculations'!B222</f>
        <v>0.289999999999999</v>
      </c>
      <c r="B70" s="5" t="n">
        <f aca="false">'Design Calculations'!C222</f>
        <v>7.53999999999997</v>
      </c>
      <c r="C70" s="5" t="e">
        <f aca="false">'Design Calculations'!D222</f>
        <v>#N/A</v>
      </c>
      <c r="D70" s="5" t="e">
        <f aca="false">'Design Calculations'!E222</f>
        <v>#N/A</v>
      </c>
      <c r="E70" s="5" t="e">
        <f aca="false">'Design Calculations'!F222</f>
        <v>#N/A</v>
      </c>
      <c r="F70" s="5" t="e">
        <f aca="false">'Design Calculations'!G222</f>
        <v>#N/A</v>
      </c>
      <c r="G70" s="5" t="n">
        <f aca="false">'Design Calculations'!H222</f>
        <v>0.390000000000017</v>
      </c>
      <c r="H70" s="5" t="n">
        <f aca="false">'Design Calculations'!I222</f>
        <v>10.1400000000004</v>
      </c>
      <c r="I70" s="5" t="n">
        <f aca="false">'Design Calculations'!J222</f>
        <v>0.39062787488502</v>
      </c>
      <c r="J70" s="91" t="n">
        <f aca="false">'Design Calculations'!K222</f>
        <v>3.9062787488502</v>
      </c>
      <c r="K70" s="91" t="n">
        <f aca="false">'Design Calculations'!L222</f>
        <v>3.9062787488502</v>
      </c>
      <c r="L70" s="5"/>
      <c r="M70" s="5" t="e">
        <f aca="false">0.000001*('Design Worksheet'!B$88)*(B71-B70)/(0.5*(E70+E71))+M69</f>
        <v>#N/A</v>
      </c>
      <c r="N70" s="5" t="n">
        <f aca="false">B70</f>
        <v>7.53999999999997</v>
      </c>
    </row>
    <row r="71" customFormat="false" ht="12.8" hidden="false" customHeight="false" outlineLevel="0" collapsed="false">
      <c r="A71" s="5" t="n">
        <f aca="false">'Design Calculations'!B221</f>
        <v>0.294999999999999</v>
      </c>
      <c r="B71" s="5" t="n">
        <f aca="false">'Design Calculations'!C221</f>
        <v>7.66999999999997</v>
      </c>
      <c r="C71" s="5" t="e">
        <f aca="false">'Design Calculations'!D221</f>
        <v>#N/A</v>
      </c>
      <c r="D71" s="5" t="e">
        <f aca="false">'Design Calculations'!E221</f>
        <v>#N/A</v>
      </c>
      <c r="E71" s="5" t="e">
        <f aca="false">'Design Calculations'!F221</f>
        <v>#N/A</v>
      </c>
      <c r="F71" s="5" t="e">
        <f aca="false">'Design Calculations'!G221</f>
        <v>#N/A</v>
      </c>
      <c r="G71" s="5" t="n">
        <f aca="false">'Design Calculations'!H221</f>
        <v>0.395000000000017</v>
      </c>
      <c r="H71" s="5" t="n">
        <f aca="false">'Design Calculations'!I221</f>
        <v>10.2700000000004</v>
      </c>
      <c r="I71" s="5" t="n">
        <f aca="false">'Design Calculations'!J221</f>
        <v>0.395635924563033</v>
      </c>
      <c r="J71" s="91" t="n">
        <f aca="false">'Design Calculations'!K221</f>
        <v>3.95635924563033</v>
      </c>
      <c r="K71" s="91" t="n">
        <f aca="false">'Design Calculations'!L221</f>
        <v>3.95635924563033</v>
      </c>
      <c r="L71" s="5"/>
      <c r="M71" s="5" t="e">
        <f aca="false">0.000001*('Design Worksheet'!B$88)*(B72-B71)/(0.5*(E71+E72))+M70</f>
        <v>#N/A</v>
      </c>
      <c r="N71" s="5" t="n">
        <f aca="false">B71</f>
        <v>7.66999999999997</v>
      </c>
    </row>
    <row r="72" customFormat="false" ht="12.8" hidden="false" customHeight="false" outlineLevel="0" collapsed="false">
      <c r="A72" s="5" t="n">
        <f aca="false">'Design Calculations'!B220</f>
        <v>0.299999999999999</v>
      </c>
      <c r="B72" s="5" t="n">
        <f aca="false">'Design Calculations'!C220</f>
        <v>7.79999999999997</v>
      </c>
      <c r="C72" s="5" t="e">
        <f aca="false">'Design Calculations'!D220</f>
        <v>#N/A</v>
      </c>
      <c r="D72" s="5" t="e">
        <f aca="false">'Design Calculations'!E220</f>
        <v>#N/A</v>
      </c>
      <c r="E72" s="5" t="e">
        <f aca="false">'Design Calculations'!F220</f>
        <v>#N/A</v>
      </c>
      <c r="F72" s="5" t="e">
        <f aca="false">'Design Calculations'!G220</f>
        <v>#N/A</v>
      </c>
      <c r="G72" s="5" t="n">
        <f aca="false">'Design Calculations'!H220</f>
        <v>0.400000000000017</v>
      </c>
      <c r="H72" s="5" t="n">
        <f aca="false">'Design Calculations'!I220</f>
        <v>10.4000000000004</v>
      </c>
      <c r="I72" s="5" t="n">
        <f aca="false">'Design Calculations'!J220</f>
        <v>0.400643974241046</v>
      </c>
      <c r="J72" s="91" t="n">
        <f aca="false">'Design Calculations'!K220</f>
        <v>4.00643974241046</v>
      </c>
      <c r="K72" s="91" t="n">
        <f aca="false">'Design Calculations'!L220</f>
        <v>4.00643974241046</v>
      </c>
      <c r="L72" s="5"/>
      <c r="M72" s="5" t="e">
        <f aca="false">0.000001*('Design Worksheet'!B$88)*(B73-B72)/(0.5*(E72+E73))+M71</f>
        <v>#N/A</v>
      </c>
      <c r="N72" s="5" t="n">
        <f aca="false">B72</f>
        <v>7.79999999999997</v>
      </c>
    </row>
    <row r="73" customFormat="false" ht="12.8" hidden="false" customHeight="false" outlineLevel="0" collapsed="false">
      <c r="A73" s="5" t="n">
        <f aca="false">'Design Calculations'!B219</f>
        <v>0.304999999999999</v>
      </c>
      <c r="B73" s="5" t="n">
        <f aca="false">'Design Calculations'!C219</f>
        <v>7.92999999999997</v>
      </c>
      <c r="C73" s="5" t="e">
        <f aca="false">'Design Calculations'!D219</f>
        <v>#N/A</v>
      </c>
      <c r="D73" s="5" t="e">
        <f aca="false">'Design Calculations'!E219</f>
        <v>#N/A</v>
      </c>
      <c r="E73" s="5" t="e">
        <f aca="false">'Design Calculations'!F219</f>
        <v>#N/A</v>
      </c>
      <c r="F73" s="5" t="e">
        <f aca="false">'Design Calculations'!G219</f>
        <v>#N/A</v>
      </c>
      <c r="G73" s="5" t="n">
        <f aca="false">'Design Calculations'!H219</f>
        <v>0.405000000000017</v>
      </c>
      <c r="H73" s="5" t="n">
        <f aca="false">'Design Calculations'!I219</f>
        <v>10.5300000000004</v>
      </c>
      <c r="I73" s="5" t="n">
        <f aca="false">'Design Calculations'!J219</f>
        <v>0.405652023919059</v>
      </c>
      <c r="J73" s="91" t="n">
        <f aca="false">'Design Calculations'!K219</f>
        <v>4.05652023919059</v>
      </c>
      <c r="K73" s="91" t="n">
        <f aca="false">'Design Calculations'!L219</f>
        <v>4.05652023919059</v>
      </c>
      <c r="L73" s="5"/>
      <c r="M73" s="5" t="e">
        <f aca="false">0.000001*('Design Worksheet'!B$88)*(B74-B73)/(0.5*(E73+E74))+M72</f>
        <v>#N/A</v>
      </c>
      <c r="N73" s="5" t="n">
        <f aca="false">B73</f>
        <v>7.92999999999997</v>
      </c>
    </row>
    <row r="74" customFormat="false" ht="12.8" hidden="false" customHeight="false" outlineLevel="0" collapsed="false">
      <c r="A74" s="5" t="n">
        <f aca="false">'Design Calculations'!B218</f>
        <v>0.309999999999999</v>
      </c>
      <c r="B74" s="5" t="n">
        <f aca="false">'Design Calculations'!C218</f>
        <v>8.05999999999997</v>
      </c>
      <c r="C74" s="5" t="e">
        <f aca="false">'Design Calculations'!D218</f>
        <v>#N/A</v>
      </c>
      <c r="D74" s="5" t="e">
        <f aca="false">'Design Calculations'!E218</f>
        <v>#N/A</v>
      </c>
      <c r="E74" s="5" t="e">
        <f aca="false">'Design Calculations'!F218</f>
        <v>#N/A</v>
      </c>
      <c r="F74" s="5" t="e">
        <f aca="false">'Design Calculations'!G218</f>
        <v>#N/A</v>
      </c>
      <c r="G74" s="5" t="n">
        <f aca="false">'Design Calculations'!H218</f>
        <v>0.410000000000017</v>
      </c>
      <c r="H74" s="5" t="n">
        <f aca="false">'Design Calculations'!I218</f>
        <v>10.6600000000004</v>
      </c>
      <c r="I74" s="5" t="n">
        <f aca="false">'Design Calculations'!J218</f>
        <v>0.410660073597072</v>
      </c>
      <c r="J74" s="91" t="n">
        <f aca="false">'Design Calculations'!K218</f>
        <v>4.10660073597072</v>
      </c>
      <c r="K74" s="91" t="n">
        <f aca="false">'Design Calculations'!L218</f>
        <v>4.10660073597072</v>
      </c>
      <c r="L74" s="5"/>
      <c r="M74" s="5" t="e">
        <f aca="false">0.000001*('Design Worksheet'!B$88)*(B75-B74)/(0.5*(E74+E75))+M73</f>
        <v>#N/A</v>
      </c>
      <c r="N74" s="5" t="n">
        <f aca="false">B74</f>
        <v>8.05999999999997</v>
      </c>
    </row>
    <row r="75" customFormat="false" ht="12.8" hidden="false" customHeight="false" outlineLevel="0" collapsed="false">
      <c r="A75" s="5" t="n">
        <f aca="false">'Design Calculations'!B217</f>
        <v>0.314999999999999</v>
      </c>
      <c r="B75" s="5" t="n">
        <f aca="false">'Design Calculations'!C217</f>
        <v>8.18999999999998</v>
      </c>
      <c r="C75" s="5" t="e">
        <f aca="false">'Design Calculations'!D217</f>
        <v>#N/A</v>
      </c>
      <c r="D75" s="5" t="e">
        <f aca="false">'Design Calculations'!E217</f>
        <v>#N/A</v>
      </c>
      <c r="E75" s="5" t="e">
        <f aca="false">'Design Calculations'!F217</f>
        <v>#N/A</v>
      </c>
      <c r="F75" s="5" t="e">
        <f aca="false">'Design Calculations'!G217</f>
        <v>#N/A</v>
      </c>
      <c r="G75" s="5" t="n">
        <f aca="false">'Design Calculations'!H217</f>
        <v>0.415000000000017</v>
      </c>
      <c r="H75" s="5" t="n">
        <f aca="false">'Design Calculations'!I217</f>
        <v>10.7900000000004</v>
      </c>
      <c r="I75" s="5" t="n">
        <f aca="false">'Design Calculations'!J217</f>
        <v>0.415668123275084</v>
      </c>
      <c r="J75" s="91" t="n">
        <f aca="false">'Design Calculations'!K217</f>
        <v>4.15668123275084</v>
      </c>
      <c r="K75" s="91" t="n">
        <f aca="false">'Design Calculations'!L217</f>
        <v>4.15668123275084</v>
      </c>
      <c r="L75" s="5"/>
      <c r="M75" s="5" t="e">
        <f aca="false">0.000001*('Design Worksheet'!B$88)*(B76-B75)/(0.5*(E75+E76))+M74</f>
        <v>#N/A</v>
      </c>
      <c r="N75" s="5" t="n">
        <f aca="false">B75</f>
        <v>8.18999999999998</v>
      </c>
    </row>
    <row r="76" customFormat="false" ht="12.8" hidden="false" customHeight="false" outlineLevel="0" collapsed="false">
      <c r="A76" s="5" t="n">
        <f aca="false">'Design Calculations'!B216</f>
        <v>0.319999999999999</v>
      </c>
      <c r="B76" s="5" t="n">
        <f aca="false">'Design Calculations'!C216</f>
        <v>8.31999999999997</v>
      </c>
      <c r="C76" s="5" t="e">
        <f aca="false">'Design Calculations'!D216</f>
        <v>#N/A</v>
      </c>
      <c r="D76" s="5" t="e">
        <f aca="false">'Design Calculations'!E216</f>
        <v>#N/A</v>
      </c>
      <c r="E76" s="5" t="e">
        <f aca="false">'Design Calculations'!F216</f>
        <v>#N/A</v>
      </c>
      <c r="F76" s="5" t="e">
        <f aca="false">'Design Calculations'!G216</f>
        <v>#N/A</v>
      </c>
      <c r="G76" s="5" t="n">
        <f aca="false">'Design Calculations'!H216</f>
        <v>0.420000000000017</v>
      </c>
      <c r="H76" s="5" t="n">
        <f aca="false">'Design Calculations'!I216</f>
        <v>10.9200000000004</v>
      </c>
      <c r="I76" s="5" t="n">
        <f aca="false">'Design Calculations'!J216</f>
        <v>0.420676172953097</v>
      </c>
      <c r="J76" s="91" t="n">
        <f aca="false">'Design Calculations'!K216</f>
        <v>4.20676172953097</v>
      </c>
      <c r="K76" s="91" t="n">
        <f aca="false">'Design Calculations'!L216</f>
        <v>4.20676172953097</v>
      </c>
      <c r="L76" s="5"/>
      <c r="M76" s="5" t="e">
        <f aca="false">0.000001*('Design Worksheet'!B$88)*(B77-B76)/(0.5*(E76+E77))+M75</f>
        <v>#N/A</v>
      </c>
      <c r="N76" s="5" t="n">
        <f aca="false">B76</f>
        <v>8.31999999999997</v>
      </c>
    </row>
    <row r="77" customFormat="false" ht="12.8" hidden="false" customHeight="false" outlineLevel="0" collapsed="false">
      <c r="A77" s="5" t="n">
        <f aca="false">'Design Calculations'!B215</f>
        <v>0.324999999999999</v>
      </c>
      <c r="B77" s="5" t="n">
        <f aca="false">'Design Calculations'!C215</f>
        <v>8.44999999999997</v>
      </c>
      <c r="C77" s="5" t="e">
        <f aca="false">'Design Calculations'!D215</f>
        <v>#N/A</v>
      </c>
      <c r="D77" s="5" t="e">
        <f aca="false">'Design Calculations'!E215</f>
        <v>#N/A</v>
      </c>
      <c r="E77" s="5" t="e">
        <f aca="false">'Design Calculations'!F215</f>
        <v>#N/A</v>
      </c>
      <c r="F77" s="5" t="e">
        <f aca="false">'Design Calculations'!G215</f>
        <v>#N/A</v>
      </c>
      <c r="G77" s="5" t="n">
        <f aca="false">'Design Calculations'!H215</f>
        <v>0.425000000000017</v>
      </c>
      <c r="H77" s="5" t="n">
        <f aca="false">'Design Calculations'!I215</f>
        <v>11.0500000000004</v>
      </c>
      <c r="I77" s="5" t="n">
        <f aca="false">'Design Calculations'!J215</f>
        <v>0.42568422263111</v>
      </c>
      <c r="J77" s="91" t="n">
        <f aca="false">'Design Calculations'!K215</f>
        <v>4.2568422263111</v>
      </c>
      <c r="K77" s="91" t="n">
        <f aca="false">'Design Calculations'!L215</f>
        <v>4.2568422263111</v>
      </c>
      <c r="L77" s="5"/>
      <c r="M77" s="5" t="e">
        <f aca="false">0.000001*('Design Worksheet'!B$88)*(B78-B77)/(0.5*(E77+E78))+M76</f>
        <v>#N/A</v>
      </c>
      <c r="N77" s="5" t="n">
        <f aca="false">B77</f>
        <v>8.44999999999997</v>
      </c>
    </row>
    <row r="78" customFormat="false" ht="12.8" hidden="false" customHeight="false" outlineLevel="0" collapsed="false">
      <c r="A78" s="5" t="n">
        <f aca="false">'Design Calculations'!B214</f>
        <v>0.329999999999999</v>
      </c>
      <c r="B78" s="5" t="n">
        <f aca="false">'Design Calculations'!C214</f>
        <v>8.57999999999998</v>
      </c>
      <c r="C78" s="5" t="e">
        <f aca="false">'Design Calculations'!D214</f>
        <v>#N/A</v>
      </c>
      <c r="D78" s="5" t="e">
        <f aca="false">'Design Calculations'!E214</f>
        <v>#N/A</v>
      </c>
      <c r="E78" s="5" t="e">
        <f aca="false">'Design Calculations'!F214</f>
        <v>#N/A</v>
      </c>
      <c r="F78" s="5" t="e">
        <f aca="false">'Design Calculations'!G214</f>
        <v>#N/A</v>
      </c>
      <c r="G78" s="5" t="n">
        <f aca="false">'Design Calculations'!H214</f>
        <v>0.430000000000016</v>
      </c>
      <c r="H78" s="5" t="n">
        <f aca="false">'Design Calculations'!I214</f>
        <v>11.1800000000004</v>
      </c>
      <c r="I78" s="5" t="n">
        <f aca="false">'Design Calculations'!J214</f>
        <v>0.430692272309123</v>
      </c>
      <c r="J78" s="91" t="n">
        <f aca="false">'Design Calculations'!K214</f>
        <v>4.30692272309123</v>
      </c>
      <c r="K78" s="91" t="n">
        <f aca="false">'Design Calculations'!L214</f>
        <v>4.30692272309123</v>
      </c>
      <c r="L78" s="5"/>
      <c r="M78" s="5" t="e">
        <f aca="false">0.000001*('Design Worksheet'!B$88)*(B79-B78)/(0.5*(E78+E79))+M77</f>
        <v>#N/A</v>
      </c>
      <c r="N78" s="5" t="n">
        <f aca="false">B78</f>
        <v>8.57999999999998</v>
      </c>
    </row>
    <row r="79" customFormat="false" ht="12.8" hidden="false" customHeight="false" outlineLevel="0" collapsed="false">
      <c r="A79" s="5" t="n">
        <f aca="false">'Design Calculations'!B213</f>
        <v>0.334999999999999</v>
      </c>
      <c r="B79" s="5" t="n">
        <f aca="false">'Design Calculations'!C213</f>
        <v>8.70999999999997</v>
      </c>
      <c r="C79" s="5" t="e">
        <f aca="false">'Design Calculations'!D213</f>
        <v>#N/A</v>
      </c>
      <c r="D79" s="5" t="e">
        <f aca="false">'Design Calculations'!E213</f>
        <v>#N/A</v>
      </c>
      <c r="E79" s="5" t="e">
        <f aca="false">'Design Calculations'!F213</f>
        <v>#N/A</v>
      </c>
      <c r="F79" s="5" t="e">
        <f aca="false">'Design Calculations'!G213</f>
        <v>#N/A</v>
      </c>
      <c r="G79" s="5" t="n">
        <f aca="false">'Design Calculations'!H213</f>
        <v>0.435000000000016</v>
      </c>
      <c r="H79" s="5" t="n">
        <f aca="false">'Design Calculations'!I213</f>
        <v>11.3100000000004</v>
      </c>
      <c r="I79" s="5" t="n">
        <f aca="false">'Design Calculations'!J213</f>
        <v>0.435700321987136</v>
      </c>
      <c r="J79" s="91" t="n">
        <f aca="false">'Design Calculations'!K213</f>
        <v>4.35700321987136</v>
      </c>
      <c r="K79" s="91" t="n">
        <f aca="false">'Design Calculations'!L213</f>
        <v>4.35700321987136</v>
      </c>
      <c r="L79" s="5"/>
      <c r="M79" s="5" t="e">
        <f aca="false">0.000001*('Design Worksheet'!B$88)*(B80-B79)/(0.5*(E79+E80))+M78</f>
        <v>#N/A</v>
      </c>
      <c r="N79" s="5" t="n">
        <f aca="false">B79</f>
        <v>8.70999999999997</v>
      </c>
    </row>
    <row r="80" customFormat="false" ht="12.8" hidden="false" customHeight="false" outlineLevel="0" collapsed="false">
      <c r="A80" s="5" t="n">
        <f aca="false">'Design Calculations'!B212</f>
        <v>0.339999999999999</v>
      </c>
      <c r="B80" s="5" t="n">
        <f aca="false">'Design Calculations'!C212</f>
        <v>8.83999999999998</v>
      </c>
      <c r="C80" s="5" t="e">
        <f aca="false">'Design Calculations'!D212</f>
        <v>#N/A</v>
      </c>
      <c r="D80" s="5" t="e">
        <f aca="false">'Design Calculations'!E212</f>
        <v>#N/A</v>
      </c>
      <c r="E80" s="5" t="e">
        <f aca="false">'Design Calculations'!F212</f>
        <v>#N/A</v>
      </c>
      <c r="F80" s="5" t="e">
        <f aca="false">'Design Calculations'!G212</f>
        <v>#N/A</v>
      </c>
      <c r="G80" s="5" t="n">
        <f aca="false">'Design Calculations'!H212</f>
        <v>0.440000000000016</v>
      </c>
      <c r="H80" s="5" t="n">
        <f aca="false">'Design Calculations'!I212</f>
        <v>11.4400000000004</v>
      </c>
      <c r="I80" s="5" t="n">
        <f aca="false">'Design Calculations'!J212</f>
        <v>0.440708371665149</v>
      </c>
      <c r="J80" s="91" t="n">
        <f aca="false">'Design Calculations'!K212</f>
        <v>4.40708371665149</v>
      </c>
      <c r="K80" s="91" t="n">
        <f aca="false">'Design Calculations'!L212</f>
        <v>4.40708371665149</v>
      </c>
      <c r="L80" s="5"/>
      <c r="M80" s="5" t="e">
        <f aca="false">0.000001*('Design Worksheet'!B$88)*(B81-B80)/(0.5*(E80+E81))+M79</f>
        <v>#N/A</v>
      </c>
      <c r="N80" s="5" t="n">
        <f aca="false">B80</f>
        <v>8.83999999999998</v>
      </c>
    </row>
    <row r="81" customFormat="false" ht="12.8" hidden="false" customHeight="false" outlineLevel="0" collapsed="false">
      <c r="A81" s="5" t="n">
        <f aca="false">'Design Calculations'!B211</f>
        <v>0.344999999999999</v>
      </c>
      <c r="B81" s="5" t="n">
        <f aca="false">'Design Calculations'!C211</f>
        <v>8.96999999999997</v>
      </c>
      <c r="C81" s="5" t="e">
        <f aca="false">'Design Calculations'!D211</f>
        <v>#N/A</v>
      </c>
      <c r="D81" s="5" t="e">
        <f aca="false">'Design Calculations'!E211</f>
        <v>#N/A</v>
      </c>
      <c r="E81" s="5" t="e">
        <f aca="false">'Design Calculations'!F211</f>
        <v>#N/A</v>
      </c>
      <c r="F81" s="5" t="e">
        <f aca="false">'Design Calculations'!G211</f>
        <v>#N/A</v>
      </c>
      <c r="G81" s="5" t="n">
        <f aca="false">'Design Calculations'!H211</f>
        <v>0.445000000000016</v>
      </c>
      <c r="H81" s="5" t="n">
        <f aca="false">'Design Calculations'!I211</f>
        <v>11.5700000000004</v>
      </c>
      <c r="I81" s="5" t="n">
        <f aca="false">'Design Calculations'!J211</f>
        <v>0.445716421343162</v>
      </c>
      <c r="J81" s="91" t="n">
        <f aca="false">'Design Calculations'!K211</f>
        <v>4.45716421343162</v>
      </c>
      <c r="K81" s="91" t="n">
        <f aca="false">'Design Calculations'!L211</f>
        <v>4.45716421343162</v>
      </c>
      <c r="L81" s="5"/>
      <c r="M81" s="5" t="e">
        <f aca="false">0.000001*('Design Worksheet'!B$88)*(B82-B81)/(0.5*(E81+E82))+M80</f>
        <v>#N/A</v>
      </c>
      <c r="N81" s="5" t="n">
        <f aca="false">B81</f>
        <v>8.96999999999997</v>
      </c>
    </row>
    <row r="82" customFormat="false" ht="12.8" hidden="false" customHeight="false" outlineLevel="0" collapsed="false">
      <c r="A82" s="5" t="n">
        <f aca="false">'Design Calculations'!B210</f>
        <v>0.349999999999999</v>
      </c>
      <c r="B82" s="5" t="n">
        <f aca="false">'Design Calculations'!C210</f>
        <v>9.09999999999997</v>
      </c>
      <c r="C82" s="5" t="e">
        <f aca="false">'Design Calculations'!D210</f>
        <v>#N/A</v>
      </c>
      <c r="D82" s="5" t="e">
        <f aca="false">'Design Calculations'!E210</f>
        <v>#N/A</v>
      </c>
      <c r="E82" s="5" t="e">
        <f aca="false">'Design Calculations'!F210</f>
        <v>#N/A</v>
      </c>
      <c r="F82" s="5" t="e">
        <f aca="false">'Design Calculations'!G210</f>
        <v>#N/A</v>
      </c>
      <c r="G82" s="5" t="n">
        <f aca="false">'Design Calculations'!H210</f>
        <v>0.450000000000016</v>
      </c>
      <c r="H82" s="5" t="n">
        <f aca="false">'Design Calculations'!I210</f>
        <v>11.7000000000004</v>
      </c>
      <c r="I82" s="5" t="n">
        <f aca="false">'Design Calculations'!J210</f>
        <v>0.450724471021175</v>
      </c>
      <c r="J82" s="91" t="n">
        <f aca="false">'Design Calculations'!K210</f>
        <v>4.50724471021175</v>
      </c>
      <c r="K82" s="91" t="n">
        <f aca="false">'Design Calculations'!L210</f>
        <v>4.50724471021175</v>
      </c>
      <c r="L82" s="5"/>
      <c r="M82" s="5" t="e">
        <f aca="false">0.000001*('Design Worksheet'!B$88)*(B83-B82)/(0.5*(E82+E83))+M81</f>
        <v>#N/A</v>
      </c>
      <c r="N82" s="5" t="n">
        <f aca="false">B82</f>
        <v>9.09999999999997</v>
      </c>
    </row>
    <row r="83" customFormat="false" ht="12.8" hidden="false" customHeight="false" outlineLevel="0" collapsed="false">
      <c r="A83" s="5" t="n">
        <f aca="false">'Design Calculations'!B209</f>
        <v>0.354999999999999</v>
      </c>
      <c r="B83" s="5" t="n">
        <f aca="false">'Design Calculations'!C209</f>
        <v>9.22999999999997</v>
      </c>
      <c r="C83" s="5" t="e">
        <f aca="false">'Design Calculations'!D209</f>
        <v>#N/A</v>
      </c>
      <c r="D83" s="5" t="e">
        <f aca="false">'Design Calculations'!E209</f>
        <v>#N/A</v>
      </c>
      <c r="E83" s="5" t="e">
        <f aca="false">'Design Calculations'!F209</f>
        <v>#N/A</v>
      </c>
      <c r="F83" s="5" t="e">
        <f aca="false">'Design Calculations'!G209</f>
        <v>#N/A</v>
      </c>
      <c r="G83" s="5" t="n">
        <f aca="false">'Design Calculations'!H209</f>
        <v>0.455000000000016</v>
      </c>
      <c r="H83" s="5" t="n">
        <f aca="false">'Design Calculations'!I209</f>
        <v>11.8300000000004</v>
      </c>
      <c r="I83" s="5" t="n">
        <f aca="false">'Design Calculations'!J209</f>
        <v>0.455732520699187</v>
      </c>
      <c r="J83" s="91" t="n">
        <f aca="false">'Design Calculations'!K209</f>
        <v>4.55732520699187</v>
      </c>
      <c r="K83" s="91" t="n">
        <f aca="false">'Design Calculations'!L209</f>
        <v>4.55732520699187</v>
      </c>
      <c r="L83" s="5"/>
      <c r="M83" s="5" t="e">
        <f aca="false">0.000001*('Design Worksheet'!B$88)*(B84-B83)/(0.5*(E83+E84))+M82</f>
        <v>#N/A</v>
      </c>
      <c r="N83" s="5" t="n">
        <f aca="false">B83</f>
        <v>9.22999999999997</v>
      </c>
    </row>
    <row r="84" customFormat="false" ht="12.8" hidden="false" customHeight="false" outlineLevel="0" collapsed="false">
      <c r="A84" s="5" t="n">
        <f aca="false">'Design Calculations'!B208</f>
        <v>0.359999999999999</v>
      </c>
      <c r="B84" s="5" t="n">
        <f aca="false">'Design Calculations'!C208</f>
        <v>9.35999999999998</v>
      </c>
      <c r="C84" s="5" t="e">
        <f aca="false">'Design Calculations'!D208</f>
        <v>#N/A</v>
      </c>
      <c r="D84" s="5" t="e">
        <f aca="false">'Design Calculations'!E208</f>
        <v>#N/A</v>
      </c>
      <c r="E84" s="5" t="e">
        <f aca="false">'Design Calculations'!F208</f>
        <v>#N/A</v>
      </c>
      <c r="F84" s="5" t="e">
        <f aca="false">'Design Calculations'!G208</f>
        <v>#N/A</v>
      </c>
      <c r="G84" s="5" t="n">
        <f aca="false">'Design Calculations'!H208</f>
        <v>0.460000000000016</v>
      </c>
      <c r="H84" s="5" t="n">
        <f aca="false">'Design Calculations'!I208</f>
        <v>11.9600000000004</v>
      </c>
      <c r="I84" s="5" t="n">
        <f aca="false">'Design Calculations'!J208</f>
        <v>0.4607405703772</v>
      </c>
      <c r="J84" s="91" t="n">
        <f aca="false">'Design Calculations'!K208</f>
        <v>4.607405703772</v>
      </c>
      <c r="K84" s="91" t="n">
        <f aca="false">'Design Calculations'!L208</f>
        <v>4.607405703772</v>
      </c>
      <c r="L84" s="5"/>
      <c r="M84" s="5" t="e">
        <f aca="false">0.000001*('Design Worksheet'!B$88)*(B85-B84)/(0.5*(E84+E85))+M83</f>
        <v>#N/A</v>
      </c>
      <c r="N84" s="5" t="n">
        <f aca="false">B84</f>
        <v>9.35999999999998</v>
      </c>
    </row>
    <row r="85" customFormat="false" ht="12.8" hidden="false" customHeight="false" outlineLevel="0" collapsed="false">
      <c r="A85" s="5" t="n">
        <f aca="false">'Design Calculations'!B207</f>
        <v>0.364999999999999</v>
      </c>
      <c r="B85" s="5" t="n">
        <f aca="false">'Design Calculations'!C207</f>
        <v>9.48999999999997</v>
      </c>
      <c r="C85" s="5" t="e">
        <f aca="false">'Design Calculations'!D207</f>
        <v>#N/A</v>
      </c>
      <c r="D85" s="5" t="e">
        <f aca="false">'Design Calculations'!E207</f>
        <v>#N/A</v>
      </c>
      <c r="E85" s="5" t="e">
        <f aca="false">'Design Calculations'!F207</f>
        <v>#N/A</v>
      </c>
      <c r="F85" s="5" t="e">
        <f aca="false">'Design Calculations'!G207</f>
        <v>#N/A</v>
      </c>
      <c r="G85" s="5" t="n">
        <f aca="false">'Design Calculations'!H207</f>
        <v>0.465000000000016</v>
      </c>
      <c r="H85" s="5" t="n">
        <f aca="false">'Design Calculations'!I207</f>
        <v>12.0900000000004</v>
      </c>
      <c r="I85" s="5" t="n">
        <f aca="false">'Design Calculations'!J207</f>
        <v>0.465748620055213</v>
      </c>
      <c r="J85" s="91" t="n">
        <f aca="false">'Design Calculations'!K207</f>
        <v>4.65748620055213</v>
      </c>
      <c r="K85" s="91" t="n">
        <f aca="false">'Design Calculations'!L207</f>
        <v>4.65748620055213</v>
      </c>
      <c r="L85" s="5"/>
      <c r="M85" s="5" t="e">
        <f aca="false">0.000001*('Design Worksheet'!B$88)*(B86-B85)/(0.5*(E85+E86))+M84</f>
        <v>#N/A</v>
      </c>
      <c r="N85" s="5" t="n">
        <f aca="false">B85</f>
        <v>9.48999999999997</v>
      </c>
    </row>
    <row r="86" customFormat="false" ht="12.8" hidden="false" customHeight="false" outlineLevel="0" collapsed="false">
      <c r="A86" s="5" t="n">
        <f aca="false">'Design Calculations'!B206</f>
        <v>0.369999999999999</v>
      </c>
      <c r="B86" s="5" t="n">
        <f aca="false">'Design Calculations'!C206</f>
        <v>9.61999999999997</v>
      </c>
      <c r="C86" s="5" t="e">
        <f aca="false">'Design Calculations'!D206</f>
        <v>#N/A</v>
      </c>
      <c r="D86" s="5" t="e">
        <f aca="false">'Design Calculations'!E206</f>
        <v>#N/A</v>
      </c>
      <c r="E86" s="5" t="e">
        <f aca="false">'Design Calculations'!F206</f>
        <v>#N/A</v>
      </c>
      <c r="F86" s="5" t="e">
        <f aca="false">'Design Calculations'!G206</f>
        <v>#N/A</v>
      </c>
      <c r="G86" s="5" t="n">
        <f aca="false">'Design Calculations'!H206</f>
        <v>0.470000000000016</v>
      </c>
      <c r="H86" s="5" t="n">
        <f aca="false">'Design Calculations'!I206</f>
        <v>12.2200000000004</v>
      </c>
      <c r="I86" s="5" t="n">
        <f aca="false">'Design Calculations'!J206</f>
        <v>0.470756669733226</v>
      </c>
      <c r="J86" s="91" t="n">
        <f aca="false">'Design Calculations'!K206</f>
        <v>4.70756669733226</v>
      </c>
      <c r="K86" s="91" t="n">
        <f aca="false">'Design Calculations'!L206</f>
        <v>4.70756669733226</v>
      </c>
      <c r="L86" s="5"/>
      <c r="M86" s="5" t="e">
        <f aca="false">0.000001*('Design Worksheet'!B$88)*(B87-B86)/(0.5*(E86+E87))+M85</f>
        <v>#N/A</v>
      </c>
      <c r="N86" s="5" t="n">
        <f aca="false">B86</f>
        <v>9.61999999999997</v>
      </c>
    </row>
    <row r="87" customFormat="false" ht="12.8" hidden="false" customHeight="false" outlineLevel="0" collapsed="false">
      <c r="A87" s="5" t="n">
        <f aca="false">'Design Calculations'!B205</f>
        <v>0.374999999999999</v>
      </c>
      <c r="B87" s="5" t="n">
        <f aca="false">'Design Calculations'!C205</f>
        <v>9.74999999999997</v>
      </c>
      <c r="C87" s="5" t="e">
        <f aca="false">'Design Calculations'!D205</f>
        <v>#N/A</v>
      </c>
      <c r="D87" s="5" t="e">
        <f aca="false">'Design Calculations'!E205</f>
        <v>#N/A</v>
      </c>
      <c r="E87" s="5" t="e">
        <f aca="false">'Design Calculations'!F205</f>
        <v>#N/A</v>
      </c>
      <c r="F87" s="5" t="e">
        <f aca="false">'Design Calculations'!G205</f>
        <v>#N/A</v>
      </c>
      <c r="G87" s="5" t="n">
        <f aca="false">'Design Calculations'!H205</f>
        <v>0.475000000000015</v>
      </c>
      <c r="H87" s="5" t="n">
        <f aca="false">'Design Calculations'!I205</f>
        <v>12.3500000000004</v>
      </c>
      <c r="I87" s="5" t="n">
        <f aca="false">'Design Calculations'!J205</f>
        <v>0.475764719411239</v>
      </c>
      <c r="J87" s="91" t="n">
        <f aca="false">'Design Calculations'!K205</f>
        <v>4.75764719411239</v>
      </c>
      <c r="K87" s="91" t="n">
        <f aca="false">'Design Calculations'!L205</f>
        <v>4.75764719411239</v>
      </c>
      <c r="L87" s="5"/>
      <c r="M87" s="5" t="e">
        <f aca="false">0.000001*('Design Worksheet'!B$88)*(B88-B87)/(0.5*(E87+E88))+M86</f>
        <v>#N/A</v>
      </c>
      <c r="N87" s="5" t="n">
        <f aca="false">B87</f>
        <v>9.74999999999997</v>
      </c>
    </row>
    <row r="88" customFormat="false" ht="12.8" hidden="false" customHeight="false" outlineLevel="0" collapsed="false">
      <c r="A88" s="5" t="n">
        <f aca="false">'Design Calculations'!B204</f>
        <v>0.379999999999999</v>
      </c>
      <c r="B88" s="5" t="n">
        <f aca="false">'Design Calculations'!C204</f>
        <v>9.87999999999997</v>
      </c>
      <c r="C88" s="5" t="e">
        <f aca="false">'Design Calculations'!D204</f>
        <v>#N/A</v>
      </c>
      <c r="D88" s="5" t="e">
        <f aca="false">'Design Calculations'!E204</f>
        <v>#N/A</v>
      </c>
      <c r="E88" s="5" t="e">
        <f aca="false">'Design Calculations'!F204</f>
        <v>#N/A</v>
      </c>
      <c r="F88" s="5" t="e">
        <f aca="false">'Design Calculations'!G204</f>
        <v>#N/A</v>
      </c>
      <c r="G88" s="5" t="n">
        <f aca="false">'Design Calculations'!H204</f>
        <v>0.480000000000015</v>
      </c>
      <c r="H88" s="5" t="n">
        <f aca="false">'Design Calculations'!I204</f>
        <v>12.4800000000004</v>
      </c>
      <c r="I88" s="5" t="n">
        <f aca="false">'Design Calculations'!J204</f>
        <v>0.480772769089252</v>
      </c>
      <c r="J88" s="91" t="n">
        <f aca="false">'Design Calculations'!K204</f>
        <v>4.80772769089252</v>
      </c>
      <c r="K88" s="91" t="n">
        <f aca="false">'Design Calculations'!L204</f>
        <v>4.80772769089252</v>
      </c>
      <c r="L88" s="5"/>
      <c r="M88" s="5" t="e">
        <f aca="false">0.000001*('Design Worksheet'!B$88)*(B89-B88)/(0.5*(E88+E89))+M87</f>
        <v>#N/A</v>
      </c>
      <c r="N88" s="5" t="n">
        <f aca="false">B88</f>
        <v>9.87999999999997</v>
      </c>
    </row>
    <row r="89" customFormat="false" ht="12.8" hidden="false" customHeight="false" outlineLevel="0" collapsed="false">
      <c r="A89" s="5" t="n">
        <f aca="false">'Design Calculations'!B203</f>
        <v>0.384999999999999</v>
      </c>
      <c r="B89" s="5" t="n">
        <f aca="false">'Design Calculations'!C203</f>
        <v>10.01</v>
      </c>
      <c r="C89" s="5" t="e">
        <f aca="false">'Design Calculations'!D203</f>
        <v>#N/A</v>
      </c>
      <c r="D89" s="5" t="e">
        <f aca="false">'Design Calculations'!E203</f>
        <v>#N/A</v>
      </c>
      <c r="E89" s="5" t="e">
        <f aca="false">'Design Calculations'!F203</f>
        <v>#N/A</v>
      </c>
      <c r="F89" s="5" t="e">
        <f aca="false">'Design Calculations'!G203</f>
        <v>#N/A</v>
      </c>
      <c r="G89" s="5" t="n">
        <f aca="false">'Design Calculations'!H203</f>
        <v>0.485000000000015</v>
      </c>
      <c r="H89" s="5" t="n">
        <f aca="false">'Design Calculations'!I203</f>
        <v>12.6100000000004</v>
      </c>
      <c r="I89" s="5" t="n">
        <f aca="false">'Design Calculations'!J203</f>
        <v>0.485780818767265</v>
      </c>
      <c r="J89" s="91" t="n">
        <f aca="false">'Design Calculations'!K203</f>
        <v>4.85780818767265</v>
      </c>
      <c r="K89" s="91" t="n">
        <f aca="false">'Design Calculations'!L203</f>
        <v>4.85780818767265</v>
      </c>
      <c r="L89" s="5"/>
      <c r="M89" s="5" t="e">
        <f aca="false">0.000001*('Design Worksheet'!B$88)*(B90-B89)/(0.5*(E89+E90))+M88</f>
        <v>#N/A</v>
      </c>
      <c r="N89" s="5" t="n">
        <f aca="false">B89</f>
        <v>10.01</v>
      </c>
    </row>
    <row r="90" customFormat="false" ht="12.8" hidden="false" customHeight="false" outlineLevel="0" collapsed="false">
      <c r="A90" s="5" t="n">
        <f aca="false">'Design Calculations'!B202</f>
        <v>0.389999999999999</v>
      </c>
      <c r="B90" s="5" t="n">
        <f aca="false">'Design Calculations'!C202</f>
        <v>10.14</v>
      </c>
      <c r="C90" s="5" t="e">
        <f aca="false">'Design Calculations'!D202</f>
        <v>#N/A</v>
      </c>
      <c r="D90" s="5" t="e">
        <f aca="false">'Design Calculations'!E202</f>
        <v>#N/A</v>
      </c>
      <c r="E90" s="5" t="e">
        <f aca="false">'Design Calculations'!F202</f>
        <v>#N/A</v>
      </c>
      <c r="F90" s="5" t="e">
        <f aca="false">'Design Calculations'!G202</f>
        <v>#N/A</v>
      </c>
      <c r="G90" s="5" t="n">
        <f aca="false">'Design Calculations'!H202</f>
        <v>0.490000000000015</v>
      </c>
      <c r="H90" s="5" t="n">
        <f aca="false">'Design Calculations'!I202</f>
        <v>12.7400000000004</v>
      </c>
      <c r="I90" s="5" t="n">
        <f aca="false">'Design Calculations'!J202</f>
        <v>0.490788868445278</v>
      </c>
      <c r="J90" s="91" t="n">
        <f aca="false">'Design Calculations'!K202</f>
        <v>4.90788868445278</v>
      </c>
      <c r="K90" s="91" t="n">
        <f aca="false">'Design Calculations'!L202</f>
        <v>4.90788868445278</v>
      </c>
      <c r="L90" s="5"/>
      <c r="M90" s="5" t="e">
        <f aca="false">0.000001*('Design Worksheet'!B$88)*(B91-B90)/(0.5*(E90+E91))+M89</f>
        <v>#N/A</v>
      </c>
      <c r="N90" s="5" t="n">
        <f aca="false">B90</f>
        <v>10.14</v>
      </c>
    </row>
    <row r="91" customFormat="false" ht="12.8" hidden="false" customHeight="false" outlineLevel="0" collapsed="false">
      <c r="A91" s="5" t="n">
        <f aca="false">'Design Calculations'!B201</f>
        <v>0.394999999999999</v>
      </c>
      <c r="B91" s="5" t="n">
        <f aca="false">'Design Calculations'!C201</f>
        <v>10.27</v>
      </c>
      <c r="C91" s="5" t="e">
        <f aca="false">'Design Calculations'!D201</f>
        <v>#N/A</v>
      </c>
      <c r="D91" s="5" t="e">
        <f aca="false">'Design Calculations'!E201</f>
        <v>#N/A</v>
      </c>
      <c r="E91" s="5" t="e">
        <f aca="false">'Design Calculations'!F201</f>
        <v>#N/A</v>
      </c>
      <c r="F91" s="5" t="e">
        <f aca="false">'Design Calculations'!G201</f>
        <v>#N/A</v>
      </c>
      <c r="G91" s="5" t="n">
        <f aca="false">'Design Calculations'!H201</f>
        <v>0.495000000000015</v>
      </c>
      <c r="H91" s="5" t="n">
        <f aca="false">'Design Calculations'!I201</f>
        <v>12.8700000000004</v>
      </c>
      <c r="I91" s="5" t="n">
        <f aca="false">'Design Calculations'!J201</f>
        <v>0.495796918123291</v>
      </c>
      <c r="J91" s="91" t="n">
        <f aca="false">'Design Calculations'!K201</f>
        <v>4.9579691812329</v>
      </c>
      <c r="K91" s="91" t="n">
        <f aca="false">'Design Calculations'!L201</f>
        <v>4.9579691812329</v>
      </c>
      <c r="L91" s="5"/>
      <c r="M91" s="5" t="e">
        <f aca="false">0.000001*('Design Worksheet'!B$88)*(B92-B91)/(0.5*(E91+E92))+M90</f>
        <v>#N/A</v>
      </c>
      <c r="N91" s="5" t="n">
        <f aca="false">B91</f>
        <v>10.27</v>
      </c>
    </row>
    <row r="92" customFormat="false" ht="12.8" hidden="false" customHeight="false" outlineLevel="0" collapsed="false">
      <c r="A92" s="5" t="n">
        <f aca="false">'Design Calculations'!B200</f>
        <v>0.399999999999999</v>
      </c>
      <c r="B92" s="5" t="n">
        <f aca="false">'Design Calculations'!C200</f>
        <v>10.4</v>
      </c>
      <c r="C92" s="5" t="e">
        <f aca="false">'Design Calculations'!D200</f>
        <v>#N/A</v>
      </c>
      <c r="D92" s="5" t="e">
        <f aca="false">'Design Calculations'!E200</f>
        <v>#N/A</v>
      </c>
      <c r="E92" s="5" t="e">
        <f aca="false">'Design Calculations'!F200</f>
        <v>#N/A</v>
      </c>
      <c r="F92" s="5" t="e">
        <f aca="false">'Design Calculations'!G200</f>
        <v>#N/A</v>
      </c>
      <c r="G92" s="5" t="n">
        <f aca="false">'Design Calculations'!H200</f>
        <v>0.500000000000015</v>
      </c>
      <c r="H92" s="5" t="n">
        <f aca="false">'Design Calculations'!I200</f>
        <v>13.0000000000004</v>
      </c>
      <c r="I92" s="5" t="n">
        <f aca="false">'Design Calculations'!J200</f>
        <v>0.500804967801303</v>
      </c>
      <c r="J92" s="91" t="n">
        <f aca="false">'Design Calculations'!K200</f>
        <v>5.00804967801303</v>
      </c>
      <c r="K92" s="91" t="n">
        <f aca="false">'Design Calculations'!L200</f>
        <v>5.00804967801303</v>
      </c>
      <c r="L92" s="5"/>
      <c r="M92" s="5" t="e">
        <f aca="false">0.000001*('Design Worksheet'!B$88)*(B93-B92)/(0.5*(E92+E93))+M91</f>
        <v>#N/A</v>
      </c>
      <c r="N92" s="5" t="n">
        <f aca="false">B92</f>
        <v>10.4</v>
      </c>
    </row>
    <row r="93" customFormat="false" ht="12.8" hidden="false" customHeight="false" outlineLevel="0" collapsed="false">
      <c r="A93" s="5" t="n">
        <f aca="false">'Design Calculations'!B199</f>
        <v>0.404999999999999</v>
      </c>
      <c r="B93" s="5" t="n">
        <f aca="false">'Design Calculations'!C199</f>
        <v>10.53</v>
      </c>
      <c r="C93" s="5" t="e">
        <f aca="false">'Design Calculations'!D199</f>
        <v>#N/A</v>
      </c>
      <c r="D93" s="5" t="e">
        <f aca="false">'Design Calculations'!E199</f>
        <v>#N/A</v>
      </c>
      <c r="E93" s="5" t="e">
        <f aca="false">'Design Calculations'!F199</f>
        <v>#N/A</v>
      </c>
      <c r="F93" s="5" t="e">
        <f aca="false">'Design Calculations'!G199</f>
        <v>#N/A</v>
      </c>
      <c r="G93" s="5" t="n">
        <f aca="false">'Design Calculations'!H199</f>
        <v>0.505000000000015</v>
      </c>
      <c r="H93" s="5" t="n">
        <f aca="false">'Design Calculations'!I199</f>
        <v>13.1300000000004</v>
      </c>
      <c r="I93" s="5" t="n">
        <f aca="false">'Design Calculations'!J199</f>
        <v>0.505813017479316</v>
      </c>
      <c r="J93" s="91" t="n">
        <f aca="false">'Design Calculations'!K199</f>
        <v>5.05813017479316</v>
      </c>
      <c r="K93" s="91" t="n">
        <f aca="false">'Design Calculations'!L199</f>
        <v>5.05813017479316</v>
      </c>
      <c r="L93" s="5"/>
      <c r="M93" s="5" t="e">
        <f aca="false">0.000001*('Design Worksheet'!B$88)*(B94-B93)/(0.5*(E93+E94))+M92</f>
        <v>#N/A</v>
      </c>
      <c r="N93" s="5" t="n">
        <f aca="false">B93</f>
        <v>10.53</v>
      </c>
    </row>
    <row r="94" customFormat="false" ht="12.8" hidden="false" customHeight="false" outlineLevel="0" collapsed="false">
      <c r="A94" s="5" t="n">
        <f aca="false">'Design Calculations'!B198</f>
        <v>0.409999999999999</v>
      </c>
      <c r="B94" s="5" t="n">
        <f aca="false">'Design Calculations'!C198</f>
        <v>10.66</v>
      </c>
      <c r="C94" s="5" t="e">
        <f aca="false">'Design Calculations'!D198</f>
        <v>#N/A</v>
      </c>
      <c r="D94" s="5" t="e">
        <f aca="false">'Design Calculations'!E198</f>
        <v>#N/A</v>
      </c>
      <c r="E94" s="5" t="e">
        <f aca="false">'Design Calculations'!F198</f>
        <v>#N/A</v>
      </c>
      <c r="F94" s="5" t="e">
        <f aca="false">'Design Calculations'!G198</f>
        <v>#N/A</v>
      </c>
      <c r="G94" s="5" t="n">
        <f aca="false">'Design Calculations'!H198</f>
        <v>0.510000000000015</v>
      </c>
      <c r="H94" s="5" t="n">
        <f aca="false">'Design Calculations'!I198</f>
        <v>13.2600000000004</v>
      </c>
      <c r="I94" s="5" t="n">
        <f aca="false">'Design Calculations'!J198</f>
        <v>0.510821067157329</v>
      </c>
      <c r="J94" s="91" t="n">
        <f aca="false">'Design Calculations'!K198</f>
        <v>5.10821067157329</v>
      </c>
      <c r="K94" s="91" t="n">
        <f aca="false">'Design Calculations'!L198</f>
        <v>5.10821067157329</v>
      </c>
      <c r="L94" s="5"/>
      <c r="M94" s="5" t="e">
        <f aca="false">0.000001*('Design Worksheet'!B$88)*(B95-B94)/(0.5*(E94+E95))+M93</f>
        <v>#N/A</v>
      </c>
      <c r="N94" s="5" t="n">
        <f aca="false">B94</f>
        <v>10.66</v>
      </c>
    </row>
    <row r="95" customFormat="false" ht="12.8" hidden="false" customHeight="false" outlineLevel="0" collapsed="false">
      <c r="A95" s="5" t="n">
        <f aca="false">'Design Calculations'!B197</f>
        <v>0.414999999999999</v>
      </c>
      <c r="B95" s="5" t="n">
        <f aca="false">'Design Calculations'!C197</f>
        <v>10.79</v>
      </c>
      <c r="C95" s="5" t="e">
        <f aca="false">'Design Calculations'!D197</f>
        <v>#N/A</v>
      </c>
      <c r="D95" s="5" t="e">
        <f aca="false">'Design Calculations'!E197</f>
        <v>#N/A</v>
      </c>
      <c r="E95" s="5" t="e">
        <f aca="false">'Design Calculations'!F197</f>
        <v>#N/A</v>
      </c>
      <c r="F95" s="5" t="e">
        <f aca="false">'Design Calculations'!G197</f>
        <v>#N/A</v>
      </c>
      <c r="G95" s="5" t="n">
        <f aca="false">'Design Calculations'!H197</f>
        <v>0.515000000000015</v>
      </c>
      <c r="H95" s="5" t="n">
        <f aca="false">'Design Calculations'!I197</f>
        <v>13.3900000000004</v>
      </c>
      <c r="I95" s="5" t="n">
        <f aca="false">'Design Calculations'!J197</f>
        <v>0.515829116835342</v>
      </c>
      <c r="J95" s="91" t="n">
        <f aca="false">'Design Calculations'!K197</f>
        <v>5.15829116835342</v>
      </c>
      <c r="K95" s="91" t="n">
        <f aca="false">'Design Calculations'!L197</f>
        <v>5.15829116835342</v>
      </c>
      <c r="L95" s="5"/>
      <c r="M95" s="5" t="e">
        <f aca="false">0.000001*('Design Worksheet'!B$88)*(B96-B95)/(0.5*(E95+E96))+M94</f>
        <v>#N/A</v>
      </c>
      <c r="N95" s="5" t="n">
        <f aca="false">B95</f>
        <v>10.79</v>
      </c>
    </row>
    <row r="96" customFormat="false" ht="12.8" hidden="false" customHeight="false" outlineLevel="0" collapsed="false">
      <c r="A96" s="5" t="n">
        <f aca="false">'Design Calculations'!B196</f>
        <v>0.419999999999999</v>
      </c>
      <c r="B96" s="5" t="n">
        <f aca="false">'Design Calculations'!C196</f>
        <v>10.92</v>
      </c>
      <c r="C96" s="5" t="e">
        <f aca="false">'Design Calculations'!D196</f>
        <v>#N/A</v>
      </c>
      <c r="D96" s="5" t="e">
        <f aca="false">'Design Calculations'!E196</f>
        <v>#N/A</v>
      </c>
      <c r="E96" s="5" t="e">
        <f aca="false">'Design Calculations'!F196</f>
        <v>#N/A</v>
      </c>
      <c r="F96" s="5" t="e">
        <f aca="false">'Design Calculations'!G196</f>
        <v>#N/A</v>
      </c>
      <c r="G96" s="5" t="n">
        <f aca="false">'Design Calculations'!H196</f>
        <v>0.520000000000014</v>
      </c>
      <c r="H96" s="5" t="n">
        <f aca="false">'Design Calculations'!I196</f>
        <v>13.5200000000004</v>
      </c>
      <c r="I96" s="5" t="n">
        <f aca="false">'Design Calculations'!J196</f>
        <v>0.520837166513355</v>
      </c>
      <c r="J96" s="91" t="n">
        <f aca="false">'Design Calculations'!K196</f>
        <v>5.20837166513355</v>
      </c>
      <c r="K96" s="91" t="n">
        <f aca="false">'Design Calculations'!L196</f>
        <v>5.20837166513355</v>
      </c>
      <c r="L96" s="5"/>
      <c r="M96" s="5" t="e">
        <f aca="false">0.000001*('Design Worksheet'!B$88)*(B97-B96)/(0.5*(E96+E97))+M95</f>
        <v>#N/A</v>
      </c>
      <c r="N96" s="5" t="n">
        <f aca="false">B96</f>
        <v>10.92</v>
      </c>
    </row>
    <row r="97" customFormat="false" ht="12.8" hidden="false" customHeight="false" outlineLevel="0" collapsed="false">
      <c r="A97" s="5" t="n">
        <f aca="false">'Design Calculations'!B195</f>
        <v>0.424999999999999</v>
      </c>
      <c r="B97" s="5" t="n">
        <f aca="false">'Design Calculations'!C195</f>
        <v>11.05</v>
      </c>
      <c r="C97" s="5" t="e">
        <f aca="false">'Design Calculations'!D195</f>
        <v>#N/A</v>
      </c>
      <c r="D97" s="5" t="e">
        <f aca="false">'Design Calculations'!E195</f>
        <v>#N/A</v>
      </c>
      <c r="E97" s="5" t="e">
        <f aca="false">'Design Calculations'!F195</f>
        <v>#N/A</v>
      </c>
      <c r="F97" s="5" t="e">
        <f aca="false">'Design Calculations'!G195</f>
        <v>#N/A</v>
      </c>
      <c r="G97" s="5" t="n">
        <f aca="false">'Design Calculations'!H195</f>
        <v>0.525000000000014</v>
      </c>
      <c r="H97" s="5" t="n">
        <f aca="false">'Design Calculations'!I195</f>
        <v>13.6500000000004</v>
      </c>
      <c r="I97" s="5" t="n">
        <f aca="false">'Design Calculations'!J195</f>
        <v>0.525845216191368</v>
      </c>
      <c r="J97" s="91" t="n">
        <f aca="false">'Design Calculations'!K195</f>
        <v>5.25845216191368</v>
      </c>
      <c r="K97" s="91" t="n">
        <f aca="false">'Design Calculations'!L195</f>
        <v>5.25845216191368</v>
      </c>
      <c r="L97" s="5"/>
      <c r="M97" s="5" t="e">
        <f aca="false">0.000001*('Design Worksheet'!B$88)*(B98-B97)/(0.5*(E97+E98))+M96</f>
        <v>#N/A</v>
      </c>
      <c r="N97" s="5" t="n">
        <f aca="false">B97</f>
        <v>11.05</v>
      </c>
    </row>
    <row r="98" customFormat="false" ht="12.8" hidden="false" customHeight="false" outlineLevel="0" collapsed="false">
      <c r="A98" s="5" t="n">
        <f aca="false">'Design Calculations'!B194</f>
        <v>0.429999999999999</v>
      </c>
      <c r="B98" s="5" t="n">
        <f aca="false">'Design Calculations'!C194</f>
        <v>11.18</v>
      </c>
      <c r="C98" s="5" t="e">
        <f aca="false">'Design Calculations'!D194</f>
        <v>#N/A</v>
      </c>
      <c r="D98" s="5" t="e">
        <f aca="false">'Design Calculations'!E194</f>
        <v>#N/A</v>
      </c>
      <c r="E98" s="5" t="e">
        <f aca="false">'Design Calculations'!F194</f>
        <v>#N/A</v>
      </c>
      <c r="F98" s="5" t="e">
        <f aca="false">'Design Calculations'!G194</f>
        <v>#N/A</v>
      </c>
      <c r="G98" s="5" t="n">
        <f aca="false">'Design Calculations'!H194</f>
        <v>0.530000000000014</v>
      </c>
      <c r="H98" s="5" t="n">
        <f aca="false">'Design Calculations'!I194</f>
        <v>13.7800000000004</v>
      </c>
      <c r="I98" s="5" t="n">
        <f aca="false">'Design Calculations'!J194</f>
        <v>0.530853265869381</v>
      </c>
      <c r="J98" s="91" t="n">
        <f aca="false">'Design Calculations'!K194</f>
        <v>5.30853265869381</v>
      </c>
      <c r="K98" s="91" t="n">
        <f aca="false">'Design Calculations'!L194</f>
        <v>5.30853265869381</v>
      </c>
      <c r="L98" s="5"/>
      <c r="M98" s="5" t="e">
        <f aca="false">0.000001*('Design Worksheet'!B$88)*(B99-B98)/(0.5*(E98+E99))+M97</f>
        <v>#N/A</v>
      </c>
      <c r="N98" s="5" t="n">
        <f aca="false">B98</f>
        <v>11.18</v>
      </c>
    </row>
    <row r="99" customFormat="false" ht="12.8" hidden="false" customHeight="false" outlineLevel="0" collapsed="false">
      <c r="A99" s="5" t="n">
        <f aca="false">'Design Calculations'!B193</f>
        <v>0.434999999999999</v>
      </c>
      <c r="B99" s="5" t="n">
        <f aca="false">'Design Calculations'!C193</f>
        <v>11.31</v>
      </c>
      <c r="C99" s="5" t="e">
        <f aca="false">'Design Calculations'!D193</f>
        <v>#N/A</v>
      </c>
      <c r="D99" s="5" t="e">
        <f aca="false">'Design Calculations'!E193</f>
        <v>#N/A</v>
      </c>
      <c r="E99" s="5" t="e">
        <f aca="false">'Design Calculations'!F193</f>
        <v>#N/A</v>
      </c>
      <c r="F99" s="5" t="e">
        <f aca="false">'Design Calculations'!G193</f>
        <v>#N/A</v>
      </c>
      <c r="G99" s="5" t="n">
        <f aca="false">'Design Calculations'!H193</f>
        <v>0.535000000000014</v>
      </c>
      <c r="H99" s="5" t="n">
        <f aca="false">'Design Calculations'!I193</f>
        <v>13.9100000000004</v>
      </c>
      <c r="I99" s="5" t="n">
        <f aca="false">'Design Calculations'!J193</f>
        <v>0.535861315547394</v>
      </c>
      <c r="J99" s="91" t="n">
        <f aca="false">'Design Calculations'!K193</f>
        <v>5.35861315547393</v>
      </c>
      <c r="K99" s="91" t="n">
        <f aca="false">'Design Calculations'!L193</f>
        <v>5.35861315547393</v>
      </c>
      <c r="L99" s="5"/>
      <c r="M99" s="5" t="e">
        <f aca="false">0.000001*('Design Worksheet'!B$88)*(B100-B99)/(0.5*(E99+E100))+M98</f>
        <v>#N/A</v>
      </c>
      <c r="N99" s="5" t="n">
        <f aca="false">B99</f>
        <v>11.31</v>
      </c>
    </row>
    <row r="100" customFormat="false" ht="12.8" hidden="false" customHeight="false" outlineLevel="0" collapsed="false">
      <c r="A100" s="5" t="n">
        <f aca="false">'Design Calculations'!B192</f>
        <v>0.44</v>
      </c>
      <c r="B100" s="5" t="n">
        <f aca="false">'Design Calculations'!C192</f>
        <v>11.44</v>
      </c>
      <c r="C100" s="5" t="e">
        <f aca="false">'Design Calculations'!D192</f>
        <v>#N/A</v>
      </c>
      <c r="D100" s="5" t="e">
        <f aca="false">'Design Calculations'!E192</f>
        <v>#N/A</v>
      </c>
      <c r="E100" s="5" t="e">
        <f aca="false">'Design Calculations'!F192</f>
        <v>#N/A</v>
      </c>
      <c r="F100" s="5" t="e">
        <f aca="false">'Design Calculations'!G192</f>
        <v>#N/A</v>
      </c>
      <c r="G100" s="5" t="n">
        <f aca="false">'Design Calculations'!H192</f>
        <v>0.540000000000014</v>
      </c>
      <c r="H100" s="5" t="n">
        <f aca="false">'Design Calculations'!I192</f>
        <v>14.0400000000004</v>
      </c>
      <c r="I100" s="5" t="n">
        <f aca="false">'Design Calculations'!J192</f>
        <v>0.540869365225406</v>
      </c>
      <c r="J100" s="91" t="n">
        <f aca="false">'Design Calculations'!K192</f>
        <v>5.40869365225406</v>
      </c>
      <c r="K100" s="91" t="n">
        <f aca="false">'Design Calculations'!L192</f>
        <v>5.40869365225406</v>
      </c>
      <c r="L100" s="5"/>
      <c r="M100" s="5" t="e">
        <f aca="false">0.000001*('Design Worksheet'!B$88)*(B101-B100)/(0.5*(E100+E101))+M99</f>
        <v>#N/A</v>
      </c>
      <c r="N100" s="5" t="n">
        <f aca="false">B100</f>
        <v>11.44</v>
      </c>
    </row>
    <row r="101" customFormat="false" ht="12.8" hidden="false" customHeight="false" outlineLevel="0" collapsed="false">
      <c r="A101" s="5" t="n">
        <f aca="false">'Design Calculations'!B191</f>
        <v>0.445</v>
      </c>
      <c r="B101" s="5" t="n">
        <f aca="false">'Design Calculations'!C191</f>
        <v>11.57</v>
      </c>
      <c r="C101" s="5" t="e">
        <f aca="false">'Design Calculations'!D191</f>
        <v>#N/A</v>
      </c>
      <c r="D101" s="5" t="e">
        <f aca="false">'Design Calculations'!E191</f>
        <v>#N/A</v>
      </c>
      <c r="E101" s="5" t="e">
        <f aca="false">'Design Calculations'!F191</f>
        <v>#N/A</v>
      </c>
      <c r="F101" s="5" t="e">
        <f aca="false">'Design Calculations'!G191</f>
        <v>#N/A</v>
      </c>
      <c r="G101" s="5" t="n">
        <f aca="false">'Design Calculations'!H191</f>
        <v>0.545000000000014</v>
      </c>
      <c r="H101" s="5" t="n">
        <f aca="false">'Design Calculations'!I191</f>
        <v>14.1700000000004</v>
      </c>
      <c r="I101" s="5" t="n">
        <f aca="false">'Design Calculations'!J191</f>
        <v>0.545877414903419</v>
      </c>
      <c r="J101" s="91" t="n">
        <f aca="false">'Design Calculations'!K191</f>
        <v>5.45877414903419</v>
      </c>
      <c r="K101" s="91" t="n">
        <f aca="false">'Design Calculations'!L191</f>
        <v>5.45877414903419</v>
      </c>
      <c r="L101" s="5"/>
      <c r="M101" s="5" t="e">
        <f aca="false">0.000001*('Design Worksheet'!B$88)*(B102-B101)/(0.5*(E101+E102))+M100</f>
        <v>#N/A</v>
      </c>
      <c r="N101" s="5" t="n">
        <f aca="false">B101</f>
        <v>11.57</v>
      </c>
    </row>
    <row r="102" customFormat="false" ht="12.8" hidden="false" customHeight="false" outlineLevel="0" collapsed="false">
      <c r="A102" s="5" t="n">
        <f aca="false">'Design Calculations'!B190</f>
        <v>0.45</v>
      </c>
      <c r="B102" s="5" t="n">
        <f aca="false">'Design Calculations'!C190</f>
        <v>11.7</v>
      </c>
      <c r="C102" s="5" t="e">
        <f aca="false">'Design Calculations'!D190</f>
        <v>#N/A</v>
      </c>
      <c r="D102" s="5" t="e">
        <f aca="false">'Design Calculations'!E190</f>
        <v>#N/A</v>
      </c>
      <c r="E102" s="5" t="e">
        <f aca="false">'Design Calculations'!F190</f>
        <v>#N/A</v>
      </c>
      <c r="F102" s="5" t="e">
        <f aca="false">'Design Calculations'!G190</f>
        <v>#N/A</v>
      </c>
      <c r="G102" s="5" t="n">
        <f aca="false">'Design Calculations'!H190</f>
        <v>0.550000000000014</v>
      </c>
      <c r="H102" s="5" t="n">
        <f aca="false">'Design Calculations'!I190</f>
        <v>14.3000000000004</v>
      </c>
      <c r="I102" s="5" t="n">
        <f aca="false">'Design Calculations'!J190</f>
        <v>0.550885464581432</v>
      </c>
      <c r="J102" s="91" t="n">
        <f aca="false">'Design Calculations'!K190</f>
        <v>5.50885464581432</v>
      </c>
      <c r="K102" s="91" t="n">
        <f aca="false">'Design Calculations'!L190</f>
        <v>5.50885464581432</v>
      </c>
      <c r="L102" s="5"/>
      <c r="M102" s="5" t="e">
        <f aca="false">0.000001*('Design Worksheet'!B$88)*(B103-B102)/(0.5*(E102+E103))+M101</f>
        <v>#N/A</v>
      </c>
      <c r="N102" s="5" t="n">
        <f aca="false">B102</f>
        <v>11.7</v>
      </c>
    </row>
    <row r="103" customFormat="false" ht="12.8" hidden="false" customHeight="false" outlineLevel="0" collapsed="false">
      <c r="A103" s="5" t="n">
        <f aca="false">'Design Calculations'!B189</f>
        <v>0.455</v>
      </c>
      <c r="B103" s="5" t="n">
        <f aca="false">'Design Calculations'!C189</f>
        <v>11.83</v>
      </c>
      <c r="C103" s="5" t="e">
        <f aca="false">'Design Calculations'!D189</f>
        <v>#N/A</v>
      </c>
      <c r="D103" s="5" t="e">
        <f aca="false">'Design Calculations'!E189</f>
        <v>#N/A</v>
      </c>
      <c r="E103" s="5" t="e">
        <f aca="false">'Design Calculations'!F189</f>
        <v>#N/A</v>
      </c>
      <c r="F103" s="5" t="e">
        <f aca="false">'Design Calculations'!G189</f>
        <v>#N/A</v>
      </c>
      <c r="G103" s="5" t="n">
        <f aca="false">'Design Calculations'!H189</f>
        <v>0.555000000000014</v>
      </c>
      <c r="H103" s="5" t="n">
        <f aca="false">'Design Calculations'!I189</f>
        <v>14.4300000000004</v>
      </c>
      <c r="I103" s="5" t="n">
        <f aca="false">'Design Calculations'!J189</f>
        <v>0.555893514259445</v>
      </c>
      <c r="J103" s="91" t="n">
        <f aca="false">'Design Calculations'!K189</f>
        <v>5.55893514259445</v>
      </c>
      <c r="K103" s="91" t="n">
        <f aca="false">'Design Calculations'!L189</f>
        <v>5.55893514259445</v>
      </c>
      <c r="L103" s="5"/>
      <c r="M103" s="5" t="e">
        <f aca="false">0.000001*('Design Worksheet'!B$88)*(B104-B103)/(0.5*(E103+E104))+M102</f>
        <v>#N/A</v>
      </c>
      <c r="N103" s="5" t="n">
        <f aca="false">B103</f>
        <v>11.83</v>
      </c>
    </row>
    <row r="104" customFormat="false" ht="12.8" hidden="false" customHeight="false" outlineLevel="0" collapsed="false">
      <c r="A104" s="5" t="n">
        <f aca="false">'Design Calculations'!B188</f>
        <v>0.46</v>
      </c>
      <c r="B104" s="5" t="n">
        <f aca="false">'Design Calculations'!C188</f>
        <v>11.96</v>
      </c>
      <c r="C104" s="5" t="e">
        <f aca="false">'Design Calculations'!D188</f>
        <v>#N/A</v>
      </c>
      <c r="D104" s="5" t="e">
        <f aca="false">'Design Calculations'!E188</f>
        <v>#N/A</v>
      </c>
      <c r="E104" s="5" t="e">
        <f aca="false">'Design Calculations'!F188</f>
        <v>#N/A</v>
      </c>
      <c r="F104" s="5" t="e">
        <f aca="false">'Design Calculations'!G188</f>
        <v>#N/A</v>
      </c>
      <c r="G104" s="5" t="n">
        <f aca="false">'Design Calculations'!H188</f>
        <v>0.560000000000014</v>
      </c>
      <c r="H104" s="5" t="n">
        <f aca="false">'Design Calculations'!I188</f>
        <v>14.5600000000004</v>
      </c>
      <c r="I104" s="5" t="n">
        <f aca="false">'Design Calculations'!J188</f>
        <v>0.560901563937458</v>
      </c>
      <c r="J104" s="91" t="n">
        <f aca="false">'Design Calculations'!K188</f>
        <v>5.60901563937458</v>
      </c>
      <c r="K104" s="91" t="n">
        <f aca="false">'Design Calculations'!L188</f>
        <v>5.60901563937458</v>
      </c>
      <c r="L104" s="5"/>
      <c r="M104" s="5" t="e">
        <f aca="false">0.000001*('Design Worksheet'!B$88)*(B105-B104)/(0.5*(E104+E105))+M103</f>
        <v>#N/A</v>
      </c>
      <c r="N104" s="5" t="n">
        <f aca="false">B104</f>
        <v>11.96</v>
      </c>
    </row>
    <row r="105" customFormat="false" ht="12.8" hidden="false" customHeight="false" outlineLevel="0" collapsed="false">
      <c r="A105" s="5" t="n">
        <f aca="false">'Design Calculations'!B187</f>
        <v>0.465</v>
      </c>
      <c r="B105" s="5" t="n">
        <f aca="false">'Design Calculations'!C187</f>
        <v>12.09</v>
      </c>
      <c r="C105" s="5" t="e">
        <f aca="false">'Design Calculations'!D187</f>
        <v>#N/A</v>
      </c>
      <c r="D105" s="5" t="e">
        <f aca="false">'Design Calculations'!E187</f>
        <v>#N/A</v>
      </c>
      <c r="E105" s="5" t="e">
        <f aca="false">'Design Calculations'!F187</f>
        <v>#N/A</v>
      </c>
      <c r="F105" s="5" t="e">
        <f aca="false">'Design Calculations'!G187</f>
        <v>#N/A</v>
      </c>
      <c r="G105" s="5" t="n">
        <f aca="false">'Design Calculations'!H187</f>
        <v>0.565000000000014</v>
      </c>
      <c r="H105" s="5" t="n">
        <f aca="false">'Design Calculations'!I187</f>
        <v>14.6900000000004</v>
      </c>
      <c r="I105" s="5" t="n">
        <f aca="false">'Design Calculations'!J187</f>
        <v>0.565909613615471</v>
      </c>
      <c r="J105" s="91" t="n">
        <f aca="false">'Design Calculations'!K187</f>
        <v>5.65909613615471</v>
      </c>
      <c r="K105" s="91" t="n">
        <f aca="false">'Design Calculations'!L187</f>
        <v>5.65909613615471</v>
      </c>
      <c r="L105" s="5"/>
      <c r="M105" s="5" t="e">
        <f aca="false">0.000001*('Design Worksheet'!B$88)*(B106-B105)/(0.5*(E105+E106))+M104</f>
        <v>#N/A</v>
      </c>
      <c r="N105" s="5" t="n">
        <f aca="false">B105</f>
        <v>12.09</v>
      </c>
    </row>
    <row r="106" customFormat="false" ht="12.8" hidden="false" customHeight="false" outlineLevel="0" collapsed="false">
      <c r="A106" s="5" t="n">
        <f aca="false">'Design Calculations'!B186</f>
        <v>0.47</v>
      </c>
      <c r="B106" s="5" t="n">
        <f aca="false">'Design Calculations'!C186</f>
        <v>12.22</v>
      </c>
      <c r="C106" s="5" t="e">
        <f aca="false">'Design Calculations'!D186</f>
        <v>#N/A</v>
      </c>
      <c r="D106" s="5" t="e">
        <f aca="false">'Design Calculations'!E186</f>
        <v>#N/A</v>
      </c>
      <c r="E106" s="5" t="e">
        <f aca="false">'Design Calculations'!F186</f>
        <v>#N/A</v>
      </c>
      <c r="F106" s="5" t="e">
        <f aca="false">'Design Calculations'!G186</f>
        <v>#N/A</v>
      </c>
      <c r="G106" s="5" t="n">
        <f aca="false">'Design Calculations'!H186</f>
        <v>0.570000000000013</v>
      </c>
      <c r="H106" s="5" t="n">
        <f aca="false">'Design Calculations'!I186</f>
        <v>14.8200000000003</v>
      </c>
      <c r="I106" s="5" t="n">
        <f aca="false">'Design Calculations'!J186</f>
        <v>0.57091766329348</v>
      </c>
      <c r="J106" s="91" t="n">
        <f aca="false">'Design Calculations'!K186</f>
        <v>5.7091766329348</v>
      </c>
      <c r="K106" s="91" t="n">
        <f aca="false">'Design Calculations'!L186</f>
        <v>5.7091766329348</v>
      </c>
      <c r="L106" s="5"/>
      <c r="M106" s="5" t="e">
        <f aca="false">0.000001*('Design Worksheet'!B$88)*(B107-B106)/(0.5*(E106+E107))+M105</f>
        <v>#N/A</v>
      </c>
      <c r="N106" s="5" t="n">
        <f aca="false">B106</f>
        <v>12.22</v>
      </c>
    </row>
    <row r="107" customFormat="false" ht="12.8" hidden="false" customHeight="false" outlineLevel="0" collapsed="false">
      <c r="A107" s="5" t="n">
        <f aca="false">'Design Calculations'!B185</f>
        <v>0.475</v>
      </c>
      <c r="B107" s="5" t="n">
        <f aca="false">'Design Calculations'!C185</f>
        <v>12.35</v>
      </c>
      <c r="C107" s="5" t="e">
        <f aca="false">'Design Calculations'!D185</f>
        <v>#N/A</v>
      </c>
      <c r="D107" s="5" t="e">
        <f aca="false">'Design Calculations'!E185</f>
        <v>#N/A</v>
      </c>
      <c r="E107" s="5" t="e">
        <f aca="false">'Design Calculations'!F185</f>
        <v>#N/A</v>
      </c>
      <c r="F107" s="5" t="e">
        <f aca="false">'Design Calculations'!G185</f>
        <v>#N/A</v>
      </c>
      <c r="G107" s="5" t="n">
        <f aca="false">'Design Calculations'!H185</f>
        <v>0.575000000000013</v>
      </c>
      <c r="H107" s="5" t="n">
        <f aca="false">'Design Calculations'!I185</f>
        <v>14.9500000000003</v>
      </c>
      <c r="I107" s="5" t="n">
        <f aca="false">'Design Calculations'!J185</f>
        <v>0.575925712971493</v>
      </c>
      <c r="J107" s="91" t="n">
        <f aca="false">'Design Calculations'!K185</f>
        <v>5.75925712971493</v>
      </c>
      <c r="K107" s="91" t="n">
        <f aca="false">'Design Calculations'!L185</f>
        <v>5.75925712971493</v>
      </c>
      <c r="L107" s="5"/>
      <c r="M107" s="5" t="e">
        <f aca="false">0.000001*('Design Worksheet'!B$88)*(B108-B107)/(0.5*(E107+E108))+M106</f>
        <v>#N/A</v>
      </c>
      <c r="N107" s="5" t="n">
        <f aca="false">B107</f>
        <v>12.35</v>
      </c>
    </row>
    <row r="108" customFormat="false" ht="12.8" hidden="false" customHeight="false" outlineLevel="0" collapsed="false">
      <c r="A108" s="5" t="n">
        <f aca="false">'Design Calculations'!B184</f>
        <v>0.48</v>
      </c>
      <c r="B108" s="5" t="n">
        <f aca="false">'Design Calculations'!C184</f>
        <v>12.48</v>
      </c>
      <c r="C108" s="5" t="e">
        <f aca="false">'Design Calculations'!D184</f>
        <v>#N/A</v>
      </c>
      <c r="D108" s="5" t="e">
        <f aca="false">'Design Calculations'!E184</f>
        <v>#N/A</v>
      </c>
      <c r="E108" s="5" t="e">
        <f aca="false">'Design Calculations'!F184</f>
        <v>#N/A</v>
      </c>
      <c r="F108" s="5" t="e">
        <f aca="false">'Design Calculations'!G184</f>
        <v>#N/A</v>
      </c>
      <c r="G108" s="5" t="n">
        <f aca="false">'Design Calculations'!H184</f>
        <v>0.580000000000013</v>
      </c>
      <c r="H108" s="5" t="n">
        <f aca="false">'Design Calculations'!I184</f>
        <v>15.0800000000003</v>
      </c>
      <c r="I108" s="5" t="n">
        <f aca="false">'Design Calculations'!J184</f>
        <v>0.580933762649506</v>
      </c>
      <c r="J108" s="91" t="n">
        <f aca="false">'Design Calculations'!K184</f>
        <v>5.80933762649506</v>
      </c>
      <c r="K108" s="91" t="n">
        <f aca="false">'Design Calculations'!L184</f>
        <v>5.80933762649506</v>
      </c>
      <c r="L108" s="5"/>
      <c r="M108" s="5" t="e">
        <f aca="false">0.000001*('Design Worksheet'!B$88)*(B109-B108)/(0.5*(E108+E109))+M107</f>
        <v>#N/A</v>
      </c>
      <c r="N108" s="5" t="n">
        <f aca="false">B108</f>
        <v>12.48</v>
      </c>
    </row>
    <row r="109" customFormat="false" ht="12.8" hidden="false" customHeight="false" outlineLevel="0" collapsed="false">
      <c r="A109" s="5" t="n">
        <f aca="false">'Design Calculations'!B183</f>
        <v>0.485</v>
      </c>
      <c r="B109" s="5" t="n">
        <f aca="false">'Design Calculations'!C183</f>
        <v>12.61</v>
      </c>
      <c r="C109" s="5" t="e">
        <f aca="false">'Design Calculations'!D183</f>
        <v>#N/A</v>
      </c>
      <c r="D109" s="5" t="e">
        <f aca="false">'Design Calculations'!E183</f>
        <v>#N/A</v>
      </c>
      <c r="E109" s="5" t="e">
        <f aca="false">'Design Calculations'!F183</f>
        <v>#N/A</v>
      </c>
      <c r="F109" s="5" t="e">
        <f aca="false">'Design Calculations'!G183</f>
        <v>#N/A</v>
      </c>
      <c r="G109" s="5" t="n">
        <f aca="false">'Design Calculations'!H183</f>
        <v>0.585000000000013</v>
      </c>
      <c r="H109" s="5" t="n">
        <f aca="false">'Design Calculations'!I183</f>
        <v>15.2100000000003</v>
      </c>
      <c r="I109" s="5" t="n">
        <f aca="false">'Design Calculations'!J183</f>
        <v>0.585941812327518</v>
      </c>
      <c r="J109" s="91" t="n">
        <f aca="false">'Design Calculations'!K183</f>
        <v>5.85941812327518</v>
      </c>
      <c r="K109" s="91" t="n">
        <f aca="false">'Design Calculations'!L183</f>
        <v>5.85941812327518</v>
      </c>
      <c r="L109" s="5"/>
      <c r="M109" s="5" t="e">
        <f aca="false">0.000001*('Design Worksheet'!B$88)*(B110-B109)/(0.5*(E109+E110))+M108</f>
        <v>#N/A</v>
      </c>
      <c r="N109" s="5" t="n">
        <f aca="false">B109</f>
        <v>12.61</v>
      </c>
    </row>
    <row r="110" customFormat="false" ht="12.8" hidden="false" customHeight="false" outlineLevel="0" collapsed="false">
      <c r="A110" s="5" t="n">
        <f aca="false">'Design Calculations'!B182</f>
        <v>0.49</v>
      </c>
      <c r="B110" s="5" t="n">
        <f aca="false">'Design Calculations'!C182</f>
        <v>12.74</v>
      </c>
      <c r="C110" s="5" t="e">
        <f aca="false">'Design Calculations'!D182</f>
        <v>#N/A</v>
      </c>
      <c r="D110" s="5" t="e">
        <f aca="false">'Design Calculations'!E182</f>
        <v>#N/A</v>
      </c>
      <c r="E110" s="5" t="e">
        <f aca="false">'Design Calculations'!F182</f>
        <v>#N/A</v>
      </c>
      <c r="F110" s="5" t="e">
        <f aca="false">'Design Calculations'!G182</f>
        <v>#N/A</v>
      </c>
      <c r="G110" s="5" t="n">
        <f aca="false">'Design Calculations'!H182</f>
        <v>0.590000000000013</v>
      </c>
      <c r="H110" s="5" t="n">
        <f aca="false">'Design Calculations'!I182</f>
        <v>15.3400000000003</v>
      </c>
      <c r="I110" s="5" t="n">
        <f aca="false">'Design Calculations'!J182</f>
        <v>0.590949862005531</v>
      </c>
      <c r="J110" s="91" t="n">
        <f aca="false">'Design Calculations'!K182</f>
        <v>5.90949862005531</v>
      </c>
      <c r="K110" s="91" t="n">
        <f aca="false">'Design Calculations'!L182</f>
        <v>5.90949862005531</v>
      </c>
      <c r="L110" s="5"/>
      <c r="M110" s="5" t="e">
        <f aca="false">0.000001*('Design Worksheet'!B$88)*(B111-B110)/(0.5*(E110+E111))+M109</f>
        <v>#N/A</v>
      </c>
      <c r="N110" s="5" t="n">
        <f aca="false">B110</f>
        <v>12.74</v>
      </c>
    </row>
    <row r="111" customFormat="false" ht="12.8" hidden="false" customHeight="false" outlineLevel="0" collapsed="false">
      <c r="A111" s="5" t="n">
        <f aca="false">'Design Calculations'!B181</f>
        <v>0.495</v>
      </c>
      <c r="B111" s="5" t="n">
        <f aca="false">'Design Calculations'!C181</f>
        <v>12.87</v>
      </c>
      <c r="C111" s="5" t="e">
        <f aca="false">'Design Calculations'!D181</f>
        <v>#N/A</v>
      </c>
      <c r="D111" s="5" t="e">
        <f aca="false">'Design Calculations'!E181</f>
        <v>#N/A</v>
      </c>
      <c r="E111" s="5" t="e">
        <f aca="false">'Design Calculations'!F181</f>
        <v>#N/A</v>
      </c>
      <c r="F111" s="5" t="e">
        <f aca="false">'Design Calculations'!G181</f>
        <v>#N/A</v>
      </c>
      <c r="G111" s="5" t="n">
        <f aca="false">'Design Calculations'!H181</f>
        <v>0.595000000000013</v>
      </c>
      <c r="H111" s="5" t="n">
        <f aca="false">'Design Calculations'!I181</f>
        <v>15.4700000000003</v>
      </c>
      <c r="I111" s="5" t="n">
        <f aca="false">'Design Calculations'!J181</f>
        <v>0.595957911683544</v>
      </c>
      <c r="J111" s="91" t="n">
        <f aca="false">'Design Calculations'!K181</f>
        <v>5.95957911683544</v>
      </c>
      <c r="K111" s="91" t="n">
        <f aca="false">'Design Calculations'!L181</f>
        <v>5.95957911683544</v>
      </c>
      <c r="L111" s="5"/>
      <c r="M111" s="5" t="e">
        <f aca="false">0.000001*('Design Worksheet'!B$88)*(B112-B111)/(0.5*(E111+E112))+M110</f>
        <v>#N/A</v>
      </c>
      <c r="N111" s="5" t="n">
        <f aca="false">B111</f>
        <v>12.87</v>
      </c>
    </row>
    <row r="112" customFormat="false" ht="12.8" hidden="false" customHeight="false" outlineLevel="0" collapsed="false">
      <c r="A112" s="5" t="n">
        <f aca="false">'Design Calculations'!B180</f>
        <v>0.5</v>
      </c>
      <c r="B112" s="5" t="n">
        <f aca="false">'Design Calculations'!C180</f>
        <v>13</v>
      </c>
      <c r="C112" s="5" t="e">
        <f aca="false">'Design Calculations'!D180</f>
        <v>#N/A</v>
      </c>
      <c r="D112" s="5" t="e">
        <f aca="false">'Design Calculations'!E180</f>
        <v>#N/A</v>
      </c>
      <c r="E112" s="5" t="e">
        <f aca="false">'Design Calculations'!F180</f>
        <v>#N/A</v>
      </c>
      <c r="F112" s="5" t="e">
        <f aca="false">'Design Calculations'!G180</f>
        <v>#N/A</v>
      </c>
      <c r="G112" s="5" t="n">
        <f aca="false">'Design Calculations'!H180</f>
        <v>0.600000000000013</v>
      </c>
      <c r="H112" s="5" t="n">
        <f aca="false">'Design Calculations'!I180</f>
        <v>15.6000000000003</v>
      </c>
      <c r="I112" s="5" t="n">
        <f aca="false">'Design Calculations'!J180</f>
        <v>0.600965961361557</v>
      </c>
      <c r="J112" s="91" t="n">
        <f aca="false">'Design Calculations'!K180</f>
        <v>6.00965961361557</v>
      </c>
      <c r="K112" s="91" t="n">
        <f aca="false">'Design Calculations'!L180</f>
        <v>6.00965961361557</v>
      </c>
      <c r="L112" s="5"/>
      <c r="M112" s="5" t="e">
        <f aca="false">0.000001*('Design Worksheet'!B$88)*(B113-B112)/(0.5*(E112+E113))+M111</f>
        <v>#N/A</v>
      </c>
      <c r="N112" s="5" t="n">
        <f aca="false">B112</f>
        <v>13</v>
      </c>
    </row>
    <row r="113" customFormat="false" ht="12.8" hidden="false" customHeight="false" outlineLevel="0" collapsed="false">
      <c r="A113" s="5" t="n">
        <f aca="false">'Design Calculations'!B179</f>
        <v>0.505</v>
      </c>
      <c r="B113" s="5" t="n">
        <f aca="false">'Design Calculations'!C179</f>
        <v>13.13</v>
      </c>
      <c r="C113" s="5" t="e">
        <f aca="false">'Design Calculations'!D179</f>
        <v>#N/A</v>
      </c>
      <c r="D113" s="5" t="e">
        <f aca="false">'Design Calculations'!E179</f>
        <v>#N/A</v>
      </c>
      <c r="E113" s="5" t="e">
        <f aca="false">'Design Calculations'!F179</f>
        <v>#N/A</v>
      </c>
      <c r="F113" s="5" t="e">
        <f aca="false">'Design Calculations'!G179</f>
        <v>#N/A</v>
      </c>
      <c r="G113" s="5" t="n">
        <f aca="false">'Design Calculations'!H179</f>
        <v>0.605000000000013</v>
      </c>
      <c r="H113" s="5" t="n">
        <f aca="false">'Design Calculations'!I179</f>
        <v>15.7300000000003</v>
      </c>
      <c r="I113" s="5" t="n">
        <f aca="false">'Design Calculations'!J179</f>
        <v>0.60597401103957</v>
      </c>
      <c r="J113" s="91" t="n">
        <f aca="false">'Design Calculations'!K179</f>
        <v>6.0597401103957</v>
      </c>
      <c r="K113" s="91" t="n">
        <f aca="false">'Design Calculations'!L179</f>
        <v>6.0597401103957</v>
      </c>
      <c r="L113" s="5"/>
      <c r="M113" s="5" t="e">
        <f aca="false">0.000001*('Design Worksheet'!B$88)*(B114-B113)/(0.5*(E113+E114))+M112</f>
        <v>#N/A</v>
      </c>
      <c r="N113" s="5" t="n">
        <f aca="false">B113</f>
        <v>13.13</v>
      </c>
    </row>
    <row r="114" customFormat="false" ht="12.8" hidden="false" customHeight="false" outlineLevel="0" collapsed="false">
      <c r="A114" s="5" t="n">
        <f aca="false">'Design Calculations'!B178</f>
        <v>0.51</v>
      </c>
      <c r="B114" s="5" t="n">
        <f aca="false">'Design Calculations'!C178</f>
        <v>13.26</v>
      </c>
      <c r="C114" s="5" t="e">
        <f aca="false">'Design Calculations'!D178</f>
        <v>#N/A</v>
      </c>
      <c r="D114" s="5" t="e">
        <f aca="false">'Design Calculations'!E178</f>
        <v>#N/A</v>
      </c>
      <c r="E114" s="5" t="e">
        <f aca="false">'Design Calculations'!F178</f>
        <v>#N/A</v>
      </c>
      <c r="F114" s="5" t="e">
        <f aca="false">'Design Calculations'!G178</f>
        <v>#N/A</v>
      </c>
      <c r="G114" s="5" t="n">
        <f aca="false">'Design Calculations'!H178</f>
        <v>0.610000000000013</v>
      </c>
      <c r="H114" s="5" t="n">
        <f aca="false">'Design Calculations'!I178</f>
        <v>15.8600000000003</v>
      </c>
      <c r="I114" s="5" t="n">
        <f aca="false">'Design Calculations'!J178</f>
        <v>0.610982060717583</v>
      </c>
      <c r="J114" s="91" t="n">
        <f aca="false">'Design Calculations'!K178</f>
        <v>6.10982060717583</v>
      </c>
      <c r="K114" s="91" t="n">
        <f aca="false">'Design Calculations'!L178</f>
        <v>6.10982060717583</v>
      </c>
      <c r="L114" s="5"/>
      <c r="M114" s="5" t="e">
        <f aca="false">0.000001*('Design Worksheet'!B$88)*(B115-B114)/(0.5*(E114+E115))+M113</f>
        <v>#N/A</v>
      </c>
      <c r="N114" s="5" t="n">
        <f aca="false">B114</f>
        <v>13.26</v>
      </c>
    </row>
    <row r="115" customFormat="false" ht="12.8" hidden="false" customHeight="false" outlineLevel="0" collapsed="false">
      <c r="A115" s="5" t="n">
        <f aca="false">'Design Calculations'!B177</f>
        <v>0.515</v>
      </c>
      <c r="B115" s="5" t="n">
        <f aca="false">'Design Calculations'!C177</f>
        <v>13.39</v>
      </c>
      <c r="C115" s="5" t="e">
        <f aca="false">'Design Calculations'!D177</f>
        <v>#N/A</v>
      </c>
      <c r="D115" s="5" t="e">
        <f aca="false">'Design Calculations'!E177</f>
        <v>#N/A</v>
      </c>
      <c r="E115" s="5" t="e">
        <f aca="false">'Design Calculations'!F177</f>
        <v>#N/A</v>
      </c>
      <c r="F115" s="5" t="e">
        <f aca="false">'Design Calculations'!G177</f>
        <v>#N/A</v>
      </c>
      <c r="G115" s="5" t="n">
        <f aca="false">'Design Calculations'!H177</f>
        <v>0.615000000000012</v>
      </c>
      <c r="H115" s="5" t="n">
        <f aca="false">'Design Calculations'!I177</f>
        <v>15.9900000000003</v>
      </c>
      <c r="I115" s="5" t="n">
        <f aca="false">'Design Calculations'!J177</f>
        <v>0.615990110395596</v>
      </c>
      <c r="J115" s="91" t="n">
        <f aca="false">'Design Calculations'!K177</f>
        <v>6.15990110395596</v>
      </c>
      <c r="K115" s="91" t="n">
        <f aca="false">'Design Calculations'!L177</f>
        <v>6.15990110395596</v>
      </c>
      <c r="L115" s="5"/>
      <c r="M115" s="5" t="e">
        <f aca="false">0.000001*('Design Worksheet'!B$88)*(B116-B115)/(0.5*(E115+E116))+M114</f>
        <v>#N/A</v>
      </c>
      <c r="N115" s="5" t="n">
        <f aca="false">B115</f>
        <v>13.39</v>
      </c>
    </row>
    <row r="116" customFormat="false" ht="12.8" hidden="false" customHeight="false" outlineLevel="0" collapsed="false">
      <c r="A116" s="5" t="n">
        <f aca="false">'Design Calculations'!B176</f>
        <v>0.52</v>
      </c>
      <c r="B116" s="5" t="n">
        <f aca="false">'Design Calculations'!C176</f>
        <v>13.52</v>
      </c>
      <c r="C116" s="5" t="e">
        <f aca="false">'Design Calculations'!D176</f>
        <v>#N/A</v>
      </c>
      <c r="D116" s="5" t="e">
        <f aca="false">'Design Calculations'!E176</f>
        <v>#N/A</v>
      </c>
      <c r="E116" s="5" t="e">
        <f aca="false">'Design Calculations'!F176</f>
        <v>#N/A</v>
      </c>
      <c r="F116" s="5" t="e">
        <f aca="false">'Design Calculations'!G176</f>
        <v>#N/A</v>
      </c>
      <c r="G116" s="5" t="n">
        <f aca="false">'Design Calculations'!H176</f>
        <v>0.620000000000012</v>
      </c>
      <c r="H116" s="5" t="n">
        <f aca="false">'Design Calculations'!I176</f>
        <v>16.1200000000003</v>
      </c>
      <c r="I116" s="5" t="n">
        <f aca="false">'Design Calculations'!J176</f>
        <v>0.620998160073609</v>
      </c>
      <c r="J116" s="91" t="n">
        <f aca="false">'Design Calculations'!K176</f>
        <v>6.20998160073609</v>
      </c>
      <c r="K116" s="91" t="n">
        <f aca="false">'Design Calculations'!L176</f>
        <v>6.20998160073609</v>
      </c>
      <c r="L116" s="5"/>
      <c r="M116" s="5" t="e">
        <f aca="false">0.000001*('Design Worksheet'!B$88)*(B117-B116)/(0.5*(E116+E117))+M115</f>
        <v>#N/A</v>
      </c>
      <c r="N116" s="5" t="n">
        <f aca="false">B116</f>
        <v>13.52</v>
      </c>
    </row>
    <row r="117" customFormat="false" ht="12.8" hidden="false" customHeight="false" outlineLevel="0" collapsed="false">
      <c r="A117" s="5" t="n">
        <f aca="false">'Design Calculations'!B175</f>
        <v>0.525</v>
      </c>
      <c r="B117" s="5" t="n">
        <f aca="false">'Design Calculations'!C175</f>
        <v>13.65</v>
      </c>
      <c r="C117" s="5" t="e">
        <f aca="false">'Design Calculations'!D175</f>
        <v>#N/A</v>
      </c>
      <c r="D117" s="5" t="e">
        <f aca="false">'Design Calculations'!E175</f>
        <v>#N/A</v>
      </c>
      <c r="E117" s="5" t="e">
        <f aca="false">'Design Calculations'!F175</f>
        <v>#N/A</v>
      </c>
      <c r="F117" s="5" t="e">
        <f aca="false">'Design Calculations'!G175</f>
        <v>#N/A</v>
      </c>
      <c r="G117" s="5" t="n">
        <f aca="false">'Design Calculations'!H175</f>
        <v>0.625000000000012</v>
      </c>
      <c r="H117" s="5" t="n">
        <f aca="false">'Design Calculations'!I175</f>
        <v>16.2500000000003</v>
      </c>
      <c r="I117" s="5" t="n">
        <f aca="false">'Design Calculations'!J175</f>
        <v>0.626006209751622</v>
      </c>
      <c r="J117" s="91" t="n">
        <f aca="false">'Design Calculations'!K175</f>
        <v>6.26006209751621</v>
      </c>
      <c r="K117" s="91" t="n">
        <f aca="false">'Design Calculations'!L175</f>
        <v>6.26006209751621</v>
      </c>
      <c r="L117" s="5"/>
      <c r="M117" s="5" t="e">
        <f aca="false">0.000001*('Design Worksheet'!B$88)*(B118-B117)/(0.5*(E117+E118))+M116</f>
        <v>#N/A</v>
      </c>
      <c r="N117" s="5" t="n">
        <f aca="false">B117</f>
        <v>13.65</v>
      </c>
    </row>
    <row r="118" customFormat="false" ht="12.8" hidden="false" customHeight="false" outlineLevel="0" collapsed="false">
      <c r="A118" s="5" t="n">
        <f aca="false">'Design Calculations'!B174</f>
        <v>0.53</v>
      </c>
      <c r="B118" s="5" t="n">
        <f aca="false">'Design Calculations'!C174</f>
        <v>13.78</v>
      </c>
      <c r="C118" s="5" t="e">
        <f aca="false">'Design Calculations'!D174</f>
        <v>#N/A</v>
      </c>
      <c r="D118" s="5" t="e">
        <f aca="false">'Design Calculations'!E174</f>
        <v>#N/A</v>
      </c>
      <c r="E118" s="5" t="e">
        <f aca="false">'Design Calculations'!F174</f>
        <v>#N/A</v>
      </c>
      <c r="F118" s="5" t="e">
        <f aca="false">'Design Calculations'!G174</f>
        <v>#N/A</v>
      </c>
      <c r="G118" s="5" t="n">
        <f aca="false">'Design Calculations'!H174</f>
        <v>0.630000000000012</v>
      </c>
      <c r="H118" s="5" t="n">
        <f aca="false">'Design Calculations'!I174</f>
        <v>16.3800000000003</v>
      </c>
      <c r="I118" s="5" t="n">
        <f aca="false">'Design Calculations'!J174</f>
        <v>0.631014259429634</v>
      </c>
      <c r="J118" s="91" t="n">
        <f aca="false">'Design Calculations'!K174</f>
        <v>6.31014259429634</v>
      </c>
      <c r="K118" s="91" t="n">
        <f aca="false">'Design Calculations'!L174</f>
        <v>6.31014259429634</v>
      </c>
      <c r="L118" s="5"/>
      <c r="M118" s="5" t="e">
        <f aca="false">0.000001*('Design Worksheet'!B$88)*(B119-B118)/(0.5*(E118+E119))+M117</f>
        <v>#N/A</v>
      </c>
      <c r="N118" s="5" t="n">
        <f aca="false">B118</f>
        <v>13.78</v>
      </c>
    </row>
    <row r="119" customFormat="false" ht="12.8" hidden="false" customHeight="false" outlineLevel="0" collapsed="false">
      <c r="A119" s="5" t="n">
        <f aca="false">'Design Calculations'!B173</f>
        <v>0.535</v>
      </c>
      <c r="B119" s="5" t="n">
        <f aca="false">'Design Calculations'!C173</f>
        <v>13.91</v>
      </c>
      <c r="C119" s="5" t="e">
        <f aca="false">'Design Calculations'!D173</f>
        <v>#N/A</v>
      </c>
      <c r="D119" s="5" t="e">
        <f aca="false">'Design Calculations'!E173</f>
        <v>#N/A</v>
      </c>
      <c r="E119" s="5" t="e">
        <f aca="false">'Design Calculations'!F173</f>
        <v>#N/A</v>
      </c>
      <c r="F119" s="5" t="e">
        <f aca="false">'Design Calculations'!G173</f>
        <v>#N/A</v>
      </c>
      <c r="G119" s="5" t="n">
        <f aca="false">'Design Calculations'!H173</f>
        <v>0.635000000000012</v>
      </c>
      <c r="H119" s="5" t="n">
        <f aca="false">'Design Calculations'!I173</f>
        <v>16.5100000000003</v>
      </c>
      <c r="I119" s="5" t="n">
        <f aca="false">'Design Calculations'!J173</f>
        <v>0.636022309107647</v>
      </c>
      <c r="J119" s="91" t="n">
        <f aca="false">'Design Calculations'!K173</f>
        <v>6.36022309107647</v>
      </c>
      <c r="K119" s="91" t="n">
        <f aca="false">'Design Calculations'!L173</f>
        <v>6.36022309107647</v>
      </c>
      <c r="L119" s="5"/>
      <c r="M119" s="5" t="e">
        <f aca="false">0.000001*('Design Worksheet'!B$88)*(B120-B119)/(0.5*(E119+E120))+M118</f>
        <v>#N/A</v>
      </c>
      <c r="N119" s="5" t="n">
        <f aca="false">B119</f>
        <v>13.91</v>
      </c>
    </row>
    <row r="120" customFormat="false" ht="12.8" hidden="false" customHeight="false" outlineLevel="0" collapsed="false">
      <c r="A120" s="5" t="n">
        <f aca="false">'Design Calculations'!B172</f>
        <v>0.54</v>
      </c>
      <c r="B120" s="5" t="n">
        <f aca="false">'Design Calculations'!C172</f>
        <v>14.04</v>
      </c>
      <c r="C120" s="5" t="e">
        <f aca="false">'Design Calculations'!D172</f>
        <v>#N/A</v>
      </c>
      <c r="D120" s="5" t="e">
        <f aca="false">'Design Calculations'!E172</f>
        <v>#N/A</v>
      </c>
      <c r="E120" s="5" t="e">
        <f aca="false">'Design Calculations'!F172</f>
        <v>#N/A</v>
      </c>
      <c r="F120" s="5" t="e">
        <f aca="false">'Design Calculations'!G172</f>
        <v>#N/A</v>
      </c>
      <c r="G120" s="5" t="n">
        <f aca="false">'Design Calculations'!H172</f>
        <v>0.640000000000012</v>
      </c>
      <c r="H120" s="5" t="n">
        <f aca="false">'Design Calculations'!I172</f>
        <v>16.6400000000003</v>
      </c>
      <c r="I120" s="5" t="n">
        <f aca="false">'Design Calculations'!J172</f>
        <v>0.64103035878566</v>
      </c>
      <c r="J120" s="91" t="n">
        <f aca="false">'Design Calculations'!K172</f>
        <v>6.4103035878566</v>
      </c>
      <c r="K120" s="91" t="n">
        <f aca="false">'Design Calculations'!L172</f>
        <v>6.4103035878566</v>
      </c>
      <c r="L120" s="5"/>
      <c r="M120" s="5" t="e">
        <f aca="false">0.000001*('Design Worksheet'!B$88)*(B121-B120)/(0.5*(E120+E121))+M119</f>
        <v>#N/A</v>
      </c>
      <c r="N120" s="5" t="n">
        <f aca="false">B120</f>
        <v>14.04</v>
      </c>
    </row>
    <row r="121" customFormat="false" ht="12.8" hidden="false" customHeight="false" outlineLevel="0" collapsed="false">
      <c r="A121" s="5" t="n">
        <f aca="false">'Design Calculations'!B171</f>
        <v>0.545</v>
      </c>
      <c r="B121" s="5" t="n">
        <f aca="false">'Design Calculations'!C171</f>
        <v>14.17</v>
      </c>
      <c r="C121" s="5" t="e">
        <f aca="false">'Design Calculations'!D171</f>
        <v>#N/A</v>
      </c>
      <c r="D121" s="5" t="e">
        <f aca="false">'Design Calculations'!E171</f>
        <v>#N/A</v>
      </c>
      <c r="E121" s="5" t="e">
        <f aca="false">'Design Calculations'!F171</f>
        <v>#N/A</v>
      </c>
      <c r="F121" s="5" t="e">
        <f aca="false">'Design Calculations'!G171</f>
        <v>#N/A</v>
      </c>
      <c r="G121" s="5" t="n">
        <f aca="false">'Design Calculations'!H171</f>
        <v>0.645000000000012</v>
      </c>
      <c r="H121" s="5" t="n">
        <f aca="false">'Design Calculations'!I171</f>
        <v>16.7700000000003</v>
      </c>
      <c r="I121" s="5" t="n">
        <f aca="false">'Design Calculations'!J171</f>
        <v>0.646038408463673</v>
      </c>
      <c r="J121" s="91" t="n">
        <f aca="false">'Design Calculations'!K171</f>
        <v>6.46038408463673</v>
      </c>
      <c r="K121" s="91" t="n">
        <f aca="false">'Design Calculations'!L171</f>
        <v>6.46038408463673</v>
      </c>
      <c r="L121" s="5"/>
      <c r="M121" s="5" t="e">
        <f aca="false">0.000001*('Design Worksheet'!B$88)*(B122-B121)/(0.5*(E121+E122))+M120</f>
        <v>#N/A</v>
      </c>
      <c r="N121" s="5" t="n">
        <f aca="false">B121</f>
        <v>14.17</v>
      </c>
    </row>
    <row r="122" customFormat="false" ht="12.8" hidden="false" customHeight="false" outlineLevel="0" collapsed="false">
      <c r="A122" s="5" t="n">
        <f aca="false">'Design Calculations'!B170</f>
        <v>0.55</v>
      </c>
      <c r="B122" s="5" t="n">
        <f aca="false">'Design Calculations'!C170</f>
        <v>14.3</v>
      </c>
      <c r="C122" s="5" t="e">
        <f aca="false">'Design Calculations'!D170</f>
        <v>#N/A</v>
      </c>
      <c r="D122" s="5" t="e">
        <f aca="false">'Design Calculations'!E170</f>
        <v>#N/A</v>
      </c>
      <c r="E122" s="5" t="e">
        <f aca="false">'Design Calculations'!F170</f>
        <v>#N/A</v>
      </c>
      <c r="F122" s="5" t="e">
        <f aca="false">'Design Calculations'!G170</f>
        <v>#N/A</v>
      </c>
      <c r="G122" s="5" t="n">
        <f aca="false">'Design Calculations'!H170</f>
        <v>0.650000000000012</v>
      </c>
      <c r="H122" s="5" t="n">
        <f aca="false">'Design Calculations'!I170</f>
        <v>16.9000000000003</v>
      </c>
      <c r="I122" s="5" t="n">
        <f aca="false">'Design Calculations'!J170</f>
        <v>0.651046458141686</v>
      </c>
      <c r="J122" s="91" t="n">
        <f aca="false">'Design Calculations'!K170</f>
        <v>6.51046458141686</v>
      </c>
      <c r="K122" s="91" t="n">
        <f aca="false">'Design Calculations'!L170</f>
        <v>6.51046458141686</v>
      </c>
      <c r="L122" s="5"/>
      <c r="M122" s="5" t="e">
        <f aca="false">0.000001*('Design Worksheet'!B$88)*(B123-B122)/(0.5*(E122+E123))+M121</f>
        <v>#N/A</v>
      </c>
      <c r="N122" s="5" t="n">
        <f aca="false">B122</f>
        <v>14.3</v>
      </c>
    </row>
    <row r="123" customFormat="false" ht="12.8" hidden="false" customHeight="false" outlineLevel="0" collapsed="false">
      <c r="A123" s="5" t="n">
        <f aca="false">'Design Calculations'!B169</f>
        <v>0.555</v>
      </c>
      <c r="B123" s="5" t="n">
        <f aca="false">'Design Calculations'!C169</f>
        <v>14.43</v>
      </c>
      <c r="C123" s="5" t="e">
        <f aca="false">'Design Calculations'!D169</f>
        <v>#N/A</v>
      </c>
      <c r="D123" s="5" t="e">
        <f aca="false">'Design Calculations'!E169</f>
        <v>#N/A</v>
      </c>
      <c r="E123" s="5" t="e">
        <f aca="false">'Design Calculations'!F169</f>
        <v>#N/A</v>
      </c>
      <c r="F123" s="5" t="e">
        <f aca="false">'Design Calculations'!G169</f>
        <v>#N/A</v>
      </c>
      <c r="G123" s="5" t="n">
        <f aca="false">'Design Calculations'!H169</f>
        <v>0.655000000000012</v>
      </c>
      <c r="H123" s="5" t="n">
        <f aca="false">'Design Calculations'!I169</f>
        <v>17.0300000000003</v>
      </c>
      <c r="I123" s="5" t="n">
        <f aca="false">'Design Calculations'!J169</f>
        <v>0.656054507819699</v>
      </c>
      <c r="J123" s="91" t="n">
        <f aca="false">'Design Calculations'!K169</f>
        <v>6.56054507819699</v>
      </c>
      <c r="K123" s="91" t="n">
        <f aca="false">'Design Calculations'!L169</f>
        <v>6.56054507819699</v>
      </c>
      <c r="L123" s="5"/>
      <c r="M123" s="5" t="e">
        <f aca="false">0.000001*('Design Worksheet'!B$88)*(B124-B123)/(0.5*(E123+E124))+M122</f>
        <v>#N/A</v>
      </c>
      <c r="N123" s="5" t="n">
        <f aca="false">B123</f>
        <v>14.43</v>
      </c>
    </row>
    <row r="124" customFormat="false" ht="12.8" hidden="false" customHeight="false" outlineLevel="0" collapsed="false">
      <c r="A124" s="5" t="n">
        <f aca="false">'Design Calculations'!B168</f>
        <v>0.56</v>
      </c>
      <c r="B124" s="5" t="n">
        <f aca="false">'Design Calculations'!C168</f>
        <v>14.56</v>
      </c>
      <c r="C124" s="5" t="e">
        <f aca="false">'Design Calculations'!D168</f>
        <v>#N/A</v>
      </c>
      <c r="D124" s="5" t="e">
        <f aca="false">'Design Calculations'!E168</f>
        <v>#N/A</v>
      </c>
      <c r="E124" s="5" t="e">
        <f aca="false">'Design Calculations'!F168</f>
        <v>#N/A</v>
      </c>
      <c r="F124" s="5" t="e">
        <f aca="false">'Design Calculations'!G168</f>
        <v>#N/A</v>
      </c>
      <c r="G124" s="5" t="n">
        <f aca="false">'Design Calculations'!H168</f>
        <v>0.660000000000012</v>
      </c>
      <c r="H124" s="5" t="n">
        <f aca="false">'Design Calculations'!I168</f>
        <v>17.1600000000003</v>
      </c>
      <c r="I124" s="5" t="n">
        <f aca="false">'Design Calculations'!J168</f>
        <v>0.661062557497712</v>
      </c>
      <c r="J124" s="91" t="n">
        <f aca="false">'Design Calculations'!K168</f>
        <v>6.61062557497712</v>
      </c>
      <c r="K124" s="91" t="n">
        <f aca="false">'Design Calculations'!L168</f>
        <v>6.61062557497712</v>
      </c>
      <c r="L124" s="5"/>
      <c r="M124" s="5" t="e">
        <f aca="false">0.000001*('Design Worksheet'!B$88)*(B125-B124)/(0.5*(E124+E125))+M123</f>
        <v>#N/A</v>
      </c>
      <c r="N124" s="5" t="n">
        <f aca="false">B124</f>
        <v>14.56</v>
      </c>
    </row>
    <row r="125" customFormat="false" ht="12.8" hidden="false" customHeight="false" outlineLevel="0" collapsed="false">
      <c r="A125" s="5" t="n">
        <f aca="false">'Design Calculations'!B167</f>
        <v>0.565</v>
      </c>
      <c r="B125" s="5" t="n">
        <f aca="false">'Design Calculations'!C167</f>
        <v>14.69</v>
      </c>
      <c r="C125" s="5" t="e">
        <f aca="false">'Design Calculations'!D167</f>
        <v>#N/A</v>
      </c>
      <c r="D125" s="5" t="e">
        <f aca="false">'Design Calculations'!E167</f>
        <v>#N/A</v>
      </c>
      <c r="E125" s="5" t="e">
        <f aca="false">'Design Calculations'!F167</f>
        <v>#N/A</v>
      </c>
      <c r="F125" s="5" t="e">
        <f aca="false">'Design Calculations'!G167</f>
        <v>#N/A</v>
      </c>
      <c r="G125" s="5" t="n">
        <f aca="false">'Design Calculations'!H167</f>
        <v>0.665000000000011</v>
      </c>
      <c r="H125" s="5" t="n">
        <f aca="false">'Design Calculations'!I167</f>
        <v>17.2900000000003</v>
      </c>
      <c r="I125" s="5" t="n">
        <f aca="false">'Design Calculations'!J167</f>
        <v>0.666070607175725</v>
      </c>
      <c r="J125" s="91" t="n">
        <f aca="false">'Design Calculations'!K167</f>
        <v>6.66070607175725</v>
      </c>
      <c r="K125" s="91" t="n">
        <f aca="false">'Design Calculations'!L167</f>
        <v>6.66070607175725</v>
      </c>
      <c r="L125" s="5"/>
      <c r="M125" s="5" t="e">
        <f aca="false">0.000001*('Design Worksheet'!B$88)*(B126-B125)/(0.5*(E125+E126))+M124</f>
        <v>#N/A</v>
      </c>
      <c r="N125" s="5" t="n">
        <f aca="false">B125</f>
        <v>14.69</v>
      </c>
    </row>
    <row r="126" customFormat="false" ht="12.8" hidden="false" customHeight="false" outlineLevel="0" collapsed="false">
      <c r="A126" s="5" t="n">
        <f aca="false">'Design Calculations'!B166</f>
        <v>0.57</v>
      </c>
      <c r="B126" s="5" t="n">
        <f aca="false">'Design Calculations'!C166</f>
        <v>14.82</v>
      </c>
      <c r="C126" s="5" t="e">
        <f aca="false">'Design Calculations'!D166</f>
        <v>#N/A</v>
      </c>
      <c r="D126" s="5" t="e">
        <f aca="false">'Design Calculations'!E166</f>
        <v>#N/A</v>
      </c>
      <c r="E126" s="5" t="e">
        <f aca="false">'Design Calculations'!F166</f>
        <v>#N/A</v>
      </c>
      <c r="F126" s="5" t="e">
        <f aca="false">'Design Calculations'!G166</f>
        <v>#N/A</v>
      </c>
      <c r="G126" s="5" t="n">
        <f aca="false">'Design Calculations'!H166</f>
        <v>0.670000000000011</v>
      </c>
      <c r="H126" s="5" t="n">
        <f aca="false">'Design Calculations'!I166</f>
        <v>17.4200000000003</v>
      </c>
      <c r="I126" s="5" t="n">
        <f aca="false">'Design Calculations'!J166</f>
        <v>0.671078656853737</v>
      </c>
      <c r="J126" s="91" t="n">
        <f aca="false">'Design Calculations'!K166</f>
        <v>6.71078656853737</v>
      </c>
      <c r="K126" s="91" t="n">
        <f aca="false">'Design Calculations'!L166</f>
        <v>6.71078656853737</v>
      </c>
      <c r="L126" s="5"/>
      <c r="M126" s="5" t="e">
        <f aca="false">0.000001*('Design Worksheet'!B$88)*(B127-B126)/(0.5*(E126+E127))+M125</f>
        <v>#N/A</v>
      </c>
      <c r="N126" s="5" t="n">
        <f aca="false">B126</f>
        <v>14.82</v>
      </c>
    </row>
    <row r="127" customFormat="false" ht="12.8" hidden="false" customHeight="false" outlineLevel="0" collapsed="false">
      <c r="A127" s="5" t="n">
        <f aca="false">'Design Calculations'!B165</f>
        <v>0.575</v>
      </c>
      <c r="B127" s="5" t="n">
        <f aca="false">'Design Calculations'!C165</f>
        <v>14.95</v>
      </c>
      <c r="C127" s="5" t="e">
        <f aca="false">'Design Calculations'!D165</f>
        <v>#N/A</v>
      </c>
      <c r="D127" s="5" t="e">
        <f aca="false">'Design Calculations'!E165</f>
        <v>#N/A</v>
      </c>
      <c r="E127" s="5" t="e">
        <f aca="false">'Design Calculations'!F165</f>
        <v>#N/A</v>
      </c>
      <c r="F127" s="5" t="e">
        <f aca="false">'Design Calculations'!G165</f>
        <v>#N/A</v>
      </c>
      <c r="G127" s="5" t="n">
        <f aca="false">'Design Calculations'!H165</f>
        <v>0.675000000000011</v>
      </c>
      <c r="H127" s="5" t="n">
        <f aca="false">'Design Calculations'!I165</f>
        <v>17.5500000000003</v>
      </c>
      <c r="I127" s="5" t="n">
        <f aca="false">'Design Calculations'!J165</f>
        <v>0.67608670653175</v>
      </c>
      <c r="J127" s="91" t="n">
        <f aca="false">'Design Calculations'!K165</f>
        <v>6.7608670653175</v>
      </c>
      <c r="K127" s="91" t="n">
        <f aca="false">'Design Calculations'!L165</f>
        <v>6.7608670653175</v>
      </c>
      <c r="L127" s="5"/>
      <c r="M127" s="5" t="e">
        <f aca="false">0.000001*('Design Worksheet'!B$88)*(B128-B127)/(0.5*(E127+E128))+M126</f>
        <v>#N/A</v>
      </c>
      <c r="N127" s="5" t="n">
        <f aca="false">B127</f>
        <v>14.95</v>
      </c>
    </row>
    <row r="128" customFormat="false" ht="12.8" hidden="false" customHeight="false" outlineLevel="0" collapsed="false">
      <c r="A128" s="5" t="n">
        <f aca="false">'Design Calculations'!B164</f>
        <v>0.58</v>
      </c>
      <c r="B128" s="5" t="n">
        <f aca="false">'Design Calculations'!C164</f>
        <v>15.08</v>
      </c>
      <c r="C128" s="5" t="e">
        <f aca="false">'Design Calculations'!D164</f>
        <v>#N/A</v>
      </c>
      <c r="D128" s="5" t="e">
        <f aca="false">'Design Calculations'!E164</f>
        <v>#N/A</v>
      </c>
      <c r="E128" s="5" t="e">
        <f aca="false">'Design Calculations'!F164</f>
        <v>#N/A</v>
      </c>
      <c r="F128" s="5" t="e">
        <f aca="false">'Design Calculations'!G164</f>
        <v>#N/A</v>
      </c>
      <c r="G128" s="5" t="n">
        <f aca="false">'Design Calculations'!H164</f>
        <v>0.680000000000011</v>
      </c>
      <c r="H128" s="5" t="n">
        <f aca="false">'Design Calculations'!I164</f>
        <v>17.6800000000003</v>
      </c>
      <c r="I128" s="5" t="n">
        <f aca="false">'Design Calculations'!J164</f>
        <v>0.681094756209763</v>
      </c>
      <c r="J128" s="91" t="n">
        <f aca="false">'Design Calculations'!K164</f>
        <v>6.81094756209763</v>
      </c>
      <c r="K128" s="91" t="n">
        <f aca="false">'Design Calculations'!L164</f>
        <v>6.81094756209763</v>
      </c>
      <c r="L128" s="5"/>
      <c r="M128" s="5" t="e">
        <f aca="false">0.000001*('Design Worksheet'!B$88)*(B129-B128)/(0.5*(E128+E129))+M127</f>
        <v>#N/A</v>
      </c>
      <c r="N128" s="5" t="n">
        <f aca="false">B128</f>
        <v>15.08</v>
      </c>
    </row>
    <row r="129" customFormat="false" ht="12.8" hidden="false" customHeight="false" outlineLevel="0" collapsed="false">
      <c r="A129" s="5" t="n">
        <f aca="false">'Design Calculations'!B163</f>
        <v>0.585</v>
      </c>
      <c r="B129" s="5" t="n">
        <f aca="false">'Design Calculations'!C163</f>
        <v>15.21</v>
      </c>
      <c r="C129" s="5" t="e">
        <f aca="false">'Design Calculations'!D163</f>
        <v>#N/A</v>
      </c>
      <c r="D129" s="5" t="e">
        <f aca="false">'Design Calculations'!E163</f>
        <v>#N/A</v>
      </c>
      <c r="E129" s="5" t="e">
        <f aca="false">'Design Calculations'!F163</f>
        <v>#N/A</v>
      </c>
      <c r="F129" s="5" t="e">
        <f aca="false">'Design Calculations'!G163</f>
        <v>#N/A</v>
      </c>
      <c r="G129" s="5" t="n">
        <f aca="false">'Design Calculations'!H163</f>
        <v>0.685000000000011</v>
      </c>
      <c r="H129" s="5" t="n">
        <f aca="false">'Design Calculations'!I163</f>
        <v>17.8100000000003</v>
      </c>
      <c r="I129" s="5" t="n">
        <f aca="false">'Design Calculations'!J163</f>
        <v>0.686102805887776</v>
      </c>
      <c r="J129" s="91" t="n">
        <f aca="false">'Design Calculations'!K163</f>
        <v>6.86102805887776</v>
      </c>
      <c r="K129" s="91" t="n">
        <f aca="false">'Design Calculations'!L163</f>
        <v>6.86102805887776</v>
      </c>
      <c r="L129" s="5"/>
      <c r="M129" s="5" t="e">
        <f aca="false">0.000001*('Design Worksheet'!B$88)*(B130-B129)/(0.5*(E129+E130))+M128</f>
        <v>#N/A</v>
      </c>
      <c r="N129" s="5" t="n">
        <f aca="false">B129</f>
        <v>15.21</v>
      </c>
    </row>
    <row r="130" customFormat="false" ht="12.8" hidden="false" customHeight="false" outlineLevel="0" collapsed="false">
      <c r="A130" s="5" t="n">
        <f aca="false">'Design Calculations'!B162</f>
        <v>0.59</v>
      </c>
      <c r="B130" s="5" t="n">
        <f aca="false">'Design Calculations'!C162</f>
        <v>15.34</v>
      </c>
      <c r="C130" s="5" t="e">
        <f aca="false">'Design Calculations'!D162</f>
        <v>#N/A</v>
      </c>
      <c r="D130" s="5" t="e">
        <f aca="false">'Design Calculations'!E162</f>
        <v>#N/A</v>
      </c>
      <c r="E130" s="5" t="e">
        <f aca="false">'Design Calculations'!F162</f>
        <v>#N/A</v>
      </c>
      <c r="F130" s="5" t="e">
        <f aca="false">'Design Calculations'!G162</f>
        <v>#N/A</v>
      </c>
      <c r="G130" s="5" t="n">
        <f aca="false">'Design Calculations'!H162</f>
        <v>0.690000000000011</v>
      </c>
      <c r="H130" s="5" t="n">
        <f aca="false">'Design Calculations'!I162</f>
        <v>17.9400000000003</v>
      </c>
      <c r="I130" s="5" t="n">
        <f aca="false">'Design Calculations'!J162</f>
        <v>0.691110855565789</v>
      </c>
      <c r="J130" s="91" t="n">
        <f aca="false">'Design Calculations'!K162</f>
        <v>6.91110855565789</v>
      </c>
      <c r="K130" s="91" t="n">
        <f aca="false">'Design Calculations'!L162</f>
        <v>6.91110855565789</v>
      </c>
      <c r="L130" s="5"/>
      <c r="M130" s="5" t="e">
        <f aca="false">0.000001*('Design Worksheet'!B$88)*(B131-B130)/(0.5*(E130+E131))+M129</f>
        <v>#N/A</v>
      </c>
      <c r="N130" s="5" t="n">
        <f aca="false">B130</f>
        <v>15.34</v>
      </c>
    </row>
    <row r="131" customFormat="false" ht="12.8" hidden="false" customHeight="false" outlineLevel="0" collapsed="false">
      <c r="A131" s="5" t="n">
        <f aca="false">'Design Calculations'!B161</f>
        <v>0.595</v>
      </c>
      <c r="B131" s="5" t="n">
        <f aca="false">'Design Calculations'!C161</f>
        <v>15.47</v>
      </c>
      <c r="C131" s="5" t="e">
        <f aca="false">'Design Calculations'!D161</f>
        <v>#N/A</v>
      </c>
      <c r="D131" s="5" t="e">
        <f aca="false">'Design Calculations'!E161</f>
        <v>#N/A</v>
      </c>
      <c r="E131" s="5" t="e">
        <f aca="false">'Design Calculations'!F161</f>
        <v>#N/A</v>
      </c>
      <c r="F131" s="5" t="e">
        <f aca="false">'Design Calculations'!G161</f>
        <v>#N/A</v>
      </c>
      <c r="G131" s="5" t="n">
        <f aca="false">'Design Calculations'!H161</f>
        <v>0.695000000000011</v>
      </c>
      <c r="H131" s="5" t="n">
        <f aca="false">'Design Calculations'!I161</f>
        <v>18.0700000000003</v>
      </c>
      <c r="I131" s="5" t="n">
        <f aca="false">'Design Calculations'!J161</f>
        <v>0.696118905243802</v>
      </c>
      <c r="J131" s="91" t="n">
        <f aca="false">'Design Calculations'!K161</f>
        <v>6.96118905243802</v>
      </c>
      <c r="K131" s="91" t="n">
        <f aca="false">'Design Calculations'!L161</f>
        <v>6.96118905243802</v>
      </c>
      <c r="L131" s="5"/>
      <c r="M131" s="5" t="e">
        <f aca="false">0.000001*('Design Worksheet'!B$88)*(B132-B131)/(0.5*(E131+E132))+M130</f>
        <v>#N/A</v>
      </c>
      <c r="N131" s="5" t="n">
        <f aca="false">B131</f>
        <v>15.47</v>
      </c>
    </row>
    <row r="132" customFormat="false" ht="12.8" hidden="false" customHeight="false" outlineLevel="0" collapsed="false">
      <c r="A132" s="5" t="n">
        <f aca="false">'Design Calculations'!B160</f>
        <v>0.6</v>
      </c>
      <c r="B132" s="5" t="n">
        <f aca="false">'Design Calculations'!C160</f>
        <v>15.6</v>
      </c>
      <c r="C132" s="5" t="e">
        <f aca="false">'Design Calculations'!D160</f>
        <v>#N/A</v>
      </c>
      <c r="D132" s="5" t="e">
        <f aca="false">'Design Calculations'!E160</f>
        <v>#N/A</v>
      </c>
      <c r="E132" s="5" t="e">
        <f aca="false">'Design Calculations'!F160</f>
        <v>#N/A</v>
      </c>
      <c r="F132" s="5" t="e">
        <f aca="false">'Design Calculations'!G160</f>
        <v>#N/A</v>
      </c>
      <c r="G132" s="5" t="n">
        <f aca="false">'Design Calculations'!H160</f>
        <v>0.700000000000011</v>
      </c>
      <c r="H132" s="5" t="n">
        <f aca="false">'Design Calculations'!I160</f>
        <v>18.2000000000003</v>
      </c>
      <c r="I132" s="5" t="n">
        <f aca="false">'Design Calculations'!J160</f>
        <v>0.701126954921815</v>
      </c>
      <c r="J132" s="91" t="n">
        <f aca="false">'Design Calculations'!K160</f>
        <v>7.01126954921815</v>
      </c>
      <c r="K132" s="91" t="n">
        <f aca="false">'Design Calculations'!L160</f>
        <v>7.01126954921815</v>
      </c>
      <c r="L132" s="5"/>
      <c r="M132" s="5" t="e">
        <f aca="false">0.000001*('Design Worksheet'!B$88)*(B133-B132)/(0.5*(E132+E133))+M131</f>
        <v>#N/A</v>
      </c>
      <c r="N132" s="5" t="n">
        <f aca="false">B132</f>
        <v>15.6</v>
      </c>
    </row>
    <row r="133" customFormat="false" ht="12.8" hidden="false" customHeight="false" outlineLevel="0" collapsed="false">
      <c r="A133" s="5" t="n">
        <f aca="false">'Design Calculations'!B159</f>
        <v>0.605</v>
      </c>
      <c r="B133" s="5" t="n">
        <f aca="false">'Design Calculations'!C159</f>
        <v>15.73</v>
      </c>
      <c r="C133" s="5" t="e">
        <f aca="false">'Design Calculations'!D159</f>
        <v>#N/A</v>
      </c>
      <c r="D133" s="5" t="e">
        <f aca="false">'Design Calculations'!E159</f>
        <v>#N/A</v>
      </c>
      <c r="E133" s="5" t="e">
        <f aca="false">'Design Calculations'!F159</f>
        <v>#N/A</v>
      </c>
      <c r="F133" s="5" t="e">
        <f aca="false">'Design Calculations'!G159</f>
        <v>#N/A</v>
      </c>
      <c r="G133" s="5" t="n">
        <f aca="false">'Design Calculations'!H159</f>
        <v>0.705000000000011</v>
      </c>
      <c r="H133" s="5" t="n">
        <f aca="false">'Design Calculations'!I159</f>
        <v>18.3300000000003</v>
      </c>
      <c r="I133" s="5" t="n">
        <f aca="false">'Design Calculations'!J159</f>
        <v>0.706135004599828</v>
      </c>
      <c r="J133" s="91" t="n">
        <f aca="false">'Design Calculations'!K159</f>
        <v>7.06135004599828</v>
      </c>
      <c r="K133" s="91" t="n">
        <f aca="false">'Design Calculations'!L159</f>
        <v>7.06135004599828</v>
      </c>
      <c r="L133" s="5"/>
      <c r="M133" s="5" t="e">
        <f aca="false">0.000001*('Design Worksheet'!B$88)*(B134-B133)/(0.5*(E133+E134))+M132</f>
        <v>#N/A</v>
      </c>
      <c r="N133" s="5" t="n">
        <f aca="false">B133</f>
        <v>15.73</v>
      </c>
    </row>
    <row r="134" customFormat="false" ht="12.8" hidden="false" customHeight="false" outlineLevel="0" collapsed="false">
      <c r="A134" s="5" t="n">
        <f aca="false">'Design Calculations'!B158</f>
        <v>0.61</v>
      </c>
      <c r="B134" s="5" t="n">
        <f aca="false">'Design Calculations'!C158</f>
        <v>15.86</v>
      </c>
      <c r="C134" s="5" t="e">
        <f aca="false">'Design Calculations'!D158</f>
        <v>#N/A</v>
      </c>
      <c r="D134" s="5" t="e">
        <f aca="false">'Design Calculations'!E158</f>
        <v>#N/A</v>
      </c>
      <c r="E134" s="5" t="e">
        <f aca="false">'Design Calculations'!F158</f>
        <v>#N/A</v>
      </c>
      <c r="F134" s="5" t="e">
        <f aca="false">'Design Calculations'!G158</f>
        <v>#N/A</v>
      </c>
      <c r="G134" s="5" t="n">
        <f aca="false">'Design Calculations'!H158</f>
        <v>0.71000000000001</v>
      </c>
      <c r="H134" s="5" t="n">
        <f aca="false">'Design Calculations'!I158</f>
        <v>18.4600000000003</v>
      </c>
      <c r="I134" s="5" t="n">
        <f aca="false">'Design Calculations'!J158</f>
        <v>0.71114305427784</v>
      </c>
      <c r="J134" s="91" t="n">
        <f aca="false">'Design Calculations'!K158</f>
        <v>7.1114305427784</v>
      </c>
      <c r="K134" s="91" t="n">
        <f aca="false">'Design Calculations'!L158</f>
        <v>7.1114305427784</v>
      </c>
      <c r="L134" s="5"/>
      <c r="M134" s="5" t="e">
        <f aca="false">0.000001*('Design Worksheet'!B$88)*(B135-B134)/(0.5*(E134+E135))+M133</f>
        <v>#N/A</v>
      </c>
      <c r="N134" s="5" t="n">
        <f aca="false">B134</f>
        <v>15.86</v>
      </c>
    </row>
    <row r="135" customFormat="false" ht="12.8" hidden="false" customHeight="false" outlineLevel="0" collapsed="false">
      <c r="A135" s="5" t="n">
        <f aca="false">'Design Calculations'!B157</f>
        <v>0.615</v>
      </c>
      <c r="B135" s="5" t="n">
        <f aca="false">'Design Calculations'!C157</f>
        <v>15.99</v>
      </c>
      <c r="C135" s="5" t="e">
        <f aca="false">'Design Calculations'!D157</f>
        <v>#N/A</v>
      </c>
      <c r="D135" s="5" t="e">
        <f aca="false">'Design Calculations'!E157</f>
        <v>#N/A</v>
      </c>
      <c r="E135" s="5" t="e">
        <f aca="false">'Design Calculations'!F157</f>
        <v>#N/A</v>
      </c>
      <c r="F135" s="5" t="e">
        <f aca="false">'Design Calculations'!G157</f>
        <v>#N/A</v>
      </c>
      <c r="G135" s="5" t="n">
        <f aca="false">'Design Calculations'!H157</f>
        <v>0.71500000000001</v>
      </c>
      <c r="H135" s="5" t="n">
        <f aca="false">'Design Calculations'!I157</f>
        <v>18.5900000000003</v>
      </c>
      <c r="I135" s="5" t="n">
        <f aca="false">'Design Calculations'!J157</f>
        <v>0.716151103955853</v>
      </c>
      <c r="J135" s="91" t="n">
        <f aca="false">'Design Calculations'!K157</f>
        <v>7.16151103955853</v>
      </c>
      <c r="K135" s="91" t="n">
        <f aca="false">'Design Calculations'!L157</f>
        <v>7.16151103955853</v>
      </c>
      <c r="L135" s="5"/>
      <c r="M135" s="5" t="e">
        <f aca="false">0.000001*('Design Worksheet'!B$88)*(B136-B135)/(0.5*(E135+E136))+M134</f>
        <v>#N/A</v>
      </c>
      <c r="N135" s="5" t="n">
        <f aca="false">B135</f>
        <v>15.99</v>
      </c>
    </row>
    <row r="136" customFormat="false" ht="12.8" hidden="false" customHeight="false" outlineLevel="0" collapsed="false">
      <c r="A136" s="5" t="n">
        <f aca="false">'Design Calculations'!B156</f>
        <v>0.62</v>
      </c>
      <c r="B136" s="5" t="n">
        <f aca="false">'Design Calculations'!C156</f>
        <v>16.12</v>
      </c>
      <c r="C136" s="5" t="e">
        <f aca="false">'Design Calculations'!D156</f>
        <v>#N/A</v>
      </c>
      <c r="D136" s="5" t="e">
        <f aca="false">'Design Calculations'!E156</f>
        <v>#N/A</v>
      </c>
      <c r="E136" s="5" t="e">
        <f aca="false">'Design Calculations'!F156</f>
        <v>#N/A</v>
      </c>
      <c r="F136" s="5" t="e">
        <f aca="false">'Design Calculations'!G156</f>
        <v>#N/A</v>
      </c>
      <c r="G136" s="5" t="n">
        <f aca="false">'Design Calculations'!H156</f>
        <v>0.72000000000001</v>
      </c>
      <c r="H136" s="5" t="n">
        <f aca="false">'Design Calculations'!I156</f>
        <v>18.7200000000003</v>
      </c>
      <c r="I136" s="5" t="n">
        <f aca="false">'Design Calculations'!J156</f>
        <v>0.721159153633866</v>
      </c>
      <c r="J136" s="91" t="n">
        <f aca="false">'Design Calculations'!K156</f>
        <v>7.21159153633866</v>
      </c>
      <c r="K136" s="91" t="n">
        <f aca="false">'Design Calculations'!L156</f>
        <v>7.21159153633866</v>
      </c>
      <c r="L136" s="5"/>
      <c r="M136" s="5" t="e">
        <f aca="false">0.000001*('Design Worksheet'!B$88)*(B137-B136)/(0.5*(E136+E137))+M135</f>
        <v>#N/A</v>
      </c>
      <c r="N136" s="5" t="n">
        <f aca="false">B136</f>
        <v>16.12</v>
      </c>
    </row>
    <row r="137" customFormat="false" ht="12.8" hidden="false" customHeight="false" outlineLevel="0" collapsed="false">
      <c r="A137" s="5" t="n">
        <f aca="false">'Design Calculations'!B155</f>
        <v>0.625</v>
      </c>
      <c r="B137" s="5" t="n">
        <f aca="false">'Design Calculations'!C155</f>
        <v>16.25</v>
      </c>
      <c r="C137" s="5" t="e">
        <f aca="false">'Design Calculations'!D155</f>
        <v>#N/A</v>
      </c>
      <c r="D137" s="5" t="e">
        <f aca="false">'Design Calculations'!E155</f>
        <v>#N/A</v>
      </c>
      <c r="E137" s="5" t="e">
        <f aca="false">'Design Calculations'!F155</f>
        <v>#N/A</v>
      </c>
      <c r="F137" s="5" t="e">
        <f aca="false">'Design Calculations'!G155</f>
        <v>#N/A</v>
      </c>
      <c r="G137" s="5" t="n">
        <f aca="false">'Design Calculations'!H155</f>
        <v>0.72500000000001</v>
      </c>
      <c r="H137" s="5" t="n">
        <f aca="false">'Design Calculations'!I155</f>
        <v>18.8500000000003</v>
      </c>
      <c r="I137" s="5" t="n">
        <f aca="false">'Design Calculations'!J155</f>
        <v>0.726167203311879</v>
      </c>
      <c r="J137" s="91" t="n">
        <f aca="false">'Design Calculations'!K155</f>
        <v>7.26167203311879</v>
      </c>
      <c r="K137" s="91" t="n">
        <f aca="false">'Design Calculations'!L155</f>
        <v>7.26167203311879</v>
      </c>
      <c r="L137" s="5"/>
      <c r="M137" s="5" t="e">
        <f aca="false">0.000001*('Design Worksheet'!B$88)*(B138-B137)/(0.5*(E137+E138))+M136</f>
        <v>#N/A</v>
      </c>
      <c r="N137" s="5" t="n">
        <f aca="false">B137</f>
        <v>16.25</v>
      </c>
    </row>
    <row r="138" customFormat="false" ht="12.8" hidden="false" customHeight="false" outlineLevel="0" collapsed="false">
      <c r="A138" s="5" t="n">
        <f aca="false">'Design Calculations'!B154</f>
        <v>0.63</v>
      </c>
      <c r="B138" s="5" t="n">
        <f aca="false">'Design Calculations'!C154</f>
        <v>16.38</v>
      </c>
      <c r="C138" s="5" t="e">
        <f aca="false">'Design Calculations'!D154</f>
        <v>#N/A</v>
      </c>
      <c r="D138" s="5" t="e">
        <f aca="false">'Design Calculations'!E154</f>
        <v>#N/A</v>
      </c>
      <c r="E138" s="5" t="e">
        <f aca="false">'Design Calculations'!F154</f>
        <v>#N/A</v>
      </c>
      <c r="F138" s="5" t="e">
        <f aca="false">'Design Calculations'!G154</f>
        <v>#N/A</v>
      </c>
      <c r="G138" s="5" t="n">
        <f aca="false">'Design Calculations'!H154</f>
        <v>0.73000000000001</v>
      </c>
      <c r="H138" s="5" t="n">
        <f aca="false">'Design Calculations'!I154</f>
        <v>18.9800000000003</v>
      </c>
      <c r="I138" s="5" t="n">
        <f aca="false">'Design Calculations'!J154</f>
        <v>0.731175252989892</v>
      </c>
      <c r="J138" s="91" t="n">
        <f aca="false">'Design Calculations'!K154</f>
        <v>7.31175252989892</v>
      </c>
      <c r="K138" s="91" t="n">
        <f aca="false">'Design Calculations'!L154</f>
        <v>7.31175252989892</v>
      </c>
      <c r="L138" s="5"/>
      <c r="M138" s="5" t="e">
        <f aca="false">0.000001*('Design Worksheet'!B$88)*(B139-B138)/(0.5*(E138+E139))+M137</f>
        <v>#N/A</v>
      </c>
      <c r="N138" s="5" t="n">
        <f aca="false">B138</f>
        <v>16.38</v>
      </c>
    </row>
    <row r="139" customFormat="false" ht="12.8" hidden="false" customHeight="false" outlineLevel="0" collapsed="false">
      <c r="A139" s="5" t="n">
        <f aca="false">'Design Calculations'!B153</f>
        <v>0.635</v>
      </c>
      <c r="B139" s="5" t="n">
        <f aca="false">'Design Calculations'!C153</f>
        <v>16.51</v>
      </c>
      <c r="C139" s="5" t="e">
        <f aca="false">'Design Calculations'!D153</f>
        <v>#N/A</v>
      </c>
      <c r="D139" s="5" t="e">
        <f aca="false">'Design Calculations'!E153</f>
        <v>#N/A</v>
      </c>
      <c r="E139" s="5" t="e">
        <f aca="false">'Design Calculations'!F153</f>
        <v>#N/A</v>
      </c>
      <c r="F139" s="5" t="e">
        <f aca="false">'Design Calculations'!G153</f>
        <v>#N/A</v>
      </c>
      <c r="G139" s="5" t="n">
        <f aca="false">'Design Calculations'!H153</f>
        <v>0.73500000000001</v>
      </c>
      <c r="H139" s="5" t="n">
        <f aca="false">'Design Calculations'!I153</f>
        <v>19.1100000000003</v>
      </c>
      <c r="I139" s="5" t="n">
        <f aca="false">'Design Calculations'!J153</f>
        <v>0.736183302667905</v>
      </c>
      <c r="J139" s="91" t="n">
        <f aca="false">'Design Calculations'!K153</f>
        <v>7.36183302667905</v>
      </c>
      <c r="K139" s="91" t="n">
        <f aca="false">'Design Calculations'!L153</f>
        <v>7.36183302667905</v>
      </c>
      <c r="L139" s="5"/>
      <c r="M139" s="5" t="e">
        <f aca="false">0.000001*('Design Worksheet'!B$88)*(B140-B139)/(0.5*(E139+E140))+M138</f>
        <v>#N/A</v>
      </c>
      <c r="N139" s="5" t="n">
        <f aca="false">B139</f>
        <v>16.51</v>
      </c>
    </row>
    <row r="140" customFormat="false" ht="12.8" hidden="false" customHeight="false" outlineLevel="0" collapsed="false">
      <c r="A140" s="5" t="n">
        <f aca="false">'Design Calculations'!B152</f>
        <v>0.64</v>
      </c>
      <c r="B140" s="5" t="n">
        <f aca="false">'Design Calculations'!C152</f>
        <v>16.64</v>
      </c>
      <c r="C140" s="5" t="e">
        <f aca="false">'Design Calculations'!D152</f>
        <v>#N/A</v>
      </c>
      <c r="D140" s="5" t="e">
        <f aca="false">'Design Calculations'!E152</f>
        <v>#N/A</v>
      </c>
      <c r="E140" s="5" t="e">
        <f aca="false">'Design Calculations'!F152</f>
        <v>#N/A</v>
      </c>
      <c r="F140" s="5" t="e">
        <f aca="false">'Design Calculations'!G152</f>
        <v>#N/A</v>
      </c>
      <c r="G140" s="5" t="n">
        <f aca="false">'Design Calculations'!H152</f>
        <v>0.74000000000001</v>
      </c>
      <c r="H140" s="5" t="n">
        <f aca="false">'Design Calculations'!I152</f>
        <v>19.2400000000003</v>
      </c>
      <c r="I140" s="5" t="n">
        <f aca="false">'Design Calculations'!J152</f>
        <v>0.741191352345918</v>
      </c>
      <c r="J140" s="91" t="n">
        <f aca="false">'Design Calculations'!K152</f>
        <v>7.41191352345918</v>
      </c>
      <c r="K140" s="91" t="n">
        <f aca="false">'Design Calculations'!L152</f>
        <v>7.41191352345918</v>
      </c>
      <c r="L140" s="5"/>
      <c r="M140" s="5" t="e">
        <f aca="false">0.000001*('Design Worksheet'!B$88)*(B141-B140)/(0.5*(E140+E141))+M139</f>
        <v>#N/A</v>
      </c>
      <c r="N140" s="5" t="n">
        <f aca="false">B140</f>
        <v>16.64</v>
      </c>
    </row>
    <row r="141" customFormat="false" ht="12.8" hidden="false" customHeight="false" outlineLevel="0" collapsed="false">
      <c r="A141" s="5" t="n">
        <f aca="false">'Design Calculations'!B151</f>
        <v>0.645</v>
      </c>
      <c r="B141" s="5" t="n">
        <f aca="false">'Design Calculations'!C151</f>
        <v>16.77</v>
      </c>
      <c r="C141" s="5" t="e">
        <f aca="false">'Design Calculations'!D151</f>
        <v>#N/A</v>
      </c>
      <c r="D141" s="5" t="e">
        <f aca="false">'Design Calculations'!E151</f>
        <v>#N/A</v>
      </c>
      <c r="E141" s="5" t="e">
        <f aca="false">'Design Calculations'!F151</f>
        <v>#N/A</v>
      </c>
      <c r="F141" s="5" t="e">
        <f aca="false">'Design Calculations'!G151</f>
        <v>#N/A</v>
      </c>
      <c r="G141" s="5" t="n">
        <f aca="false">'Design Calculations'!H151</f>
        <v>0.74500000000001</v>
      </c>
      <c r="H141" s="5" t="n">
        <f aca="false">'Design Calculations'!I151</f>
        <v>19.3700000000003</v>
      </c>
      <c r="I141" s="5" t="n">
        <f aca="false">'Design Calculations'!J151</f>
        <v>0.746199402023931</v>
      </c>
      <c r="J141" s="91" t="n">
        <f aca="false">'Design Calculations'!K151</f>
        <v>7.46199402023931</v>
      </c>
      <c r="K141" s="91" t="n">
        <f aca="false">'Design Calculations'!L151</f>
        <v>7.46199402023931</v>
      </c>
      <c r="L141" s="5"/>
      <c r="M141" s="5" t="e">
        <f aca="false">0.000001*('Design Worksheet'!B$88)*(B142-B141)/(0.5*(E141+E142))+M140</f>
        <v>#N/A</v>
      </c>
      <c r="N141" s="5" t="n">
        <f aca="false">B141</f>
        <v>16.77</v>
      </c>
    </row>
    <row r="142" customFormat="false" ht="12.8" hidden="false" customHeight="false" outlineLevel="0" collapsed="false">
      <c r="A142" s="5" t="n">
        <f aca="false">'Design Calculations'!B150</f>
        <v>0.65</v>
      </c>
      <c r="B142" s="5" t="n">
        <f aca="false">'Design Calculations'!C150</f>
        <v>16.9</v>
      </c>
      <c r="C142" s="5" t="e">
        <f aca="false">'Design Calculations'!D150</f>
        <v>#N/A</v>
      </c>
      <c r="D142" s="5" t="e">
        <f aca="false">'Design Calculations'!E150</f>
        <v>#N/A</v>
      </c>
      <c r="E142" s="5" t="e">
        <f aca="false">'Design Calculations'!F150</f>
        <v>#N/A</v>
      </c>
      <c r="F142" s="5" t="e">
        <f aca="false">'Design Calculations'!G150</f>
        <v>#N/A</v>
      </c>
      <c r="G142" s="5" t="n">
        <f aca="false">'Design Calculations'!H150</f>
        <v>0.75000000000001</v>
      </c>
      <c r="H142" s="5" t="n">
        <f aca="false">'Design Calculations'!I150</f>
        <v>19.5000000000003</v>
      </c>
      <c r="I142" s="5" t="n">
        <f aca="false">'Design Calculations'!J150</f>
        <v>0.751207451701943</v>
      </c>
      <c r="J142" s="91" t="n">
        <f aca="false">'Design Calculations'!K150</f>
        <v>7.51207451701943</v>
      </c>
      <c r="K142" s="91" t="n">
        <f aca="false">'Design Calculations'!L150</f>
        <v>7.51207451701943</v>
      </c>
      <c r="L142" s="5"/>
      <c r="M142" s="5" t="e">
        <f aca="false">0.000001*('Design Worksheet'!B$88)*(B143-B142)/(0.5*(E142+E143))+M141</f>
        <v>#N/A</v>
      </c>
      <c r="N142" s="5" t="n">
        <f aca="false">B142</f>
        <v>16.9</v>
      </c>
    </row>
    <row r="143" customFormat="false" ht="12.8" hidden="false" customHeight="false" outlineLevel="0" collapsed="false">
      <c r="A143" s="5" t="n">
        <f aca="false">'Design Calculations'!B149</f>
        <v>0.655</v>
      </c>
      <c r="B143" s="5" t="n">
        <f aca="false">'Design Calculations'!C149</f>
        <v>17.03</v>
      </c>
      <c r="C143" s="5" t="e">
        <f aca="false">'Design Calculations'!D149</f>
        <v>#N/A</v>
      </c>
      <c r="D143" s="5" t="e">
        <f aca="false">'Design Calculations'!E149</f>
        <v>#N/A</v>
      </c>
      <c r="E143" s="5" t="e">
        <f aca="false">'Design Calculations'!F149</f>
        <v>#N/A</v>
      </c>
      <c r="F143" s="5" t="e">
        <f aca="false">'Design Calculations'!G149</f>
        <v>#N/A</v>
      </c>
      <c r="G143" s="5" t="n">
        <f aca="false">'Design Calculations'!H149</f>
        <v>0.755000000000009</v>
      </c>
      <c r="H143" s="5" t="n">
        <f aca="false">'Design Calculations'!I149</f>
        <v>19.6300000000002</v>
      </c>
      <c r="I143" s="5" t="n">
        <f aca="false">'Design Calculations'!J149</f>
        <v>0.756215501379953</v>
      </c>
      <c r="J143" s="91" t="n">
        <f aca="false">'Design Calculations'!K149</f>
        <v>7.56215501379953</v>
      </c>
      <c r="K143" s="91" t="n">
        <f aca="false">'Design Calculations'!L149</f>
        <v>7.56215501379953</v>
      </c>
      <c r="L143" s="5"/>
      <c r="M143" s="5" t="e">
        <f aca="false">0.000001*('Design Worksheet'!B$88)*(B144-B143)/(0.5*(E143+E144))+M142</f>
        <v>#N/A</v>
      </c>
      <c r="N143" s="5" t="n">
        <f aca="false">B143</f>
        <v>17.03</v>
      </c>
    </row>
    <row r="144" customFormat="false" ht="12.8" hidden="false" customHeight="false" outlineLevel="0" collapsed="false">
      <c r="A144" s="5" t="n">
        <f aca="false">'Design Calculations'!B148</f>
        <v>0.66</v>
      </c>
      <c r="B144" s="5" t="n">
        <f aca="false">'Design Calculations'!C148</f>
        <v>17.16</v>
      </c>
      <c r="C144" s="5" t="e">
        <f aca="false">'Design Calculations'!D148</f>
        <v>#N/A</v>
      </c>
      <c r="D144" s="5" t="e">
        <f aca="false">'Design Calculations'!E148</f>
        <v>#N/A</v>
      </c>
      <c r="E144" s="5" t="e">
        <f aca="false">'Design Calculations'!F148</f>
        <v>#N/A</v>
      </c>
      <c r="F144" s="5" t="e">
        <f aca="false">'Design Calculations'!G148</f>
        <v>#N/A</v>
      </c>
      <c r="G144" s="5" t="n">
        <f aca="false">'Design Calculations'!H148</f>
        <v>0.760000000000009</v>
      </c>
      <c r="H144" s="5" t="n">
        <f aca="false">'Design Calculations'!I148</f>
        <v>19.7600000000002</v>
      </c>
      <c r="I144" s="5" t="n">
        <f aca="false">'Design Calculations'!J148</f>
        <v>0.761223551057966</v>
      </c>
      <c r="J144" s="91" t="n">
        <f aca="false">'Design Calculations'!K148</f>
        <v>7.61223551057965</v>
      </c>
      <c r="K144" s="91" t="n">
        <f aca="false">'Design Calculations'!L148</f>
        <v>7.61223551057965</v>
      </c>
      <c r="L144" s="5"/>
      <c r="M144" s="5" t="e">
        <f aca="false">0.000001*('Design Worksheet'!B$88)*(B145-B144)/(0.5*(E144+E145))+M143</f>
        <v>#N/A</v>
      </c>
      <c r="N144" s="5" t="n">
        <f aca="false">B144</f>
        <v>17.16</v>
      </c>
    </row>
    <row r="145" customFormat="false" ht="12.8" hidden="false" customHeight="false" outlineLevel="0" collapsed="false">
      <c r="A145" s="5" t="n">
        <f aca="false">'Design Calculations'!B147</f>
        <v>0.665</v>
      </c>
      <c r="B145" s="5" t="n">
        <f aca="false">'Design Calculations'!C147</f>
        <v>17.29</v>
      </c>
      <c r="C145" s="5" t="e">
        <f aca="false">'Design Calculations'!D147</f>
        <v>#N/A</v>
      </c>
      <c r="D145" s="5" t="e">
        <f aca="false">'Design Calculations'!E147</f>
        <v>#N/A</v>
      </c>
      <c r="E145" s="5" t="e">
        <f aca="false">'Design Calculations'!F147</f>
        <v>#N/A</v>
      </c>
      <c r="F145" s="5" t="e">
        <f aca="false">'Design Calculations'!G147</f>
        <v>#N/A</v>
      </c>
      <c r="G145" s="5" t="n">
        <f aca="false">'Design Calculations'!H147</f>
        <v>0.765000000000009</v>
      </c>
      <c r="H145" s="5" t="n">
        <f aca="false">'Design Calculations'!I147</f>
        <v>19.8900000000002</v>
      </c>
      <c r="I145" s="5" t="n">
        <f aca="false">'Design Calculations'!J147</f>
        <v>0.766231600735978</v>
      </c>
      <c r="J145" s="91" t="n">
        <f aca="false">'Design Calculations'!K147</f>
        <v>7.66231600735978</v>
      </c>
      <c r="K145" s="91" t="n">
        <f aca="false">'Design Calculations'!L147</f>
        <v>7.66231600735978</v>
      </c>
      <c r="L145" s="5"/>
      <c r="M145" s="5" t="e">
        <f aca="false">0.000001*('Design Worksheet'!B$88)*(B146-B145)/(0.5*(E145+E146))+M144</f>
        <v>#N/A</v>
      </c>
      <c r="N145" s="5" t="n">
        <f aca="false">B145</f>
        <v>17.29</v>
      </c>
    </row>
    <row r="146" customFormat="false" ht="12.8" hidden="false" customHeight="false" outlineLevel="0" collapsed="false">
      <c r="A146" s="5" t="n">
        <f aca="false">'Design Calculations'!B146</f>
        <v>0.67</v>
      </c>
      <c r="B146" s="5" t="n">
        <f aca="false">'Design Calculations'!C146</f>
        <v>17.42</v>
      </c>
      <c r="C146" s="5" t="e">
        <f aca="false">'Design Calculations'!D146</f>
        <v>#N/A</v>
      </c>
      <c r="D146" s="5" t="e">
        <f aca="false">'Design Calculations'!E146</f>
        <v>#N/A</v>
      </c>
      <c r="E146" s="5" t="e">
        <f aca="false">'Design Calculations'!F146</f>
        <v>#N/A</v>
      </c>
      <c r="F146" s="5" t="e">
        <f aca="false">'Design Calculations'!G146</f>
        <v>#N/A</v>
      </c>
      <c r="G146" s="5" t="n">
        <f aca="false">'Design Calculations'!H146</f>
        <v>0.770000000000009</v>
      </c>
      <c r="H146" s="5" t="n">
        <f aca="false">'Design Calculations'!I146</f>
        <v>20.0200000000002</v>
      </c>
      <c r="I146" s="5" t="n">
        <f aca="false">'Design Calculations'!J146</f>
        <v>0.771239650413991</v>
      </c>
      <c r="J146" s="91" t="n">
        <f aca="false">'Design Calculations'!K146</f>
        <v>7.71239650413991</v>
      </c>
      <c r="K146" s="91" t="n">
        <f aca="false">'Design Calculations'!L146</f>
        <v>7.71239650413991</v>
      </c>
      <c r="L146" s="5"/>
      <c r="M146" s="5" t="e">
        <f aca="false">0.000001*('Design Worksheet'!B$88)*(B147-B146)/(0.5*(E146+E147))+M145</f>
        <v>#N/A</v>
      </c>
      <c r="N146" s="5" t="n">
        <f aca="false">B146</f>
        <v>17.42</v>
      </c>
    </row>
    <row r="147" customFormat="false" ht="12.8" hidden="false" customHeight="false" outlineLevel="0" collapsed="false">
      <c r="A147" s="5" t="n">
        <f aca="false">'Design Calculations'!B145</f>
        <v>0.675</v>
      </c>
      <c r="B147" s="5" t="n">
        <f aca="false">'Design Calculations'!C145</f>
        <v>17.55</v>
      </c>
      <c r="C147" s="5" t="e">
        <f aca="false">'Design Calculations'!D145</f>
        <v>#N/A</v>
      </c>
      <c r="D147" s="5" t="e">
        <f aca="false">'Design Calculations'!E145</f>
        <v>#N/A</v>
      </c>
      <c r="E147" s="5" t="e">
        <f aca="false">'Design Calculations'!F145</f>
        <v>#N/A</v>
      </c>
      <c r="F147" s="5" t="e">
        <f aca="false">'Design Calculations'!G145</f>
        <v>#N/A</v>
      </c>
      <c r="G147" s="5" t="n">
        <f aca="false">'Design Calculations'!H145</f>
        <v>0.775000000000009</v>
      </c>
      <c r="H147" s="5" t="n">
        <f aca="false">'Design Calculations'!I145</f>
        <v>20.1500000000002</v>
      </c>
      <c r="I147" s="5" t="n">
        <f aca="false">'Design Calculations'!J145</f>
        <v>0.776247700092004</v>
      </c>
      <c r="J147" s="91" t="n">
        <f aca="false">'Design Calculations'!K145</f>
        <v>7.76247700092004</v>
      </c>
      <c r="K147" s="91" t="n">
        <f aca="false">'Design Calculations'!L145</f>
        <v>7.76247700092004</v>
      </c>
      <c r="L147" s="5"/>
      <c r="M147" s="5" t="e">
        <f aca="false">0.000001*('Design Worksheet'!B$88)*(B148-B147)/(0.5*(E147+E148))+M146</f>
        <v>#N/A</v>
      </c>
      <c r="N147" s="5" t="n">
        <f aca="false">B147</f>
        <v>17.55</v>
      </c>
    </row>
    <row r="148" customFormat="false" ht="12.8" hidden="false" customHeight="false" outlineLevel="0" collapsed="false">
      <c r="A148" s="5" t="n">
        <f aca="false">'Design Calculations'!B144</f>
        <v>0.68</v>
      </c>
      <c r="B148" s="5" t="n">
        <f aca="false">'Design Calculations'!C144</f>
        <v>17.68</v>
      </c>
      <c r="C148" s="5" t="e">
        <f aca="false">'Design Calculations'!D144</f>
        <v>#N/A</v>
      </c>
      <c r="D148" s="5" t="e">
        <f aca="false">'Design Calculations'!E144</f>
        <v>#N/A</v>
      </c>
      <c r="E148" s="5" t="e">
        <f aca="false">'Design Calculations'!F144</f>
        <v>#N/A</v>
      </c>
      <c r="F148" s="5" t="e">
        <f aca="false">'Design Calculations'!G144</f>
        <v>#N/A</v>
      </c>
      <c r="G148" s="5" t="n">
        <f aca="false">'Design Calculations'!H144</f>
        <v>0.780000000000009</v>
      </c>
      <c r="H148" s="5" t="n">
        <f aca="false">'Design Calculations'!I144</f>
        <v>20.2800000000002</v>
      </c>
      <c r="I148" s="5" t="n">
        <f aca="false">'Design Calculations'!J144</f>
        <v>0.781255749770017</v>
      </c>
      <c r="J148" s="91" t="n">
        <f aca="false">'Design Calculations'!K144</f>
        <v>7.81255749770017</v>
      </c>
      <c r="K148" s="91" t="n">
        <f aca="false">'Design Calculations'!L144</f>
        <v>7.81255749770017</v>
      </c>
      <c r="L148" s="5"/>
      <c r="M148" s="5" t="e">
        <f aca="false">0.000001*('Design Worksheet'!B$88)*(B149-B148)/(0.5*(E148+E149))+M147</f>
        <v>#N/A</v>
      </c>
      <c r="N148" s="5" t="n">
        <f aca="false">B148</f>
        <v>17.68</v>
      </c>
    </row>
    <row r="149" customFormat="false" ht="12.8" hidden="false" customHeight="false" outlineLevel="0" collapsed="false">
      <c r="A149" s="5" t="n">
        <f aca="false">'Design Calculations'!B143</f>
        <v>0.685</v>
      </c>
      <c r="B149" s="5" t="n">
        <f aca="false">'Design Calculations'!C143</f>
        <v>17.81</v>
      </c>
      <c r="C149" s="5" t="e">
        <f aca="false">'Design Calculations'!D143</f>
        <v>#N/A</v>
      </c>
      <c r="D149" s="5" t="e">
        <f aca="false">'Design Calculations'!E143</f>
        <v>#N/A</v>
      </c>
      <c r="E149" s="5" t="e">
        <f aca="false">'Design Calculations'!F143</f>
        <v>#N/A</v>
      </c>
      <c r="F149" s="5" t="e">
        <f aca="false">'Design Calculations'!G143</f>
        <v>#N/A</v>
      </c>
      <c r="G149" s="5" t="n">
        <f aca="false">'Design Calculations'!H143</f>
        <v>0.785000000000009</v>
      </c>
      <c r="H149" s="5" t="n">
        <f aca="false">'Design Calculations'!I143</f>
        <v>20.4100000000002</v>
      </c>
      <c r="I149" s="5" t="n">
        <f aca="false">'Design Calculations'!J143</f>
        <v>0.78626379944803</v>
      </c>
      <c r="J149" s="91" t="n">
        <f aca="false">'Design Calculations'!K143</f>
        <v>7.8626379944803</v>
      </c>
      <c r="K149" s="91" t="n">
        <f aca="false">'Design Calculations'!L143</f>
        <v>7.8626379944803</v>
      </c>
      <c r="L149" s="5"/>
      <c r="M149" s="5" t="e">
        <f aca="false">0.000001*('Design Worksheet'!B$88)*(B150-B149)/(0.5*(E149+E150))+M148</f>
        <v>#N/A</v>
      </c>
      <c r="N149" s="5" t="n">
        <f aca="false">B149</f>
        <v>17.81</v>
      </c>
    </row>
    <row r="150" customFormat="false" ht="12.8" hidden="false" customHeight="false" outlineLevel="0" collapsed="false">
      <c r="A150" s="5" t="n">
        <f aca="false">'Design Calculations'!B142</f>
        <v>0.69</v>
      </c>
      <c r="B150" s="5" t="n">
        <f aca="false">'Design Calculations'!C142</f>
        <v>17.94</v>
      </c>
      <c r="C150" s="5" t="e">
        <f aca="false">'Design Calculations'!D142</f>
        <v>#N/A</v>
      </c>
      <c r="D150" s="5" t="e">
        <f aca="false">'Design Calculations'!E142</f>
        <v>#N/A</v>
      </c>
      <c r="E150" s="5" t="e">
        <f aca="false">'Design Calculations'!F142</f>
        <v>#N/A</v>
      </c>
      <c r="F150" s="5" t="e">
        <f aca="false">'Design Calculations'!G142</f>
        <v>#N/A</v>
      </c>
      <c r="G150" s="5" t="n">
        <f aca="false">'Design Calculations'!H142</f>
        <v>0.790000000000009</v>
      </c>
      <c r="H150" s="5" t="n">
        <f aca="false">'Design Calculations'!I142</f>
        <v>20.5400000000002</v>
      </c>
      <c r="I150" s="5" t="n">
        <f aca="false">'Design Calculations'!J142</f>
        <v>0.791271849126043</v>
      </c>
      <c r="J150" s="91" t="n">
        <f aca="false">'Design Calculations'!K142</f>
        <v>7.91271849126043</v>
      </c>
      <c r="K150" s="91" t="n">
        <f aca="false">'Design Calculations'!L142</f>
        <v>7.91271849126043</v>
      </c>
      <c r="L150" s="5"/>
      <c r="M150" s="5" t="e">
        <f aca="false">0.000001*('Design Worksheet'!B$88)*(B151-B150)/(0.5*(E150+E151))+M149</f>
        <v>#N/A</v>
      </c>
      <c r="N150" s="5" t="n">
        <f aca="false">B150</f>
        <v>17.94</v>
      </c>
    </row>
    <row r="151" customFormat="false" ht="12.8" hidden="false" customHeight="false" outlineLevel="0" collapsed="false">
      <c r="A151" s="5" t="n">
        <f aca="false">'Design Calculations'!B141</f>
        <v>0.695</v>
      </c>
      <c r="B151" s="5" t="n">
        <f aca="false">'Design Calculations'!C141</f>
        <v>18.07</v>
      </c>
      <c r="C151" s="5" t="e">
        <f aca="false">'Design Calculations'!D141</f>
        <v>#N/A</v>
      </c>
      <c r="D151" s="5" t="e">
        <f aca="false">'Design Calculations'!E141</f>
        <v>#N/A</v>
      </c>
      <c r="E151" s="5" t="e">
        <f aca="false">'Design Calculations'!F141</f>
        <v>#N/A</v>
      </c>
      <c r="F151" s="5" t="e">
        <f aca="false">'Design Calculations'!G141</f>
        <v>#N/A</v>
      </c>
      <c r="G151" s="5" t="n">
        <f aca="false">'Design Calculations'!H141</f>
        <v>0.795000000000009</v>
      </c>
      <c r="H151" s="5" t="n">
        <f aca="false">'Design Calculations'!I141</f>
        <v>20.6700000000002</v>
      </c>
      <c r="I151" s="5" t="n">
        <f aca="false">'Design Calculations'!J141</f>
        <v>0.796279898804056</v>
      </c>
      <c r="J151" s="91" t="n">
        <f aca="false">'Design Calculations'!K141</f>
        <v>7.96279898804056</v>
      </c>
      <c r="K151" s="91" t="n">
        <f aca="false">'Design Calculations'!L141</f>
        <v>7.96279898804056</v>
      </c>
      <c r="L151" s="5"/>
      <c r="M151" s="5" t="e">
        <f aca="false">0.000001*('Design Worksheet'!B$88)*(B152-B151)/(0.5*(E151+E152))+M150</f>
        <v>#N/A</v>
      </c>
      <c r="N151" s="5" t="n">
        <f aca="false">B151</f>
        <v>18.07</v>
      </c>
    </row>
    <row r="152" customFormat="false" ht="12.8" hidden="false" customHeight="false" outlineLevel="0" collapsed="false">
      <c r="A152" s="5" t="n">
        <f aca="false">'Design Calculations'!B140</f>
        <v>0.7</v>
      </c>
      <c r="B152" s="5" t="n">
        <f aca="false">'Design Calculations'!C140</f>
        <v>18.2</v>
      </c>
      <c r="C152" s="5" t="e">
        <f aca="false">'Design Calculations'!D140</f>
        <v>#N/A</v>
      </c>
      <c r="D152" s="5" t="e">
        <f aca="false">'Design Calculations'!E140</f>
        <v>#N/A</v>
      </c>
      <c r="E152" s="5" t="e">
        <f aca="false">'Design Calculations'!F140</f>
        <v>#N/A</v>
      </c>
      <c r="F152" s="5" t="e">
        <f aca="false">'Design Calculations'!G140</f>
        <v>#N/A</v>
      </c>
      <c r="G152" s="5" t="n">
        <f aca="false">'Design Calculations'!H140</f>
        <v>0.800000000000009</v>
      </c>
      <c r="H152" s="5" t="n">
        <f aca="false">'Design Calculations'!I140</f>
        <v>20.8000000000002</v>
      </c>
      <c r="I152" s="5" t="n">
        <f aca="false">'Design Calculations'!J140</f>
        <v>0.801287948482068</v>
      </c>
      <c r="J152" s="91" t="n">
        <f aca="false">'Design Calculations'!K140</f>
        <v>8.01287948482068</v>
      </c>
      <c r="K152" s="91" t="n">
        <f aca="false">'Design Calculations'!L140</f>
        <v>8.01287948482068</v>
      </c>
      <c r="L152" s="5"/>
      <c r="M152" s="5" t="e">
        <f aca="false">0.000001*('Design Worksheet'!B$88)*(B153-B152)/(0.5*(E152+E153))+M151</f>
        <v>#N/A</v>
      </c>
      <c r="N152" s="5" t="n">
        <f aca="false">B152</f>
        <v>18.2</v>
      </c>
    </row>
    <row r="153" customFormat="false" ht="12.8" hidden="false" customHeight="false" outlineLevel="0" collapsed="false">
      <c r="A153" s="5" t="n">
        <f aca="false">'Design Calculations'!B139</f>
        <v>0.705</v>
      </c>
      <c r="B153" s="5" t="n">
        <f aca="false">'Design Calculations'!C139</f>
        <v>18.33</v>
      </c>
      <c r="C153" s="5" t="e">
        <f aca="false">'Design Calculations'!D139</f>
        <v>#N/A</v>
      </c>
      <c r="D153" s="5" t="e">
        <f aca="false">'Design Calculations'!E139</f>
        <v>#N/A</v>
      </c>
      <c r="E153" s="5" t="e">
        <f aca="false">'Design Calculations'!F139</f>
        <v>#N/A</v>
      </c>
      <c r="F153" s="5" t="e">
        <f aca="false">'Design Calculations'!G139</f>
        <v>#N/A</v>
      </c>
      <c r="G153" s="5" t="n">
        <f aca="false">'Design Calculations'!H139</f>
        <v>0.805000000000008</v>
      </c>
      <c r="H153" s="5" t="n">
        <f aca="false">'Design Calculations'!I139</f>
        <v>20.9300000000002</v>
      </c>
      <c r="I153" s="5" t="n">
        <f aca="false">'Design Calculations'!J139</f>
        <v>0.806295998160081</v>
      </c>
      <c r="J153" s="91" t="n">
        <f aca="false">'Design Calculations'!K139</f>
        <v>8.06295998160081</v>
      </c>
      <c r="K153" s="91" t="n">
        <f aca="false">'Design Calculations'!L139</f>
        <v>8.06295998160081</v>
      </c>
      <c r="L153" s="5"/>
      <c r="M153" s="5" t="e">
        <f aca="false">0.000001*('Design Worksheet'!B$88)*(B154-B153)/(0.5*(E153+E154))+M152</f>
        <v>#N/A</v>
      </c>
      <c r="N153" s="5" t="n">
        <f aca="false">B153</f>
        <v>18.33</v>
      </c>
    </row>
    <row r="154" customFormat="false" ht="12.8" hidden="false" customHeight="false" outlineLevel="0" collapsed="false">
      <c r="A154" s="5" t="n">
        <f aca="false">'Design Calculations'!B138</f>
        <v>0.71</v>
      </c>
      <c r="B154" s="5" t="n">
        <f aca="false">'Design Calculations'!C138</f>
        <v>18.46</v>
      </c>
      <c r="C154" s="5" t="e">
        <f aca="false">'Design Calculations'!D138</f>
        <v>#N/A</v>
      </c>
      <c r="D154" s="5" t="e">
        <f aca="false">'Design Calculations'!E138</f>
        <v>#N/A</v>
      </c>
      <c r="E154" s="5" t="e">
        <f aca="false">'Design Calculations'!F138</f>
        <v>#N/A</v>
      </c>
      <c r="F154" s="5" t="e">
        <f aca="false">'Design Calculations'!G138</f>
        <v>#N/A</v>
      </c>
      <c r="G154" s="5" t="n">
        <f aca="false">'Design Calculations'!H138</f>
        <v>0.810000000000008</v>
      </c>
      <c r="H154" s="5" t="n">
        <f aca="false">'Design Calculations'!I138</f>
        <v>21.0600000000002</v>
      </c>
      <c r="I154" s="5" t="n">
        <f aca="false">'Design Calculations'!J138</f>
        <v>0.811304047838094</v>
      </c>
      <c r="J154" s="91" t="n">
        <f aca="false">'Design Calculations'!K138</f>
        <v>8.11304047838094</v>
      </c>
      <c r="K154" s="91" t="n">
        <f aca="false">'Design Calculations'!L138</f>
        <v>8.11304047838094</v>
      </c>
      <c r="L154" s="5"/>
      <c r="M154" s="5" t="e">
        <f aca="false">0.000001*('Design Worksheet'!B$88)*(B155-B154)/(0.5*(E154+E155))+M153</f>
        <v>#N/A</v>
      </c>
      <c r="N154" s="5" t="n">
        <f aca="false">B154</f>
        <v>18.46</v>
      </c>
    </row>
    <row r="155" customFormat="false" ht="12.8" hidden="false" customHeight="false" outlineLevel="0" collapsed="false">
      <c r="A155" s="5" t="n">
        <f aca="false">'Design Calculations'!B137</f>
        <v>0.715</v>
      </c>
      <c r="B155" s="5" t="n">
        <f aca="false">'Design Calculations'!C137</f>
        <v>18.59</v>
      </c>
      <c r="C155" s="5" t="e">
        <f aca="false">'Design Calculations'!D137</f>
        <v>#N/A</v>
      </c>
      <c r="D155" s="5" t="e">
        <f aca="false">'Design Calculations'!E137</f>
        <v>#N/A</v>
      </c>
      <c r="E155" s="5" t="e">
        <f aca="false">'Design Calculations'!F137</f>
        <v>#N/A</v>
      </c>
      <c r="F155" s="5" t="e">
        <f aca="false">'Design Calculations'!G137</f>
        <v>#N/A</v>
      </c>
      <c r="G155" s="5" t="n">
        <f aca="false">'Design Calculations'!H137</f>
        <v>0.815000000000008</v>
      </c>
      <c r="H155" s="5" t="n">
        <f aca="false">'Design Calculations'!I137</f>
        <v>21.1900000000002</v>
      </c>
      <c r="I155" s="5" t="n">
        <f aca="false">'Design Calculations'!J137</f>
        <v>0.816312097516107</v>
      </c>
      <c r="J155" s="91" t="n">
        <f aca="false">'Design Calculations'!K137</f>
        <v>8.16312097516107</v>
      </c>
      <c r="K155" s="91" t="n">
        <f aca="false">'Design Calculations'!L137</f>
        <v>8.16312097516107</v>
      </c>
      <c r="L155" s="5"/>
      <c r="M155" s="5" t="e">
        <f aca="false">0.000001*('Design Worksheet'!B$88)*(B156-B155)/(0.5*(E155+E156))+M154</f>
        <v>#N/A</v>
      </c>
      <c r="N155" s="5" t="n">
        <f aca="false">B155</f>
        <v>18.59</v>
      </c>
    </row>
    <row r="156" customFormat="false" ht="12.8" hidden="false" customHeight="false" outlineLevel="0" collapsed="false">
      <c r="A156" s="5" t="n">
        <f aca="false">'Design Calculations'!B136</f>
        <v>0.72</v>
      </c>
      <c r="B156" s="5" t="n">
        <f aca="false">'Design Calculations'!C136</f>
        <v>18.72</v>
      </c>
      <c r="C156" s="5" t="e">
        <f aca="false">'Design Calculations'!D136</f>
        <v>#N/A</v>
      </c>
      <c r="D156" s="5" t="e">
        <f aca="false">'Design Calculations'!E136</f>
        <v>#N/A</v>
      </c>
      <c r="E156" s="5" t="e">
        <f aca="false">'Design Calculations'!F136</f>
        <v>#N/A</v>
      </c>
      <c r="F156" s="5" t="e">
        <f aca="false">'Design Calculations'!G136</f>
        <v>#N/A</v>
      </c>
      <c r="G156" s="5" t="n">
        <f aca="false">'Design Calculations'!H136</f>
        <v>0.820000000000008</v>
      </c>
      <c r="H156" s="5" t="n">
        <f aca="false">'Design Calculations'!I136</f>
        <v>21.3200000000002</v>
      </c>
      <c r="I156" s="5" t="n">
        <f aca="false">'Design Calculations'!J136</f>
        <v>0.82132014719412</v>
      </c>
      <c r="J156" s="91" t="n">
        <f aca="false">'Design Calculations'!K136</f>
        <v>8.2132014719412</v>
      </c>
      <c r="K156" s="91" t="n">
        <f aca="false">'Design Calculations'!L136</f>
        <v>8.2132014719412</v>
      </c>
      <c r="L156" s="5"/>
      <c r="M156" s="5" t="e">
        <f aca="false">0.000001*('Design Worksheet'!B$88)*(B157-B156)/(0.5*(E156+E157))+M155</f>
        <v>#N/A</v>
      </c>
      <c r="N156" s="5" t="n">
        <f aca="false">B156</f>
        <v>18.72</v>
      </c>
    </row>
    <row r="157" customFormat="false" ht="12.8" hidden="false" customHeight="false" outlineLevel="0" collapsed="false">
      <c r="A157" s="5" t="n">
        <f aca="false">'Design Calculations'!B135</f>
        <v>0.725</v>
      </c>
      <c r="B157" s="5" t="n">
        <f aca="false">'Design Calculations'!C135</f>
        <v>18.85</v>
      </c>
      <c r="C157" s="5" t="e">
        <f aca="false">'Design Calculations'!D135</f>
        <v>#N/A</v>
      </c>
      <c r="D157" s="5" t="e">
        <f aca="false">'Design Calculations'!E135</f>
        <v>#N/A</v>
      </c>
      <c r="E157" s="5" t="e">
        <f aca="false">'Design Calculations'!F135</f>
        <v>#N/A</v>
      </c>
      <c r="F157" s="5" t="e">
        <f aca="false">'Design Calculations'!G135</f>
        <v>#N/A</v>
      </c>
      <c r="G157" s="5" t="n">
        <f aca="false">'Design Calculations'!H135</f>
        <v>0.825000000000008</v>
      </c>
      <c r="H157" s="5" t="n">
        <f aca="false">'Design Calculations'!I135</f>
        <v>21.4500000000002</v>
      </c>
      <c r="I157" s="5" t="n">
        <f aca="false">'Design Calculations'!J135</f>
        <v>0.826328196872133</v>
      </c>
      <c r="J157" s="91" t="n">
        <f aca="false">'Design Calculations'!K135</f>
        <v>8.26328196872133</v>
      </c>
      <c r="K157" s="91" t="n">
        <f aca="false">'Design Calculations'!L135</f>
        <v>8.26328196872133</v>
      </c>
      <c r="L157" s="5"/>
      <c r="M157" s="5" t="e">
        <f aca="false">0.000001*('Design Worksheet'!B$88)*(B158-B157)/(0.5*(E157+E158))+M156</f>
        <v>#N/A</v>
      </c>
      <c r="N157" s="5" t="n">
        <f aca="false">B157</f>
        <v>18.85</v>
      </c>
    </row>
    <row r="158" customFormat="false" ht="12.8" hidden="false" customHeight="false" outlineLevel="0" collapsed="false">
      <c r="A158" s="5" t="n">
        <f aca="false">'Design Calculations'!B134</f>
        <v>0.73</v>
      </c>
      <c r="B158" s="5" t="n">
        <f aca="false">'Design Calculations'!C134</f>
        <v>18.98</v>
      </c>
      <c r="C158" s="5" t="e">
        <f aca="false">'Design Calculations'!D134</f>
        <v>#N/A</v>
      </c>
      <c r="D158" s="5" t="e">
        <f aca="false">'Design Calculations'!E134</f>
        <v>#N/A</v>
      </c>
      <c r="E158" s="5" t="e">
        <f aca="false">'Design Calculations'!F134</f>
        <v>#N/A</v>
      </c>
      <c r="F158" s="5" t="e">
        <f aca="false">'Design Calculations'!G134</f>
        <v>#N/A</v>
      </c>
      <c r="G158" s="5" t="n">
        <f aca="false">'Design Calculations'!H134</f>
        <v>0.830000000000008</v>
      </c>
      <c r="H158" s="5" t="n">
        <f aca="false">'Design Calculations'!I134</f>
        <v>21.5800000000002</v>
      </c>
      <c r="I158" s="5" t="n">
        <f aca="false">'Design Calculations'!J134</f>
        <v>0.831336246550146</v>
      </c>
      <c r="J158" s="91" t="n">
        <f aca="false">'Design Calculations'!K134</f>
        <v>8.31336246550146</v>
      </c>
      <c r="K158" s="91" t="n">
        <f aca="false">'Design Calculations'!L134</f>
        <v>8.31336246550146</v>
      </c>
      <c r="L158" s="5"/>
      <c r="M158" s="5" t="e">
        <f aca="false">0.000001*('Design Worksheet'!B$88)*(B159-B158)/(0.5*(E158+E159))+M157</f>
        <v>#N/A</v>
      </c>
      <c r="N158" s="5" t="n">
        <f aca="false">B158</f>
        <v>18.98</v>
      </c>
    </row>
    <row r="159" customFormat="false" ht="12.8" hidden="false" customHeight="false" outlineLevel="0" collapsed="false">
      <c r="A159" s="5" t="n">
        <f aca="false">'Design Calculations'!B133</f>
        <v>0.735</v>
      </c>
      <c r="B159" s="5" t="n">
        <f aca="false">'Design Calculations'!C133</f>
        <v>19.11</v>
      </c>
      <c r="C159" s="5" t="e">
        <f aca="false">'Design Calculations'!D133</f>
        <v>#N/A</v>
      </c>
      <c r="D159" s="5" t="e">
        <f aca="false">'Design Calculations'!E133</f>
        <v>#N/A</v>
      </c>
      <c r="E159" s="5" t="e">
        <f aca="false">'Design Calculations'!F133</f>
        <v>#N/A</v>
      </c>
      <c r="F159" s="5" t="e">
        <f aca="false">'Design Calculations'!G133</f>
        <v>#N/A</v>
      </c>
      <c r="G159" s="5" t="n">
        <f aca="false">'Design Calculations'!H133</f>
        <v>0.835000000000008</v>
      </c>
      <c r="H159" s="5" t="n">
        <f aca="false">'Design Calculations'!I133</f>
        <v>21.7100000000002</v>
      </c>
      <c r="I159" s="5" t="n">
        <f aca="false">'Design Calculations'!J133</f>
        <v>0.836344296228159</v>
      </c>
      <c r="J159" s="91" t="n">
        <f aca="false">'Design Calculations'!K133</f>
        <v>8.36344296228159</v>
      </c>
      <c r="K159" s="91" t="n">
        <f aca="false">'Design Calculations'!L133</f>
        <v>8.36344296228159</v>
      </c>
      <c r="L159" s="5"/>
      <c r="M159" s="5" t="e">
        <f aca="false">0.000001*('Design Worksheet'!B$88)*(B160-B159)/(0.5*(E159+E160))+M158</f>
        <v>#N/A</v>
      </c>
      <c r="N159" s="5" t="n">
        <f aca="false">B159</f>
        <v>19.11</v>
      </c>
    </row>
    <row r="160" customFormat="false" ht="12.8" hidden="false" customHeight="false" outlineLevel="0" collapsed="false">
      <c r="A160" s="5" t="n">
        <f aca="false">'Design Calculations'!B132</f>
        <v>0.74</v>
      </c>
      <c r="B160" s="5" t="n">
        <f aca="false">'Design Calculations'!C132</f>
        <v>19.24</v>
      </c>
      <c r="C160" s="5" t="e">
        <f aca="false">'Design Calculations'!D132</f>
        <v>#N/A</v>
      </c>
      <c r="D160" s="5" t="e">
        <f aca="false">'Design Calculations'!E132</f>
        <v>#N/A</v>
      </c>
      <c r="E160" s="5" t="e">
        <f aca="false">'Design Calculations'!F132</f>
        <v>#N/A</v>
      </c>
      <c r="F160" s="5" t="e">
        <f aca="false">'Design Calculations'!G132</f>
        <v>#N/A</v>
      </c>
      <c r="G160" s="5" t="n">
        <f aca="false">'Design Calculations'!H132</f>
        <v>0.840000000000008</v>
      </c>
      <c r="H160" s="5" t="n">
        <f aca="false">'Design Calculations'!I132</f>
        <v>21.8400000000002</v>
      </c>
      <c r="I160" s="5" t="n">
        <f aca="false">'Design Calculations'!J132</f>
        <v>0.841352345906172</v>
      </c>
      <c r="J160" s="91" t="n">
        <f aca="false">'Design Calculations'!K132</f>
        <v>8.41352345906172</v>
      </c>
      <c r="K160" s="91" t="n">
        <f aca="false">'Design Calculations'!L132</f>
        <v>8.41352345906172</v>
      </c>
      <c r="L160" s="5"/>
      <c r="M160" s="5" t="e">
        <f aca="false">0.000001*('Design Worksheet'!B$88)*(B161-B160)/(0.5*(E160+E161))+M159</f>
        <v>#N/A</v>
      </c>
      <c r="N160" s="5" t="n">
        <f aca="false">B160</f>
        <v>19.24</v>
      </c>
    </row>
    <row r="161" customFormat="false" ht="12.8" hidden="false" customHeight="false" outlineLevel="0" collapsed="false">
      <c r="A161" s="5" t="n">
        <f aca="false">'Design Calculations'!B131</f>
        <v>0.745</v>
      </c>
      <c r="B161" s="5" t="n">
        <f aca="false">'Design Calculations'!C131</f>
        <v>19.37</v>
      </c>
      <c r="C161" s="5" t="e">
        <f aca="false">'Design Calculations'!D131</f>
        <v>#N/A</v>
      </c>
      <c r="D161" s="5" t="e">
        <f aca="false">'Design Calculations'!E131</f>
        <v>#N/A</v>
      </c>
      <c r="E161" s="5" t="e">
        <f aca="false">'Design Calculations'!F131</f>
        <v>#N/A</v>
      </c>
      <c r="F161" s="5" t="e">
        <f aca="false">'Design Calculations'!G131</f>
        <v>#N/A</v>
      </c>
      <c r="G161" s="5" t="n">
        <f aca="false">'Design Calculations'!H131</f>
        <v>0.845000000000008</v>
      </c>
      <c r="H161" s="5" t="n">
        <f aca="false">'Design Calculations'!I131</f>
        <v>21.9700000000002</v>
      </c>
      <c r="I161" s="5" t="n">
        <f aca="false">'Design Calculations'!J131</f>
        <v>0.846360395584184</v>
      </c>
      <c r="J161" s="91" t="n">
        <f aca="false">'Design Calculations'!K131</f>
        <v>8.46360395584184</v>
      </c>
      <c r="K161" s="91" t="n">
        <f aca="false">'Design Calculations'!L131</f>
        <v>8.46360395584184</v>
      </c>
      <c r="L161" s="5"/>
      <c r="M161" s="5" t="e">
        <f aca="false">0.000001*('Design Worksheet'!B$88)*(B162-B161)/(0.5*(E161+E162))+M160</f>
        <v>#N/A</v>
      </c>
      <c r="N161" s="5" t="n">
        <f aca="false">B161</f>
        <v>19.37</v>
      </c>
    </row>
    <row r="162" customFormat="false" ht="12.8" hidden="false" customHeight="false" outlineLevel="0" collapsed="false">
      <c r="A162" s="5" t="n">
        <f aca="false">'Design Calculations'!B130</f>
        <v>0.75</v>
      </c>
      <c r="B162" s="5" t="n">
        <f aca="false">'Design Calculations'!C130</f>
        <v>19.5</v>
      </c>
      <c r="C162" s="5" t="e">
        <f aca="false">'Design Calculations'!D130</f>
        <v>#N/A</v>
      </c>
      <c r="D162" s="5" t="e">
        <f aca="false">'Design Calculations'!E130</f>
        <v>#N/A</v>
      </c>
      <c r="E162" s="5" t="e">
        <f aca="false">'Design Calculations'!F130</f>
        <v>#N/A</v>
      </c>
      <c r="F162" s="5" t="e">
        <f aca="false">'Design Calculations'!G130</f>
        <v>#N/A</v>
      </c>
      <c r="G162" s="5" t="n">
        <f aca="false">'Design Calculations'!H130</f>
        <v>0.850000000000007</v>
      </c>
      <c r="H162" s="5" t="n">
        <f aca="false">'Design Calculations'!I130</f>
        <v>22.1000000000002</v>
      </c>
      <c r="I162" s="5" t="n">
        <f aca="false">'Design Calculations'!J130</f>
        <v>0.851368445262197</v>
      </c>
      <c r="J162" s="91" t="n">
        <f aca="false">'Design Calculations'!K130</f>
        <v>8.51368445262197</v>
      </c>
      <c r="K162" s="91" t="n">
        <f aca="false">'Design Calculations'!L130</f>
        <v>8.51368445262197</v>
      </c>
      <c r="L162" s="5"/>
      <c r="M162" s="5" t="e">
        <f aca="false">0.000001*('Design Worksheet'!B$88)*(B163-B162)/(0.5*(E162+E163))+M161</f>
        <v>#N/A</v>
      </c>
      <c r="N162" s="5" t="n">
        <f aca="false">B162</f>
        <v>19.5</v>
      </c>
    </row>
    <row r="163" customFormat="false" ht="12.8" hidden="false" customHeight="false" outlineLevel="0" collapsed="false">
      <c r="A163" s="5" t="n">
        <f aca="false">'Design Calculations'!B129</f>
        <v>0.755</v>
      </c>
      <c r="B163" s="5" t="n">
        <f aca="false">'Design Calculations'!C129</f>
        <v>19.63</v>
      </c>
      <c r="C163" s="5" t="e">
        <f aca="false">'Design Calculations'!D129</f>
        <v>#N/A</v>
      </c>
      <c r="D163" s="5" t="e">
        <f aca="false">'Design Calculations'!E129</f>
        <v>#N/A</v>
      </c>
      <c r="E163" s="5" t="e">
        <f aca="false">'Design Calculations'!F129</f>
        <v>#N/A</v>
      </c>
      <c r="F163" s="5" t="e">
        <f aca="false">'Design Calculations'!G129</f>
        <v>#N/A</v>
      </c>
      <c r="G163" s="5" t="n">
        <f aca="false">'Design Calculations'!H129</f>
        <v>0.855000000000007</v>
      </c>
      <c r="H163" s="5" t="n">
        <f aca="false">'Design Calculations'!I129</f>
        <v>22.2300000000002</v>
      </c>
      <c r="I163" s="5" t="n">
        <f aca="false">'Design Calculations'!J129</f>
        <v>0.85637649494021</v>
      </c>
      <c r="J163" s="91" t="n">
        <f aca="false">'Design Calculations'!K129</f>
        <v>8.5637649494021</v>
      </c>
      <c r="K163" s="91" t="n">
        <f aca="false">'Design Calculations'!L129</f>
        <v>8.5637649494021</v>
      </c>
      <c r="L163" s="5"/>
      <c r="M163" s="5" t="e">
        <f aca="false">0.000001*('Design Worksheet'!B$88)*(B164-B163)/(0.5*(E163+E164))+M162</f>
        <v>#N/A</v>
      </c>
      <c r="N163" s="5" t="n">
        <f aca="false">B163</f>
        <v>19.63</v>
      </c>
    </row>
    <row r="164" customFormat="false" ht="12.8" hidden="false" customHeight="false" outlineLevel="0" collapsed="false">
      <c r="A164" s="5" t="n">
        <f aca="false">'Design Calculations'!B128</f>
        <v>0.76</v>
      </c>
      <c r="B164" s="5" t="n">
        <f aca="false">'Design Calculations'!C128</f>
        <v>19.76</v>
      </c>
      <c r="C164" s="5" t="e">
        <f aca="false">'Design Calculations'!D128</f>
        <v>#N/A</v>
      </c>
      <c r="D164" s="5" t="e">
        <f aca="false">'Design Calculations'!E128</f>
        <v>#N/A</v>
      </c>
      <c r="E164" s="5" t="e">
        <f aca="false">'Design Calculations'!F128</f>
        <v>#N/A</v>
      </c>
      <c r="F164" s="5" t="e">
        <f aca="false">'Design Calculations'!G128</f>
        <v>#N/A</v>
      </c>
      <c r="G164" s="5" t="n">
        <f aca="false">'Design Calculations'!H128</f>
        <v>0.860000000000007</v>
      </c>
      <c r="H164" s="5" t="n">
        <f aca="false">'Design Calculations'!I128</f>
        <v>22.3600000000002</v>
      </c>
      <c r="I164" s="5" t="n">
        <f aca="false">'Design Calculations'!J128</f>
        <v>0.861384544618223</v>
      </c>
      <c r="J164" s="91" t="n">
        <f aca="false">'Design Calculations'!K128</f>
        <v>8.61384544618223</v>
      </c>
      <c r="K164" s="91" t="n">
        <f aca="false">'Design Calculations'!L128</f>
        <v>8.61384544618223</v>
      </c>
      <c r="L164" s="5"/>
      <c r="M164" s="5" t="e">
        <f aca="false">0.000001*('Design Worksheet'!B$88)*(B165-B164)/(0.5*(E164+E165))+M163</f>
        <v>#N/A</v>
      </c>
      <c r="N164" s="5" t="n">
        <f aca="false">B164</f>
        <v>19.76</v>
      </c>
    </row>
    <row r="165" customFormat="false" ht="12.8" hidden="false" customHeight="false" outlineLevel="0" collapsed="false">
      <c r="A165" s="5" t="n">
        <f aca="false">'Design Calculations'!B127</f>
        <v>0.765</v>
      </c>
      <c r="B165" s="5" t="n">
        <f aca="false">'Design Calculations'!C127</f>
        <v>19.89</v>
      </c>
      <c r="C165" s="5" t="e">
        <f aca="false">'Design Calculations'!D127</f>
        <v>#N/A</v>
      </c>
      <c r="D165" s="5" t="e">
        <f aca="false">'Design Calculations'!E127</f>
        <v>#N/A</v>
      </c>
      <c r="E165" s="5" t="e">
        <f aca="false">'Design Calculations'!F127</f>
        <v>#N/A</v>
      </c>
      <c r="F165" s="5" t="e">
        <f aca="false">'Design Calculations'!G127</f>
        <v>#N/A</v>
      </c>
      <c r="G165" s="5" t="n">
        <f aca="false">'Design Calculations'!H127</f>
        <v>0.865000000000007</v>
      </c>
      <c r="H165" s="5" t="n">
        <f aca="false">'Design Calculations'!I127</f>
        <v>22.4900000000002</v>
      </c>
      <c r="I165" s="5" t="n">
        <f aca="false">'Design Calculations'!J127</f>
        <v>0.866392594296236</v>
      </c>
      <c r="J165" s="91" t="n">
        <f aca="false">'Design Calculations'!K127</f>
        <v>8.66392594296236</v>
      </c>
      <c r="K165" s="91" t="n">
        <f aca="false">'Design Calculations'!L127</f>
        <v>8.66392594296236</v>
      </c>
      <c r="L165" s="5"/>
      <c r="M165" s="5" t="e">
        <f aca="false">0.000001*('Design Worksheet'!B$88)*(B166-B165)/(0.5*(E165+E166))+M164</f>
        <v>#N/A</v>
      </c>
      <c r="N165" s="5" t="n">
        <f aca="false">B165</f>
        <v>19.89</v>
      </c>
    </row>
    <row r="166" customFormat="false" ht="12.8" hidden="false" customHeight="false" outlineLevel="0" collapsed="false">
      <c r="A166" s="5" t="n">
        <f aca="false">'Design Calculations'!B126</f>
        <v>0.77</v>
      </c>
      <c r="B166" s="5" t="n">
        <f aca="false">'Design Calculations'!C126</f>
        <v>20.02</v>
      </c>
      <c r="C166" s="5" t="e">
        <f aca="false">'Design Calculations'!D126</f>
        <v>#N/A</v>
      </c>
      <c r="D166" s="5" t="e">
        <f aca="false">'Design Calculations'!E126</f>
        <v>#N/A</v>
      </c>
      <c r="E166" s="5" t="e">
        <f aca="false">'Design Calculations'!F126</f>
        <v>#N/A</v>
      </c>
      <c r="F166" s="5" t="e">
        <f aca="false">'Design Calculations'!G126</f>
        <v>#N/A</v>
      </c>
      <c r="G166" s="5" t="n">
        <f aca="false">'Design Calculations'!H126</f>
        <v>0.870000000000007</v>
      </c>
      <c r="H166" s="5" t="n">
        <f aca="false">'Design Calculations'!I126</f>
        <v>22.6200000000002</v>
      </c>
      <c r="I166" s="5" t="n">
        <f aca="false">'Design Calculations'!J126</f>
        <v>0.871400643974249</v>
      </c>
      <c r="J166" s="91" t="n">
        <f aca="false">'Design Calculations'!K126</f>
        <v>8.71400643974249</v>
      </c>
      <c r="K166" s="91" t="n">
        <f aca="false">'Design Calculations'!L126</f>
        <v>8.71400643974249</v>
      </c>
      <c r="L166" s="5"/>
      <c r="M166" s="5" t="e">
        <f aca="false">0.000001*('Design Worksheet'!B$88)*(B167-B166)/(0.5*(E166+E167))+M165</f>
        <v>#N/A</v>
      </c>
      <c r="N166" s="5" t="n">
        <f aca="false">B166</f>
        <v>20.02</v>
      </c>
    </row>
    <row r="167" customFormat="false" ht="12.8" hidden="false" customHeight="false" outlineLevel="0" collapsed="false">
      <c r="A167" s="5" t="n">
        <f aca="false">'Design Calculations'!B125</f>
        <v>0.775</v>
      </c>
      <c r="B167" s="5" t="n">
        <f aca="false">'Design Calculations'!C125</f>
        <v>20.15</v>
      </c>
      <c r="C167" s="5" t="e">
        <f aca="false">'Design Calculations'!D125</f>
        <v>#N/A</v>
      </c>
      <c r="D167" s="5" t="e">
        <f aca="false">'Design Calculations'!E125</f>
        <v>#N/A</v>
      </c>
      <c r="E167" s="5" t="e">
        <f aca="false">'Design Calculations'!F125</f>
        <v>#N/A</v>
      </c>
      <c r="F167" s="5" t="e">
        <f aca="false">'Design Calculations'!G125</f>
        <v>#N/A</v>
      </c>
      <c r="G167" s="5" t="n">
        <f aca="false">'Design Calculations'!H125</f>
        <v>0.875000000000007</v>
      </c>
      <c r="H167" s="5" t="n">
        <f aca="false">'Design Calculations'!I125</f>
        <v>22.7500000000002</v>
      </c>
      <c r="I167" s="5" t="n">
        <f aca="false">'Design Calculations'!J125</f>
        <v>0.876408693652262</v>
      </c>
      <c r="J167" s="91" t="n">
        <f aca="false">'Design Calculations'!K125</f>
        <v>8.76408693652262</v>
      </c>
      <c r="K167" s="91" t="n">
        <f aca="false">'Design Calculations'!L125</f>
        <v>8.76408693652262</v>
      </c>
      <c r="L167" s="5"/>
      <c r="M167" s="5" t="e">
        <f aca="false">0.000001*('Design Worksheet'!B$88)*(B168-B167)/(0.5*(E167+E168))+M166</f>
        <v>#N/A</v>
      </c>
      <c r="N167" s="5" t="n">
        <f aca="false">B167</f>
        <v>20.15</v>
      </c>
    </row>
    <row r="168" customFormat="false" ht="12.8" hidden="false" customHeight="false" outlineLevel="0" collapsed="false">
      <c r="A168" s="5" t="n">
        <f aca="false">'Design Calculations'!B124</f>
        <v>0.78</v>
      </c>
      <c r="B168" s="5" t="n">
        <f aca="false">'Design Calculations'!C124</f>
        <v>20.28</v>
      </c>
      <c r="C168" s="5" t="e">
        <f aca="false">'Design Calculations'!D124</f>
        <v>#N/A</v>
      </c>
      <c r="D168" s="5" t="e">
        <f aca="false">'Design Calculations'!E124</f>
        <v>#N/A</v>
      </c>
      <c r="E168" s="5" t="e">
        <f aca="false">'Design Calculations'!F124</f>
        <v>#N/A</v>
      </c>
      <c r="F168" s="5" t="e">
        <f aca="false">'Design Calculations'!G124</f>
        <v>#N/A</v>
      </c>
      <c r="G168" s="5" t="n">
        <f aca="false">'Design Calculations'!H124</f>
        <v>0.880000000000007</v>
      </c>
      <c r="H168" s="5" t="n">
        <f aca="false">'Design Calculations'!I124</f>
        <v>22.8800000000002</v>
      </c>
      <c r="I168" s="5" t="n">
        <f aca="false">'Design Calculations'!J124</f>
        <v>0.881416743330275</v>
      </c>
      <c r="J168" s="91" t="n">
        <f aca="false">'Design Calculations'!K124</f>
        <v>8.81416743330274</v>
      </c>
      <c r="K168" s="91" t="n">
        <f aca="false">'Design Calculations'!L124</f>
        <v>8.81416743330274</v>
      </c>
      <c r="L168" s="5"/>
      <c r="M168" s="5" t="e">
        <f aca="false">0.000001*('Design Worksheet'!B$88)*(B169-B168)/(0.5*(E168+E169))+M167</f>
        <v>#N/A</v>
      </c>
      <c r="N168" s="5" t="n">
        <f aca="false">B168</f>
        <v>20.28</v>
      </c>
    </row>
    <row r="169" customFormat="false" ht="12.8" hidden="false" customHeight="false" outlineLevel="0" collapsed="false">
      <c r="A169" s="5" t="n">
        <f aca="false">'Design Calculations'!B123</f>
        <v>0.785</v>
      </c>
      <c r="B169" s="5" t="n">
        <f aca="false">'Design Calculations'!C123</f>
        <v>20.41</v>
      </c>
      <c r="C169" s="5" t="e">
        <f aca="false">'Design Calculations'!D123</f>
        <v>#N/A</v>
      </c>
      <c r="D169" s="5" t="e">
        <f aca="false">'Design Calculations'!E123</f>
        <v>#N/A</v>
      </c>
      <c r="E169" s="5" t="e">
        <f aca="false">'Design Calculations'!F123</f>
        <v>#N/A</v>
      </c>
      <c r="F169" s="5" t="e">
        <f aca="false">'Design Calculations'!G123</f>
        <v>#N/A</v>
      </c>
      <c r="G169" s="5" t="n">
        <f aca="false">'Design Calculations'!H123</f>
        <v>0.885000000000007</v>
      </c>
      <c r="H169" s="5" t="n">
        <f aca="false">'Design Calculations'!I123</f>
        <v>23.0100000000002</v>
      </c>
      <c r="I169" s="5" t="n">
        <f aca="false">'Design Calculations'!J123</f>
        <v>0.886424793008288</v>
      </c>
      <c r="J169" s="91" t="n">
        <f aca="false">'Design Calculations'!K123</f>
        <v>8.86424793008287</v>
      </c>
      <c r="K169" s="91" t="n">
        <f aca="false">'Design Calculations'!L123</f>
        <v>8.86424793008287</v>
      </c>
      <c r="L169" s="5"/>
      <c r="M169" s="5" t="e">
        <f aca="false">0.000001*('Design Worksheet'!B$88)*(B170-B169)/(0.5*(E169+E170))+M168</f>
        <v>#N/A</v>
      </c>
      <c r="N169" s="5" t="n">
        <f aca="false">B169</f>
        <v>20.41</v>
      </c>
    </row>
    <row r="170" customFormat="false" ht="12.8" hidden="false" customHeight="false" outlineLevel="0" collapsed="false">
      <c r="A170" s="5" t="n">
        <f aca="false">'Design Calculations'!B122</f>
        <v>0.79</v>
      </c>
      <c r="B170" s="5" t="n">
        <f aca="false">'Design Calculations'!C122</f>
        <v>20.54</v>
      </c>
      <c r="C170" s="5" t="e">
        <f aca="false">'Design Calculations'!D122</f>
        <v>#N/A</v>
      </c>
      <c r="D170" s="5" t="e">
        <f aca="false">'Design Calculations'!E122</f>
        <v>#N/A</v>
      </c>
      <c r="E170" s="5" t="e">
        <f aca="false">'Design Calculations'!F122</f>
        <v>#N/A</v>
      </c>
      <c r="F170" s="5" t="e">
        <f aca="false">'Design Calculations'!G122</f>
        <v>#N/A</v>
      </c>
      <c r="G170" s="5" t="n">
        <f aca="false">'Design Calculations'!H122</f>
        <v>0.890000000000007</v>
      </c>
      <c r="H170" s="5" t="n">
        <f aca="false">'Design Calculations'!I122</f>
        <v>23.1400000000002</v>
      </c>
      <c r="I170" s="5" t="n">
        <f aca="false">'Design Calculations'!J122</f>
        <v>0.8914328426863</v>
      </c>
      <c r="J170" s="91" t="n">
        <f aca="false">'Design Calculations'!K122</f>
        <v>8.914328426863</v>
      </c>
      <c r="K170" s="91" t="n">
        <f aca="false">'Design Calculations'!L122</f>
        <v>8.914328426863</v>
      </c>
      <c r="L170" s="5"/>
      <c r="M170" s="5" t="e">
        <f aca="false">0.000001*('Design Worksheet'!B$88)*(B171-B170)/(0.5*(E170+E171))+M169</f>
        <v>#N/A</v>
      </c>
      <c r="N170" s="5" t="n">
        <f aca="false">B170</f>
        <v>20.54</v>
      </c>
    </row>
    <row r="171" customFormat="false" ht="12.8" hidden="false" customHeight="false" outlineLevel="0" collapsed="false">
      <c r="A171" s="5" t="n">
        <f aca="false">'Design Calculations'!B121</f>
        <v>0.795</v>
      </c>
      <c r="B171" s="5" t="n">
        <f aca="false">'Design Calculations'!C121</f>
        <v>20.67</v>
      </c>
      <c r="C171" s="5" t="e">
        <f aca="false">'Design Calculations'!D121</f>
        <v>#N/A</v>
      </c>
      <c r="D171" s="5" t="e">
        <f aca="false">'Design Calculations'!E121</f>
        <v>#N/A</v>
      </c>
      <c r="E171" s="5" t="e">
        <f aca="false">'Design Calculations'!F121</f>
        <v>#N/A</v>
      </c>
      <c r="F171" s="5" t="e">
        <f aca="false">'Design Calculations'!G121</f>
        <v>#N/A</v>
      </c>
      <c r="G171" s="5" t="n">
        <f aca="false">'Design Calculations'!H121</f>
        <v>0.895000000000007</v>
      </c>
      <c r="H171" s="5" t="n">
        <f aca="false">'Design Calculations'!I121</f>
        <v>23.2700000000002</v>
      </c>
      <c r="I171" s="5" t="n">
        <f aca="false">'Design Calculations'!J121</f>
        <v>0.896440892364313</v>
      </c>
      <c r="J171" s="91" t="n">
        <f aca="false">'Design Calculations'!K121</f>
        <v>8.96440892364313</v>
      </c>
      <c r="K171" s="91" t="n">
        <f aca="false">'Design Calculations'!L121</f>
        <v>8.96440892364313</v>
      </c>
      <c r="L171" s="5"/>
      <c r="M171" s="5" t="e">
        <f aca="false">0.000001*('Design Worksheet'!B$88)*(B172-B171)/(0.5*(E171+E172))+M170</f>
        <v>#N/A</v>
      </c>
      <c r="N171" s="5" t="n">
        <f aca="false">B171</f>
        <v>20.67</v>
      </c>
    </row>
    <row r="172" customFormat="false" ht="12.8" hidden="false" customHeight="false" outlineLevel="0" collapsed="false">
      <c r="A172" s="5" t="n">
        <f aca="false">'Design Calculations'!B120</f>
        <v>0.8</v>
      </c>
      <c r="B172" s="5" t="n">
        <f aca="false">'Design Calculations'!C120</f>
        <v>20.8</v>
      </c>
      <c r="C172" s="5" t="e">
        <f aca="false">'Design Calculations'!D120</f>
        <v>#N/A</v>
      </c>
      <c r="D172" s="5" t="e">
        <f aca="false">'Design Calculations'!E120</f>
        <v>#N/A</v>
      </c>
      <c r="E172" s="5" t="e">
        <f aca="false">'Design Calculations'!F120</f>
        <v>#N/A</v>
      </c>
      <c r="F172" s="5" t="e">
        <f aca="false">'Design Calculations'!G120</f>
        <v>#N/A</v>
      </c>
      <c r="G172" s="5" t="n">
        <f aca="false">'Design Calculations'!H120</f>
        <v>0.900000000000006</v>
      </c>
      <c r="H172" s="5" t="n">
        <f aca="false">'Design Calculations'!I120</f>
        <v>23.4000000000002</v>
      </c>
      <c r="I172" s="5" t="n">
        <f aca="false">'Design Calculations'!J120</f>
        <v>0.901448942042326</v>
      </c>
      <c r="J172" s="91" t="n">
        <f aca="false">'Design Calculations'!K120</f>
        <v>9.01448942042326</v>
      </c>
      <c r="K172" s="91" t="n">
        <f aca="false">'Design Calculations'!L120</f>
        <v>9.01448942042326</v>
      </c>
      <c r="L172" s="5"/>
      <c r="M172" s="5" t="e">
        <f aca="false">0.000001*('Design Worksheet'!B$88)*(B173-B172)/(0.5*(E172+E173))+M171</f>
        <v>#N/A</v>
      </c>
      <c r="N172" s="5" t="n">
        <f aca="false">B172</f>
        <v>20.8</v>
      </c>
    </row>
    <row r="173" customFormat="false" ht="12.8" hidden="false" customHeight="false" outlineLevel="0" collapsed="false">
      <c r="A173" s="5" t="n">
        <f aca="false">'Design Calculations'!B119</f>
        <v>0.805</v>
      </c>
      <c r="B173" s="5" t="n">
        <f aca="false">'Design Calculations'!C119</f>
        <v>20.93</v>
      </c>
      <c r="C173" s="5" t="e">
        <f aca="false">'Design Calculations'!D119</f>
        <v>#N/A</v>
      </c>
      <c r="D173" s="5" t="e">
        <f aca="false">'Design Calculations'!E119</f>
        <v>#N/A</v>
      </c>
      <c r="E173" s="5" t="e">
        <f aca="false">'Design Calculations'!F119</f>
        <v>#N/A</v>
      </c>
      <c r="F173" s="5" t="e">
        <f aca="false">'Design Calculations'!G119</f>
        <v>#N/A</v>
      </c>
      <c r="G173" s="5" t="n">
        <f aca="false">'Design Calculations'!H119</f>
        <v>0.905000000000006</v>
      </c>
      <c r="H173" s="5" t="n">
        <f aca="false">'Design Calculations'!I119</f>
        <v>23.5300000000002</v>
      </c>
      <c r="I173" s="5" t="n">
        <f aca="false">'Design Calculations'!J119</f>
        <v>0.906456991720339</v>
      </c>
      <c r="J173" s="91" t="n">
        <f aca="false">'Design Calculations'!K119</f>
        <v>9.06456991720339</v>
      </c>
      <c r="K173" s="91" t="n">
        <f aca="false">'Design Calculations'!L119</f>
        <v>9.06456991720339</v>
      </c>
      <c r="L173" s="5"/>
      <c r="M173" s="5" t="e">
        <f aca="false">0.000001*('Design Worksheet'!B$88)*(B174-B173)/(0.5*(E173+E174))+M172</f>
        <v>#N/A</v>
      </c>
      <c r="N173" s="5" t="n">
        <f aca="false">B173</f>
        <v>20.93</v>
      </c>
    </row>
    <row r="174" customFormat="false" ht="12.8" hidden="false" customHeight="false" outlineLevel="0" collapsed="false">
      <c r="A174" s="5" t="n">
        <f aca="false">'Design Calculations'!B118</f>
        <v>0.81</v>
      </c>
      <c r="B174" s="5" t="n">
        <f aca="false">'Design Calculations'!C118</f>
        <v>21.06</v>
      </c>
      <c r="C174" s="5" t="e">
        <f aca="false">'Design Calculations'!D118</f>
        <v>#N/A</v>
      </c>
      <c r="D174" s="5" t="e">
        <f aca="false">'Design Calculations'!E118</f>
        <v>#N/A</v>
      </c>
      <c r="E174" s="5" t="e">
        <f aca="false">'Design Calculations'!F118</f>
        <v>#N/A</v>
      </c>
      <c r="F174" s="5" t="e">
        <f aca="false">'Design Calculations'!G118</f>
        <v>#N/A</v>
      </c>
      <c r="G174" s="5" t="n">
        <f aca="false">'Design Calculations'!H118</f>
        <v>0.910000000000006</v>
      </c>
      <c r="H174" s="5" t="n">
        <f aca="false">'Design Calculations'!I118</f>
        <v>23.6600000000002</v>
      </c>
      <c r="I174" s="5" t="n">
        <f aca="false">'Design Calculations'!J118</f>
        <v>0.911465041398352</v>
      </c>
      <c r="J174" s="91" t="n">
        <f aca="false">'Design Calculations'!K118</f>
        <v>9.11465041398352</v>
      </c>
      <c r="K174" s="91" t="n">
        <f aca="false">'Design Calculations'!L118</f>
        <v>9.11465041398352</v>
      </c>
      <c r="L174" s="5"/>
      <c r="M174" s="5" t="e">
        <f aca="false">0.000001*('Design Worksheet'!B$88)*(B175-B174)/(0.5*(E174+E175))+M173</f>
        <v>#N/A</v>
      </c>
      <c r="N174" s="5" t="n">
        <f aca="false">B174</f>
        <v>21.06</v>
      </c>
    </row>
    <row r="175" customFormat="false" ht="12.8" hidden="false" customHeight="false" outlineLevel="0" collapsed="false">
      <c r="A175" s="5" t="n">
        <f aca="false">'Design Calculations'!B117</f>
        <v>0.815</v>
      </c>
      <c r="B175" s="5" t="n">
        <f aca="false">'Design Calculations'!C117</f>
        <v>21.19</v>
      </c>
      <c r="C175" s="5" t="e">
        <f aca="false">'Design Calculations'!D117</f>
        <v>#N/A</v>
      </c>
      <c r="D175" s="5" t="e">
        <f aca="false">'Design Calculations'!E117</f>
        <v>#N/A</v>
      </c>
      <c r="E175" s="5" t="e">
        <f aca="false">'Design Calculations'!F117</f>
        <v>#N/A</v>
      </c>
      <c r="F175" s="5" t="e">
        <f aca="false">'Design Calculations'!G117</f>
        <v>#N/A</v>
      </c>
      <c r="G175" s="5" t="n">
        <f aca="false">'Design Calculations'!H117</f>
        <v>0.915000000000006</v>
      </c>
      <c r="H175" s="5" t="n">
        <f aca="false">'Design Calculations'!I117</f>
        <v>23.7900000000002</v>
      </c>
      <c r="I175" s="5" t="n">
        <f aca="false">'Design Calculations'!J117</f>
        <v>0.916473091076365</v>
      </c>
      <c r="J175" s="91" t="n">
        <f aca="false">'Design Calculations'!K117</f>
        <v>9.16473091076365</v>
      </c>
      <c r="K175" s="91" t="n">
        <f aca="false">'Design Calculations'!L117</f>
        <v>9.16473091076365</v>
      </c>
      <c r="L175" s="5"/>
      <c r="M175" s="5" t="e">
        <f aca="false">0.000001*('Design Worksheet'!B$88)*(B176-B175)/(0.5*(E175+E176))+M174</f>
        <v>#N/A</v>
      </c>
      <c r="N175" s="5" t="n">
        <f aca="false">B175</f>
        <v>21.19</v>
      </c>
    </row>
    <row r="176" customFormat="false" ht="12.8" hidden="false" customHeight="false" outlineLevel="0" collapsed="false">
      <c r="A176" s="5" t="n">
        <f aca="false">'Design Calculations'!B116</f>
        <v>0.82</v>
      </c>
      <c r="B176" s="5" t="n">
        <f aca="false">'Design Calculations'!C116</f>
        <v>21.32</v>
      </c>
      <c r="C176" s="5" t="e">
        <f aca="false">'Design Calculations'!D116</f>
        <v>#N/A</v>
      </c>
      <c r="D176" s="5" t="e">
        <f aca="false">'Design Calculations'!E116</f>
        <v>#N/A</v>
      </c>
      <c r="E176" s="5" t="e">
        <f aca="false">'Design Calculations'!F116</f>
        <v>#N/A</v>
      </c>
      <c r="F176" s="5" t="e">
        <f aca="false">'Design Calculations'!G116</f>
        <v>#N/A</v>
      </c>
      <c r="G176" s="5" t="n">
        <f aca="false">'Design Calculations'!H116</f>
        <v>0.920000000000006</v>
      </c>
      <c r="H176" s="5" t="n">
        <f aca="false">'Design Calculations'!I116</f>
        <v>23.9200000000002</v>
      </c>
      <c r="I176" s="5" t="n">
        <f aca="false">'Design Calculations'!J116</f>
        <v>0.921481140754378</v>
      </c>
      <c r="J176" s="91" t="n">
        <f aca="false">'Design Calculations'!K116</f>
        <v>9.21481140754378</v>
      </c>
      <c r="K176" s="91" t="n">
        <f aca="false">'Design Calculations'!L116</f>
        <v>9.21481140754378</v>
      </c>
      <c r="L176" s="5"/>
      <c r="M176" s="5" t="e">
        <f aca="false">0.000001*('Design Worksheet'!B$88)*(B177-B176)/(0.5*(E176+E177))+M175</f>
        <v>#N/A</v>
      </c>
      <c r="N176" s="5" t="n">
        <f aca="false">B176</f>
        <v>21.32</v>
      </c>
    </row>
    <row r="177" customFormat="false" ht="12.8" hidden="false" customHeight="false" outlineLevel="0" collapsed="false">
      <c r="A177" s="5" t="n">
        <f aca="false">'Design Calculations'!B115</f>
        <v>0.825</v>
      </c>
      <c r="B177" s="5" t="n">
        <f aca="false">'Design Calculations'!C115</f>
        <v>21.45</v>
      </c>
      <c r="C177" s="5" t="e">
        <f aca="false">'Design Calculations'!D115</f>
        <v>#N/A</v>
      </c>
      <c r="D177" s="5" t="e">
        <f aca="false">'Design Calculations'!E115</f>
        <v>#N/A</v>
      </c>
      <c r="E177" s="5" t="e">
        <f aca="false">'Design Calculations'!F115</f>
        <v>#N/A</v>
      </c>
      <c r="F177" s="5" t="e">
        <f aca="false">'Design Calculations'!G115</f>
        <v>#N/A</v>
      </c>
      <c r="G177" s="5" t="n">
        <f aca="false">'Design Calculations'!H115</f>
        <v>0.925000000000006</v>
      </c>
      <c r="H177" s="5" t="n">
        <f aca="false">'Design Calculations'!I115</f>
        <v>24.0500000000002</v>
      </c>
      <c r="I177" s="5" t="n">
        <f aca="false">'Design Calculations'!J115</f>
        <v>0.92648919043239</v>
      </c>
      <c r="J177" s="91" t="n">
        <f aca="false">'Design Calculations'!K115</f>
        <v>9.2648919043239</v>
      </c>
      <c r="K177" s="91" t="n">
        <f aca="false">'Design Calculations'!L115</f>
        <v>9.2648919043239</v>
      </c>
      <c r="L177" s="5"/>
      <c r="M177" s="5" t="e">
        <f aca="false">0.000001*('Design Worksheet'!B$88)*(B178-B177)/(0.5*(E177+E178))+M176</f>
        <v>#N/A</v>
      </c>
      <c r="N177" s="5" t="n">
        <f aca="false">B177</f>
        <v>21.45</v>
      </c>
    </row>
    <row r="178" customFormat="false" ht="12.8" hidden="false" customHeight="false" outlineLevel="0" collapsed="false">
      <c r="A178" s="5" t="n">
        <f aca="false">'Design Calculations'!B114</f>
        <v>0.83</v>
      </c>
      <c r="B178" s="5" t="n">
        <f aca="false">'Design Calculations'!C114</f>
        <v>21.58</v>
      </c>
      <c r="C178" s="5" t="e">
        <f aca="false">'Design Calculations'!D114</f>
        <v>#N/A</v>
      </c>
      <c r="D178" s="5" t="e">
        <f aca="false">'Design Calculations'!E114</f>
        <v>#N/A</v>
      </c>
      <c r="E178" s="5" t="e">
        <f aca="false">'Design Calculations'!F114</f>
        <v>#N/A</v>
      </c>
      <c r="F178" s="5" t="e">
        <f aca="false">'Design Calculations'!G114</f>
        <v>#N/A</v>
      </c>
      <c r="G178" s="5" t="n">
        <f aca="false">'Design Calculations'!H114</f>
        <v>0.930000000000006</v>
      </c>
      <c r="H178" s="5" t="n">
        <f aca="false">'Design Calculations'!I114</f>
        <v>24.1800000000002</v>
      </c>
      <c r="I178" s="5" t="n">
        <f aca="false">'Design Calculations'!J114</f>
        <v>0.931497240110403</v>
      </c>
      <c r="J178" s="91" t="n">
        <f aca="false">'Design Calculations'!K114</f>
        <v>9.31497240110403</v>
      </c>
      <c r="K178" s="91" t="n">
        <f aca="false">'Design Calculations'!L114</f>
        <v>9.31497240110403</v>
      </c>
      <c r="L178" s="5"/>
      <c r="M178" s="5" t="e">
        <f aca="false">0.000001*('Design Worksheet'!B$88)*(B179-B178)/(0.5*(E178+E179))+M177</f>
        <v>#N/A</v>
      </c>
      <c r="N178" s="5" t="n">
        <f aca="false">B178</f>
        <v>21.58</v>
      </c>
    </row>
    <row r="179" customFormat="false" ht="12.8" hidden="false" customHeight="false" outlineLevel="0" collapsed="false">
      <c r="A179" s="5" t="n">
        <f aca="false">'Design Calculations'!B113</f>
        <v>0.835</v>
      </c>
      <c r="B179" s="5" t="n">
        <f aca="false">'Design Calculations'!C113</f>
        <v>21.71</v>
      </c>
      <c r="C179" s="5" t="e">
        <f aca="false">'Design Calculations'!D113</f>
        <v>#N/A</v>
      </c>
      <c r="D179" s="5" t="e">
        <f aca="false">'Design Calculations'!E113</f>
        <v>#N/A</v>
      </c>
      <c r="E179" s="5" t="e">
        <f aca="false">'Design Calculations'!F113</f>
        <v>#N/A</v>
      </c>
      <c r="F179" s="5" t="e">
        <f aca="false">'Design Calculations'!G113</f>
        <v>#N/A</v>
      </c>
      <c r="G179" s="5" t="n">
        <f aca="false">'Design Calculations'!H113</f>
        <v>0.935000000000006</v>
      </c>
      <c r="H179" s="5" t="n">
        <f aca="false">'Design Calculations'!I113</f>
        <v>24.3100000000002</v>
      </c>
      <c r="I179" s="5" t="n">
        <f aca="false">'Design Calculations'!J113</f>
        <v>0.936505289788416</v>
      </c>
      <c r="J179" s="91" t="n">
        <f aca="false">'Design Calculations'!K113</f>
        <v>9.36505289788416</v>
      </c>
      <c r="K179" s="91" t="n">
        <f aca="false">'Design Calculations'!L113</f>
        <v>9.36505289788416</v>
      </c>
      <c r="L179" s="5"/>
      <c r="M179" s="5" t="e">
        <f aca="false">0.000001*('Design Worksheet'!B$88)*(B180-B179)/(0.5*(E179+E180))+M178</f>
        <v>#N/A</v>
      </c>
      <c r="N179" s="5" t="n">
        <f aca="false">B179</f>
        <v>21.71</v>
      </c>
    </row>
    <row r="180" customFormat="false" ht="12.8" hidden="false" customHeight="false" outlineLevel="0" collapsed="false">
      <c r="A180" s="5" t="n">
        <f aca="false">'Design Calculations'!B112</f>
        <v>0.84</v>
      </c>
      <c r="B180" s="5" t="n">
        <f aca="false">'Design Calculations'!C112</f>
        <v>21.84</v>
      </c>
      <c r="C180" s="5" t="e">
        <f aca="false">'Design Calculations'!D112</f>
        <v>#N/A</v>
      </c>
      <c r="D180" s="5" t="e">
        <f aca="false">'Design Calculations'!E112</f>
        <v>#N/A</v>
      </c>
      <c r="E180" s="5" t="e">
        <f aca="false">'Design Calculations'!F112</f>
        <v>#N/A</v>
      </c>
      <c r="F180" s="5" t="e">
        <f aca="false">'Design Calculations'!G112</f>
        <v>#N/A</v>
      </c>
      <c r="G180" s="5" t="n">
        <f aca="false">'Design Calculations'!H112</f>
        <v>0.940000000000006</v>
      </c>
      <c r="H180" s="5" t="n">
        <f aca="false">'Design Calculations'!I112</f>
        <v>24.4400000000002</v>
      </c>
      <c r="I180" s="5" t="n">
        <f aca="false">'Design Calculations'!J112</f>
        <v>0.941513339466429</v>
      </c>
      <c r="J180" s="91" t="n">
        <f aca="false">'Design Calculations'!K112</f>
        <v>9.41513339466429</v>
      </c>
      <c r="K180" s="91" t="n">
        <f aca="false">'Design Calculations'!L112</f>
        <v>9.41513339466429</v>
      </c>
      <c r="L180" s="5"/>
      <c r="M180" s="5" t="e">
        <f aca="false">0.000001*('Design Worksheet'!B$88)*(B181-B180)/(0.5*(E180+E181))+M179</f>
        <v>#N/A</v>
      </c>
      <c r="N180" s="5" t="n">
        <f aca="false">B180</f>
        <v>21.84</v>
      </c>
    </row>
    <row r="181" customFormat="false" ht="12.8" hidden="false" customHeight="false" outlineLevel="0" collapsed="false">
      <c r="A181" s="5" t="n">
        <f aca="false">'Design Calculations'!B111</f>
        <v>0.845</v>
      </c>
      <c r="B181" s="5" t="n">
        <f aca="false">'Design Calculations'!C111</f>
        <v>21.97</v>
      </c>
      <c r="C181" s="5" t="e">
        <f aca="false">'Design Calculations'!D111</f>
        <v>#N/A</v>
      </c>
      <c r="D181" s="5" t="e">
        <f aca="false">'Design Calculations'!E111</f>
        <v>#N/A</v>
      </c>
      <c r="E181" s="5" t="e">
        <f aca="false">'Design Calculations'!F111</f>
        <v>#N/A</v>
      </c>
      <c r="F181" s="5" t="e">
        <f aca="false">'Design Calculations'!G111</f>
        <v>#N/A</v>
      </c>
      <c r="G181" s="5" t="n">
        <f aca="false">'Design Calculations'!H111</f>
        <v>0.945000000000005</v>
      </c>
      <c r="H181" s="5" t="n">
        <f aca="false">'Design Calculations'!I111</f>
        <v>24.5700000000001</v>
      </c>
      <c r="I181" s="5" t="n">
        <f aca="false">'Design Calculations'!J111</f>
        <v>0.946521389144438</v>
      </c>
      <c r="J181" s="91" t="n">
        <f aca="false">'Design Calculations'!K111</f>
        <v>9.46521389144438</v>
      </c>
      <c r="K181" s="91" t="n">
        <f aca="false">'Design Calculations'!L111</f>
        <v>9.46521389144438</v>
      </c>
      <c r="L181" s="5"/>
      <c r="M181" s="5" t="e">
        <f aca="false">0.000001*('Design Worksheet'!B$88)*(B182-B181)/(0.5*(E181+E182))+M180</f>
        <v>#N/A</v>
      </c>
      <c r="N181" s="5" t="n">
        <f aca="false">B181</f>
        <v>21.97</v>
      </c>
    </row>
    <row r="182" customFormat="false" ht="12.8" hidden="false" customHeight="false" outlineLevel="0" collapsed="false">
      <c r="A182" s="5" t="n">
        <f aca="false">'Design Calculations'!B110</f>
        <v>0.85</v>
      </c>
      <c r="B182" s="5" t="n">
        <f aca="false">'Design Calculations'!C110</f>
        <v>22.1</v>
      </c>
      <c r="C182" s="5" t="e">
        <f aca="false">'Design Calculations'!D110</f>
        <v>#N/A</v>
      </c>
      <c r="D182" s="5" t="e">
        <f aca="false">'Design Calculations'!E110</f>
        <v>#N/A</v>
      </c>
      <c r="E182" s="5" t="e">
        <f aca="false">'Design Calculations'!F110</f>
        <v>#N/A</v>
      </c>
      <c r="F182" s="5" t="e">
        <f aca="false">'Design Calculations'!G110</f>
        <v>#N/A</v>
      </c>
      <c r="G182" s="5" t="n">
        <f aca="false">'Design Calculations'!H110</f>
        <v>0.950000000000005</v>
      </c>
      <c r="H182" s="5" t="n">
        <f aca="false">'Design Calculations'!I110</f>
        <v>24.7000000000001</v>
      </c>
      <c r="I182" s="5" t="n">
        <f aca="false">'Design Calculations'!J110</f>
        <v>0.951529438822451</v>
      </c>
      <c r="J182" s="91" t="n">
        <f aca="false">'Design Calculations'!K110</f>
        <v>9.51529438822451</v>
      </c>
      <c r="K182" s="91" t="n">
        <f aca="false">'Design Calculations'!L110</f>
        <v>9.51529438822451</v>
      </c>
      <c r="L182" s="5"/>
      <c r="M182" s="5" t="e">
        <f aca="false">0.000001*('Design Worksheet'!B$88)*(B183-B182)/(0.5*(E182+E183))+M181</f>
        <v>#N/A</v>
      </c>
      <c r="N182" s="5" t="n">
        <f aca="false">B182</f>
        <v>22.1</v>
      </c>
    </row>
    <row r="183" customFormat="false" ht="12.8" hidden="false" customHeight="false" outlineLevel="0" collapsed="false">
      <c r="A183" s="5" t="n">
        <f aca="false">'Design Calculations'!B109</f>
        <v>0.855</v>
      </c>
      <c r="B183" s="5" t="n">
        <f aca="false">'Design Calculations'!C109</f>
        <v>22.23</v>
      </c>
      <c r="C183" s="5" t="e">
        <f aca="false">'Design Calculations'!D109</f>
        <v>#N/A</v>
      </c>
      <c r="D183" s="5" t="e">
        <f aca="false">'Design Calculations'!E109</f>
        <v>#N/A</v>
      </c>
      <c r="E183" s="5" t="e">
        <f aca="false">'Design Calculations'!F109</f>
        <v>#N/A</v>
      </c>
      <c r="F183" s="5" t="e">
        <f aca="false">'Design Calculations'!G109</f>
        <v>#N/A</v>
      </c>
      <c r="G183" s="5" t="n">
        <f aca="false">'Design Calculations'!H109</f>
        <v>0.955000000000005</v>
      </c>
      <c r="H183" s="5" t="n">
        <f aca="false">'Design Calculations'!I109</f>
        <v>24.8300000000001</v>
      </c>
      <c r="I183" s="5" t="n">
        <f aca="false">'Design Calculations'!J109</f>
        <v>0.956537488500464</v>
      </c>
      <c r="J183" s="91" t="n">
        <f aca="false">'Design Calculations'!K109</f>
        <v>9.56537488500464</v>
      </c>
      <c r="K183" s="91" t="n">
        <f aca="false">'Design Calculations'!L109</f>
        <v>9.56537488500464</v>
      </c>
      <c r="L183" s="5"/>
      <c r="M183" s="5" t="e">
        <f aca="false">0.000001*('Design Worksheet'!B$88)*(B184-B183)/(0.5*(E183+E184))+M182</f>
        <v>#N/A</v>
      </c>
      <c r="N183" s="5" t="n">
        <f aca="false">B183</f>
        <v>22.23</v>
      </c>
    </row>
    <row r="184" customFormat="false" ht="12.8" hidden="false" customHeight="false" outlineLevel="0" collapsed="false">
      <c r="A184" s="5" t="n">
        <f aca="false">'Design Calculations'!B108</f>
        <v>0.86</v>
      </c>
      <c r="B184" s="5" t="n">
        <f aca="false">'Design Calculations'!C108</f>
        <v>22.36</v>
      </c>
      <c r="C184" s="5" t="e">
        <f aca="false">'Design Calculations'!D108</f>
        <v>#N/A</v>
      </c>
      <c r="D184" s="5" t="e">
        <f aca="false">'Design Calculations'!E108</f>
        <v>#N/A</v>
      </c>
      <c r="E184" s="5" t="e">
        <f aca="false">'Design Calculations'!F108</f>
        <v>#N/A</v>
      </c>
      <c r="F184" s="5" t="e">
        <f aca="false">'Design Calculations'!G108</f>
        <v>#N/A</v>
      </c>
      <c r="G184" s="5" t="n">
        <f aca="false">'Design Calculations'!H108</f>
        <v>0.960000000000005</v>
      </c>
      <c r="H184" s="5" t="n">
        <f aca="false">'Design Calculations'!I108</f>
        <v>24.9600000000001</v>
      </c>
      <c r="I184" s="5" t="n">
        <f aca="false">'Design Calculations'!J108</f>
        <v>0.961545538178477</v>
      </c>
      <c r="J184" s="91" t="n">
        <f aca="false">'Design Calculations'!K108</f>
        <v>9.61545538178477</v>
      </c>
      <c r="K184" s="91" t="n">
        <f aca="false">'Design Calculations'!L108</f>
        <v>9.61545538178477</v>
      </c>
      <c r="L184" s="5"/>
      <c r="M184" s="5" t="e">
        <f aca="false">0.000001*('Design Worksheet'!B$88)*(B185-B184)/(0.5*(E184+E185))+M183</f>
        <v>#N/A</v>
      </c>
      <c r="N184" s="5" t="n">
        <f aca="false">B184</f>
        <v>22.36</v>
      </c>
    </row>
    <row r="185" customFormat="false" ht="12.8" hidden="false" customHeight="false" outlineLevel="0" collapsed="false">
      <c r="A185" s="5" t="n">
        <f aca="false">'Design Calculations'!B107</f>
        <v>0.865</v>
      </c>
      <c r="B185" s="5" t="n">
        <f aca="false">'Design Calculations'!C107</f>
        <v>22.49</v>
      </c>
      <c r="C185" s="5" t="e">
        <f aca="false">'Design Calculations'!D107</f>
        <v>#N/A</v>
      </c>
      <c r="D185" s="5" t="e">
        <f aca="false">'Design Calculations'!E107</f>
        <v>#N/A</v>
      </c>
      <c r="E185" s="5" t="e">
        <f aca="false">'Design Calculations'!F107</f>
        <v>#N/A</v>
      </c>
      <c r="F185" s="5" t="e">
        <f aca="false">'Design Calculations'!G107</f>
        <v>#N/A</v>
      </c>
      <c r="G185" s="5" t="n">
        <f aca="false">'Design Calculations'!H107</f>
        <v>0.965000000000005</v>
      </c>
      <c r="H185" s="5" t="n">
        <f aca="false">'Design Calculations'!I107</f>
        <v>25.0900000000001</v>
      </c>
      <c r="I185" s="5" t="n">
        <f aca="false">'Design Calculations'!J107</f>
        <v>0.96655358785649</v>
      </c>
      <c r="J185" s="91" t="n">
        <f aca="false">'Design Calculations'!K107</f>
        <v>9.66553587856489</v>
      </c>
      <c r="K185" s="91" t="n">
        <f aca="false">'Design Calculations'!L107</f>
        <v>9.66553587856489</v>
      </c>
      <c r="L185" s="5"/>
      <c r="M185" s="5" t="e">
        <f aca="false">0.000001*('Design Worksheet'!B$88)*(B186-B185)/(0.5*(E185+E186))+M184</f>
        <v>#N/A</v>
      </c>
      <c r="N185" s="5" t="n">
        <f aca="false">B185</f>
        <v>22.49</v>
      </c>
    </row>
    <row r="186" customFormat="false" ht="12.8" hidden="false" customHeight="false" outlineLevel="0" collapsed="false">
      <c r="A186" s="5" t="n">
        <f aca="false">'Design Calculations'!B106</f>
        <v>0.87</v>
      </c>
      <c r="B186" s="5" t="n">
        <f aca="false">'Design Calculations'!C106</f>
        <v>22.62</v>
      </c>
      <c r="C186" s="5" t="e">
        <f aca="false">'Design Calculations'!D106</f>
        <v>#N/A</v>
      </c>
      <c r="D186" s="5" t="e">
        <f aca="false">'Design Calculations'!E106</f>
        <v>#N/A</v>
      </c>
      <c r="E186" s="5" t="e">
        <f aca="false">'Design Calculations'!F106</f>
        <v>#N/A</v>
      </c>
      <c r="F186" s="5" t="e">
        <f aca="false">'Design Calculations'!G106</f>
        <v>#N/A</v>
      </c>
      <c r="G186" s="5" t="n">
        <f aca="false">'Design Calculations'!H106</f>
        <v>0.970000000000005</v>
      </c>
      <c r="H186" s="5" t="n">
        <f aca="false">'Design Calculations'!I106</f>
        <v>25.2200000000001</v>
      </c>
      <c r="I186" s="5" t="n">
        <f aca="false">'Design Calculations'!J106</f>
        <v>0.971561637534502</v>
      </c>
      <c r="J186" s="91" t="n">
        <f aca="false">'Design Calculations'!K106</f>
        <v>9.71561637534502</v>
      </c>
      <c r="K186" s="91" t="n">
        <f aca="false">'Design Calculations'!L106</f>
        <v>9.71561637534502</v>
      </c>
      <c r="L186" s="5"/>
      <c r="M186" s="5" t="e">
        <f aca="false">0.000001*('Design Worksheet'!B$88)*(B187-B186)/(0.5*(E186+E187))+M185</f>
        <v>#N/A</v>
      </c>
      <c r="N186" s="5" t="n">
        <f aca="false">B186</f>
        <v>22.62</v>
      </c>
    </row>
    <row r="187" customFormat="false" ht="12.8" hidden="false" customHeight="false" outlineLevel="0" collapsed="false">
      <c r="A187" s="5" t="n">
        <f aca="false">'Design Calculations'!B105</f>
        <v>0.875</v>
      </c>
      <c r="B187" s="5" t="n">
        <f aca="false">'Design Calculations'!C105</f>
        <v>22.75</v>
      </c>
      <c r="C187" s="5" t="e">
        <f aca="false">'Design Calculations'!D105</f>
        <v>#N/A</v>
      </c>
      <c r="D187" s="5" t="e">
        <f aca="false">'Design Calculations'!E105</f>
        <v>#N/A</v>
      </c>
      <c r="E187" s="5" t="e">
        <f aca="false">'Design Calculations'!F105</f>
        <v>#N/A</v>
      </c>
      <c r="F187" s="5" t="e">
        <f aca="false">'Design Calculations'!G105</f>
        <v>#N/A</v>
      </c>
      <c r="G187" s="5" t="n">
        <f aca="false">'Design Calculations'!H105</f>
        <v>0.975000000000005</v>
      </c>
      <c r="H187" s="5" t="n">
        <f aca="false">'Design Calculations'!I105</f>
        <v>25.3500000000001</v>
      </c>
      <c r="I187" s="5" t="n">
        <f aca="false">'Design Calculations'!J105</f>
        <v>0.976569687212515</v>
      </c>
      <c r="J187" s="91" t="n">
        <f aca="false">'Design Calculations'!K105</f>
        <v>9.76569687212515</v>
      </c>
      <c r="K187" s="91" t="n">
        <f aca="false">'Design Calculations'!L105</f>
        <v>9.76569687212515</v>
      </c>
      <c r="L187" s="5"/>
      <c r="M187" s="5" t="e">
        <f aca="false">0.000001*('Design Worksheet'!B$88)*(B188-B187)/(0.5*(E187+E188))+M186</f>
        <v>#N/A</v>
      </c>
      <c r="N187" s="5" t="n">
        <f aca="false">B187</f>
        <v>22.75</v>
      </c>
    </row>
    <row r="188" customFormat="false" ht="12.8" hidden="false" customHeight="false" outlineLevel="0" collapsed="false">
      <c r="A188" s="5" t="n">
        <f aca="false">'Design Calculations'!B104</f>
        <v>0.88</v>
      </c>
      <c r="B188" s="5" t="n">
        <f aca="false">'Design Calculations'!C104</f>
        <v>22.88</v>
      </c>
      <c r="C188" s="5" t="e">
        <f aca="false">'Design Calculations'!D104</f>
        <v>#N/A</v>
      </c>
      <c r="D188" s="5" t="e">
        <f aca="false">'Design Calculations'!E104</f>
        <v>#N/A</v>
      </c>
      <c r="E188" s="5" t="e">
        <f aca="false">'Design Calculations'!F104</f>
        <v>#N/A</v>
      </c>
      <c r="F188" s="5" t="e">
        <f aca="false">'Design Calculations'!G104</f>
        <v>#N/A</v>
      </c>
      <c r="G188" s="5" t="n">
        <f aca="false">'Design Calculations'!H104</f>
        <v>0.980000000000005</v>
      </c>
      <c r="H188" s="5" t="n">
        <f aca="false">'Design Calculations'!I104</f>
        <v>25.4800000000001</v>
      </c>
      <c r="I188" s="5" t="n">
        <f aca="false">'Design Calculations'!J104</f>
        <v>0.981577736890528</v>
      </c>
      <c r="J188" s="91" t="n">
        <f aca="false">'Design Calculations'!K104</f>
        <v>9.81577736890528</v>
      </c>
      <c r="K188" s="91" t="n">
        <f aca="false">'Design Calculations'!L104</f>
        <v>9.81577736890528</v>
      </c>
      <c r="L188" s="5"/>
      <c r="M188" s="5" t="e">
        <f aca="false">0.000001*('Design Worksheet'!B$88)*(B189-B188)/(0.5*(E188+E189))+M187</f>
        <v>#N/A</v>
      </c>
      <c r="N188" s="5" t="n">
        <f aca="false">B188</f>
        <v>22.88</v>
      </c>
    </row>
    <row r="189" customFormat="false" ht="12.8" hidden="false" customHeight="false" outlineLevel="0" collapsed="false">
      <c r="A189" s="5" t="n">
        <f aca="false">'Design Calculations'!B103</f>
        <v>0.885</v>
      </c>
      <c r="B189" s="5" t="n">
        <f aca="false">'Design Calculations'!C103</f>
        <v>23.01</v>
      </c>
      <c r="C189" s="5" t="e">
        <f aca="false">'Design Calculations'!D103</f>
        <v>#N/A</v>
      </c>
      <c r="D189" s="5" t="e">
        <f aca="false">'Design Calculations'!E103</f>
        <v>#N/A</v>
      </c>
      <c r="E189" s="5" t="e">
        <f aca="false">'Design Calculations'!F103</f>
        <v>#N/A</v>
      </c>
      <c r="F189" s="5" t="e">
        <f aca="false">'Design Calculations'!G103</f>
        <v>#N/A</v>
      </c>
      <c r="G189" s="5" t="n">
        <f aca="false">'Design Calculations'!H103</f>
        <v>0.985000000000005</v>
      </c>
      <c r="H189" s="5" t="n">
        <f aca="false">'Design Calculations'!I103</f>
        <v>25.6100000000001</v>
      </c>
      <c r="I189" s="5" t="n">
        <f aca="false">'Design Calculations'!J103</f>
        <v>0.986585786568541</v>
      </c>
      <c r="J189" s="91" t="n">
        <f aca="false">'Design Calculations'!K103</f>
        <v>9.86585786568541</v>
      </c>
      <c r="K189" s="91" t="n">
        <f aca="false">'Design Calculations'!L103</f>
        <v>9.86585786568541</v>
      </c>
      <c r="L189" s="5"/>
      <c r="M189" s="5" t="e">
        <f aca="false">0.000001*('Design Worksheet'!B$88)*(B190-B189)/(0.5*(E189+E190))+M188</f>
        <v>#N/A</v>
      </c>
      <c r="N189" s="5" t="n">
        <f aca="false">B189</f>
        <v>23.01</v>
      </c>
    </row>
    <row r="190" customFormat="false" ht="12.8" hidden="false" customHeight="false" outlineLevel="0" collapsed="false">
      <c r="A190" s="5" t="n">
        <f aca="false">'Design Calculations'!B102</f>
        <v>0.89</v>
      </c>
      <c r="B190" s="5" t="n">
        <f aca="false">'Design Calculations'!C102</f>
        <v>23.14</v>
      </c>
      <c r="C190" s="5" t="e">
        <f aca="false">'Design Calculations'!D102</f>
        <v>#N/A</v>
      </c>
      <c r="D190" s="5" t="e">
        <f aca="false">'Design Calculations'!E102</f>
        <v>#N/A</v>
      </c>
      <c r="E190" s="5" t="e">
        <f aca="false">'Design Calculations'!F102</f>
        <v>#N/A</v>
      </c>
      <c r="F190" s="5" t="e">
        <f aca="false">'Design Calculations'!G102</f>
        <v>#N/A</v>
      </c>
      <c r="G190" s="5" t="n">
        <f aca="false">'Design Calculations'!H102</f>
        <v>0.990000000000004</v>
      </c>
      <c r="H190" s="5" t="n">
        <f aca="false">'Design Calculations'!I102</f>
        <v>25.7400000000001</v>
      </c>
      <c r="I190" s="5" t="n">
        <f aca="false">'Design Calculations'!J102</f>
        <v>0.991593836246554</v>
      </c>
      <c r="J190" s="91" t="n">
        <f aca="false">'Design Calculations'!K102</f>
        <v>9.91593836246554</v>
      </c>
      <c r="K190" s="91" t="n">
        <f aca="false">'Design Calculations'!L102</f>
        <v>9.91593836246554</v>
      </c>
      <c r="L190" s="5"/>
      <c r="M190" s="5" t="e">
        <f aca="false">0.000001*('Design Worksheet'!B$88)*(B191-B190)/(0.5*(E190+E191))+M189</f>
        <v>#N/A</v>
      </c>
      <c r="N190" s="5" t="n">
        <f aca="false">B190</f>
        <v>23.14</v>
      </c>
    </row>
    <row r="191" customFormat="false" ht="12.8" hidden="false" customHeight="false" outlineLevel="0" collapsed="false">
      <c r="A191" s="5" t="n">
        <f aca="false">'Design Calculations'!B101</f>
        <v>0.895</v>
      </c>
      <c r="B191" s="5" t="n">
        <f aca="false">'Design Calculations'!C101</f>
        <v>23.27</v>
      </c>
      <c r="C191" s="5" t="e">
        <f aca="false">'Design Calculations'!D101</f>
        <v>#N/A</v>
      </c>
      <c r="D191" s="5" t="e">
        <f aca="false">'Design Calculations'!E101</f>
        <v>#N/A</v>
      </c>
      <c r="E191" s="5" t="e">
        <f aca="false">'Design Calculations'!F101</f>
        <v>#N/A</v>
      </c>
      <c r="F191" s="5" t="e">
        <f aca="false">'Design Calculations'!G101</f>
        <v>#N/A</v>
      </c>
      <c r="G191" s="5" t="n">
        <f aca="false">'Design Calculations'!H101</f>
        <v>0.995000000000004</v>
      </c>
      <c r="H191" s="5" t="n">
        <f aca="false">'Design Calculations'!I101</f>
        <v>25.8700000000001</v>
      </c>
      <c r="I191" s="5" t="n">
        <f aca="false">'Design Calculations'!J101</f>
        <v>0.996601885924567</v>
      </c>
      <c r="J191" s="91" t="n">
        <f aca="false">'Design Calculations'!K101</f>
        <v>9.96601885924567</v>
      </c>
      <c r="K191" s="91" t="n">
        <f aca="false">'Design Calculations'!L101</f>
        <v>9.96601885924567</v>
      </c>
      <c r="L191" s="5"/>
      <c r="M191" s="5" t="e">
        <f aca="false">0.000001*('Design Worksheet'!B$88)*(B192-B191)/(0.5*(E191+E192))+M190</f>
        <v>#N/A</v>
      </c>
      <c r="N191" s="5" t="n">
        <f aca="false">B191</f>
        <v>23.27</v>
      </c>
    </row>
    <row r="192" customFormat="false" ht="12.8" hidden="false" customHeight="false" outlineLevel="0" collapsed="false">
      <c r="A192" s="5" t="n">
        <f aca="false">'Design Calculations'!B100</f>
        <v>0.9</v>
      </c>
      <c r="B192" s="5" t="n">
        <f aca="false">'Design Calculations'!C100</f>
        <v>23.4</v>
      </c>
      <c r="C192" s="5" t="e">
        <f aca="false">'Design Calculations'!D100</f>
        <v>#N/A</v>
      </c>
      <c r="D192" s="5" t="e">
        <f aca="false">'Design Calculations'!E100</f>
        <v>#N/A</v>
      </c>
      <c r="E192" s="5" t="e">
        <f aca="false">'Design Calculations'!F100</f>
        <v>#N/A</v>
      </c>
      <c r="F192" s="5" t="e">
        <f aca="false">'Design Calculations'!G100</f>
        <v>#N/A</v>
      </c>
      <c r="G192" s="5" t="n">
        <f aca="false">'Design Calculations'!H100</f>
        <v>1</v>
      </c>
      <c r="H192" s="5" t="n">
        <f aca="false">'Design Calculations'!I100</f>
        <v>26</v>
      </c>
      <c r="I192" s="5" t="n">
        <f aca="false">'Design Calculations'!J100</f>
        <v>1.00160993560258</v>
      </c>
      <c r="J192" s="91" t="n">
        <f aca="false">'Design Calculations'!K100</f>
        <v>9.96677740863787</v>
      </c>
      <c r="K192" s="91" t="n">
        <f aca="false">'Design Calculations'!L100</f>
        <v>9.96677740863787</v>
      </c>
      <c r="L192" s="5"/>
      <c r="M192" s="5" t="e">
        <f aca="false">0.000001*('Design Worksheet'!B$88)*(B193-B192)/(0.5*(E192+E193))+M191</f>
        <v>#N/A</v>
      </c>
      <c r="N192" s="5" t="n">
        <f aca="false">B192</f>
        <v>23.4</v>
      </c>
    </row>
    <row r="193" customFormat="false" ht="12.8" hidden="false" customHeight="false" outlineLevel="0" collapsed="false">
      <c r="A193" s="5" t="n">
        <f aca="false">'Design Calculations'!B99</f>
        <v>0.905</v>
      </c>
      <c r="B193" s="5" t="n">
        <f aca="false">'Design Calculations'!C99</f>
        <v>23.53</v>
      </c>
      <c r="C193" s="5" t="e">
        <f aca="false">'Design Calculations'!D99</f>
        <v>#N/A</v>
      </c>
      <c r="D193" s="5" t="e">
        <f aca="false">'Design Calculations'!E99</f>
        <v>#N/A</v>
      </c>
      <c r="E193" s="5" t="e">
        <f aca="false">'Design Calculations'!F99</f>
        <v>#N/A</v>
      </c>
      <c r="F193" s="5" t="e">
        <f aca="false">'Design Calculations'!G99</f>
        <v>#N/A</v>
      </c>
      <c r="G193" s="5" t="n">
        <f aca="false">'Design Calculations'!H99</f>
        <v>1.005</v>
      </c>
      <c r="H193" s="5" t="n">
        <f aca="false">'Design Calculations'!I99</f>
        <v>26.13</v>
      </c>
      <c r="I193" s="5" t="n">
        <f aca="false">'Design Calculations'!J99</f>
        <v>1.00661798528059</v>
      </c>
      <c r="J193" s="91" t="n">
        <f aca="false">'Design Calculations'!K99</f>
        <v>9.96677740863787</v>
      </c>
      <c r="K193" s="91" t="n">
        <f aca="false">'Design Calculations'!L99</f>
        <v>9.96677740863787</v>
      </c>
      <c r="L193" s="5"/>
      <c r="M193" s="5" t="e">
        <f aca="false">0.000001*('Design Worksheet'!B$88)*(B194-B193)/(0.5*(E193+E194))+M192</f>
        <v>#N/A</v>
      </c>
      <c r="N193" s="5" t="n">
        <f aca="false">B193</f>
        <v>23.53</v>
      </c>
    </row>
    <row r="194" customFormat="false" ht="12.8" hidden="false" customHeight="false" outlineLevel="0" collapsed="false">
      <c r="A194" s="5" t="n">
        <f aca="false">'Design Calculations'!B98</f>
        <v>0.91</v>
      </c>
      <c r="B194" s="5" t="n">
        <f aca="false">'Design Calculations'!C98</f>
        <v>23.66</v>
      </c>
      <c r="C194" s="5" t="e">
        <f aca="false">'Design Calculations'!D98</f>
        <v>#N/A</v>
      </c>
      <c r="D194" s="5" t="e">
        <f aca="false">'Design Calculations'!E98</f>
        <v>#N/A</v>
      </c>
      <c r="E194" s="5" t="e">
        <f aca="false">'Design Calculations'!F98</f>
        <v>#N/A</v>
      </c>
      <c r="F194" s="5" t="e">
        <f aca="false">'Design Calculations'!G98</f>
        <v>#N/A</v>
      </c>
      <c r="G194" s="5" t="n">
        <f aca="false">'Design Calculations'!H98</f>
        <v>1.01</v>
      </c>
      <c r="H194" s="5" t="n">
        <f aca="false">'Design Calculations'!I98</f>
        <v>26.26</v>
      </c>
      <c r="I194" s="5" t="n">
        <f aca="false">'Design Calculations'!J98</f>
        <v>1.0116260349586</v>
      </c>
      <c r="J194" s="91" t="n">
        <f aca="false">'Design Calculations'!K98</f>
        <v>9.96677740863787</v>
      </c>
      <c r="K194" s="91" t="n">
        <f aca="false">'Design Calculations'!L98</f>
        <v>9.96677740863787</v>
      </c>
      <c r="L194" s="5"/>
      <c r="M194" s="5" t="e">
        <f aca="false">0.000001*('Design Worksheet'!B$88)*(B195-B194)/(0.5*(E194+E195))+M193</f>
        <v>#N/A</v>
      </c>
      <c r="N194" s="5" t="n">
        <f aca="false">B194</f>
        <v>23.66</v>
      </c>
    </row>
    <row r="195" customFormat="false" ht="12.8" hidden="false" customHeight="false" outlineLevel="0" collapsed="false">
      <c r="A195" s="5" t="n">
        <f aca="false">'Design Calculations'!B97</f>
        <v>0.915</v>
      </c>
      <c r="B195" s="5" t="n">
        <f aca="false">'Design Calculations'!C97</f>
        <v>23.79</v>
      </c>
      <c r="C195" s="5" t="e">
        <f aca="false">'Design Calculations'!D97</f>
        <v>#N/A</v>
      </c>
      <c r="D195" s="5" t="e">
        <f aca="false">'Design Calculations'!E97</f>
        <v>#N/A</v>
      </c>
      <c r="E195" s="5" t="e">
        <f aca="false">'Design Calculations'!F97</f>
        <v>#N/A</v>
      </c>
      <c r="F195" s="5" t="e">
        <f aca="false">'Design Calculations'!G97</f>
        <v>#N/A</v>
      </c>
      <c r="G195" s="5" t="n">
        <f aca="false">'Design Calculations'!H97</f>
        <v>1.015</v>
      </c>
      <c r="H195" s="5" t="n">
        <f aca="false">'Design Calculations'!I97</f>
        <v>26.39</v>
      </c>
      <c r="I195" s="5" t="n">
        <f aca="false">'Design Calculations'!J97</f>
        <v>1.01663408463661</v>
      </c>
      <c r="J195" s="91" t="n">
        <f aca="false">'Design Calculations'!K97</f>
        <v>9.96677740863787</v>
      </c>
      <c r="K195" s="91" t="n">
        <f aca="false">'Design Calculations'!L97</f>
        <v>9.96677740863787</v>
      </c>
      <c r="L195" s="5"/>
      <c r="M195" s="5" t="e">
        <f aca="false">0.000001*('Design Worksheet'!B$88)*(B196-B195)/(0.5*(E195+E196))+M194</f>
        <v>#N/A</v>
      </c>
      <c r="N195" s="5" t="n">
        <f aca="false">B195</f>
        <v>23.79</v>
      </c>
    </row>
    <row r="196" customFormat="false" ht="12.8" hidden="false" customHeight="false" outlineLevel="0" collapsed="false">
      <c r="A196" s="5" t="n">
        <f aca="false">'Design Calculations'!B96</f>
        <v>0.92</v>
      </c>
      <c r="B196" s="5" t="n">
        <f aca="false">'Design Calculations'!C96</f>
        <v>23.92</v>
      </c>
      <c r="C196" s="5" t="e">
        <f aca="false">'Design Calculations'!D96</f>
        <v>#N/A</v>
      </c>
      <c r="D196" s="5" t="e">
        <f aca="false">'Design Calculations'!E96</f>
        <v>#N/A</v>
      </c>
      <c r="E196" s="5" t="e">
        <f aca="false">'Design Calculations'!F96</f>
        <v>#N/A</v>
      </c>
      <c r="F196" s="5" t="e">
        <f aca="false">'Design Calculations'!G96</f>
        <v>#N/A</v>
      </c>
      <c r="G196" s="5" t="n">
        <f aca="false">'Design Calculations'!H96</f>
        <v>1.02</v>
      </c>
      <c r="H196" s="5" t="n">
        <f aca="false">'Design Calculations'!I96</f>
        <v>26.52</v>
      </c>
      <c r="I196" s="5" t="n">
        <f aca="false">'Design Calculations'!J96</f>
        <v>1.02164213431463</v>
      </c>
      <c r="J196" s="91" t="n">
        <f aca="false">'Design Calculations'!K96</f>
        <v>9.96677740863787</v>
      </c>
      <c r="K196" s="91" t="n">
        <f aca="false">'Design Calculations'!L96</f>
        <v>9.96677740863787</v>
      </c>
      <c r="L196" s="5"/>
      <c r="M196" s="5" t="e">
        <f aca="false">0.000001*('Design Worksheet'!B$88)*(B197-B196)/(0.5*(E196+E197))+M195</f>
        <v>#N/A</v>
      </c>
      <c r="N196" s="5" t="n">
        <f aca="false">B196</f>
        <v>23.92</v>
      </c>
    </row>
    <row r="197" customFormat="false" ht="12.8" hidden="false" customHeight="false" outlineLevel="0" collapsed="false">
      <c r="A197" s="5" t="n">
        <f aca="false">'Design Calculations'!B95</f>
        <v>0.925</v>
      </c>
      <c r="B197" s="5" t="n">
        <f aca="false">'Design Calculations'!C95</f>
        <v>24.05</v>
      </c>
      <c r="C197" s="5" t="e">
        <f aca="false">'Design Calculations'!D95</f>
        <v>#N/A</v>
      </c>
      <c r="D197" s="5" t="e">
        <f aca="false">'Design Calculations'!E95</f>
        <v>#N/A</v>
      </c>
      <c r="E197" s="5" t="e">
        <f aca="false">'Design Calculations'!F95</f>
        <v>#N/A</v>
      </c>
      <c r="F197" s="5" t="e">
        <f aca="false">'Design Calculations'!G95</f>
        <v>#N/A</v>
      </c>
      <c r="G197" s="5" t="n">
        <f aca="false">'Design Calculations'!H95</f>
        <v>1.025</v>
      </c>
      <c r="H197" s="5" t="n">
        <f aca="false">'Design Calculations'!I95</f>
        <v>26.65</v>
      </c>
      <c r="I197" s="5" t="n">
        <f aca="false">'Design Calculations'!J95</f>
        <v>1.02665018399264</v>
      </c>
      <c r="J197" s="91" t="n">
        <f aca="false">'Design Calculations'!K95</f>
        <v>9.96677740863787</v>
      </c>
      <c r="K197" s="91" t="n">
        <f aca="false">'Design Calculations'!L95</f>
        <v>9.96677740863787</v>
      </c>
      <c r="L197" s="5"/>
      <c r="M197" s="5" t="e">
        <f aca="false">0.000001*('Design Worksheet'!B$88)*(B198-B197)/(0.5*(E197+E198))+M196</f>
        <v>#N/A</v>
      </c>
      <c r="N197" s="5" t="n">
        <f aca="false">B197</f>
        <v>24.05</v>
      </c>
    </row>
    <row r="198" customFormat="false" ht="12.8" hidden="false" customHeight="false" outlineLevel="0" collapsed="false">
      <c r="A198" s="5" t="n">
        <f aca="false">'Design Calculations'!B94</f>
        <v>0.93</v>
      </c>
      <c r="B198" s="5" t="n">
        <f aca="false">'Design Calculations'!C94</f>
        <v>24.18</v>
      </c>
      <c r="C198" s="5" t="e">
        <f aca="false">'Design Calculations'!D94</f>
        <v>#N/A</v>
      </c>
      <c r="D198" s="5" t="e">
        <f aca="false">'Design Calculations'!E94</f>
        <v>#N/A</v>
      </c>
      <c r="E198" s="5" t="e">
        <f aca="false">'Design Calculations'!F94</f>
        <v>#N/A</v>
      </c>
      <c r="F198" s="5" t="e">
        <f aca="false">'Design Calculations'!G94</f>
        <v>#N/A</v>
      </c>
      <c r="G198" s="5" t="n">
        <f aca="false">'Design Calculations'!H94</f>
        <v>1.03</v>
      </c>
      <c r="H198" s="5" t="n">
        <f aca="false">'Design Calculations'!I94</f>
        <v>26.78</v>
      </c>
      <c r="I198" s="5" t="n">
        <f aca="false">'Design Calculations'!J94</f>
        <v>1.03165823367065</v>
      </c>
      <c r="J198" s="91" t="n">
        <f aca="false">'Design Calculations'!K94</f>
        <v>9.96677740863787</v>
      </c>
      <c r="K198" s="91" t="n">
        <f aca="false">'Design Calculations'!L94</f>
        <v>9.96677740863787</v>
      </c>
      <c r="L198" s="5"/>
      <c r="M198" s="5" t="e">
        <f aca="false">0.000001*('Design Worksheet'!B$88)*(B199-B198)/(0.5*(E198+E199))+M197</f>
        <v>#N/A</v>
      </c>
      <c r="N198" s="5" t="n">
        <f aca="false">B198</f>
        <v>24.18</v>
      </c>
    </row>
    <row r="199" customFormat="false" ht="12.8" hidden="false" customHeight="false" outlineLevel="0" collapsed="false">
      <c r="A199" s="5" t="n">
        <f aca="false">'Design Calculations'!B93</f>
        <v>0.935</v>
      </c>
      <c r="B199" s="5" t="n">
        <f aca="false">'Design Calculations'!C93</f>
        <v>24.31</v>
      </c>
      <c r="C199" s="5" t="e">
        <f aca="false">'Design Calculations'!D93</f>
        <v>#N/A</v>
      </c>
      <c r="D199" s="5" t="e">
        <f aca="false">'Design Calculations'!E93</f>
        <v>#N/A</v>
      </c>
      <c r="E199" s="5" t="e">
        <f aca="false">'Design Calculations'!F93</f>
        <v>#N/A</v>
      </c>
      <c r="F199" s="5" t="e">
        <f aca="false">'Design Calculations'!G93</f>
        <v>#N/A</v>
      </c>
      <c r="G199" s="5" t="n">
        <f aca="false">'Design Calculations'!H93</f>
        <v>1.035</v>
      </c>
      <c r="H199" s="5" t="n">
        <f aca="false">'Design Calculations'!I93</f>
        <v>26.91</v>
      </c>
      <c r="I199" s="5" t="n">
        <f aca="false">'Design Calculations'!J93</f>
        <v>1.03666628334867</v>
      </c>
      <c r="J199" s="91" t="n">
        <f aca="false">'Design Calculations'!K93</f>
        <v>9.96677740863787</v>
      </c>
      <c r="K199" s="91" t="n">
        <f aca="false">'Design Calculations'!L93</f>
        <v>9.96677740863787</v>
      </c>
      <c r="L199" s="5"/>
      <c r="M199" s="5" t="e">
        <f aca="false">0.000001*('Design Worksheet'!B$88)*(B200-B199)/(0.5*(E199+E200))+M198</f>
        <v>#N/A</v>
      </c>
      <c r="N199" s="5" t="n">
        <f aca="false">B199</f>
        <v>24.31</v>
      </c>
    </row>
    <row r="200" customFormat="false" ht="12.8" hidden="false" customHeight="false" outlineLevel="0" collapsed="false">
      <c r="A200" s="5" t="n">
        <f aca="false">'Design Calculations'!B92</f>
        <v>0.94</v>
      </c>
      <c r="B200" s="5" t="n">
        <f aca="false">'Design Calculations'!C92</f>
        <v>24.44</v>
      </c>
      <c r="C200" s="5" t="e">
        <f aca="false">'Design Calculations'!D92</f>
        <v>#N/A</v>
      </c>
      <c r="D200" s="5" t="e">
        <f aca="false">'Design Calculations'!E92</f>
        <v>#N/A</v>
      </c>
      <c r="E200" s="5" t="e">
        <f aca="false">'Design Calculations'!F92</f>
        <v>#N/A</v>
      </c>
      <c r="F200" s="5" t="e">
        <f aca="false">'Design Calculations'!G92</f>
        <v>#N/A</v>
      </c>
      <c r="G200" s="5" t="n">
        <f aca="false">'Design Calculations'!H92</f>
        <v>1.04</v>
      </c>
      <c r="H200" s="5" t="n">
        <f aca="false">'Design Calculations'!I92</f>
        <v>27.04</v>
      </c>
      <c r="I200" s="5" t="n">
        <f aca="false">'Design Calculations'!J92</f>
        <v>1.04167433302668</v>
      </c>
      <c r="J200" s="91" t="n">
        <f aca="false">'Design Calculations'!K92</f>
        <v>9.96677740863787</v>
      </c>
      <c r="K200" s="91" t="n">
        <f aca="false">'Design Calculations'!L92</f>
        <v>9.96677740863787</v>
      </c>
      <c r="L200" s="5"/>
      <c r="M200" s="5" t="e">
        <f aca="false">0.000001*('Design Worksheet'!B$88)*(B201-B200)/(0.5*(E200+E201))+M199</f>
        <v>#N/A</v>
      </c>
      <c r="N200" s="5" t="n">
        <f aca="false">B200</f>
        <v>24.44</v>
      </c>
    </row>
    <row r="201" customFormat="false" ht="12.8" hidden="false" customHeight="false" outlineLevel="0" collapsed="false">
      <c r="A201" s="5" t="n">
        <f aca="false">'Design Calculations'!B91</f>
        <v>0.945</v>
      </c>
      <c r="B201" s="5" t="n">
        <f aca="false">'Design Calculations'!C91</f>
        <v>24.57</v>
      </c>
      <c r="C201" s="5" t="e">
        <f aca="false">'Design Calculations'!D91</f>
        <v>#N/A</v>
      </c>
      <c r="D201" s="5" t="e">
        <f aca="false">'Design Calculations'!E91</f>
        <v>#N/A</v>
      </c>
      <c r="E201" s="5" t="e">
        <f aca="false">'Design Calculations'!F91</f>
        <v>#N/A</v>
      </c>
      <c r="F201" s="5" t="e">
        <f aca="false">'Design Calculations'!G91</f>
        <v>#N/A</v>
      </c>
      <c r="G201" s="5" t="n">
        <f aca="false">'Design Calculations'!H91</f>
        <v>1.045</v>
      </c>
      <c r="H201" s="5" t="n">
        <f aca="false">'Design Calculations'!I91</f>
        <v>27.17</v>
      </c>
      <c r="I201" s="5" t="n">
        <f aca="false">'Design Calculations'!J91</f>
        <v>1.04668238270469</v>
      </c>
      <c r="J201" s="91" t="n">
        <f aca="false">'Design Calculations'!K91</f>
        <v>9.96677740863787</v>
      </c>
      <c r="K201" s="91" t="n">
        <f aca="false">'Design Calculations'!L91</f>
        <v>9.96677740863787</v>
      </c>
      <c r="L201" s="5"/>
      <c r="M201" s="5" t="e">
        <f aca="false">0.000001*('Design Worksheet'!B$88)*(B202-B201)/(0.5*(E201+E202))+M200</f>
        <v>#N/A</v>
      </c>
      <c r="N201" s="5" t="n">
        <f aca="false">B201</f>
        <v>24.57</v>
      </c>
    </row>
    <row r="202" customFormat="false" ht="12.8" hidden="false" customHeight="false" outlineLevel="0" collapsed="false">
      <c r="A202" s="5" t="n">
        <f aca="false">'Design Calculations'!B90</f>
        <v>0.95</v>
      </c>
      <c r="B202" s="5" t="n">
        <f aca="false">'Design Calculations'!C90</f>
        <v>24.7</v>
      </c>
      <c r="C202" s="5" t="e">
        <f aca="false">'Design Calculations'!D90</f>
        <v>#N/A</v>
      </c>
      <c r="D202" s="5" t="e">
        <f aca="false">'Design Calculations'!E90</f>
        <v>#N/A</v>
      </c>
      <c r="E202" s="5" t="e">
        <f aca="false">'Design Calculations'!F90</f>
        <v>#N/A</v>
      </c>
      <c r="F202" s="5" t="e">
        <f aca="false">'Design Calculations'!G90</f>
        <v>#N/A</v>
      </c>
      <c r="G202" s="5" t="n">
        <f aca="false">'Design Calculations'!H90</f>
        <v>1.05</v>
      </c>
      <c r="H202" s="5" t="n">
        <f aca="false">'Design Calculations'!I90</f>
        <v>27.3</v>
      </c>
      <c r="I202" s="5" t="n">
        <f aca="false">'Design Calculations'!J90</f>
        <v>1.0516904323827</v>
      </c>
      <c r="J202" s="91" t="n">
        <f aca="false">'Design Calculations'!K90</f>
        <v>9.96677740863787</v>
      </c>
      <c r="K202" s="91" t="n">
        <f aca="false">'Design Calculations'!L90</f>
        <v>9.96677740863787</v>
      </c>
      <c r="L202" s="5"/>
      <c r="M202" s="5" t="e">
        <f aca="false">0.000001*('Design Worksheet'!B$88)*(B203-B202)/(0.5*(E202+E203))+M201</f>
        <v>#N/A</v>
      </c>
      <c r="N202" s="5" t="n">
        <f aca="false">B202</f>
        <v>24.7</v>
      </c>
    </row>
    <row r="203" customFormat="false" ht="12.8" hidden="false" customHeight="false" outlineLevel="0" collapsed="false">
      <c r="A203" s="5" t="n">
        <f aca="false">'Design Calculations'!B89</f>
        <v>0.955</v>
      </c>
      <c r="B203" s="5" t="n">
        <f aca="false">'Design Calculations'!C89</f>
        <v>24.83</v>
      </c>
      <c r="C203" s="5" t="e">
        <f aca="false">'Design Calculations'!D89</f>
        <v>#N/A</v>
      </c>
      <c r="D203" s="5" t="e">
        <f aca="false">'Design Calculations'!E89</f>
        <v>#N/A</v>
      </c>
      <c r="E203" s="5" t="e">
        <f aca="false">'Design Calculations'!F89</f>
        <v>#N/A</v>
      </c>
      <c r="F203" s="5" t="e">
        <f aca="false">'Design Calculations'!G89</f>
        <v>#N/A</v>
      </c>
      <c r="G203" s="5" t="n">
        <f aca="false">'Design Calculations'!H89</f>
        <v>1.055</v>
      </c>
      <c r="H203" s="5" t="n">
        <f aca="false">'Design Calculations'!I89</f>
        <v>27.43</v>
      </c>
      <c r="I203" s="5" t="n">
        <f aca="false">'Design Calculations'!J89</f>
        <v>1.05669848206072</v>
      </c>
      <c r="J203" s="91" t="n">
        <f aca="false">'Design Calculations'!K89</f>
        <v>9.96677740863787</v>
      </c>
      <c r="K203" s="91" t="n">
        <f aca="false">'Design Calculations'!L89</f>
        <v>9.96677740863787</v>
      </c>
      <c r="L203" s="5"/>
      <c r="M203" s="5" t="e">
        <f aca="false">0.000001*('Design Worksheet'!B$88)*(B204-B203)/(0.5*(E203+E204))+M202</f>
        <v>#N/A</v>
      </c>
      <c r="N203" s="5" t="n">
        <f aca="false">B203</f>
        <v>24.83</v>
      </c>
    </row>
    <row r="204" customFormat="false" ht="12.8" hidden="false" customHeight="false" outlineLevel="0" collapsed="false">
      <c r="A204" s="5" t="n">
        <f aca="false">'Design Calculations'!B88</f>
        <v>0.96</v>
      </c>
      <c r="B204" s="5" t="n">
        <f aca="false">'Design Calculations'!C88</f>
        <v>24.96</v>
      </c>
      <c r="C204" s="5" t="e">
        <f aca="false">'Design Calculations'!D88</f>
        <v>#N/A</v>
      </c>
      <c r="D204" s="5" t="e">
        <f aca="false">'Design Calculations'!E88</f>
        <v>#N/A</v>
      </c>
      <c r="E204" s="5" t="e">
        <f aca="false">'Design Calculations'!F88</f>
        <v>#N/A</v>
      </c>
      <c r="F204" s="5" t="e">
        <f aca="false">'Design Calculations'!G88</f>
        <v>#N/A</v>
      </c>
      <c r="G204" s="5" t="n">
        <f aca="false">'Design Calculations'!H88</f>
        <v>1.06</v>
      </c>
      <c r="H204" s="5" t="n">
        <f aca="false">'Design Calculations'!I88</f>
        <v>27.56</v>
      </c>
      <c r="I204" s="5" t="n">
        <f aca="false">'Design Calculations'!J88</f>
        <v>1.06170653173873</v>
      </c>
      <c r="J204" s="91" t="n">
        <f aca="false">'Design Calculations'!K88</f>
        <v>9.96677740863787</v>
      </c>
      <c r="K204" s="91" t="n">
        <f aca="false">'Design Calculations'!L88</f>
        <v>9.96677740863787</v>
      </c>
      <c r="L204" s="5"/>
      <c r="M204" s="5" t="e">
        <f aca="false">0.000001*('Design Worksheet'!B$88)*(B205-B204)/(0.5*(E204+E205))+M203</f>
        <v>#N/A</v>
      </c>
      <c r="N204" s="5" t="n">
        <f aca="false">B204</f>
        <v>24.96</v>
      </c>
    </row>
    <row r="205" customFormat="false" ht="12.8" hidden="false" customHeight="false" outlineLevel="0" collapsed="false">
      <c r="A205" s="5" t="n">
        <f aca="false">'Design Calculations'!B87</f>
        <v>0.965</v>
      </c>
      <c r="B205" s="5" t="n">
        <f aca="false">'Design Calculations'!C87</f>
        <v>25.09</v>
      </c>
      <c r="C205" s="5" t="e">
        <f aca="false">'Design Calculations'!D87</f>
        <v>#N/A</v>
      </c>
      <c r="D205" s="5" t="e">
        <f aca="false">'Design Calculations'!E87</f>
        <v>#N/A</v>
      </c>
      <c r="E205" s="5" t="e">
        <f aca="false">'Design Calculations'!F87</f>
        <v>#N/A</v>
      </c>
      <c r="F205" s="5" t="e">
        <f aca="false">'Design Calculations'!G87</f>
        <v>#N/A</v>
      </c>
      <c r="G205" s="5" t="n">
        <f aca="false">'Design Calculations'!H87</f>
        <v>1.065</v>
      </c>
      <c r="H205" s="5" t="n">
        <f aca="false">'Design Calculations'!I87</f>
        <v>27.69</v>
      </c>
      <c r="I205" s="5" t="n">
        <f aca="false">'Design Calculations'!J87</f>
        <v>1.06671458141674</v>
      </c>
      <c r="J205" s="91" t="n">
        <f aca="false">'Design Calculations'!K87</f>
        <v>9.96677740863787</v>
      </c>
      <c r="K205" s="91" t="n">
        <f aca="false">'Design Calculations'!L87</f>
        <v>9.96677740863787</v>
      </c>
      <c r="L205" s="5"/>
      <c r="M205" s="5" t="e">
        <f aca="false">0.000001*('Design Worksheet'!B$88)*(B206-B205)/(0.5*(E205+E206))+M204</f>
        <v>#N/A</v>
      </c>
      <c r="N205" s="5" t="n">
        <f aca="false">B205</f>
        <v>25.09</v>
      </c>
    </row>
    <row r="206" customFormat="false" ht="12.8" hidden="false" customHeight="false" outlineLevel="0" collapsed="false">
      <c r="A206" s="5" t="n">
        <f aca="false">'Design Calculations'!B86</f>
        <v>0.97</v>
      </c>
      <c r="B206" s="5" t="n">
        <f aca="false">'Design Calculations'!C86</f>
        <v>25.22</v>
      </c>
      <c r="C206" s="5" t="e">
        <f aca="false">'Design Calculations'!D86</f>
        <v>#N/A</v>
      </c>
      <c r="D206" s="5" t="e">
        <f aca="false">'Design Calculations'!E86</f>
        <v>#N/A</v>
      </c>
      <c r="E206" s="5" t="e">
        <f aca="false">'Design Calculations'!F86</f>
        <v>#N/A</v>
      </c>
      <c r="F206" s="5" t="e">
        <f aca="false">'Design Calculations'!G86</f>
        <v>#N/A</v>
      </c>
      <c r="G206" s="5" t="n">
        <f aca="false">'Design Calculations'!H86</f>
        <v>1.07</v>
      </c>
      <c r="H206" s="5" t="n">
        <f aca="false">'Design Calculations'!I86</f>
        <v>27.82</v>
      </c>
      <c r="I206" s="5" t="n">
        <f aca="false">'Design Calculations'!J86</f>
        <v>1.07172263109476</v>
      </c>
      <c r="J206" s="91" t="n">
        <f aca="false">'Design Calculations'!K86</f>
        <v>9.96677740863787</v>
      </c>
      <c r="K206" s="91" t="n">
        <f aca="false">'Design Calculations'!L86</f>
        <v>9.96677740863787</v>
      </c>
      <c r="L206" s="5"/>
      <c r="M206" s="5" t="e">
        <f aca="false">0.000001*('Design Worksheet'!B$88)*(B207-B206)/(0.5*(E206+E207))+M205</f>
        <v>#N/A</v>
      </c>
      <c r="N206" s="5" t="n">
        <f aca="false">B206</f>
        <v>25.22</v>
      </c>
    </row>
    <row r="207" customFormat="false" ht="12.8" hidden="false" customHeight="false" outlineLevel="0" collapsed="false">
      <c r="A207" s="5" t="n">
        <f aca="false">'Design Calculations'!B85</f>
        <v>0.975</v>
      </c>
      <c r="B207" s="5" t="n">
        <f aca="false">'Design Calculations'!C85</f>
        <v>25.35</v>
      </c>
      <c r="C207" s="5" t="e">
        <f aca="false">'Design Calculations'!D85</f>
        <v>#N/A</v>
      </c>
      <c r="D207" s="5" t="e">
        <f aca="false">'Design Calculations'!E85</f>
        <v>#N/A</v>
      </c>
      <c r="E207" s="5" t="e">
        <f aca="false">'Design Calculations'!F85</f>
        <v>#N/A</v>
      </c>
      <c r="F207" s="5" t="e">
        <f aca="false">'Design Calculations'!G85</f>
        <v>#N/A</v>
      </c>
      <c r="G207" s="5" t="n">
        <f aca="false">'Design Calculations'!H85</f>
        <v>1.075</v>
      </c>
      <c r="H207" s="5" t="n">
        <f aca="false">'Design Calculations'!I85</f>
        <v>27.95</v>
      </c>
      <c r="I207" s="5" t="n">
        <f aca="false">'Design Calculations'!J85</f>
        <v>1.07673068077277</v>
      </c>
      <c r="J207" s="91" t="n">
        <f aca="false">'Design Calculations'!K85</f>
        <v>9.96677740863787</v>
      </c>
      <c r="K207" s="91" t="n">
        <f aca="false">'Design Calculations'!L85</f>
        <v>9.96677740863787</v>
      </c>
      <c r="L207" s="5"/>
      <c r="M207" s="5" t="e">
        <f aca="false">0.000001*('Design Worksheet'!B$88)*(B208-B207)/(0.5*(E207+E208))+M206</f>
        <v>#N/A</v>
      </c>
      <c r="N207" s="5" t="n">
        <f aca="false">B207</f>
        <v>25.35</v>
      </c>
    </row>
    <row r="208" customFormat="false" ht="12.8" hidden="false" customHeight="false" outlineLevel="0" collapsed="false">
      <c r="A208" s="5" t="n">
        <f aca="false">'Design Calculations'!B84</f>
        <v>0.98</v>
      </c>
      <c r="B208" s="5" t="n">
        <f aca="false">'Design Calculations'!C84</f>
        <v>25.48</v>
      </c>
      <c r="C208" s="5" t="e">
        <f aca="false">'Design Calculations'!D84</f>
        <v>#N/A</v>
      </c>
      <c r="D208" s="5" t="e">
        <f aca="false">'Design Calculations'!E84</f>
        <v>#N/A</v>
      </c>
      <c r="E208" s="5" t="e">
        <f aca="false">'Design Calculations'!F84</f>
        <v>#N/A</v>
      </c>
      <c r="F208" s="5" t="e">
        <f aca="false">'Design Calculations'!G84</f>
        <v>#N/A</v>
      </c>
      <c r="G208" s="5" t="n">
        <f aca="false">'Design Calculations'!H84</f>
        <v>1.08</v>
      </c>
      <c r="H208" s="5" t="n">
        <f aca="false">'Design Calculations'!I84</f>
        <v>28.08</v>
      </c>
      <c r="I208" s="5" t="n">
        <f aca="false">'Design Calculations'!J84</f>
        <v>1.08173873045078</v>
      </c>
      <c r="J208" s="91" t="n">
        <f aca="false">'Design Calculations'!K84</f>
        <v>9.96677740863787</v>
      </c>
      <c r="K208" s="91" t="n">
        <f aca="false">'Design Calculations'!L84</f>
        <v>9.96677740863787</v>
      </c>
      <c r="L208" s="5"/>
      <c r="M208" s="5" t="e">
        <f aca="false">0.000001*('Design Worksheet'!B$88)*(B209-B208)/(0.5*(E208+E209))+M207</f>
        <v>#N/A</v>
      </c>
      <c r="N208" s="5" t="n">
        <f aca="false">B208</f>
        <v>25.48</v>
      </c>
    </row>
    <row r="209" customFormat="false" ht="12.8" hidden="false" customHeight="false" outlineLevel="0" collapsed="false">
      <c r="A209" s="5" t="n">
        <f aca="false">'Design Calculations'!B83</f>
        <v>0.985</v>
      </c>
      <c r="B209" s="5" t="n">
        <f aca="false">'Design Calculations'!C83</f>
        <v>25.61</v>
      </c>
      <c r="C209" s="5" t="e">
        <f aca="false">'Design Calculations'!D83</f>
        <v>#N/A</v>
      </c>
      <c r="D209" s="5" t="e">
        <f aca="false">'Design Calculations'!E83</f>
        <v>#N/A</v>
      </c>
      <c r="E209" s="5" t="e">
        <f aca="false">'Design Calculations'!F83</f>
        <v>#N/A</v>
      </c>
      <c r="F209" s="5" t="e">
        <f aca="false">'Design Calculations'!G83</f>
        <v>#N/A</v>
      </c>
      <c r="G209" s="5" t="n">
        <f aca="false">'Design Calculations'!H83</f>
        <v>1.085</v>
      </c>
      <c r="H209" s="5" t="n">
        <f aca="false">'Design Calculations'!I83</f>
        <v>28.21</v>
      </c>
      <c r="I209" s="5" t="n">
        <f aca="false">'Design Calculations'!J83</f>
        <v>1.08674678012879</v>
      </c>
      <c r="J209" s="91" t="n">
        <f aca="false">'Design Calculations'!K83</f>
        <v>9.96677740863787</v>
      </c>
      <c r="K209" s="91" t="n">
        <f aca="false">'Design Calculations'!L83</f>
        <v>9.96677740863787</v>
      </c>
      <c r="L209" s="5"/>
      <c r="M209" s="5" t="e">
        <f aca="false">0.000001*('Design Worksheet'!B$88)*(B210-B209)/(0.5*(E209+E210))+M208</f>
        <v>#N/A</v>
      </c>
      <c r="N209" s="5" t="n">
        <f aca="false">B209</f>
        <v>25.61</v>
      </c>
    </row>
    <row r="210" customFormat="false" ht="12.8" hidden="false" customHeight="false" outlineLevel="0" collapsed="false">
      <c r="A210" s="5" t="n">
        <f aca="false">'Design Calculations'!B82</f>
        <v>0.99</v>
      </c>
      <c r="B210" s="5" t="n">
        <f aca="false">'Design Calculations'!C82</f>
        <v>25.74</v>
      </c>
      <c r="C210" s="5" t="e">
        <f aca="false">'Design Calculations'!D82</f>
        <v>#N/A</v>
      </c>
      <c r="D210" s="5" t="e">
        <f aca="false">'Design Calculations'!E82</f>
        <v>#N/A</v>
      </c>
      <c r="E210" s="5" t="e">
        <f aca="false">'Design Calculations'!F82</f>
        <v>#N/A</v>
      </c>
      <c r="F210" s="5" t="e">
        <f aca="false">'Design Calculations'!G82</f>
        <v>#N/A</v>
      </c>
      <c r="G210" s="5" t="n">
        <f aca="false">'Design Calculations'!H82</f>
        <v>1.09</v>
      </c>
      <c r="H210" s="5" t="n">
        <f aca="false">'Design Calculations'!I82</f>
        <v>28.34</v>
      </c>
      <c r="I210" s="5" t="n">
        <f aca="false">'Design Calculations'!J82</f>
        <v>1.09175482980681</v>
      </c>
      <c r="J210" s="91" t="n">
        <f aca="false">'Design Calculations'!K82</f>
        <v>9.96677740863787</v>
      </c>
      <c r="K210" s="91" t="n">
        <f aca="false">'Design Calculations'!L82</f>
        <v>9.96677740863787</v>
      </c>
      <c r="L210" s="5"/>
      <c r="M210" s="5" t="e">
        <f aca="false">0.000001*('Design Worksheet'!B$88)*(B211-B210)/(0.5*(E210+E211))+M209</f>
        <v>#N/A</v>
      </c>
      <c r="N210" s="5" t="n">
        <f aca="false">B210</f>
        <v>25.74</v>
      </c>
    </row>
    <row r="211" customFormat="false" ht="12.8" hidden="false" customHeight="false" outlineLevel="0" collapsed="false">
      <c r="A211" s="5" t="n">
        <f aca="false">'Design Calculations'!B81</f>
        <v>0.995</v>
      </c>
      <c r="B211" s="5" t="n">
        <f aca="false">'Design Calculations'!C81</f>
        <v>25.87</v>
      </c>
      <c r="C211" s="5" t="e">
        <f aca="false">'Design Calculations'!D81</f>
        <v>#N/A</v>
      </c>
      <c r="D211" s="5" t="e">
        <f aca="false">'Design Calculations'!E81</f>
        <v>#N/A</v>
      </c>
      <c r="E211" s="5" t="e">
        <f aca="false">'Design Calculations'!F81</f>
        <v>#N/A</v>
      </c>
      <c r="F211" s="5" t="e">
        <f aca="false">'Design Calculations'!G81</f>
        <v>#N/A</v>
      </c>
      <c r="G211" s="5" t="n">
        <f aca="false">'Design Calculations'!H81</f>
        <v>1.095</v>
      </c>
      <c r="H211" s="5" t="n">
        <f aca="false">'Design Calculations'!I81</f>
        <v>28.47</v>
      </c>
      <c r="I211" s="5" t="n">
        <f aca="false">'Design Calculations'!J81</f>
        <v>1.09676287948482</v>
      </c>
      <c r="J211" s="91" t="n">
        <f aca="false">'Design Calculations'!K81</f>
        <v>9.96677740863787</v>
      </c>
      <c r="K211" s="91" t="n">
        <f aca="false">'Design Calculations'!L81</f>
        <v>9.96677740863787</v>
      </c>
      <c r="L211" s="5"/>
      <c r="M211" s="5" t="e">
        <f aca="false">0.000001*('Design Worksheet'!B$88)*(B212-B211)/(0.5*(E211+E212))+M210</f>
        <v>#N/A</v>
      </c>
      <c r="N211" s="5" t="n">
        <f aca="false">B211</f>
        <v>25.87</v>
      </c>
    </row>
    <row r="212" customFormat="false" ht="12.8" hidden="false" customHeight="false" outlineLevel="0" collapsed="false">
      <c r="A212" s="5" t="n">
        <f aca="false">'Design Calculations'!B80</f>
        <v>1</v>
      </c>
      <c r="B212" s="5" t="n">
        <f aca="false">'Design Calculations'!C80</f>
        <v>26</v>
      </c>
      <c r="C212" s="5" t="e">
        <f aca="false">'Design Calculations'!D80</f>
        <v>#N/A</v>
      </c>
      <c r="D212" s="5" t="e">
        <f aca="false">'Design Calculations'!E80</f>
        <v>#N/A</v>
      </c>
      <c r="E212" s="5" t="e">
        <f aca="false">'Design Calculations'!F80</f>
        <v>#N/A</v>
      </c>
      <c r="F212" s="5" t="e">
        <f aca="false">'Design Calculations'!G80</f>
        <v>#N/A</v>
      </c>
      <c r="G212" s="5" t="n">
        <f aca="false">'Design Calculations'!H80</f>
        <v>1.1</v>
      </c>
      <c r="H212" s="5" t="n">
        <f aca="false">'Design Calculations'!I80</f>
        <v>28.6</v>
      </c>
      <c r="I212" s="5" t="n">
        <f aca="false">'Design Calculations'!J80</f>
        <v>1.10177092916283</v>
      </c>
      <c r="J212" s="91" t="n">
        <f aca="false">'Design Calculations'!K80</f>
        <v>9.96677740863787</v>
      </c>
      <c r="K212" s="91" t="n">
        <f aca="false">'Design Calculations'!L80</f>
        <v>9.96677740863787</v>
      </c>
      <c r="L212" s="5"/>
      <c r="M212" s="5" t="e">
        <f aca="false">0.000001*('Design Worksheet'!B$88)*(B213-B212)/(0.5*(E212+E213))+M211</f>
        <v>#N/A</v>
      </c>
      <c r="N212" s="5" t="n">
        <f aca="false">B212</f>
        <v>26</v>
      </c>
    </row>
    <row r="213" customFormat="false" ht="12.8" hidden="false" customHeight="false" outlineLevel="0" collapsed="false">
      <c r="A213" s="5" t="n">
        <f aca="false">'Design Calculations'!B79</f>
        <v>1.005</v>
      </c>
      <c r="B213" s="5" t="n">
        <f aca="false">'Design Calculations'!C79</f>
        <v>26.13</v>
      </c>
      <c r="C213" s="5" t="e">
        <f aca="false">'Design Calculations'!D79</f>
        <v>#N/A</v>
      </c>
      <c r="D213" s="5" t="e">
        <f aca="false">'Design Calculations'!E79</f>
        <v>#N/A</v>
      </c>
      <c r="E213" s="5" t="e">
        <f aca="false">'Design Calculations'!F79</f>
        <v>#N/A</v>
      </c>
      <c r="F213" s="5" t="e">
        <f aca="false">'Design Calculations'!G79</f>
        <v>#N/A</v>
      </c>
      <c r="G213" s="5" t="n">
        <f aca="false">'Design Calculations'!H79</f>
        <v>1.105</v>
      </c>
      <c r="H213" s="5" t="n">
        <f aca="false">'Design Calculations'!I79</f>
        <v>28.73</v>
      </c>
      <c r="I213" s="5" t="n">
        <f aca="false">'Design Calculations'!J79</f>
        <v>1.10677897884085</v>
      </c>
      <c r="J213" s="91" t="n">
        <f aca="false">'Design Calculations'!K79</f>
        <v>9.96677740863787</v>
      </c>
      <c r="K213" s="91" t="n">
        <f aca="false">'Design Calculations'!L79</f>
        <v>9.96677740863787</v>
      </c>
      <c r="L213" s="5"/>
      <c r="M213" s="5" t="e">
        <f aca="false">0.000001*('Design Worksheet'!B$88)*(B214-B213)/(0.5*(E213+E214))+M212</f>
        <v>#N/A</v>
      </c>
      <c r="N213" s="5" t="n">
        <f aca="false">B213</f>
        <v>26.13</v>
      </c>
    </row>
    <row r="214" customFormat="false" ht="12.8" hidden="false" customHeight="false" outlineLevel="0" collapsed="false">
      <c r="A214" s="5" t="n">
        <f aca="false">'Design Calculations'!B78</f>
        <v>1.01</v>
      </c>
      <c r="B214" s="5" t="n">
        <f aca="false">'Design Calculations'!C78</f>
        <v>26.26</v>
      </c>
      <c r="C214" s="5" t="e">
        <f aca="false">'Design Calculations'!D78</f>
        <v>#N/A</v>
      </c>
      <c r="D214" s="5" t="e">
        <f aca="false">'Design Calculations'!E78</f>
        <v>#N/A</v>
      </c>
      <c r="E214" s="5" t="e">
        <f aca="false">'Design Calculations'!F78</f>
        <v>#N/A</v>
      </c>
      <c r="F214" s="5" t="e">
        <f aca="false">'Design Calculations'!G78</f>
        <v>#N/A</v>
      </c>
      <c r="G214" s="5" t="n">
        <f aca="false">'Design Calculations'!H78</f>
        <v>1.11</v>
      </c>
      <c r="H214" s="5" t="n">
        <f aca="false">'Design Calculations'!I78</f>
        <v>28.86</v>
      </c>
      <c r="I214" s="5" t="n">
        <f aca="false">'Design Calculations'!J78</f>
        <v>1.11178702851886</v>
      </c>
      <c r="J214" s="91" t="n">
        <f aca="false">'Design Calculations'!K78</f>
        <v>9.96677740863787</v>
      </c>
      <c r="K214" s="91" t="n">
        <f aca="false">'Design Calculations'!L78</f>
        <v>9.96677740863787</v>
      </c>
      <c r="L214" s="5"/>
      <c r="M214" s="5" t="e">
        <f aca="false">0.000001*('Design Worksheet'!B$88)*(B215-B214)/(0.5*(E214+E215))+M213</f>
        <v>#N/A</v>
      </c>
      <c r="N214" s="5" t="n">
        <f aca="false">B214</f>
        <v>26.26</v>
      </c>
    </row>
    <row r="215" customFormat="false" ht="12.8" hidden="false" customHeight="false" outlineLevel="0" collapsed="false">
      <c r="A215" s="5" t="n">
        <f aca="false">'Design Calculations'!B77</f>
        <v>1.015</v>
      </c>
      <c r="B215" s="5" t="n">
        <f aca="false">'Design Calculations'!C77</f>
        <v>26.39</v>
      </c>
      <c r="C215" s="5" t="e">
        <f aca="false">'Design Calculations'!D77</f>
        <v>#N/A</v>
      </c>
      <c r="D215" s="5" t="e">
        <f aca="false">'Design Calculations'!E77</f>
        <v>#N/A</v>
      </c>
      <c r="E215" s="5" t="e">
        <f aca="false">'Design Calculations'!F77</f>
        <v>#N/A</v>
      </c>
      <c r="F215" s="5" t="e">
        <f aca="false">'Design Calculations'!G77</f>
        <v>#N/A</v>
      </c>
      <c r="G215" s="5" t="n">
        <f aca="false">'Design Calculations'!H77</f>
        <v>1.115</v>
      </c>
      <c r="H215" s="5" t="n">
        <f aca="false">'Design Calculations'!I77</f>
        <v>28.99</v>
      </c>
      <c r="I215" s="5" t="n">
        <f aca="false">'Design Calculations'!J77</f>
        <v>1.11679507819687</v>
      </c>
      <c r="J215" s="91" t="n">
        <f aca="false">'Design Calculations'!K77</f>
        <v>9.96677740863787</v>
      </c>
      <c r="K215" s="91" t="n">
        <f aca="false">'Design Calculations'!L77</f>
        <v>9.96677740863787</v>
      </c>
      <c r="L215" s="5"/>
      <c r="M215" s="5" t="e">
        <f aca="false">0.000001*('Design Worksheet'!B$88)*(B216-B215)/(0.5*(E215+E216))+M214</f>
        <v>#N/A</v>
      </c>
      <c r="N215" s="5" t="n">
        <f aca="false">B215</f>
        <v>26.39</v>
      </c>
    </row>
    <row r="216" customFormat="false" ht="12.8" hidden="false" customHeight="false" outlineLevel="0" collapsed="false">
      <c r="A216" s="5" t="n">
        <f aca="false">'Design Calculations'!B76</f>
        <v>1.02</v>
      </c>
      <c r="B216" s="5" t="n">
        <f aca="false">'Design Calculations'!C76</f>
        <v>26.52</v>
      </c>
      <c r="C216" s="5" t="e">
        <f aca="false">'Design Calculations'!D76</f>
        <v>#N/A</v>
      </c>
      <c r="D216" s="5" t="e">
        <f aca="false">'Design Calculations'!E76</f>
        <v>#N/A</v>
      </c>
      <c r="E216" s="5" t="e">
        <f aca="false">'Design Calculations'!F76</f>
        <v>#N/A</v>
      </c>
      <c r="F216" s="5" t="e">
        <f aca="false">'Design Calculations'!G76</f>
        <v>#N/A</v>
      </c>
      <c r="G216" s="5" t="n">
        <f aca="false">'Design Calculations'!H76</f>
        <v>1.12</v>
      </c>
      <c r="H216" s="5" t="n">
        <f aca="false">'Design Calculations'!I76</f>
        <v>29.12</v>
      </c>
      <c r="I216" s="5" t="n">
        <f aca="false">'Design Calculations'!J76</f>
        <v>1.12180312787489</v>
      </c>
      <c r="J216" s="91" t="n">
        <f aca="false">'Design Calculations'!K76</f>
        <v>9.96677740863787</v>
      </c>
      <c r="K216" s="91" t="n">
        <f aca="false">'Design Calculations'!L76</f>
        <v>9.96677740863787</v>
      </c>
      <c r="L216" s="5"/>
      <c r="M216" s="5" t="e">
        <f aca="false">0.000001*('Design Worksheet'!B$88)*(B217-B216)/(0.5*(E216+E217))+M215</f>
        <v>#N/A</v>
      </c>
      <c r="N216" s="5" t="n">
        <f aca="false">B216</f>
        <v>26.52</v>
      </c>
    </row>
    <row r="217" customFormat="false" ht="12.8" hidden="false" customHeight="false" outlineLevel="0" collapsed="false">
      <c r="A217" s="5" t="n">
        <f aca="false">'Design Calculations'!B75</f>
        <v>1.025</v>
      </c>
      <c r="B217" s="5" t="n">
        <f aca="false">'Design Calculations'!C75</f>
        <v>26.65</v>
      </c>
      <c r="C217" s="5" t="e">
        <f aca="false">'Design Calculations'!D75</f>
        <v>#N/A</v>
      </c>
      <c r="D217" s="5" t="e">
        <f aca="false">'Design Calculations'!E75</f>
        <v>#N/A</v>
      </c>
      <c r="E217" s="5" t="e">
        <f aca="false">'Design Calculations'!F75</f>
        <v>#N/A</v>
      </c>
      <c r="F217" s="5" t="e">
        <f aca="false">'Design Calculations'!G75</f>
        <v>#N/A</v>
      </c>
      <c r="G217" s="5" t="n">
        <f aca="false">'Design Calculations'!H75</f>
        <v>1.125</v>
      </c>
      <c r="H217" s="5" t="n">
        <f aca="false">'Design Calculations'!I75</f>
        <v>29.25</v>
      </c>
      <c r="I217" s="5" t="n">
        <f aca="false">'Design Calculations'!J75</f>
        <v>1.1268111775529</v>
      </c>
      <c r="J217" s="91" t="n">
        <f aca="false">'Design Calculations'!K75</f>
        <v>9.96677740863787</v>
      </c>
      <c r="K217" s="91" t="n">
        <f aca="false">'Design Calculations'!L75</f>
        <v>9.96677740863787</v>
      </c>
      <c r="L217" s="5"/>
      <c r="M217" s="5" t="e">
        <f aca="false">0.000001*('Design Worksheet'!B$88)*(B218-B217)/(0.5*(E217+E218))+M216</f>
        <v>#N/A</v>
      </c>
      <c r="N217" s="5" t="n">
        <f aca="false">B217</f>
        <v>26.65</v>
      </c>
    </row>
    <row r="218" customFormat="false" ht="12.8" hidden="false" customHeight="false" outlineLevel="0" collapsed="false">
      <c r="A218" s="5" t="n">
        <f aca="false">'Design Calculations'!B74</f>
        <v>1.03</v>
      </c>
      <c r="B218" s="5" t="n">
        <f aca="false">'Design Calculations'!C74</f>
        <v>26.78</v>
      </c>
      <c r="C218" s="5" t="e">
        <f aca="false">'Design Calculations'!D74</f>
        <v>#N/A</v>
      </c>
      <c r="D218" s="5" t="e">
        <f aca="false">'Design Calculations'!E74</f>
        <v>#N/A</v>
      </c>
      <c r="E218" s="5" t="e">
        <f aca="false">'Design Calculations'!F74</f>
        <v>#N/A</v>
      </c>
      <c r="F218" s="5" t="e">
        <f aca="false">'Design Calculations'!G74</f>
        <v>#N/A</v>
      </c>
      <c r="G218" s="5" t="n">
        <f aca="false">'Design Calculations'!H74</f>
        <v>1.13</v>
      </c>
      <c r="H218" s="5" t="n">
        <f aca="false">'Design Calculations'!I74</f>
        <v>29.38</v>
      </c>
      <c r="I218" s="5" t="n">
        <f aca="false">'Design Calculations'!J74</f>
        <v>1.13181922723091</v>
      </c>
      <c r="J218" s="91" t="n">
        <f aca="false">'Design Calculations'!K74</f>
        <v>9.96677740863787</v>
      </c>
      <c r="K218" s="91" t="n">
        <f aca="false">'Design Calculations'!L74</f>
        <v>9.96677740863787</v>
      </c>
      <c r="L218" s="5"/>
      <c r="M218" s="5" t="e">
        <f aca="false">0.000001*('Design Worksheet'!B$88)*(B219-B218)/(0.5*(E218+E219))+M217</f>
        <v>#N/A</v>
      </c>
      <c r="N218" s="5" t="n">
        <f aca="false">B218</f>
        <v>26.78</v>
      </c>
    </row>
    <row r="219" customFormat="false" ht="12.8" hidden="false" customHeight="false" outlineLevel="0" collapsed="false">
      <c r="A219" s="5" t="n">
        <f aca="false">'Design Calculations'!B73</f>
        <v>1.035</v>
      </c>
      <c r="B219" s="5" t="n">
        <f aca="false">'Design Calculations'!C73</f>
        <v>26.91</v>
      </c>
      <c r="C219" s="5" t="e">
        <f aca="false">'Design Calculations'!D73</f>
        <v>#N/A</v>
      </c>
      <c r="D219" s="5" t="e">
        <f aca="false">'Design Calculations'!E73</f>
        <v>#N/A</v>
      </c>
      <c r="E219" s="5" t="e">
        <f aca="false">'Design Calculations'!F73</f>
        <v>#N/A</v>
      </c>
      <c r="F219" s="5" t="e">
        <f aca="false">'Design Calculations'!G73</f>
        <v>#N/A</v>
      </c>
      <c r="G219" s="5" t="n">
        <f aca="false">'Design Calculations'!H73</f>
        <v>1.135</v>
      </c>
      <c r="H219" s="5" t="n">
        <f aca="false">'Design Calculations'!I73</f>
        <v>29.51</v>
      </c>
      <c r="I219" s="5" t="n">
        <f aca="false">'Design Calculations'!J73</f>
        <v>1.13682727690892</v>
      </c>
      <c r="J219" s="91" t="n">
        <f aca="false">'Design Calculations'!K73</f>
        <v>9.96677740863787</v>
      </c>
      <c r="K219" s="91" t="n">
        <f aca="false">'Design Calculations'!L73</f>
        <v>9.96677740863787</v>
      </c>
      <c r="L219" s="5"/>
      <c r="M219" s="5" t="e">
        <f aca="false">0.000001*('Design Worksheet'!B$88)*(B220-B219)/(0.5*(E219+E220))+M218</f>
        <v>#N/A</v>
      </c>
      <c r="N219" s="5" t="n">
        <f aca="false">B219</f>
        <v>26.91</v>
      </c>
    </row>
    <row r="220" customFormat="false" ht="12.8" hidden="false" customHeight="false" outlineLevel="0" collapsed="false">
      <c r="A220" s="5" t="n">
        <f aca="false">'Design Calculations'!B72</f>
        <v>1.04</v>
      </c>
      <c r="B220" s="5" t="n">
        <f aca="false">'Design Calculations'!C72</f>
        <v>27.04</v>
      </c>
      <c r="C220" s="5" t="e">
        <f aca="false">'Design Calculations'!D72</f>
        <v>#N/A</v>
      </c>
      <c r="D220" s="5" t="e">
        <f aca="false">'Design Calculations'!E72</f>
        <v>#N/A</v>
      </c>
      <c r="E220" s="5" t="e">
        <f aca="false">'Design Calculations'!F72</f>
        <v>#N/A</v>
      </c>
      <c r="F220" s="5" t="e">
        <f aca="false">'Design Calculations'!G72</f>
        <v>#N/A</v>
      </c>
      <c r="G220" s="5" t="n">
        <f aca="false">'Design Calculations'!H72</f>
        <v>1.14</v>
      </c>
      <c r="H220" s="5" t="n">
        <f aca="false">'Design Calculations'!I72</f>
        <v>29.64</v>
      </c>
      <c r="I220" s="5" t="n">
        <f aca="false">'Design Calculations'!J72</f>
        <v>1.14183532658694</v>
      </c>
      <c r="J220" s="91" t="n">
        <f aca="false">'Design Calculations'!K72</f>
        <v>9.96677740863787</v>
      </c>
      <c r="K220" s="91" t="n">
        <f aca="false">'Design Calculations'!L72</f>
        <v>9.96677740863787</v>
      </c>
      <c r="L220" s="5"/>
      <c r="M220" s="5" t="e">
        <f aca="false">0.000001*('Design Worksheet'!B$88)*(B221-B220)/(0.5*(E220+E221))+M219</f>
        <v>#N/A</v>
      </c>
      <c r="N220" s="5" t="n">
        <f aca="false">B220</f>
        <v>27.04</v>
      </c>
    </row>
    <row r="221" customFormat="false" ht="12.8" hidden="false" customHeight="false" outlineLevel="0" collapsed="false">
      <c r="A221" s="5" t="n">
        <f aca="false">'Design Calculations'!B71</f>
        <v>1.045</v>
      </c>
      <c r="B221" s="5" t="n">
        <f aca="false">'Design Calculations'!C71</f>
        <v>27.17</v>
      </c>
      <c r="C221" s="5" t="e">
        <f aca="false">'Design Calculations'!D71</f>
        <v>#N/A</v>
      </c>
      <c r="D221" s="5" t="e">
        <f aca="false">'Design Calculations'!E71</f>
        <v>#N/A</v>
      </c>
      <c r="E221" s="5" t="e">
        <f aca="false">'Design Calculations'!F71</f>
        <v>#N/A</v>
      </c>
      <c r="F221" s="5" t="e">
        <f aca="false">'Design Calculations'!G71</f>
        <v>#N/A</v>
      </c>
      <c r="G221" s="5" t="n">
        <f aca="false">'Design Calculations'!H71</f>
        <v>1.145</v>
      </c>
      <c r="H221" s="5" t="n">
        <f aca="false">'Design Calculations'!I71</f>
        <v>29.77</v>
      </c>
      <c r="I221" s="5" t="n">
        <f aca="false">'Design Calculations'!J71</f>
        <v>1.14684337626495</v>
      </c>
      <c r="J221" s="91" t="n">
        <f aca="false">'Design Calculations'!K71</f>
        <v>9.96677740863787</v>
      </c>
      <c r="K221" s="91" t="n">
        <f aca="false">'Design Calculations'!L71</f>
        <v>9.96677740863787</v>
      </c>
      <c r="L221" s="5"/>
      <c r="M221" s="5" t="e">
        <f aca="false">0.000001*('Design Worksheet'!B$88)*(B222-B221)/(0.5*(E221+E222))+M220</f>
        <v>#N/A</v>
      </c>
      <c r="N221" s="5" t="n">
        <f aca="false">B221</f>
        <v>27.17</v>
      </c>
    </row>
    <row r="222" customFormat="false" ht="12.8" hidden="false" customHeight="false" outlineLevel="0" collapsed="false">
      <c r="A222" s="5" t="n">
        <f aca="false">'Design Calculations'!B70</f>
        <v>1.05</v>
      </c>
      <c r="B222" s="5" t="n">
        <f aca="false">'Design Calculations'!C70</f>
        <v>27.3</v>
      </c>
      <c r="C222" s="5" t="e">
        <f aca="false">'Design Calculations'!D70</f>
        <v>#N/A</v>
      </c>
      <c r="D222" s="5" t="e">
        <f aca="false">'Design Calculations'!E70</f>
        <v>#N/A</v>
      </c>
      <c r="E222" s="5" t="e">
        <f aca="false">'Design Calculations'!F70</f>
        <v>#N/A</v>
      </c>
      <c r="F222" s="5" t="e">
        <f aca="false">'Design Calculations'!G70</f>
        <v>#N/A</v>
      </c>
      <c r="G222" s="5" t="n">
        <f aca="false">'Design Calculations'!H70</f>
        <v>1.15</v>
      </c>
      <c r="H222" s="5" t="n">
        <f aca="false">'Design Calculations'!I70</f>
        <v>29.9</v>
      </c>
      <c r="I222" s="5" t="n">
        <f aca="false">'Design Calculations'!J70</f>
        <v>1.15185142594296</v>
      </c>
      <c r="J222" s="91" t="n">
        <f aca="false">'Design Calculations'!K70</f>
        <v>9.96677740863787</v>
      </c>
      <c r="K222" s="91" t="n">
        <f aca="false">'Design Calculations'!L70</f>
        <v>9.96677740863787</v>
      </c>
      <c r="L222" s="5"/>
      <c r="M222" s="5" t="e">
        <f aca="false">0.000001*('Design Worksheet'!B$88)*(B223-B222)/(0.5*(E222+E223))+M221</f>
        <v>#N/A</v>
      </c>
      <c r="N222" s="5" t="n">
        <f aca="false">B222</f>
        <v>27.3</v>
      </c>
    </row>
    <row r="223" customFormat="false" ht="12.8" hidden="false" customHeight="false" outlineLevel="0" collapsed="false">
      <c r="A223" s="5" t="n">
        <f aca="false">'Design Calculations'!B69</f>
        <v>1.055</v>
      </c>
      <c r="B223" s="5" t="n">
        <f aca="false">'Design Calculations'!C69</f>
        <v>27.43</v>
      </c>
      <c r="C223" s="5" t="e">
        <f aca="false">'Design Calculations'!D69</f>
        <v>#N/A</v>
      </c>
      <c r="D223" s="5" t="e">
        <f aca="false">'Design Calculations'!E69</f>
        <v>#N/A</v>
      </c>
      <c r="E223" s="5" t="e">
        <f aca="false">'Design Calculations'!F69</f>
        <v>#N/A</v>
      </c>
      <c r="F223" s="5" t="e">
        <f aca="false">'Design Calculations'!G69</f>
        <v>#N/A</v>
      </c>
      <c r="G223" s="5" t="n">
        <f aca="false">'Design Calculations'!H69</f>
        <v>1.155</v>
      </c>
      <c r="H223" s="5" t="n">
        <f aca="false">'Design Calculations'!I69</f>
        <v>30.03</v>
      </c>
      <c r="I223" s="5" t="n">
        <f aca="false">'Design Calculations'!J69</f>
        <v>1.15685947562098</v>
      </c>
      <c r="J223" s="91" t="n">
        <f aca="false">'Design Calculations'!K69</f>
        <v>9.96677740863787</v>
      </c>
      <c r="K223" s="91" t="n">
        <f aca="false">'Design Calculations'!L69</f>
        <v>9.96677740863787</v>
      </c>
      <c r="L223" s="5"/>
      <c r="M223" s="5" t="e">
        <f aca="false">0.000001*('Design Worksheet'!B$88)*(B224-B223)/(0.5*(E223+E224))+M222</f>
        <v>#N/A</v>
      </c>
      <c r="N223" s="5" t="n">
        <f aca="false">B223</f>
        <v>27.43</v>
      </c>
    </row>
    <row r="224" customFormat="false" ht="12.8" hidden="false" customHeight="false" outlineLevel="0" collapsed="false">
      <c r="A224" s="5" t="n">
        <f aca="false">'Design Calculations'!B68</f>
        <v>1.06</v>
      </c>
      <c r="B224" s="5" t="n">
        <f aca="false">'Design Calculations'!C68</f>
        <v>27.56</v>
      </c>
      <c r="C224" s="5" t="e">
        <f aca="false">'Design Calculations'!D68</f>
        <v>#N/A</v>
      </c>
      <c r="D224" s="5" t="e">
        <f aca="false">'Design Calculations'!E68</f>
        <v>#N/A</v>
      </c>
      <c r="E224" s="5" t="e">
        <f aca="false">'Design Calculations'!F68</f>
        <v>#N/A</v>
      </c>
      <c r="F224" s="5" t="e">
        <f aca="false">'Design Calculations'!G68</f>
        <v>#N/A</v>
      </c>
      <c r="G224" s="5" t="n">
        <f aca="false">'Design Calculations'!H68</f>
        <v>1.16</v>
      </c>
      <c r="H224" s="5" t="n">
        <f aca="false">'Design Calculations'!I68</f>
        <v>30.16</v>
      </c>
      <c r="I224" s="5" t="n">
        <f aca="false">'Design Calculations'!J68</f>
        <v>1.16186752529899</v>
      </c>
      <c r="J224" s="91" t="n">
        <f aca="false">'Design Calculations'!K68</f>
        <v>9.96677740863787</v>
      </c>
      <c r="K224" s="91" t="n">
        <f aca="false">'Design Calculations'!L68</f>
        <v>9.96677740863787</v>
      </c>
      <c r="L224" s="5"/>
      <c r="M224" s="5" t="e">
        <f aca="false">0.000001*('Design Worksheet'!B$88)*(B225-B224)/(0.5*(E224+E225))+M223</f>
        <v>#N/A</v>
      </c>
      <c r="N224" s="5" t="n">
        <f aca="false">B224</f>
        <v>27.56</v>
      </c>
    </row>
    <row r="225" customFormat="false" ht="12.8" hidden="false" customHeight="false" outlineLevel="0" collapsed="false">
      <c r="A225" s="5" t="n">
        <f aca="false">'Design Calculations'!B67</f>
        <v>1.065</v>
      </c>
      <c r="B225" s="5" t="n">
        <f aca="false">'Design Calculations'!C67</f>
        <v>27.69</v>
      </c>
      <c r="C225" s="5" t="e">
        <f aca="false">'Design Calculations'!D67</f>
        <v>#N/A</v>
      </c>
      <c r="D225" s="5" t="e">
        <f aca="false">'Design Calculations'!E67</f>
        <v>#N/A</v>
      </c>
      <c r="E225" s="5" t="e">
        <f aca="false">'Design Calculations'!F67</f>
        <v>#N/A</v>
      </c>
      <c r="F225" s="5" t="e">
        <f aca="false">'Design Calculations'!G67</f>
        <v>#N/A</v>
      </c>
      <c r="G225" s="5" t="n">
        <f aca="false">'Design Calculations'!H67</f>
        <v>1.165</v>
      </c>
      <c r="H225" s="5" t="n">
        <f aca="false">'Design Calculations'!I67</f>
        <v>30.29</v>
      </c>
      <c r="I225" s="5" t="n">
        <f aca="false">'Design Calculations'!J67</f>
        <v>1.166875574977</v>
      </c>
      <c r="J225" s="91" t="n">
        <f aca="false">'Design Calculations'!K67</f>
        <v>9.96677740863787</v>
      </c>
      <c r="K225" s="91" t="n">
        <f aca="false">'Design Calculations'!L67</f>
        <v>9.96677740863787</v>
      </c>
      <c r="L225" s="5"/>
      <c r="M225" s="5" t="e">
        <f aca="false">0.000001*('Design Worksheet'!B$88)*(B226-B225)/(0.5*(E225+E226))+M224</f>
        <v>#N/A</v>
      </c>
      <c r="N225" s="5" t="n">
        <f aca="false">B225</f>
        <v>27.69</v>
      </c>
    </row>
    <row r="226" customFormat="false" ht="12.8" hidden="false" customHeight="false" outlineLevel="0" collapsed="false">
      <c r="A226" s="5" t="n">
        <f aca="false">'Design Calculations'!B66</f>
        <v>1.07</v>
      </c>
      <c r="B226" s="5" t="n">
        <f aca="false">'Design Calculations'!C66</f>
        <v>27.82</v>
      </c>
      <c r="C226" s="5" t="e">
        <f aca="false">'Design Calculations'!D66</f>
        <v>#N/A</v>
      </c>
      <c r="D226" s="5" t="e">
        <f aca="false">'Design Calculations'!E66</f>
        <v>#N/A</v>
      </c>
      <c r="E226" s="5" t="e">
        <f aca="false">'Design Calculations'!F66</f>
        <v>#N/A</v>
      </c>
      <c r="F226" s="5" t="e">
        <f aca="false">'Design Calculations'!G66</f>
        <v>#N/A</v>
      </c>
      <c r="G226" s="5" t="n">
        <f aca="false">'Design Calculations'!H66</f>
        <v>1.17</v>
      </c>
      <c r="H226" s="5" t="n">
        <f aca="false">'Design Calculations'!I66</f>
        <v>30.42</v>
      </c>
      <c r="I226" s="5" t="n">
        <f aca="false">'Design Calculations'!J66</f>
        <v>1.17188362465501</v>
      </c>
      <c r="J226" s="91" t="n">
        <f aca="false">'Design Calculations'!K66</f>
        <v>9.96677740863787</v>
      </c>
      <c r="K226" s="91" t="n">
        <f aca="false">'Design Calculations'!L66</f>
        <v>9.96677740863787</v>
      </c>
      <c r="L226" s="5"/>
      <c r="M226" s="5" t="e">
        <f aca="false">0.000001*('Design Worksheet'!B$88)*(B227-B226)/(0.5*(E226+E227))+M225</f>
        <v>#N/A</v>
      </c>
      <c r="N226" s="5" t="n">
        <f aca="false">B226</f>
        <v>27.82</v>
      </c>
    </row>
    <row r="227" customFormat="false" ht="12.8" hidden="false" customHeight="false" outlineLevel="0" collapsed="false">
      <c r="A227" s="5" t="n">
        <f aca="false">'Design Calculations'!B65</f>
        <v>1.075</v>
      </c>
      <c r="B227" s="5" t="n">
        <f aca="false">'Design Calculations'!C65</f>
        <v>27.95</v>
      </c>
      <c r="C227" s="5" t="e">
        <f aca="false">'Design Calculations'!D65</f>
        <v>#N/A</v>
      </c>
      <c r="D227" s="5" t="e">
        <f aca="false">'Design Calculations'!E65</f>
        <v>#N/A</v>
      </c>
      <c r="E227" s="5" t="e">
        <f aca="false">'Design Calculations'!F65</f>
        <v>#N/A</v>
      </c>
      <c r="F227" s="5" t="e">
        <f aca="false">'Design Calculations'!G65</f>
        <v>#N/A</v>
      </c>
      <c r="G227" s="5" t="n">
        <f aca="false">'Design Calculations'!H65</f>
        <v>1.175</v>
      </c>
      <c r="H227" s="5" t="n">
        <f aca="false">'Design Calculations'!I65</f>
        <v>30.55</v>
      </c>
      <c r="I227" s="5" t="n">
        <f aca="false">'Design Calculations'!J65</f>
        <v>1.17689167433303</v>
      </c>
      <c r="J227" s="91" t="n">
        <f aca="false">'Design Calculations'!K65</f>
        <v>9.96677740863787</v>
      </c>
      <c r="K227" s="91" t="n">
        <f aca="false">'Design Calculations'!L65</f>
        <v>9.96677740863787</v>
      </c>
      <c r="L227" s="5"/>
      <c r="M227" s="5" t="e">
        <f aca="false">0.000001*('Design Worksheet'!B$88)*(B228-B227)/(0.5*(E227+E228))+M226</f>
        <v>#N/A</v>
      </c>
      <c r="N227" s="5" t="n">
        <f aca="false">B227</f>
        <v>27.95</v>
      </c>
    </row>
    <row r="228" customFormat="false" ht="12.8" hidden="false" customHeight="false" outlineLevel="0" collapsed="false">
      <c r="A228" s="5" t="n">
        <f aca="false">'Design Calculations'!B64</f>
        <v>1.08</v>
      </c>
      <c r="B228" s="5" t="n">
        <f aca="false">'Design Calculations'!C64</f>
        <v>28.08</v>
      </c>
      <c r="C228" s="5" t="e">
        <f aca="false">'Design Calculations'!D64</f>
        <v>#N/A</v>
      </c>
      <c r="D228" s="5" t="e">
        <f aca="false">'Design Calculations'!E64</f>
        <v>#N/A</v>
      </c>
      <c r="E228" s="5" t="e">
        <f aca="false">'Design Calculations'!F64</f>
        <v>#N/A</v>
      </c>
      <c r="F228" s="5" t="e">
        <f aca="false">'Design Calculations'!G64</f>
        <v>#N/A</v>
      </c>
      <c r="G228" s="5" t="n">
        <f aca="false">'Design Calculations'!H64</f>
        <v>1.18</v>
      </c>
      <c r="H228" s="5" t="n">
        <f aca="false">'Design Calculations'!I64</f>
        <v>30.68</v>
      </c>
      <c r="I228" s="5" t="n">
        <f aca="false">'Design Calculations'!J64</f>
        <v>1.18189972401104</v>
      </c>
      <c r="J228" s="91" t="n">
        <f aca="false">'Design Calculations'!K64</f>
        <v>9.96677740863787</v>
      </c>
      <c r="K228" s="91" t="n">
        <f aca="false">'Design Calculations'!L64</f>
        <v>9.96677740863787</v>
      </c>
      <c r="L228" s="5"/>
      <c r="M228" s="5" t="e">
        <f aca="false">0.000001*('Design Worksheet'!B$88)*(B229-B228)/(0.5*(E228+E229))+M227</f>
        <v>#N/A</v>
      </c>
      <c r="N228" s="5" t="n">
        <f aca="false">B228</f>
        <v>28.08</v>
      </c>
    </row>
    <row r="229" customFormat="false" ht="12.8" hidden="false" customHeight="false" outlineLevel="0" collapsed="false">
      <c r="A229" s="5" t="n">
        <f aca="false">'Design Calculations'!B63</f>
        <v>1.085</v>
      </c>
      <c r="B229" s="5" t="n">
        <f aca="false">'Design Calculations'!C63</f>
        <v>28.21</v>
      </c>
      <c r="C229" s="5" t="e">
        <f aca="false">'Design Calculations'!D63</f>
        <v>#N/A</v>
      </c>
      <c r="D229" s="5" t="e">
        <f aca="false">'Design Calculations'!E63</f>
        <v>#N/A</v>
      </c>
      <c r="E229" s="5" t="e">
        <f aca="false">'Design Calculations'!F63</f>
        <v>#N/A</v>
      </c>
      <c r="F229" s="5" t="e">
        <f aca="false">'Design Calculations'!G63</f>
        <v>#N/A</v>
      </c>
      <c r="G229" s="5" t="n">
        <f aca="false">'Design Calculations'!H63</f>
        <v>1.185</v>
      </c>
      <c r="H229" s="5" t="n">
        <f aca="false">'Design Calculations'!I63</f>
        <v>30.81</v>
      </c>
      <c r="I229" s="5" t="n">
        <f aca="false">'Design Calculations'!J63</f>
        <v>1.18690777368905</v>
      </c>
      <c r="J229" s="91" t="n">
        <f aca="false">'Design Calculations'!K63</f>
        <v>9.96677740863787</v>
      </c>
      <c r="K229" s="91" t="n">
        <f aca="false">'Design Calculations'!L63</f>
        <v>9.96677740863787</v>
      </c>
      <c r="L229" s="5"/>
      <c r="M229" s="5" t="e">
        <f aca="false">0.000001*('Design Worksheet'!B$88)*(B230-B229)/(0.5*(E229+E230))+M228</f>
        <v>#N/A</v>
      </c>
      <c r="N229" s="5" t="n">
        <f aca="false">B229</f>
        <v>28.21</v>
      </c>
    </row>
    <row r="230" customFormat="false" ht="12.8" hidden="false" customHeight="false" outlineLevel="0" collapsed="false">
      <c r="A230" s="5" t="n">
        <f aca="false">'Design Calculations'!B62</f>
        <v>1.09</v>
      </c>
      <c r="B230" s="5" t="n">
        <f aca="false">'Design Calculations'!C62</f>
        <v>28.34</v>
      </c>
      <c r="C230" s="5" t="e">
        <f aca="false">'Design Calculations'!D62</f>
        <v>#N/A</v>
      </c>
      <c r="D230" s="5" t="e">
        <f aca="false">'Design Calculations'!E62</f>
        <v>#N/A</v>
      </c>
      <c r="E230" s="5" t="e">
        <f aca="false">'Design Calculations'!F62</f>
        <v>#N/A</v>
      </c>
      <c r="F230" s="5" t="e">
        <f aca="false">'Design Calculations'!G62</f>
        <v>#N/A</v>
      </c>
      <c r="G230" s="5" t="n">
        <f aca="false">'Design Calculations'!H62</f>
        <v>1.19</v>
      </c>
      <c r="H230" s="5" t="n">
        <f aca="false">'Design Calculations'!I62</f>
        <v>30.94</v>
      </c>
      <c r="I230" s="5" t="n">
        <f aca="false">'Design Calculations'!J62</f>
        <v>1.19191582336707</v>
      </c>
      <c r="J230" s="91" t="n">
        <f aca="false">'Design Calculations'!K62</f>
        <v>9.96677740863787</v>
      </c>
      <c r="K230" s="91" t="n">
        <f aca="false">'Design Calculations'!L62</f>
        <v>9.96677740863787</v>
      </c>
      <c r="L230" s="5"/>
      <c r="M230" s="5" t="e">
        <f aca="false">0.000001*('Design Worksheet'!B$88)*(B231-B230)/(0.5*(E230+E231))+M229</f>
        <v>#N/A</v>
      </c>
      <c r="N230" s="5" t="n">
        <f aca="false">B230</f>
        <v>28.34</v>
      </c>
    </row>
    <row r="231" customFormat="false" ht="12.8" hidden="false" customHeight="false" outlineLevel="0" collapsed="false">
      <c r="A231" s="5" t="n">
        <f aca="false">'Design Calculations'!B61</f>
        <v>1.095</v>
      </c>
      <c r="B231" s="5" t="n">
        <f aca="false">'Design Calculations'!C61</f>
        <v>28.47</v>
      </c>
      <c r="C231" s="5" t="e">
        <f aca="false">'Design Calculations'!D61</f>
        <v>#N/A</v>
      </c>
      <c r="D231" s="5" t="e">
        <f aca="false">'Design Calculations'!E61</f>
        <v>#N/A</v>
      </c>
      <c r="E231" s="5" t="e">
        <f aca="false">'Design Calculations'!F61</f>
        <v>#N/A</v>
      </c>
      <c r="F231" s="5" t="e">
        <f aca="false">'Design Calculations'!G61</f>
        <v>#N/A</v>
      </c>
      <c r="G231" s="5" t="n">
        <f aca="false">'Design Calculations'!H61</f>
        <v>1.195</v>
      </c>
      <c r="H231" s="5" t="n">
        <f aca="false">'Design Calculations'!I61</f>
        <v>31.07</v>
      </c>
      <c r="I231" s="5" t="n">
        <f aca="false">'Design Calculations'!J61</f>
        <v>1.19692387304508</v>
      </c>
      <c r="J231" s="91" t="n">
        <f aca="false">'Design Calculations'!K61</f>
        <v>9.96677740863787</v>
      </c>
      <c r="K231" s="91" t="n">
        <f aca="false">'Design Calculations'!L61</f>
        <v>9.96677740863787</v>
      </c>
      <c r="L231" s="5"/>
      <c r="M231" s="5" t="e">
        <f aca="false">0.000001*('Design Worksheet'!B$88)*(B232-B231)/(0.5*(E231+E232))+M230</f>
        <v>#N/A</v>
      </c>
      <c r="N231" s="5" t="n">
        <f aca="false">B231</f>
        <v>28.47</v>
      </c>
    </row>
    <row r="232" customFormat="false" ht="12.8" hidden="false" customHeight="false" outlineLevel="0" collapsed="false">
      <c r="A232" s="5" t="n">
        <f aca="false">'Design Calculations'!B60</f>
        <v>1.1</v>
      </c>
      <c r="B232" s="5" t="n">
        <f aca="false">'Design Calculations'!C60</f>
        <v>28.6</v>
      </c>
      <c r="C232" s="5" t="e">
        <f aca="false">'Design Calculations'!D60</f>
        <v>#N/A</v>
      </c>
      <c r="D232" s="5" t="e">
        <f aca="false">'Design Calculations'!E60</f>
        <v>#N/A</v>
      </c>
      <c r="E232" s="5" t="e">
        <f aca="false">'Design Calculations'!F60</f>
        <v>#N/A</v>
      </c>
      <c r="F232" s="5" t="e">
        <f aca="false">'Design Calculations'!G60</f>
        <v>#N/A</v>
      </c>
      <c r="G232" s="5" t="n">
        <f aca="false">'Design Calculations'!H60</f>
        <v>1.2</v>
      </c>
      <c r="H232" s="5" t="n">
        <f aca="false">'Design Calculations'!I60</f>
        <v>31.2</v>
      </c>
      <c r="I232" s="5" t="n">
        <f aca="false">'Design Calculations'!J60</f>
        <v>1.20193192272309</v>
      </c>
      <c r="J232" s="91" t="n">
        <f aca="false">'Design Calculations'!K60</f>
        <v>9.96677740863787</v>
      </c>
      <c r="K232" s="91" t="n">
        <f aca="false">'Design Calculations'!L60</f>
        <v>9.96677740863787</v>
      </c>
      <c r="L232" s="5"/>
      <c r="M232" s="5" t="e">
        <f aca="false">0.000001*('Design Worksheet'!B$88)*(B233-B232)/(0.5*(E232+E233))+M231</f>
        <v>#N/A</v>
      </c>
      <c r="N232" s="5" t="n">
        <f aca="false">B232</f>
        <v>28.6</v>
      </c>
    </row>
    <row r="233" customFormat="false" ht="12.8" hidden="false" customHeight="false" outlineLevel="0" collapsed="false">
      <c r="A233" s="5" t="n">
        <v>1.105</v>
      </c>
      <c r="B233" s="5" t="n">
        <f aca="false">A233*VOFLB</f>
        <v>28.73</v>
      </c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 t="e">
        <f aca="false">0.000001*('Design Worksheet'!B$88)*(B233-B232)/E$232+M232</f>
        <v>#N/A</v>
      </c>
      <c r="N233" s="5" t="n">
        <f aca="false">B233</f>
        <v>28.73</v>
      </c>
    </row>
    <row r="234" customFormat="false" ht="12.8" hidden="false" customHeight="false" outlineLevel="0" collapsed="false">
      <c r="A234" s="5" t="n">
        <v>1.11</v>
      </c>
      <c r="B234" s="5" t="n">
        <f aca="false">A234*VOFLB</f>
        <v>28.86</v>
      </c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 t="e">
        <f aca="false">0.000001*('Design Worksheet'!B$88)*(B234-B233)/E$232+M233</f>
        <v>#N/A</v>
      </c>
      <c r="N234" s="5" t="n">
        <f aca="false">B234</f>
        <v>28.86</v>
      </c>
    </row>
    <row r="235" customFormat="false" ht="12.8" hidden="false" customHeight="false" outlineLevel="0" collapsed="false">
      <c r="A235" s="5" t="n">
        <v>1.115</v>
      </c>
      <c r="B235" s="5" t="n">
        <f aca="false">A235*VOFLB</f>
        <v>28.99</v>
      </c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 t="e">
        <f aca="false">0.000001*('Design Worksheet'!B$88)*(B235-B234)/E$232+M234</f>
        <v>#N/A</v>
      </c>
      <c r="N235" s="5" t="n">
        <f aca="false">B235</f>
        <v>28.99</v>
      </c>
    </row>
    <row r="236" customFormat="false" ht="12.8" hidden="false" customHeight="false" outlineLevel="0" collapsed="false">
      <c r="A236" s="5" t="n">
        <v>1.12</v>
      </c>
      <c r="B236" s="5" t="n">
        <f aca="false">A236*VOFLB</f>
        <v>29.12</v>
      </c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 t="e">
        <f aca="false">0.000001*('Design Worksheet'!B$88)*(B236-B235)/E$232+M235</f>
        <v>#N/A</v>
      </c>
      <c r="N236" s="5" t="n">
        <f aca="false">B236</f>
        <v>29.12</v>
      </c>
    </row>
    <row r="237" customFormat="false" ht="12.8" hidden="false" customHeight="false" outlineLevel="0" collapsed="false">
      <c r="A237" s="5" t="n">
        <v>1.125</v>
      </c>
      <c r="B237" s="5" t="n">
        <f aca="false">A237*VOFLB</f>
        <v>29.25</v>
      </c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 t="e">
        <f aca="false">0.000001*('Design Worksheet'!B$88)*(B237-B236)/E$232+M236</f>
        <v>#N/A</v>
      </c>
      <c r="N237" s="5" t="n">
        <f aca="false">B237</f>
        <v>29.25</v>
      </c>
    </row>
    <row r="238" customFormat="false" ht="12.8" hidden="false" customHeight="false" outlineLevel="0" collapsed="false">
      <c r="A238" s="5" t="n">
        <v>1.13</v>
      </c>
      <c r="B238" s="5" t="n">
        <f aca="false">A238*VOFLB</f>
        <v>29.38</v>
      </c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 t="e">
        <f aca="false">0.000001*('Design Worksheet'!B$88)*(B238-B237)/E$232+M237</f>
        <v>#N/A</v>
      </c>
      <c r="N238" s="5" t="n">
        <f aca="false">B238</f>
        <v>29.38</v>
      </c>
    </row>
    <row r="239" customFormat="false" ht="12.8" hidden="false" customHeight="false" outlineLevel="0" collapsed="false">
      <c r="A239" s="5" t="n">
        <v>1.135</v>
      </c>
      <c r="B239" s="5" t="n">
        <f aca="false">A239*VOFLB</f>
        <v>29.51</v>
      </c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 t="e">
        <f aca="false">0.000001*('Design Worksheet'!B$88)*(B239-B238)/E$232+M238</f>
        <v>#N/A</v>
      </c>
      <c r="N239" s="5" t="n">
        <f aca="false">B239</f>
        <v>29.51</v>
      </c>
    </row>
    <row r="240" customFormat="false" ht="12.8" hidden="false" customHeight="false" outlineLevel="0" collapsed="false">
      <c r="A240" s="5" t="n">
        <v>1.14</v>
      </c>
      <c r="B240" s="5" t="n">
        <f aca="false">A240*VOFLB</f>
        <v>29.64</v>
      </c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 t="e">
        <f aca="false">0.000001*('Design Worksheet'!B$88)*(B240-B239)/E$232+M239</f>
        <v>#N/A</v>
      </c>
      <c r="N240" s="5" t="n">
        <f aca="false">B240</f>
        <v>29.64</v>
      </c>
    </row>
    <row r="241" customFormat="false" ht="12.8" hidden="false" customHeight="false" outlineLevel="0" collapsed="false">
      <c r="A241" s="5" t="n">
        <v>1.145</v>
      </c>
      <c r="B241" s="5" t="n">
        <f aca="false">A241*VOFLB</f>
        <v>29.77</v>
      </c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 t="e">
        <f aca="false">0.000001*('Design Worksheet'!B$88)*(B241-B240)/E$232+M240</f>
        <v>#N/A</v>
      </c>
      <c r="N241" s="5" t="n">
        <f aca="false">B241</f>
        <v>29.77</v>
      </c>
    </row>
    <row r="242" customFormat="false" ht="12.8" hidden="false" customHeight="false" outlineLevel="0" collapsed="false">
      <c r="A242" s="5" t="n">
        <v>1.15</v>
      </c>
      <c r="B242" s="5" t="n">
        <f aca="false">A242*VOFLB</f>
        <v>29.9</v>
      </c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 t="e">
        <f aca="false">0.000001*('Design Worksheet'!B$88)*(B242-B241)/E$232+M241</f>
        <v>#N/A</v>
      </c>
      <c r="N242" s="5" t="n">
        <f aca="false">B242</f>
        <v>29.9</v>
      </c>
    </row>
    <row r="243" customFormat="false" ht="12.8" hidden="false" customHeight="false" outlineLevel="0" collapsed="false">
      <c r="A243" s="5" t="n">
        <v>1.155</v>
      </c>
      <c r="B243" s="5" t="n">
        <f aca="false">A243*VOFLB</f>
        <v>30.03</v>
      </c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 t="e">
        <f aca="false">0.000001*('Design Worksheet'!B$88)*(B243-B242)/E$232+M242</f>
        <v>#N/A</v>
      </c>
      <c r="N243" s="5" t="n">
        <f aca="false">B243</f>
        <v>30.03</v>
      </c>
    </row>
    <row r="244" customFormat="false" ht="12.8" hidden="false" customHeight="false" outlineLevel="0" collapsed="false">
      <c r="A244" s="5" t="n">
        <v>1.16</v>
      </c>
      <c r="B244" s="5" t="n">
        <f aca="false">A244*VOFLB</f>
        <v>30.16</v>
      </c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 t="e">
        <f aca="false">0.000001*('Design Worksheet'!B$88)*(B244-B243)/E$232+M243</f>
        <v>#N/A</v>
      </c>
      <c r="N244" s="5" t="n">
        <f aca="false">B244</f>
        <v>30.16</v>
      </c>
    </row>
    <row r="245" customFormat="false" ht="12.8" hidden="false" customHeight="false" outlineLevel="0" collapsed="false">
      <c r="A245" s="5" t="n">
        <v>1.165</v>
      </c>
      <c r="B245" s="5" t="n">
        <f aca="false">A245*VOFLB</f>
        <v>30.29</v>
      </c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 t="e">
        <f aca="false">0.000001*('Design Worksheet'!B$88)*(B245-B244)/E$232+M244</f>
        <v>#N/A</v>
      </c>
      <c r="N245" s="5" t="n">
        <f aca="false">B245</f>
        <v>30.29</v>
      </c>
    </row>
    <row r="246" customFormat="false" ht="12.8" hidden="false" customHeight="false" outlineLevel="0" collapsed="false">
      <c r="A246" s="5" t="n">
        <v>1.17</v>
      </c>
      <c r="B246" s="5" t="n">
        <f aca="false">A246*VOFLB</f>
        <v>30.42</v>
      </c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 t="e">
        <f aca="false">0.000001*('Design Worksheet'!B$88)*(B246-B245)/E$232+M245</f>
        <v>#N/A</v>
      </c>
      <c r="N246" s="5" t="n">
        <f aca="false">B246</f>
        <v>30.42</v>
      </c>
    </row>
    <row r="247" customFormat="false" ht="12.8" hidden="false" customHeight="false" outlineLevel="0" collapsed="false">
      <c r="A247" s="5" t="n">
        <v>1.175</v>
      </c>
      <c r="B247" s="5" t="n">
        <f aca="false">A247*VOFLB</f>
        <v>30.55</v>
      </c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 t="e">
        <f aca="false">0.000001*('Design Worksheet'!B$88)*(B247-B246)/E$232+M246</f>
        <v>#N/A</v>
      </c>
      <c r="N247" s="5" t="n">
        <f aca="false">B247</f>
        <v>30.55</v>
      </c>
    </row>
    <row r="248" customFormat="false" ht="12.8" hidden="false" customHeight="false" outlineLevel="0" collapsed="false">
      <c r="A248" s="5" t="n">
        <v>1.18</v>
      </c>
      <c r="B248" s="5" t="n">
        <f aca="false">A248*VOFLB</f>
        <v>30.68</v>
      </c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 t="e">
        <f aca="false">0.000001*('Design Worksheet'!B$88)*(B248-B247)/E$232+M247</f>
        <v>#N/A</v>
      </c>
      <c r="N248" s="5" t="n">
        <f aca="false">B248</f>
        <v>30.68</v>
      </c>
    </row>
    <row r="249" customFormat="false" ht="12.8" hidden="false" customHeight="false" outlineLevel="0" collapsed="false">
      <c r="A249" s="5" t="n">
        <v>1.185</v>
      </c>
      <c r="B249" s="5" t="n">
        <f aca="false">A249*VOFLB</f>
        <v>30.81</v>
      </c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 t="e">
        <f aca="false">0.000001*('Design Worksheet'!B$88)*(B249-B248)/E$232+M248</f>
        <v>#N/A</v>
      </c>
      <c r="N249" s="5" t="n">
        <f aca="false">B249</f>
        <v>30.81</v>
      </c>
    </row>
    <row r="250" customFormat="false" ht="12.8" hidden="false" customHeight="false" outlineLevel="0" collapsed="false">
      <c r="A250" s="5" t="n">
        <v>1.19</v>
      </c>
      <c r="B250" s="5" t="n">
        <f aca="false">A250*VOFLB</f>
        <v>30.94</v>
      </c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 t="e">
        <f aca="false">0.000001*('Design Worksheet'!B$88)*(B250-B249)/E$232+M249</f>
        <v>#N/A</v>
      </c>
      <c r="N250" s="5" t="n">
        <f aca="false">B250</f>
        <v>30.94</v>
      </c>
    </row>
    <row r="251" customFormat="false" ht="12.8" hidden="false" customHeight="false" outlineLevel="0" collapsed="false">
      <c r="A251" s="5" t="n">
        <v>1.195</v>
      </c>
      <c r="B251" s="5" t="n">
        <f aca="false">A251*VOFLB</f>
        <v>31.07</v>
      </c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 t="e">
        <f aca="false">0.000001*('Design Worksheet'!B$88)*(B251-B250)/E$232+M250</f>
        <v>#N/A</v>
      </c>
      <c r="N251" s="5" t="n">
        <f aca="false">B251</f>
        <v>31.07</v>
      </c>
    </row>
    <row r="252" customFormat="false" ht="12.8" hidden="false" customHeight="false" outlineLevel="0" collapsed="false">
      <c r="A252" s="5" t="n">
        <v>1.2</v>
      </c>
      <c r="B252" s="5" t="n">
        <f aca="false">A252*VOFLB</f>
        <v>31.2</v>
      </c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 t="e">
        <f aca="false">0.000001*('Design Worksheet'!B$88)*(B252-B251)/E$232+M251</f>
        <v>#N/A</v>
      </c>
      <c r="N252" s="5" t="n">
        <f aca="false">B252</f>
        <v>31.2</v>
      </c>
    </row>
    <row r="253" customFormat="false" ht="12.8" hidden="false" customHeight="false" outlineLevel="0" collapsed="false">
      <c r="A253" s="5" t="n">
        <v>1.205</v>
      </c>
      <c r="B253" s="5" t="n">
        <f aca="false">A253*VOFLB</f>
        <v>31.33</v>
      </c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 t="e">
        <f aca="false">0.000001*('Design Worksheet'!B$88)*(B253-B252)/E$232+M252</f>
        <v>#N/A</v>
      </c>
      <c r="N253" s="5" t="n">
        <f aca="false">B253</f>
        <v>31.33</v>
      </c>
    </row>
    <row r="254" customFormat="false" ht="12.8" hidden="false" customHeight="false" outlineLevel="0" collapsed="false">
      <c r="A254" s="5" t="n">
        <v>1.21</v>
      </c>
      <c r="B254" s="5" t="n">
        <f aca="false">A254*VOFLB</f>
        <v>31.46</v>
      </c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 t="e">
        <f aca="false">0.000001*('Design Worksheet'!B$88)*(B254-B253)/E$232+M253</f>
        <v>#N/A</v>
      </c>
      <c r="N254" s="5" t="n">
        <f aca="false">B254</f>
        <v>31.46</v>
      </c>
    </row>
    <row r="255" customFormat="false" ht="12.8" hidden="false" customHeight="false" outlineLevel="0" collapsed="false">
      <c r="A255" s="5" t="n">
        <v>1.215</v>
      </c>
      <c r="B255" s="5" t="n">
        <f aca="false">A255*VOFLB</f>
        <v>31.59</v>
      </c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 t="e">
        <f aca="false">0.000001*('Design Worksheet'!B$88)*(B255-B254)/E$232+M254</f>
        <v>#N/A</v>
      </c>
      <c r="N255" s="5" t="n">
        <f aca="false">B255</f>
        <v>31.59</v>
      </c>
    </row>
    <row r="256" customFormat="false" ht="12.8" hidden="false" customHeight="false" outlineLevel="0" collapsed="false">
      <c r="A256" s="5" t="n">
        <v>1.22</v>
      </c>
      <c r="B256" s="5" t="n">
        <f aca="false">A256*VOFLB</f>
        <v>31.72</v>
      </c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 t="e">
        <f aca="false">0.000001*('Design Worksheet'!B$88)*(B256-B255)/E$232+M255</f>
        <v>#N/A</v>
      </c>
      <c r="N256" s="5" t="n">
        <f aca="false">B256</f>
        <v>31.72</v>
      </c>
    </row>
    <row r="257" customFormat="false" ht="12.8" hidden="false" customHeight="false" outlineLevel="0" collapsed="false">
      <c r="A257" s="5" t="n">
        <v>1.225</v>
      </c>
      <c r="B257" s="5" t="n">
        <f aca="false">A257*VOFLB</f>
        <v>31.85</v>
      </c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 t="e">
        <f aca="false">0.000001*('Design Worksheet'!B$88)*(B257-B256)/E$232+M256</f>
        <v>#N/A</v>
      </c>
      <c r="N257" s="5" t="n">
        <f aca="false">B257</f>
        <v>31.85</v>
      </c>
    </row>
    <row r="258" customFormat="false" ht="12.8" hidden="false" customHeight="false" outlineLevel="0" collapsed="false">
      <c r="A258" s="5" t="n">
        <v>1.23</v>
      </c>
      <c r="B258" s="5" t="n">
        <f aca="false">A258*VOFLB</f>
        <v>31.98</v>
      </c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 t="e">
        <f aca="false">0.000001*('Design Worksheet'!B$88)*(B258-B257)/E$232+M257</f>
        <v>#N/A</v>
      </c>
      <c r="N258" s="5" t="n">
        <f aca="false">B258</f>
        <v>31.98</v>
      </c>
    </row>
    <row r="259" customFormat="false" ht="12.8" hidden="false" customHeight="false" outlineLevel="0" collapsed="false">
      <c r="A259" s="5" t="n">
        <v>1.235</v>
      </c>
      <c r="B259" s="5" t="n">
        <f aca="false">A259*VOFLB</f>
        <v>32.11</v>
      </c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 t="e">
        <f aca="false">0.000001*('Design Worksheet'!B$88)*(B259-B258)/E$232+M258</f>
        <v>#N/A</v>
      </c>
      <c r="N259" s="5" t="n">
        <f aca="false">B259</f>
        <v>32.11</v>
      </c>
    </row>
    <row r="260" customFormat="false" ht="12.8" hidden="false" customHeight="false" outlineLevel="0" collapsed="false">
      <c r="A260" s="5" t="n">
        <v>1.24</v>
      </c>
      <c r="B260" s="5" t="n">
        <f aca="false">A260*VOFLB</f>
        <v>32.24</v>
      </c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 t="e">
        <f aca="false">0.000001*('Design Worksheet'!B$88)*(B260-B259)/E$232+M259</f>
        <v>#N/A</v>
      </c>
      <c r="N260" s="5" t="n">
        <f aca="false">B260</f>
        <v>32.24</v>
      </c>
    </row>
    <row r="261" customFormat="false" ht="12.8" hidden="false" customHeight="false" outlineLevel="0" collapsed="false">
      <c r="A261" s="5" t="n">
        <v>1.245</v>
      </c>
      <c r="B261" s="5" t="n">
        <f aca="false">A261*VOFLB</f>
        <v>32.37</v>
      </c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 t="e">
        <f aca="false">0.000001*('Design Worksheet'!B$88)*(B261-B260)/E$232+M260</f>
        <v>#N/A</v>
      </c>
      <c r="N261" s="5" t="n">
        <f aca="false">B261</f>
        <v>32.37</v>
      </c>
    </row>
    <row r="262" customFormat="false" ht="12.8" hidden="false" customHeight="false" outlineLevel="0" collapsed="false">
      <c r="A262" s="5" t="n">
        <v>1.25</v>
      </c>
      <c r="B262" s="5" t="n">
        <f aca="false">A262*VOFLB</f>
        <v>32.5</v>
      </c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 t="e">
        <f aca="false">0.000001*('Design Worksheet'!B$88)*(B262-B261)/E$232+M261</f>
        <v>#N/A</v>
      </c>
      <c r="N262" s="5" t="n">
        <f aca="false">B262</f>
        <v>32.5</v>
      </c>
    </row>
    <row r="263" customFormat="false" ht="12.8" hidden="false" customHeight="false" outlineLevel="0" collapsed="false">
      <c r="A263" s="5" t="n">
        <v>1.255</v>
      </c>
      <c r="B263" s="5" t="n">
        <f aca="false">A263*VOFLB</f>
        <v>32.63</v>
      </c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 t="e">
        <f aca="false">0.000001*('Design Worksheet'!B$88)*(B263-B262)/E$232+M262</f>
        <v>#N/A</v>
      </c>
      <c r="N263" s="5" t="n">
        <f aca="false">B263</f>
        <v>32.63</v>
      </c>
    </row>
    <row r="264" customFormat="false" ht="12.8" hidden="false" customHeight="false" outlineLevel="0" collapsed="false">
      <c r="A264" s="5" t="n">
        <v>1.26</v>
      </c>
      <c r="B264" s="5" t="n">
        <f aca="false">A264*VOFLB</f>
        <v>32.76</v>
      </c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 t="e">
        <f aca="false">0.000001*('Design Worksheet'!B$88)*(B264-B263)/E$232+M263</f>
        <v>#N/A</v>
      </c>
      <c r="N264" s="5" t="n">
        <f aca="false">B264</f>
        <v>32.76</v>
      </c>
    </row>
    <row r="265" customFormat="false" ht="12.8" hidden="false" customHeight="false" outlineLevel="0" collapsed="false">
      <c r="A265" s="5" t="n">
        <v>1.265</v>
      </c>
      <c r="B265" s="5" t="n">
        <f aca="false">A265*VOFLB</f>
        <v>32.89</v>
      </c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 t="e">
        <f aca="false">0.000001*('Design Worksheet'!B$88)*(B265-B264)/E$232+M264</f>
        <v>#N/A</v>
      </c>
      <c r="N265" s="5" t="n">
        <f aca="false">B265</f>
        <v>32.89</v>
      </c>
    </row>
    <row r="266" customFormat="false" ht="12.8" hidden="false" customHeight="false" outlineLevel="0" collapsed="false">
      <c r="A266" s="5" t="n">
        <v>1.27</v>
      </c>
      <c r="B266" s="5" t="n">
        <f aca="false">A266*VOFLB</f>
        <v>33.02</v>
      </c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 t="e">
        <f aca="false">0.000001*('Design Worksheet'!B$88)*(B266-B265)/E$232+M265</f>
        <v>#N/A</v>
      </c>
      <c r="N266" s="5" t="n">
        <f aca="false">B266</f>
        <v>33.02</v>
      </c>
    </row>
    <row r="267" customFormat="false" ht="12.8" hidden="false" customHeight="false" outlineLevel="0" collapsed="false">
      <c r="A267" s="5" t="n">
        <v>1.275</v>
      </c>
      <c r="B267" s="5" t="n">
        <f aca="false">A267*VOFLB</f>
        <v>33.15</v>
      </c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 t="e">
        <f aca="false">0.000001*('Design Worksheet'!B$88)*(B267-B266)/E$232+M266</f>
        <v>#N/A</v>
      </c>
      <c r="N267" s="5" t="n">
        <f aca="false">B267</f>
        <v>33.15</v>
      </c>
    </row>
    <row r="268" customFormat="false" ht="12.8" hidden="false" customHeight="false" outlineLevel="0" collapsed="false">
      <c r="A268" s="5" t="n">
        <v>1.28</v>
      </c>
      <c r="B268" s="5" t="n">
        <f aca="false">A268*VOFLB</f>
        <v>33.28</v>
      </c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 t="e">
        <f aca="false">0.000001*('Design Worksheet'!B$88)*(B268-B267)/E$232+M267</f>
        <v>#N/A</v>
      </c>
      <c r="N268" s="5" t="n">
        <f aca="false">B268</f>
        <v>33.28</v>
      </c>
    </row>
    <row r="269" customFormat="false" ht="12.8" hidden="false" customHeight="false" outlineLevel="0" collapsed="false">
      <c r="A269" s="5" t="n">
        <v>1.285</v>
      </c>
      <c r="B269" s="5" t="n">
        <f aca="false">A269*VOFLB</f>
        <v>33.41</v>
      </c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 t="e">
        <f aca="false">0.000001*('Design Worksheet'!B$88)*(B269-B268)/E$232+M268</f>
        <v>#N/A</v>
      </c>
      <c r="N269" s="5" t="n">
        <f aca="false">B269</f>
        <v>33.41</v>
      </c>
    </row>
    <row r="270" customFormat="false" ht="12.8" hidden="false" customHeight="false" outlineLevel="0" collapsed="false">
      <c r="A270" s="5" t="n">
        <v>1.29</v>
      </c>
      <c r="B270" s="5" t="n">
        <f aca="false">A270*VOFLB</f>
        <v>33.54</v>
      </c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 t="e">
        <f aca="false">0.000001*('Design Worksheet'!B$88)*(B270-B269)/E$232+M269</f>
        <v>#N/A</v>
      </c>
      <c r="N270" s="5" t="n">
        <f aca="false">B270</f>
        <v>33.54</v>
      </c>
    </row>
    <row r="271" customFormat="false" ht="12.8" hidden="false" customHeight="false" outlineLevel="0" collapsed="false">
      <c r="A271" s="5" t="n">
        <v>1.295</v>
      </c>
      <c r="B271" s="5" t="n">
        <f aca="false">A271*VOFLB</f>
        <v>33.67</v>
      </c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 t="e">
        <f aca="false">0.000001*('Design Worksheet'!B$88)*(B271-B270)/E$232+M270</f>
        <v>#N/A</v>
      </c>
      <c r="N271" s="5" t="n">
        <f aca="false">B271</f>
        <v>33.67</v>
      </c>
    </row>
    <row r="272" customFormat="false" ht="12.8" hidden="false" customHeight="false" outlineLevel="0" collapsed="false">
      <c r="A272" s="5" t="n">
        <v>1.3</v>
      </c>
      <c r="B272" s="5" t="n">
        <f aca="false">A272*VOFLB</f>
        <v>33.8</v>
      </c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 t="e">
        <f aca="false">0.000001*('Design Worksheet'!B$88)*(B272-B271)/E$232+M271</f>
        <v>#N/A</v>
      </c>
      <c r="N272" s="5" t="n">
        <f aca="false">B272</f>
        <v>33.8</v>
      </c>
    </row>
    <row r="273" customFormat="false" ht="12.8" hidden="false" customHeight="false" outlineLevel="0" collapsed="false">
      <c r="A273" s="5" t="n">
        <v>1.30500000000001</v>
      </c>
      <c r="B273" s="5" t="n">
        <f aca="false">A273*VOFLB</f>
        <v>33.9300000000003</v>
      </c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 t="e">
        <f aca="false">0.000001*('Design Worksheet'!B$88)*(B273-B272)/E$232+M272</f>
        <v>#N/A</v>
      </c>
      <c r="N273" s="5" t="n">
        <f aca="false">B273</f>
        <v>33.9300000000003</v>
      </c>
    </row>
    <row r="274" customFormat="false" ht="12.8" hidden="false" customHeight="false" outlineLevel="0" collapsed="false">
      <c r="A274" s="5" t="n">
        <v>1.31</v>
      </c>
      <c r="B274" s="5" t="n">
        <f aca="false">A274*VOFLB</f>
        <v>34.06</v>
      </c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 t="e">
        <f aca="false">0.000001*('Design Worksheet'!B$88)*(B274-B273)/E$232+M273</f>
        <v>#N/A</v>
      </c>
      <c r="N274" s="5" t="n">
        <f aca="false">B274</f>
        <v>34.06</v>
      </c>
    </row>
    <row r="275" customFormat="false" ht="12.8" hidden="false" customHeight="false" outlineLevel="0" collapsed="false">
      <c r="A275" s="5" t="n">
        <v>1.31500000000001</v>
      </c>
      <c r="B275" s="5" t="n">
        <f aca="false">A275*VOFLB</f>
        <v>34.1900000000003</v>
      </c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 t="e">
        <f aca="false">0.000001*('Design Worksheet'!B$88)*(B275-B274)/E$232+M274</f>
        <v>#N/A</v>
      </c>
      <c r="N275" s="5" t="n">
        <f aca="false">B275</f>
        <v>34.1900000000003</v>
      </c>
    </row>
    <row r="276" customFormat="false" ht="12.8" hidden="false" customHeight="false" outlineLevel="0" collapsed="false">
      <c r="A276" s="5" t="n">
        <v>1.32</v>
      </c>
      <c r="B276" s="5" t="n">
        <f aca="false">A276*VOFLB</f>
        <v>34.32</v>
      </c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 t="e">
        <f aca="false">0.000001*('Design Worksheet'!B$88)*(B276-B275)/E$232+M275</f>
        <v>#N/A</v>
      </c>
      <c r="N276" s="5" t="n">
        <f aca="false">B276</f>
        <v>34.32</v>
      </c>
    </row>
    <row r="277" customFormat="false" ht="12.8" hidden="false" customHeight="false" outlineLevel="0" collapsed="false">
      <c r="A277" s="5" t="n">
        <v>1.32500000000001</v>
      </c>
      <c r="B277" s="5" t="n">
        <f aca="false">A277*VOFLB</f>
        <v>34.4500000000003</v>
      </c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 t="e">
        <f aca="false">0.000001*('Design Worksheet'!B$88)*(B277-B276)/E$232+M276</f>
        <v>#N/A</v>
      </c>
      <c r="N277" s="5" t="n">
        <f aca="false">B277</f>
        <v>34.4500000000003</v>
      </c>
    </row>
    <row r="278" customFormat="false" ht="12.8" hidden="false" customHeight="false" outlineLevel="0" collapsed="false">
      <c r="A278" s="5" t="n">
        <v>1.33</v>
      </c>
      <c r="B278" s="5" t="n">
        <f aca="false">A278*VOFLB</f>
        <v>34.58</v>
      </c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 t="e">
        <f aca="false">0.000001*('Design Worksheet'!B$88)*(B278-B277)/E$232+M277</f>
        <v>#N/A</v>
      </c>
      <c r="N278" s="5" t="n">
        <f aca="false">B278</f>
        <v>34.58</v>
      </c>
    </row>
    <row r="279" customFormat="false" ht="12.8" hidden="false" customHeight="false" outlineLevel="0" collapsed="false">
      <c r="A279" s="5" t="n">
        <v>1.33500000000001</v>
      </c>
      <c r="B279" s="5" t="n">
        <f aca="false">A279*VOFLB</f>
        <v>34.7100000000003</v>
      </c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 t="e">
        <f aca="false">0.000001*('Design Worksheet'!B$88)*(B279-B278)/E$232+M278</f>
        <v>#N/A</v>
      </c>
      <c r="N279" s="5" t="n">
        <f aca="false">B279</f>
        <v>34.7100000000003</v>
      </c>
    </row>
    <row r="280" customFormat="false" ht="12.8" hidden="false" customHeight="false" outlineLevel="0" collapsed="false">
      <c r="A280" s="5" t="n">
        <v>1.34</v>
      </c>
      <c r="B280" s="5" t="n">
        <f aca="false">A280*VOFLB</f>
        <v>34.84</v>
      </c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 t="e">
        <f aca="false">0.000001*('Design Worksheet'!B$88)*(B280-B279)/E$232+M279</f>
        <v>#N/A</v>
      </c>
      <c r="N280" s="5" t="n">
        <f aca="false">B280</f>
        <v>34.84</v>
      </c>
    </row>
    <row r="281" customFormat="false" ht="12.8" hidden="false" customHeight="false" outlineLevel="0" collapsed="false">
      <c r="A281" s="5" t="n">
        <v>1.34500000000001</v>
      </c>
      <c r="B281" s="5" t="n">
        <f aca="false">A281*VOFLB</f>
        <v>34.9700000000003</v>
      </c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 t="e">
        <f aca="false">0.000001*('Design Worksheet'!B$88)*(B281-B280)/E$232+M280</f>
        <v>#N/A</v>
      </c>
      <c r="N281" s="5" t="n">
        <f aca="false">B281</f>
        <v>34.9700000000003</v>
      </c>
    </row>
    <row r="282" customFormat="false" ht="12.8" hidden="false" customHeight="false" outlineLevel="0" collapsed="false">
      <c r="A282" s="5" t="n">
        <v>1.35000000000001</v>
      </c>
      <c r="B282" s="5" t="n">
        <f aca="false">A282*VOFLB</f>
        <v>35.1000000000003</v>
      </c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 t="e">
        <f aca="false">0.000001*('Design Worksheet'!B$88)*(B282-B281)/E$232+M281</f>
        <v>#N/A</v>
      </c>
      <c r="N282" s="5" t="n">
        <f aca="false">B282</f>
        <v>35.1000000000003</v>
      </c>
    </row>
    <row r="283" customFormat="false" ht="12.8" hidden="false" customHeight="false" outlineLevel="0" collapsed="false">
      <c r="A283" s="5" t="n">
        <v>1.35500000000001</v>
      </c>
      <c r="B283" s="5" t="n">
        <f aca="false">A283*VOFLB</f>
        <v>35.2300000000003</v>
      </c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 t="e">
        <f aca="false">0.000001*('Design Worksheet'!B$88)*(B283-B282)/E$232+M282</f>
        <v>#N/A</v>
      </c>
      <c r="N283" s="5" t="n">
        <f aca="false">B283</f>
        <v>35.2300000000003</v>
      </c>
    </row>
    <row r="284" customFormat="false" ht="12.8" hidden="false" customHeight="false" outlineLevel="0" collapsed="false">
      <c r="A284" s="5" t="n">
        <v>1.36000000000001</v>
      </c>
      <c r="B284" s="5" t="n">
        <f aca="false">A284*VOFLB</f>
        <v>35.3600000000003</v>
      </c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 t="e">
        <f aca="false">0.000001*('Design Worksheet'!B$88)*(B284-B283)/E$232+M283</f>
        <v>#N/A</v>
      </c>
      <c r="N284" s="5" t="n">
        <f aca="false">B284</f>
        <v>35.3600000000003</v>
      </c>
    </row>
    <row r="285" customFormat="false" ht="12.8" hidden="false" customHeight="false" outlineLevel="0" collapsed="false">
      <c r="A285" s="5" t="n">
        <v>1.36500000000001</v>
      </c>
      <c r="B285" s="5" t="n">
        <f aca="false">A285*VOFLB</f>
        <v>35.4900000000003</v>
      </c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 t="e">
        <f aca="false">0.000001*('Design Worksheet'!B$88)*(B285-B284)/E$232+M284</f>
        <v>#N/A</v>
      </c>
      <c r="N285" s="5" t="n">
        <f aca="false">B285</f>
        <v>35.4900000000003</v>
      </c>
    </row>
    <row r="286" customFormat="false" ht="12.8" hidden="false" customHeight="false" outlineLevel="0" collapsed="false">
      <c r="A286" s="5" t="n">
        <v>1.37000000000001</v>
      </c>
      <c r="B286" s="5" t="n">
        <f aca="false">A286*VOFLB</f>
        <v>35.6200000000003</v>
      </c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 t="e">
        <f aca="false">0.000001*('Design Worksheet'!B$88)*(B286-B285)/E$232+M285</f>
        <v>#N/A</v>
      </c>
      <c r="N286" s="5" t="n">
        <f aca="false">B286</f>
        <v>35.6200000000003</v>
      </c>
    </row>
    <row r="287" customFormat="false" ht="12.8" hidden="false" customHeight="false" outlineLevel="0" collapsed="false">
      <c r="A287" s="5" t="n">
        <v>1.37500000000001</v>
      </c>
      <c r="B287" s="5" t="n">
        <f aca="false">A287*VOFLB</f>
        <v>35.7500000000003</v>
      </c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 t="e">
        <f aca="false">0.000001*('Design Worksheet'!B$88)*(B287-B286)/E$232+M286</f>
        <v>#N/A</v>
      </c>
      <c r="N287" s="5" t="n">
        <f aca="false">B287</f>
        <v>35.7500000000003</v>
      </c>
    </row>
    <row r="288" customFormat="false" ht="12.8" hidden="false" customHeight="false" outlineLevel="0" collapsed="false">
      <c r="A288" s="5" t="n">
        <v>1.38000000000001</v>
      </c>
      <c r="B288" s="5" t="n">
        <f aca="false">A288*VOFLB</f>
        <v>35.8800000000003</v>
      </c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 t="e">
        <f aca="false">0.000001*('Design Worksheet'!B$88)*(B288-B287)/E$232+M287</f>
        <v>#N/A</v>
      </c>
      <c r="N288" s="5" t="n">
        <f aca="false">B288</f>
        <v>35.8800000000003</v>
      </c>
    </row>
    <row r="289" customFormat="false" ht="12.8" hidden="false" customHeight="false" outlineLevel="0" collapsed="false">
      <c r="A289" s="5" t="n">
        <v>1.38500000000001</v>
      </c>
      <c r="B289" s="5" t="n">
        <f aca="false">A289*VOFLB</f>
        <v>36.0100000000003</v>
      </c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 t="e">
        <f aca="false">0.000001*('Design Worksheet'!B$88)*(B289-B288)/E$232+M288</f>
        <v>#N/A</v>
      </c>
      <c r="N289" s="5" t="n">
        <f aca="false">B289</f>
        <v>36.0100000000003</v>
      </c>
    </row>
    <row r="290" customFormat="false" ht="12.8" hidden="false" customHeight="false" outlineLevel="0" collapsed="false">
      <c r="A290" s="5" t="n">
        <v>1.39000000000001</v>
      </c>
      <c r="B290" s="5" t="n">
        <f aca="false">A290*VOFLB</f>
        <v>36.1400000000003</v>
      </c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 t="e">
        <f aca="false">0.000001*('Design Worksheet'!B$88)*(B290-B289)/E$232+M289</f>
        <v>#N/A</v>
      </c>
      <c r="N290" s="5" t="n">
        <f aca="false">B290</f>
        <v>36.1400000000003</v>
      </c>
    </row>
    <row r="291" customFormat="false" ht="12.8" hidden="false" customHeight="false" outlineLevel="0" collapsed="false">
      <c r="A291" s="5" t="n">
        <v>1.39500000000001</v>
      </c>
      <c r="B291" s="5" t="n">
        <f aca="false">A291*VOFLB</f>
        <v>36.2700000000003</v>
      </c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 t="e">
        <f aca="false">0.000001*('Design Worksheet'!B$88)*(B291-B290)/E$232+M290</f>
        <v>#N/A</v>
      </c>
      <c r="N291" s="5" t="n">
        <f aca="false">B291</f>
        <v>36.2700000000003</v>
      </c>
    </row>
    <row r="292" customFormat="false" ht="12.8" hidden="false" customHeight="false" outlineLevel="0" collapsed="false">
      <c r="A292" s="5" t="n">
        <v>1.40000000000001</v>
      </c>
      <c r="B292" s="5" t="n">
        <f aca="false">A292*VOFLB</f>
        <v>36.4000000000003</v>
      </c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 t="e">
        <f aca="false">0.000001*('Design Worksheet'!B$88)*(B292-B291)/E$232+M291</f>
        <v>#N/A</v>
      </c>
      <c r="N292" s="5" t="n">
        <f aca="false">B292</f>
        <v>36.4000000000003</v>
      </c>
    </row>
    <row r="293" customFormat="false" ht="12.8" hidden="false" customHeight="false" outlineLevel="0" collapsed="false">
      <c r="A293" s="5" t="n">
        <v>1.40500000000001</v>
      </c>
      <c r="B293" s="5" t="n">
        <f aca="false">A293*VOFLB</f>
        <v>36.5300000000003</v>
      </c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 t="e">
        <f aca="false">0.000001*('Design Worksheet'!B$88)*(B293-B292)/E$232+M292</f>
        <v>#N/A</v>
      </c>
      <c r="N293" s="5" t="n">
        <f aca="false">B293</f>
        <v>36.5300000000003</v>
      </c>
    </row>
    <row r="294" customFormat="false" ht="12.8" hidden="false" customHeight="false" outlineLevel="0" collapsed="false">
      <c r="A294" s="5" t="n">
        <v>1.41000000000001</v>
      </c>
      <c r="B294" s="5" t="n">
        <f aca="false">A294*VOFLB</f>
        <v>36.6600000000003</v>
      </c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 t="e">
        <f aca="false">0.000001*('Design Worksheet'!B$88)*(B294-B293)/E$232+M293</f>
        <v>#N/A</v>
      </c>
      <c r="N294" s="5" t="n">
        <f aca="false">B294</f>
        <v>36.6600000000003</v>
      </c>
    </row>
    <row r="295" customFormat="false" ht="12.8" hidden="false" customHeight="false" outlineLevel="0" collapsed="false">
      <c r="A295" s="5" t="n">
        <v>1.41500000000001</v>
      </c>
      <c r="B295" s="5" t="n">
        <f aca="false">A295*VOFLB</f>
        <v>36.7900000000003</v>
      </c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 t="e">
        <f aca="false">0.000001*('Design Worksheet'!B$88)*(B295-B294)/E$232+M294</f>
        <v>#N/A</v>
      </c>
      <c r="N295" s="5" t="n">
        <f aca="false">B295</f>
        <v>36.7900000000003</v>
      </c>
    </row>
    <row r="296" customFormat="false" ht="12.8" hidden="false" customHeight="false" outlineLevel="0" collapsed="false">
      <c r="A296" s="5" t="n">
        <v>1.42000000000001</v>
      </c>
      <c r="B296" s="5" t="n">
        <f aca="false">A296*VOFLB</f>
        <v>36.9200000000003</v>
      </c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 t="e">
        <f aca="false">0.000001*('Design Worksheet'!B$88)*(B296-B295)/E$232+M295</f>
        <v>#N/A</v>
      </c>
      <c r="N296" s="5" t="n">
        <f aca="false">B296</f>
        <v>36.9200000000003</v>
      </c>
    </row>
    <row r="297" customFormat="false" ht="12.8" hidden="false" customHeight="false" outlineLevel="0" collapsed="false">
      <c r="A297" s="5" t="n">
        <v>1.42500000000001</v>
      </c>
      <c r="B297" s="5" t="n">
        <f aca="false">A297*VOFLB</f>
        <v>37.0500000000003</v>
      </c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 t="e">
        <f aca="false">0.000001*('Design Worksheet'!B$88)*(B297-B296)/E$232+M296</f>
        <v>#N/A</v>
      </c>
      <c r="N297" s="5" t="n">
        <f aca="false">B297</f>
        <v>37.0500000000003</v>
      </c>
    </row>
    <row r="298" customFormat="false" ht="12.8" hidden="false" customHeight="false" outlineLevel="0" collapsed="false">
      <c r="A298" s="5" t="n">
        <v>1.43000000000001</v>
      </c>
      <c r="B298" s="5" t="n">
        <f aca="false">A298*VOFLB</f>
        <v>37.1800000000003</v>
      </c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 t="e">
        <f aca="false">0.000001*('Design Worksheet'!B$88)*(B298-B297)/E$232+M297</f>
        <v>#N/A</v>
      </c>
      <c r="N298" s="5" t="n">
        <f aca="false">B298</f>
        <v>37.1800000000003</v>
      </c>
    </row>
    <row r="299" customFormat="false" ht="12.8" hidden="false" customHeight="false" outlineLevel="0" collapsed="false">
      <c r="A299" s="5" t="n">
        <v>1.43500000000001</v>
      </c>
      <c r="B299" s="5" t="n">
        <f aca="false">A299*VOFLB</f>
        <v>37.3100000000003</v>
      </c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 t="e">
        <f aca="false">0.000001*('Design Worksheet'!B$88)*(B299-B298)/E$232+M298</f>
        <v>#N/A</v>
      </c>
      <c r="N299" s="5" t="n">
        <f aca="false">B299</f>
        <v>37.3100000000003</v>
      </c>
    </row>
    <row r="300" customFormat="false" ht="12.8" hidden="false" customHeight="false" outlineLevel="0" collapsed="false">
      <c r="A300" s="5" t="n">
        <v>1.44000000000001</v>
      </c>
      <c r="B300" s="5" t="n">
        <f aca="false">A300*VOFLB</f>
        <v>37.4400000000003</v>
      </c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 t="e">
        <f aca="false">0.000001*('Design Worksheet'!B$88)*(B300-B299)/E$232+M299</f>
        <v>#N/A</v>
      </c>
      <c r="N300" s="5" t="n">
        <f aca="false">B300</f>
        <v>37.4400000000003</v>
      </c>
    </row>
    <row r="301" customFormat="false" ht="12.8" hidden="false" customHeight="false" outlineLevel="0" collapsed="false">
      <c r="A301" s="5" t="n">
        <v>1.44500000000001</v>
      </c>
      <c r="B301" s="5" t="n">
        <f aca="false">A301*VOFLB</f>
        <v>37.5700000000003</v>
      </c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 t="e">
        <f aca="false">0.000001*('Design Worksheet'!B$88)*(B301-B300)/E$232+M300</f>
        <v>#N/A</v>
      </c>
      <c r="N301" s="5" t="n">
        <f aca="false">B301</f>
        <v>37.5700000000003</v>
      </c>
    </row>
    <row r="302" customFormat="false" ht="12.8" hidden="false" customHeight="false" outlineLevel="0" collapsed="false">
      <c r="A302" s="5" t="n">
        <v>1.45000000000001</v>
      </c>
      <c r="B302" s="5" t="n">
        <f aca="false">A302*VOFLB</f>
        <v>37.7000000000003</v>
      </c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 t="e">
        <f aca="false">0.000001*('Design Worksheet'!B$88)*(B302-B301)/E$232+M301</f>
        <v>#N/A</v>
      </c>
      <c r="N302" s="5" t="n">
        <f aca="false">B302</f>
        <v>37.7000000000003</v>
      </c>
    </row>
    <row r="303" customFormat="false" ht="12.8" hidden="false" customHeight="false" outlineLevel="0" collapsed="false">
      <c r="A303" s="5" t="n">
        <v>1.45500000000001</v>
      </c>
      <c r="B303" s="5" t="n">
        <f aca="false">A303*VOFLB</f>
        <v>37.8300000000003</v>
      </c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 t="e">
        <f aca="false">0.000001*('Design Worksheet'!B$88)*(B303-B302)/E$232+M302</f>
        <v>#N/A</v>
      </c>
      <c r="N303" s="5" t="n">
        <f aca="false">B303</f>
        <v>37.8300000000003</v>
      </c>
    </row>
    <row r="304" customFormat="false" ht="12.8" hidden="false" customHeight="false" outlineLevel="0" collapsed="false">
      <c r="A304" s="5" t="n">
        <v>1.46000000000001</v>
      </c>
      <c r="B304" s="5" t="n">
        <f aca="false">A304*VOFLB</f>
        <v>37.9600000000003</v>
      </c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 t="e">
        <f aca="false">0.000001*('Design Worksheet'!B$88)*(B304-B303)/E$232+M303</f>
        <v>#N/A</v>
      </c>
      <c r="N304" s="5" t="n">
        <f aca="false">B304</f>
        <v>37.9600000000003</v>
      </c>
    </row>
    <row r="305" customFormat="false" ht="12.8" hidden="false" customHeight="false" outlineLevel="0" collapsed="false">
      <c r="A305" s="5" t="n">
        <v>1.46500000000001</v>
      </c>
      <c r="B305" s="5" t="n">
        <f aca="false">A305*VOFLB</f>
        <v>38.0900000000003</v>
      </c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 t="e">
        <f aca="false">0.000001*('Design Worksheet'!B$88)*(B305-B304)/E$232+M304</f>
        <v>#N/A</v>
      </c>
      <c r="N305" s="5" t="n">
        <f aca="false">B305</f>
        <v>38.0900000000003</v>
      </c>
    </row>
    <row r="306" customFormat="false" ht="12.8" hidden="false" customHeight="false" outlineLevel="0" collapsed="false">
      <c r="A306" s="5" t="n">
        <v>1.47000000000001</v>
      </c>
      <c r="B306" s="5" t="n">
        <f aca="false">A306*VOFLB</f>
        <v>38.2200000000003</v>
      </c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 t="e">
        <f aca="false">0.000001*('Design Worksheet'!B$88)*(B306-B305)/E$232+M305</f>
        <v>#N/A</v>
      </c>
      <c r="N306" s="5" t="n">
        <f aca="false">B306</f>
        <v>38.2200000000003</v>
      </c>
    </row>
    <row r="307" customFormat="false" ht="12.8" hidden="false" customHeight="false" outlineLevel="0" collapsed="false">
      <c r="A307" s="5" t="n">
        <v>1.47500000000001</v>
      </c>
      <c r="B307" s="5" t="n">
        <f aca="false">A307*VOFLB</f>
        <v>38.3500000000003</v>
      </c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 t="e">
        <f aca="false">0.000001*('Design Worksheet'!B$88)*(B307-B306)/E$232+M306</f>
        <v>#N/A</v>
      </c>
      <c r="N307" s="5" t="n">
        <f aca="false">B307</f>
        <v>38.3500000000003</v>
      </c>
    </row>
    <row r="308" customFormat="false" ht="12.8" hidden="false" customHeight="false" outlineLevel="0" collapsed="false">
      <c r="A308" s="5" t="n">
        <v>1.48000000000001</v>
      </c>
      <c r="B308" s="5" t="n">
        <f aca="false">A308*VOFLB</f>
        <v>38.4800000000003</v>
      </c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 t="e">
        <f aca="false">0.000001*('Design Worksheet'!B$88)*(B308-B307)/E$232+M307</f>
        <v>#N/A</v>
      </c>
      <c r="N308" s="5" t="n">
        <f aca="false">B308</f>
        <v>38.4800000000003</v>
      </c>
    </row>
    <row r="309" customFormat="false" ht="12.8" hidden="false" customHeight="false" outlineLevel="0" collapsed="false">
      <c r="A309" s="5" t="n">
        <v>1.48500000000001</v>
      </c>
      <c r="B309" s="5" t="n">
        <f aca="false">A309*VOFLB</f>
        <v>38.6100000000003</v>
      </c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 t="e">
        <f aca="false">0.000001*('Design Worksheet'!B$88)*(B309-B308)/E$232+M308</f>
        <v>#N/A</v>
      </c>
      <c r="N309" s="5" t="n">
        <f aca="false">B309</f>
        <v>38.6100000000003</v>
      </c>
    </row>
    <row r="310" customFormat="false" ht="12.8" hidden="false" customHeight="false" outlineLevel="0" collapsed="false">
      <c r="A310" s="5" t="n">
        <v>1.49000000000001</v>
      </c>
      <c r="B310" s="5" t="n">
        <f aca="false">A310*VOFLB</f>
        <v>38.7400000000003</v>
      </c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 t="e">
        <f aca="false">0.000001*('Design Worksheet'!B$88)*(B310-B309)/E$232+M309</f>
        <v>#N/A</v>
      </c>
      <c r="N310" s="5" t="n">
        <f aca="false">B310</f>
        <v>38.7400000000003</v>
      </c>
    </row>
    <row r="311" customFormat="false" ht="12.8" hidden="false" customHeight="false" outlineLevel="0" collapsed="false">
      <c r="A311" s="5" t="n">
        <v>1.49500000000001</v>
      </c>
      <c r="B311" s="5" t="n">
        <f aca="false">A311*VOFLB</f>
        <v>38.8700000000003</v>
      </c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 t="e">
        <f aca="false">0.000001*('Design Worksheet'!B$88)*(B311-B310)/E$232+M310</f>
        <v>#N/A</v>
      </c>
      <c r="N311" s="5" t="n">
        <f aca="false">B311</f>
        <v>38.8700000000003</v>
      </c>
    </row>
    <row r="312" customFormat="false" ht="12.8" hidden="false" customHeight="false" outlineLevel="0" collapsed="false">
      <c r="A312" s="5" t="n">
        <v>1.50000000000001</v>
      </c>
      <c r="B312" s="5" t="n">
        <f aca="false">A312*VOFLB</f>
        <v>39.0000000000003</v>
      </c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 t="e">
        <f aca="false">0.000001*('Design Worksheet'!B$88)*(B312-B311)/E$232+M311</f>
        <v>#N/A</v>
      </c>
      <c r="N312" s="5" t="n">
        <f aca="false">B312</f>
        <v>39.0000000000003</v>
      </c>
    </row>
    <row r="313" customFormat="false" ht="12.8" hidden="false" customHeight="false" outlineLevel="0" collapsed="false">
      <c r="A313" s="5" t="n">
        <v>1.50500000000001</v>
      </c>
      <c r="B313" s="5" t="n">
        <f aca="false">A313*VOFLB</f>
        <v>39.1300000000003</v>
      </c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 t="e">
        <f aca="false">0.000001*('Design Worksheet'!B$88)*(B313-B312)/E$232+M312</f>
        <v>#N/A</v>
      </c>
      <c r="N313" s="5" t="n">
        <f aca="false">B313</f>
        <v>39.1300000000003</v>
      </c>
    </row>
    <row r="314" customFormat="false" ht="12.8" hidden="false" customHeight="false" outlineLevel="0" collapsed="false">
      <c r="A314" s="5" t="n">
        <v>1.51000000000001</v>
      </c>
      <c r="B314" s="5" t="n">
        <f aca="false">A314*VOFLB</f>
        <v>39.2600000000003</v>
      </c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 t="e">
        <f aca="false">0.000001*('Design Worksheet'!B$88)*(B314-B313)/E$232+M313</f>
        <v>#N/A</v>
      </c>
      <c r="N314" s="5" t="n">
        <f aca="false">B314</f>
        <v>39.2600000000003</v>
      </c>
    </row>
    <row r="315" customFormat="false" ht="12.8" hidden="false" customHeight="false" outlineLevel="0" collapsed="false">
      <c r="A315" s="5" t="n">
        <v>1.51500000000001</v>
      </c>
      <c r="B315" s="5" t="n">
        <f aca="false">A315*VOFLB</f>
        <v>39.3900000000003</v>
      </c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 t="e">
        <f aca="false">0.000001*('Design Worksheet'!B$88)*(B315-B314)/E$232+M314</f>
        <v>#N/A</v>
      </c>
      <c r="N315" s="5" t="n">
        <f aca="false">B315</f>
        <v>39.3900000000003</v>
      </c>
    </row>
    <row r="316" customFormat="false" ht="12.8" hidden="false" customHeight="false" outlineLevel="0" collapsed="false">
      <c r="A316" s="5" t="n">
        <v>1.52000000000001</v>
      </c>
      <c r="B316" s="5" t="n">
        <f aca="false">A316*VOFLB</f>
        <v>39.5200000000003</v>
      </c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 t="e">
        <f aca="false">0.000001*('Design Worksheet'!B$88)*(B316-B315)/E$232+M315</f>
        <v>#N/A</v>
      </c>
      <c r="N316" s="5" t="n">
        <f aca="false">B316</f>
        <v>39.5200000000003</v>
      </c>
    </row>
    <row r="317" customFormat="false" ht="12.8" hidden="false" customHeight="false" outlineLevel="0" collapsed="false">
      <c r="A317" s="5" t="n">
        <v>1.52500000000001</v>
      </c>
      <c r="B317" s="5" t="n">
        <f aca="false">A317*VOFLB</f>
        <v>39.6500000000003</v>
      </c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 t="e">
        <f aca="false">0.000001*('Design Worksheet'!B$88)*(B317-B316)/E$232+M316</f>
        <v>#N/A</v>
      </c>
      <c r="N317" s="5" t="n">
        <f aca="false">B317</f>
        <v>39.6500000000003</v>
      </c>
    </row>
    <row r="318" customFormat="false" ht="12.8" hidden="false" customHeight="false" outlineLevel="0" collapsed="false">
      <c r="A318" s="5" t="n">
        <v>1.53000000000001</v>
      </c>
      <c r="B318" s="5" t="n">
        <f aca="false">A318*VOFLB</f>
        <v>39.7800000000003</v>
      </c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 t="e">
        <f aca="false">0.000001*('Design Worksheet'!B$88)*(B318-B317)/E$232+M317</f>
        <v>#N/A</v>
      </c>
      <c r="N318" s="5" t="n">
        <f aca="false">B318</f>
        <v>39.7800000000003</v>
      </c>
    </row>
    <row r="319" customFormat="false" ht="12.8" hidden="false" customHeight="false" outlineLevel="0" collapsed="false">
      <c r="A319" s="5" t="n">
        <v>1.53500000000001</v>
      </c>
      <c r="B319" s="5" t="n">
        <f aca="false">A319*VOFLB</f>
        <v>39.9100000000003</v>
      </c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 t="e">
        <f aca="false">0.000001*('Design Worksheet'!B$88)*(B319-B318)/E$232+M318</f>
        <v>#N/A</v>
      </c>
      <c r="N319" s="5" t="n">
        <f aca="false">B319</f>
        <v>39.9100000000003</v>
      </c>
    </row>
    <row r="320" customFormat="false" ht="12.8" hidden="false" customHeight="false" outlineLevel="0" collapsed="false">
      <c r="A320" s="5" t="n">
        <v>1.54000000000001</v>
      </c>
      <c r="B320" s="5" t="n">
        <f aca="false">A320*VOFLB</f>
        <v>40.0400000000003</v>
      </c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 t="e">
        <f aca="false">0.000001*('Design Worksheet'!B$88)*(B320-B319)/E$232+M319</f>
        <v>#N/A</v>
      </c>
      <c r="N320" s="5" t="n">
        <f aca="false">B320</f>
        <v>40.0400000000003</v>
      </c>
    </row>
    <row r="321" customFormat="false" ht="12.8" hidden="false" customHeight="false" outlineLevel="0" collapsed="false">
      <c r="A321" s="5" t="n">
        <v>1.54500000000001</v>
      </c>
      <c r="B321" s="5" t="n">
        <f aca="false">A321*VOFLB</f>
        <v>40.1700000000003</v>
      </c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 t="e">
        <f aca="false">0.000001*('Design Worksheet'!B$88)*(B321-B320)/E$232+M320</f>
        <v>#N/A</v>
      </c>
      <c r="N321" s="5" t="n">
        <f aca="false">B321</f>
        <v>40.1700000000003</v>
      </c>
    </row>
    <row r="322" customFormat="false" ht="12.8" hidden="false" customHeight="false" outlineLevel="0" collapsed="false">
      <c r="A322" s="5" t="n">
        <v>1.55000000000001</v>
      </c>
      <c r="B322" s="5" t="n">
        <f aca="false">A322*VOFLB</f>
        <v>40.3000000000003</v>
      </c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 t="e">
        <f aca="false">0.000001*('Design Worksheet'!B$88)*(B322-B321)/E$232+M321</f>
        <v>#N/A</v>
      </c>
      <c r="N322" s="5" t="n">
        <f aca="false">B322</f>
        <v>40.3000000000003</v>
      </c>
    </row>
    <row r="323" customFormat="false" ht="12.8" hidden="false" customHeight="false" outlineLevel="0" collapsed="false">
      <c r="A323" s="5" t="n">
        <v>1.55500000000001</v>
      </c>
      <c r="B323" s="5" t="n">
        <f aca="false">A323*VOFLB</f>
        <v>40.4300000000003</v>
      </c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 t="e">
        <f aca="false">0.000001*('Design Worksheet'!B$88)*(B323-B322)/E$232+M322</f>
        <v>#N/A</v>
      </c>
      <c r="N323" s="5" t="n">
        <f aca="false">B323</f>
        <v>40.4300000000003</v>
      </c>
    </row>
    <row r="324" customFormat="false" ht="12.8" hidden="false" customHeight="false" outlineLevel="0" collapsed="false">
      <c r="A324" s="5" t="n">
        <v>1.56000000000001</v>
      </c>
      <c r="B324" s="5" t="n">
        <f aca="false">A324*VOFLB</f>
        <v>40.5600000000003</v>
      </c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 t="e">
        <f aca="false">0.000001*('Design Worksheet'!B$88)*(B324-B323)/E$232+M323</f>
        <v>#N/A</v>
      </c>
      <c r="N324" s="5" t="n">
        <f aca="false">B324</f>
        <v>40.5600000000003</v>
      </c>
    </row>
    <row r="325" customFormat="false" ht="12.8" hidden="false" customHeight="false" outlineLevel="0" collapsed="false">
      <c r="A325" s="5" t="n">
        <v>1.56500000000001</v>
      </c>
      <c r="B325" s="5" t="n">
        <f aca="false">A325*VOFLB</f>
        <v>40.6900000000003</v>
      </c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 t="e">
        <f aca="false">0.000001*('Design Worksheet'!B$88)*(B325-B324)/E$232+M324</f>
        <v>#N/A</v>
      </c>
      <c r="N325" s="5" t="n">
        <f aca="false">B325</f>
        <v>40.6900000000003</v>
      </c>
    </row>
    <row r="326" customFormat="false" ht="12.8" hidden="false" customHeight="false" outlineLevel="0" collapsed="false">
      <c r="A326" s="5" t="n">
        <v>1.57000000000001</v>
      </c>
      <c r="B326" s="5" t="n">
        <f aca="false">A326*VOFLB</f>
        <v>40.8200000000003</v>
      </c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 t="e">
        <f aca="false">0.000001*('Design Worksheet'!B$88)*(B326-B325)/E$232+M325</f>
        <v>#N/A</v>
      </c>
      <c r="N326" s="5" t="n">
        <f aca="false">B326</f>
        <v>40.8200000000003</v>
      </c>
    </row>
    <row r="327" customFormat="false" ht="12.8" hidden="false" customHeight="false" outlineLevel="0" collapsed="false">
      <c r="A327" s="5" t="n">
        <v>1.57500000000001</v>
      </c>
      <c r="B327" s="5" t="n">
        <f aca="false">A327*VOFLB</f>
        <v>40.9500000000003</v>
      </c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 t="e">
        <f aca="false">0.000001*('Design Worksheet'!B$88)*(B327-B326)/E$232+M326</f>
        <v>#N/A</v>
      </c>
      <c r="N327" s="5" t="n">
        <f aca="false">B327</f>
        <v>40.9500000000003</v>
      </c>
    </row>
    <row r="328" customFormat="false" ht="12.8" hidden="false" customHeight="false" outlineLevel="0" collapsed="false">
      <c r="A328" s="5" t="n">
        <v>1.58000000000001</v>
      </c>
      <c r="B328" s="5" t="n">
        <f aca="false">A328*VOFLB</f>
        <v>41.0800000000003</v>
      </c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 t="e">
        <f aca="false">0.000001*('Design Worksheet'!B$88)*(B328-B327)/E$232+M327</f>
        <v>#N/A</v>
      </c>
      <c r="N328" s="5" t="n">
        <f aca="false">B328</f>
        <v>41.0800000000003</v>
      </c>
    </row>
    <row r="329" customFormat="false" ht="12.8" hidden="false" customHeight="false" outlineLevel="0" collapsed="false">
      <c r="A329" s="5" t="n">
        <v>1.58500000000001</v>
      </c>
      <c r="B329" s="5" t="n">
        <f aca="false">A329*VOFLB</f>
        <v>41.2100000000003</v>
      </c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 t="e">
        <f aca="false">0.000001*('Design Worksheet'!B$88)*(B329-B328)/E$232+M328</f>
        <v>#N/A</v>
      </c>
      <c r="N329" s="5" t="n">
        <f aca="false">B329</f>
        <v>41.2100000000003</v>
      </c>
    </row>
    <row r="330" customFormat="false" ht="12.8" hidden="false" customHeight="false" outlineLevel="0" collapsed="false">
      <c r="A330" s="5" t="n">
        <v>1.59000000000001</v>
      </c>
      <c r="B330" s="5" t="n">
        <f aca="false">A330*VOFLB</f>
        <v>41.3400000000003</v>
      </c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 t="e">
        <f aca="false">0.000001*('Design Worksheet'!B$88)*(B330-B329)/E$232+M329</f>
        <v>#N/A</v>
      </c>
      <c r="N330" s="5" t="n">
        <f aca="false">B330</f>
        <v>41.3400000000003</v>
      </c>
    </row>
    <row r="331" customFormat="false" ht="12.8" hidden="false" customHeight="false" outlineLevel="0" collapsed="false">
      <c r="A331" s="5" t="n">
        <v>1.59500000000001</v>
      </c>
      <c r="B331" s="5" t="n">
        <f aca="false">A331*VOFLB</f>
        <v>41.4700000000003</v>
      </c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 t="e">
        <f aca="false">0.000001*('Design Worksheet'!B$88)*(B331-B330)/E$232+M330</f>
        <v>#N/A</v>
      </c>
      <c r="N331" s="5" t="n">
        <f aca="false">B331</f>
        <v>41.4700000000003</v>
      </c>
    </row>
    <row r="332" customFormat="false" ht="12.8" hidden="false" customHeight="false" outlineLevel="0" collapsed="false">
      <c r="A332" s="5" t="n">
        <v>1.60000000000001</v>
      </c>
      <c r="B332" s="5" t="n">
        <f aca="false">A332*VOFLB</f>
        <v>41.6000000000003</v>
      </c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 t="e">
        <f aca="false">0.000001*('Design Worksheet'!B$88)*(B332-B331)/E$232+M331</f>
        <v>#N/A</v>
      </c>
      <c r="N332" s="5" t="n">
        <f aca="false">B332</f>
        <v>41.6000000000003</v>
      </c>
    </row>
    <row r="333" customFormat="false" ht="12.8" hidden="false" customHeight="false" outlineLevel="0" collapsed="false">
      <c r="A333" s="5" t="n">
        <v>1.60500000000001</v>
      </c>
      <c r="B333" s="5" t="n">
        <f aca="false">A333*VOFLB</f>
        <v>41.7300000000003</v>
      </c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 t="e">
        <f aca="false">0.000001*('Design Worksheet'!B$88)*(B333-B332)/E$232+M332</f>
        <v>#N/A</v>
      </c>
      <c r="N333" s="5" t="n">
        <f aca="false">B333</f>
        <v>41.7300000000003</v>
      </c>
    </row>
    <row r="334" customFormat="false" ht="12.8" hidden="false" customHeight="false" outlineLevel="0" collapsed="false">
      <c r="A334" s="5" t="n">
        <v>1.61000000000001</v>
      </c>
      <c r="B334" s="5" t="n">
        <f aca="false">A334*VOFLB</f>
        <v>41.8600000000003</v>
      </c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 t="e">
        <f aca="false">0.000001*('Design Worksheet'!B$88)*(B334-B333)/E$232+M333</f>
        <v>#N/A</v>
      </c>
      <c r="N334" s="5" t="n">
        <f aca="false">B334</f>
        <v>41.8600000000003</v>
      </c>
    </row>
    <row r="335" customFormat="false" ht="12.8" hidden="false" customHeight="false" outlineLevel="0" collapsed="false">
      <c r="A335" s="5" t="n">
        <v>1.61500000000001</v>
      </c>
      <c r="B335" s="5" t="n">
        <f aca="false">A335*VOFLB</f>
        <v>41.9900000000003</v>
      </c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 t="e">
        <f aca="false">0.000001*('Design Worksheet'!B$88)*(B335-B334)/E$232+M334</f>
        <v>#N/A</v>
      </c>
      <c r="N335" s="5" t="n">
        <f aca="false">B335</f>
        <v>41.9900000000003</v>
      </c>
    </row>
    <row r="336" customFormat="false" ht="12.8" hidden="false" customHeight="false" outlineLevel="0" collapsed="false">
      <c r="A336" s="5" t="n">
        <v>1.62000000000001</v>
      </c>
      <c r="B336" s="5" t="n">
        <f aca="false">A336*VOFLB</f>
        <v>42.1200000000003</v>
      </c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 t="e">
        <f aca="false">0.000001*('Design Worksheet'!B$88)*(B336-B335)/E$232+M335</f>
        <v>#N/A</v>
      </c>
      <c r="N336" s="5" t="n">
        <f aca="false">B336</f>
        <v>42.1200000000003</v>
      </c>
    </row>
    <row r="337" customFormat="false" ht="12.8" hidden="false" customHeight="false" outlineLevel="0" collapsed="false">
      <c r="A337" s="5" t="n">
        <v>1.62500000000001</v>
      </c>
      <c r="B337" s="5" t="n">
        <f aca="false">A337*VOFLB</f>
        <v>42.2500000000003</v>
      </c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 t="e">
        <f aca="false">0.000001*('Design Worksheet'!B$88)*(B337-B336)/E$232+M336</f>
        <v>#N/A</v>
      </c>
      <c r="N337" s="5" t="n">
        <f aca="false">B337</f>
        <v>42.2500000000003</v>
      </c>
    </row>
    <row r="338" customFormat="false" ht="12.8" hidden="false" customHeight="false" outlineLevel="0" collapsed="false">
      <c r="A338" s="5" t="n">
        <v>1.63000000000001</v>
      </c>
      <c r="B338" s="5" t="n">
        <f aca="false">A338*VOFLB</f>
        <v>42.3800000000003</v>
      </c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 t="e">
        <f aca="false">0.000001*('Design Worksheet'!B$88)*(B338-B337)/E$232+M337</f>
        <v>#N/A</v>
      </c>
      <c r="N338" s="5" t="n">
        <f aca="false">B338</f>
        <v>42.3800000000003</v>
      </c>
    </row>
    <row r="339" customFormat="false" ht="12.8" hidden="false" customHeight="false" outlineLevel="0" collapsed="false">
      <c r="A339" s="5" t="n">
        <v>1.63500000000001</v>
      </c>
      <c r="B339" s="5" t="n">
        <f aca="false">A339*VOFLB</f>
        <v>42.5100000000003</v>
      </c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 t="e">
        <f aca="false">0.000001*('Design Worksheet'!B$88)*(B339-B338)/E$232+M338</f>
        <v>#N/A</v>
      </c>
      <c r="N339" s="5" t="n">
        <f aca="false">B339</f>
        <v>42.5100000000003</v>
      </c>
    </row>
    <row r="340" customFormat="false" ht="12.8" hidden="false" customHeight="false" outlineLevel="0" collapsed="false">
      <c r="A340" s="5" t="n">
        <v>1.64000000000001</v>
      </c>
      <c r="B340" s="5" t="n">
        <f aca="false">A340*VOFLB</f>
        <v>42.6400000000003</v>
      </c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 t="e">
        <f aca="false">0.000001*('Design Worksheet'!B$88)*(B340-B339)/E$232+M339</f>
        <v>#N/A</v>
      </c>
      <c r="N340" s="5" t="n">
        <f aca="false">B340</f>
        <v>42.6400000000003</v>
      </c>
    </row>
    <row r="341" customFormat="false" ht="12.8" hidden="false" customHeight="false" outlineLevel="0" collapsed="false">
      <c r="A341" s="5" t="n">
        <v>1.64500000000001</v>
      </c>
      <c r="B341" s="5" t="n">
        <f aca="false">A341*VOFLB</f>
        <v>42.7700000000003</v>
      </c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 t="e">
        <f aca="false">0.000001*('Design Worksheet'!B$88)*(B341-B340)/E$232+M340</f>
        <v>#N/A</v>
      </c>
      <c r="N341" s="5" t="n">
        <f aca="false">B341</f>
        <v>42.7700000000003</v>
      </c>
    </row>
    <row r="342" customFormat="false" ht="12.8" hidden="false" customHeight="false" outlineLevel="0" collapsed="false">
      <c r="A342" s="5" t="n">
        <v>1.65000000000001</v>
      </c>
      <c r="B342" s="5" t="n">
        <f aca="false">A342*VOFLB</f>
        <v>42.9000000000003</v>
      </c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 t="e">
        <f aca="false">0.000001*('Design Worksheet'!B$88)*(B342-B341)/E$232+M341</f>
        <v>#N/A</v>
      </c>
      <c r="N342" s="5" t="n">
        <f aca="false">B342</f>
        <v>42.9000000000003</v>
      </c>
    </row>
    <row r="343" customFormat="false" ht="12.8" hidden="false" customHeight="false" outlineLevel="0" collapsed="false">
      <c r="A343" s="5" t="n">
        <v>1.65500000000001</v>
      </c>
      <c r="B343" s="5" t="n">
        <f aca="false">A343*VOFLB</f>
        <v>43.0300000000003</v>
      </c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 t="e">
        <f aca="false">0.000001*('Design Worksheet'!B$88)*(B343-B342)/E$232+M342</f>
        <v>#N/A</v>
      </c>
      <c r="N343" s="5" t="n">
        <f aca="false">B343</f>
        <v>43.0300000000003</v>
      </c>
    </row>
    <row r="344" customFormat="false" ht="12.8" hidden="false" customHeight="false" outlineLevel="0" collapsed="false">
      <c r="A344" s="5" t="n">
        <v>1.66000000000001</v>
      </c>
      <c r="B344" s="5" t="n">
        <f aca="false">A344*VOFLB</f>
        <v>43.1600000000003</v>
      </c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 t="e">
        <f aca="false">0.000001*('Design Worksheet'!B$88)*(B344-B343)/E$232+M343</f>
        <v>#N/A</v>
      </c>
      <c r="N344" s="5" t="n">
        <f aca="false">B344</f>
        <v>43.1600000000003</v>
      </c>
    </row>
    <row r="345" customFormat="false" ht="12.8" hidden="false" customHeight="false" outlineLevel="0" collapsed="false">
      <c r="A345" s="5" t="n">
        <v>1.66500000000001</v>
      </c>
      <c r="B345" s="5" t="n">
        <f aca="false">A345*VOFLB</f>
        <v>43.2900000000003</v>
      </c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 t="e">
        <f aca="false">0.000001*('Design Worksheet'!B$88)*(B345-B344)/E$232+M344</f>
        <v>#N/A</v>
      </c>
      <c r="N345" s="5" t="n">
        <f aca="false">B345</f>
        <v>43.2900000000003</v>
      </c>
    </row>
    <row r="346" customFormat="false" ht="12.8" hidden="false" customHeight="false" outlineLevel="0" collapsed="false">
      <c r="A346" s="5" t="n">
        <v>1.67000000000001</v>
      </c>
      <c r="B346" s="5" t="n">
        <f aca="false">A346*VOFLB</f>
        <v>43.4200000000003</v>
      </c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 t="e">
        <f aca="false">0.000001*('Design Worksheet'!B$88)*(B346-B345)/E$232+M345</f>
        <v>#N/A</v>
      </c>
      <c r="N346" s="5" t="n">
        <f aca="false">B346</f>
        <v>43.4200000000003</v>
      </c>
    </row>
    <row r="347" customFormat="false" ht="12.8" hidden="false" customHeight="false" outlineLevel="0" collapsed="false">
      <c r="A347" s="5" t="n">
        <v>1.67500000000001</v>
      </c>
      <c r="B347" s="5" t="n">
        <f aca="false">A347*VOFLB</f>
        <v>43.5500000000003</v>
      </c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 t="e">
        <f aca="false">0.000001*('Design Worksheet'!B$88)*(B347-B346)/E$232+M346</f>
        <v>#N/A</v>
      </c>
      <c r="N347" s="5" t="n">
        <f aca="false">B347</f>
        <v>43.5500000000003</v>
      </c>
    </row>
    <row r="348" customFormat="false" ht="12.8" hidden="false" customHeight="false" outlineLevel="0" collapsed="false">
      <c r="A348" s="5" t="n">
        <v>1.68000000000001</v>
      </c>
      <c r="B348" s="5" t="n">
        <f aca="false">A348*VOFLB</f>
        <v>43.6800000000003</v>
      </c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 t="e">
        <f aca="false">0.000001*('Design Worksheet'!B$88)*(B348-B347)/E$232+M347</f>
        <v>#N/A</v>
      </c>
      <c r="N348" s="5" t="n">
        <f aca="false">B348</f>
        <v>43.6800000000003</v>
      </c>
    </row>
    <row r="349" customFormat="false" ht="12.8" hidden="false" customHeight="false" outlineLevel="0" collapsed="false">
      <c r="A349" s="5" t="n">
        <v>1.68500000000001</v>
      </c>
      <c r="B349" s="5" t="n">
        <f aca="false">A349*VOFLB</f>
        <v>43.8100000000003</v>
      </c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 t="e">
        <f aca="false">0.000001*('Design Worksheet'!B$88)*(B349-B348)/E$232+M348</f>
        <v>#N/A</v>
      </c>
      <c r="N349" s="5" t="n">
        <f aca="false">B349</f>
        <v>43.8100000000003</v>
      </c>
    </row>
    <row r="350" customFormat="false" ht="12.8" hidden="false" customHeight="false" outlineLevel="0" collapsed="false">
      <c r="A350" s="5" t="n">
        <v>1.69000000000001</v>
      </c>
      <c r="B350" s="5" t="n">
        <f aca="false">A350*VOFLB</f>
        <v>43.9400000000003</v>
      </c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 t="e">
        <f aca="false">0.000001*('Design Worksheet'!B$88)*(B350-B349)/E$232+M349</f>
        <v>#N/A</v>
      </c>
      <c r="N350" s="5" t="n">
        <f aca="false">B350</f>
        <v>43.9400000000003</v>
      </c>
    </row>
    <row r="351" customFormat="false" ht="12.8" hidden="false" customHeight="false" outlineLevel="0" collapsed="false">
      <c r="A351" s="5" t="n">
        <v>1.69500000000001</v>
      </c>
      <c r="B351" s="5" t="n">
        <f aca="false">A351*VOFLB</f>
        <v>44.0700000000003</v>
      </c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 t="e">
        <f aca="false">0.000001*('Design Worksheet'!B$88)*(B351-B350)/E$232+M350</f>
        <v>#N/A</v>
      </c>
      <c r="N351" s="5" t="n">
        <f aca="false">B351</f>
        <v>44.0700000000003</v>
      </c>
    </row>
    <row r="352" customFormat="false" ht="12.8" hidden="false" customHeight="false" outlineLevel="0" collapsed="false">
      <c r="A352" s="5" t="n">
        <v>1.70000000000001</v>
      </c>
      <c r="B352" s="5" t="n">
        <f aca="false">A352*VOFLB</f>
        <v>44.2000000000003</v>
      </c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 t="e">
        <f aca="false">0.000001*('Design Worksheet'!B$88)*(B352-B351)/E$232+M351</f>
        <v>#N/A</v>
      </c>
      <c r="N352" s="5" t="n">
        <f aca="false">B352</f>
        <v>44.2000000000003</v>
      </c>
    </row>
    <row r="353" customFormat="false" ht="12.8" hidden="false" customHeight="false" outlineLevel="0" collapsed="false">
      <c r="A353" s="5" t="n">
        <v>1.70500000000001</v>
      </c>
      <c r="B353" s="5" t="n">
        <f aca="false">A353*VOFLB</f>
        <v>44.3300000000003</v>
      </c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 t="e">
        <f aca="false">0.000001*('Design Worksheet'!B$88)*(B353-B352)/E$232+M352</f>
        <v>#N/A</v>
      </c>
      <c r="N353" s="5" t="n">
        <f aca="false">B353</f>
        <v>44.3300000000003</v>
      </c>
    </row>
    <row r="354" customFormat="false" ht="12.8" hidden="false" customHeight="false" outlineLevel="0" collapsed="false">
      <c r="A354" s="5" t="n">
        <v>1.71000000000001</v>
      </c>
      <c r="B354" s="5" t="n">
        <f aca="false">A354*VOFLB</f>
        <v>44.4600000000003</v>
      </c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 t="e">
        <f aca="false">0.000001*('Design Worksheet'!B$88)*(B354-B353)/E$232+M353</f>
        <v>#N/A</v>
      </c>
      <c r="N354" s="5" t="n">
        <f aca="false">B354</f>
        <v>44.4600000000003</v>
      </c>
    </row>
    <row r="355" customFormat="false" ht="12.8" hidden="false" customHeight="false" outlineLevel="0" collapsed="false">
      <c r="A355" s="5" t="n">
        <v>1.71500000000001</v>
      </c>
      <c r="B355" s="5" t="n">
        <f aca="false">A355*VOFLB</f>
        <v>44.5900000000003</v>
      </c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 t="e">
        <f aca="false">0.000001*('Design Worksheet'!B$88)*(B355-B354)/E$232+M354</f>
        <v>#N/A</v>
      </c>
      <c r="N355" s="5" t="n">
        <f aca="false">B355</f>
        <v>44.5900000000003</v>
      </c>
    </row>
    <row r="356" customFormat="false" ht="12.8" hidden="false" customHeight="false" outlineLevel="0" collapsed="false">
      <c r="A356" s="5" t="n">
        <v>1.72000000000001</v>
      </c>
      <c r="B356" s="5" t="n">
        <f aca="false">A356*VOFLB</f>
        <v>44.7200000000003</v>
      </c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 t="e">
        <f aca="false">0.000001*('Design Worksheet'!B$88)*(B356-B355)/E$232+M355</f>
        <v>#N/A</v>
      </c>
      <c r="N356" s="5" t="n">
        <f aca="false">B356</f>
        <v>44.7200000000003</v>
      </c>
    </row>
    <row r="357" customFormat="false" ht="12.8" hidden="false" customHeight="false" outlineLevel="0" collapsed="false">
      <c r="A357" s="5" t="n">
        <v>1.72500000000001</v>
      </c>
      <c r="B357" s="5" t="n">
        <f aca="false">A357*VOFLB</f>
        <v>44.8500000000003</v>
      </c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 t="e">
        <f aca="false">0.000001*('Design Worksheet'!B$88)*(B357-B356)/E$232+M356</f>
        <v>#N/A</v>
      </c>
      <c r="N357" s="5" t="n">
        <f aca="false">B357</f>
        <v>44.8500000000003</v>
      </c>
    </row>
    <row r="358" customFormat="false" ht="12.8" hidden="false" customHeight="false" outlineLevel="0" collapsed="false">
      <c r="A358" s="5" t="n">
        <v>1.73000000000001</v>
      </c>
      <c r="B358" s="5" t="n">
        <f aca="false">A358*VOFLB</f>
        <v>44.9800000000003</v>
      </c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 t="e">
        <f aca="false">0.000001*('Design Worksheet'!B$88)*(B358-B357)/E$232+M357</f>
        <v>#N/A</v>
      </c>
      <c r="N358" s="5" t="n">
        <f aca="false">B358</f>
        <v>44.9800000000003</v>
      </c>
    </row>
    <row r="359" customFormat="false" ht="12.8" hidden="false" customHeight="false" outlineLevel="0" collapsed="false">
      <c r="A359" s="5" t="n">
        <v>1.73500000000001</v>
      </c>
      <c r="B359" s="5" t="n">
        <f aca="false">A359*VOFLB</f>
        <v>45.1100000000003</v>
      </c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 t="e">
        <f aca="false">0.000001*('Design Worksheet'!B$88)*(B359-B358)/E$232+M358</f>
        <v>#N/A</v>
      </c>
      <c r="N359" s="5" t="n">
        <f aca="false">B359</f>
        <v>45.1100000000003</v>
      </c>
    </row>
    <row r="360" customFormat="false" ht="12.8" hidden="false" customHeight="false" outlineLevel="0" collapsed="false">
      <c r="A360" s="5" t="n">
        <v>1.74000000000001</v>
      </c>
      <c r="B360" s="5" t="n">
        <f aca="false">A360*VOFLB</f>
        <v>45.2400000000003</v>
      </c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 t="e">
        <f aca="false">0.000001*('Design Worksheet'!B$88)*(B360-B359)/E$232+M359</f>
        <v>#N/A</v>
      </c>
      <c r="N360" s="5" t="n">
        <f aca="false">B360</f>
        <v>45.2400000000003</v>
      </c>
    </row>
    <row r="361" customFormat="false" ht="12.8" hidden="false" customHeight="false" outlineLevel="0" collapsed="false">
      <c r="A361" s="5" t="n">
        <v>1.74500000000001</v>
      </c>
      <c r="B361" s="5" t="n">
        <f aca="false">A361*VOFLB</f>
        <v>45.3700000000003</v>
      </c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 t="e">
        <f aca="false">0.000001*('Design Worksheet'!B$88)*(B361-B360)/E$232+M360</f>
        <v>#N/A</v>
      </c>
      <c r="N361" s="5" t="n">
        <f aca="false">B361</f>
        <v>45.3700000000003</v>
      </c>
    </row>
    <row r="362" customFormat="false" ht="12.8" hidden="false" customHeight="false" outlineLevel="0" collapsed="false">
      <c r="A362" s="5" t="n">
        <v>1.75000000000002</v>
      </c>
      <c r="B362" s="5" t="n">
        <f aca="false">A362*VOFLB</f>
        <v>45.5000000000005</v>
      </c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 t="e">
        <f aca="false">0.000001*('Design Worksheet'!B$88)*(B362-B361)/E$232+M361</f>
        <v>#N/A</v>
      </c>
      <c r="N362" s="5" t="n">
        <f aca="false">B362</f>
        <v>45.5000000000005</v>
      </c>
    </row>
    <row r="363" customFormat="false" ht="12.8" hidden="false" customHeight="false" outlineLevel="0" collapsed="false">
      <c r="A363" s="5" t="n">
        <v>1.75500000000001</v>
      </c>
      <c r="B363" s="5" t="n">
        <f aca="false">A363*VOFLB</f>
        <v>45.6300000000003</v>
      </c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 t="e">
        <f aca="false">0.000001*('Design Worksheet'!B$88)*(B363-B362)/E$232+M362</f>
        <v>#N/A</v>
      </c>
      <c r="N363" s="5" t="n">
        <f aca="false">B363</f>
        <v>45.6300000000003</v>
      </c>
    </row>
    <row r="364" customFormat="false" ht="12.8" hidden="false" customHeight="false" outlineLevel="0" collapsed="false">
      <c r="A364" s="5" t="n">
        <v>1.76000000000001</v>
      </c>
      <c r="B364" s="5" t="n">
        <f aca="false">A364*VOFLB</f>
        <v>45.7600000000003</v>
      </c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 t="e">
        <f aca="false">0.000001*('Design Worksheet'!B$88)*(B364-B363)/E$232+M363</f>
        <v>#N/A</v>
      </c>
      <c r="N364" s="5" t="n">
        <f aca="false">B364</f>
        <v>45.7600000000003</v>
      </c>
    </row>
    <row r="365" customFormat="false" ht="12.8" hidden="false" customHeight="false" outlineLevel="0" collapsed="false">
      <c r="A365" s="5" t="n">
        <v>1.76500000000002</v>
      </c>
      <c r="B365" s="5" t="n">
        <f aca="false">A365*VOFLB</f>
        <v>45.8900000000005</v>
      </c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 t="e">
        <f aca="false">0.000001*('Design Worksheet'!B$88)*(B365-B364)/E$232+M364</f>
        <v>#N/A</v>
      </c>
      <c r="N365" s="5" t="n">
        <f aca="false">B365</f>
        <v>45.8900000000005</v>
      </c>
    </row>
    <row r="366" customFormat="false" ht="12.8" hidden="false" customHeight="false" outlineLevel="0" collapsed="false">
      <c r="A366" s="5" t="n">
        <v>1.77000000000002</v>
      </c>
      <c r="B366" s="5" t="n">
        <f aca="false">A366*VOFLB</f>
        <v>46.0200000000005</v>
      </c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 t="e">
        <f aca="false">0.000001*('Design Worksheet'!B$88)*(B366-B365)/E$232+M365</f>
        <v>#N/A</v>
      </c>
      <c r="N366" s="5" t="n">
        <f aca="false">B366</f>
        <v>46.0200000000005</v>
      </c>
    </row>
    <row r="367" customFormat="false" ht="12.8" hidden="false" customHeight="false" outlineLevel="0" collapsed="false">
      <c r="A367" s="5" t="n">
        <v>1.77500000000002</v>
      </c>
      <c r="B367" s="5" t="n">
        <f aca="false">A367*VOFLB</f>
        <v>46.1500000000005</v>
      </c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 t="e">
        <f aca="false">0.000001*('Design Worksheet'!B$88)*(B367-B366)/E$232+M366</f>
        <v>#N/A</v>
      </c>
      <c r="N367" s="5" t="n">
        <f aca="false">B367</f>
        <v>46.1500000000005</v>
      </c>
    </row>
    <row r="368" customFormat="false" ht="12.8" hidden="false" customHeight="false" outlineLevel="0" collapsed="false">
      <c r="A368" s="5" t="n">
        <v>1.78000000000002</v>
      </c>
      <c r="B368" s="5" t="n">
        <f aca="false">A368*VOFLB</f>
        <v>46.2800000000005</v>
      </c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 t="e">
        <f aca="false">0.000001*('Design Worksheet'!B$88)*(B368-B367)/E$232+M367</f>
        <v>#N/A</v>
      </c>
      <c r="N368" s="5" t="n">
        <f aca="false">B368</f>
        <v>46.2800000000005</v>
      </c>
    </row>
    <row r="369" customFormat="false" ht="12.8" hidden="false" customHeight="false" outlineLevel="0" collapsed="false">
      <c r="A369" s="5" t="n">
        <v>1.78500000000002</v>
      </c>
      <c r="B369" s="5" t="n">
        <f aca="false">A369*VOFLB</f>
        <v>46.4100000000005</v>
      </c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 t="e">
        <f aca="false">0.000001*('Design Worksheet'!B$88)*(B369-B368)/E$232+M368</f>
        <v>#N/A</v>
      </c>
      <c r="N369" s="5" t="n">
        <f aca="false">B369</f>
        <v>46.4100000000005</v>
      </c>
    </row>
    <row r="370" customFormat="false" ht="12.8" hidden="false" customHeight="false" outlineLevel="0" collapsed="false">
      <c r="A370" s="5" t="n">
        <v>1.79000000000002</v>
      </c>
      <c r="B370" s="5" t="n">
        <f aca="false">A370*VOFLB</f>
        <v>46.5400000000005</v>
      </c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 t="e">
        <f aca="false">0.000001*('Design Worksheet'!B$88)*(B370-B369)/E$232+M369</f>
        <v>#N/A</v>
      </c>
      <c r="N370" s="5" t="n">
        <f aca="false">B370</f>
        <v>46.5400000000005</v>
      </c>
    </row>
    <row r="371" customFormat="false" ht="12.8" hidden="false" customHeight="false" outlineLevel="0" collapsed="false">
      <c r="A371" s="5" t="n">
        <v>1.79500000000002</v>
      </c>
      <c r="B371" s="5" t="n">
        <f aca="false">A371*VOFLB</f>
        <v>46.6700000000005</v>
      </c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 t="e">
        <f aca="false">0.000001*('Design Worksheet'!B$88)*(B371-B370)/E$232+M370</f>
        <v>#N/A</v>
      </c>
      <c r="N371" s="5" t="n">
        <f aca="false">B371</f>
        <v>46.6700000000005</v>
      </c>
    </row>
    <row r="372" customFormat="false" ht="12.8" hidden="false" customHeight="false" outlineLevel="0" collapsed="false">
      <c r="A372" s="5" t="n">
        <v>1.80000000000002</v>
      </c>
      <c r="B372" s="5" t="n">
        <f aca="false">A372*VOFLB</f>
        <v>46.8000000000005</v>
      </c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 t="e">
        <f aca="false">0.000001*('Design Worksheet'!B$88)*(B372-B371)/E$232+M371</f>
        <v>#N/A</v>
      </c>
      <c r="N372" s="5" t="n">
        <f aca="false">B372</f>
        <v>46.8000000000005</v>
      </c>
    </row>
    <row r="373" customFormat="false" ht="12.8" hidden="false" customHeight="false" outlineLevel="0" collapsed="false">
      <c r="A373" s="5" t="n">
        <v>1.80500000000002</v>
      </c>
      <c r="B373" s="5" t="n">
        <f aca="false">A373*VOFLB</f>
        <v>46.9300000000005</v>
      </c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 t="e">
        <f aca="false">0.000001*('Design Worksheet'!B$88)*(B373-B372)/E$232+M372</f>
        <v>#N/A</v>
      </c>
      <c r="N373" s="5" t="n">
        <f aca="false">B373</f>
        <v>46.9300000000005</v>
      </c>
    </row>
    <row r="374" customFormat="false" ht="12.8" hidden="false" customHeight="false" outlineLevel="0" collapsed="false">
      <c r="A374" s="5" t="n">
        <v>1.81000000000002</v>
      </c>
      <c r="B374" s="5" t="n">
        <f aca="false">A374*VOFLB</f>
        <v>47.0600000000005</v>
      </c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 t="e">
        <f aca="false">0.000001*('Design Worksheet'!B$88)*(B374-B373)/E$232+M373</f>
        <v>#N/A</v>
      </c>
      <c r="N374" s="5" t="n">
        <f aca="false">B374</f>
        <v>47.0600000000005</v>
      </c>
    </row>
    <row r="375" customFormat="false" ht="12.8" hidden="false" customHeight="false" outlineLevel="0" collapsed="false">
      <c r="A375" s="5" t="n">
        <v>1.81500000000002</v>
      </c>
      <c r="B375" s="5" t="n">
        <f aca="false">A375*VOFLB</f>
        <v>47.1900000000005</v>
      </c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 t="e">
        <f aca="false">0.000001*('Design Worksheet'!B$88)*(B375-B374)/E$232+M374</f>
        <v>#N/A</v>
      </c>
      <c r="N375" s="5" t="n">
        <f aca="false">B375</f>
        <v>47.1900000000005</v>
      </c>
    </row>
    <row r="376" customFormat="false" ht="12.8" hidden="false" customHeight="false" outlineLevel="0" collapsed="false">
      <c r="A376" s="5" t="n">
        <v>1.82000000000002</v>
      </c>
      <c r="B376" s="5" t="n">
        <f aca="false">A376*VOFLB</f>
        <v>47.3200000000005</v>
      </c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 t="e">
        <f aca="false">0.000001*('Design Worksheet'!B$88)*(B376-B375)/E$232+M375</f>
        <v>#N/A</v>
      </c>
      <c r="N376" s="5" t="n">
        <f aca="false">B376</f>
        <v>47.3200000000005</v>
      </c>
    </row>
    <row r="377" customFormat="false" ht="12.8" hidden="false" customHeight="false" outlineLevel="0" collapsed="false">
      <c r="A377" s="5" t="n">
        <v>1.82500000000002</v>
      </c>
      <c r="B377" s="5" t="n">
        <f aca="false">A377*VOFLB</f>
        <v>47.4500000000005</v>
      </c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 t="e">
        <f aca="false">0.000001*('Design Worksheet'!B$88)*(B377-B376)/E$232+M376</f>
        <v>#N/A</v>
      </c>
      <c r="N377" s="5" t="n">
        <f aca="false">B377</f>
        <v>47.4500000000005</v>
      </c>
    </row>
    <row r="378" customFormat="false" ht="12.8" hidden="false" customHeight="false" outlineLevel="0" collapsed="false">
      <c r="A378" s="5" t="n">
        <v>1.83000000000002</v>
      </c>
      <c r="B378" s="5" t="n">
        <f aca="false">A378*VOFLB</f>
        <v>47.5800000000005</v>
      </c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 t="e">
        <f aca="false">0.000001*('Design Worksheet'!B$88)*(B378-B377)/E$232+M377</f>
        <v>#N/A</v>
      </c>
      <c r="N378" s="5" t="n">
        <f aca="false">B378</f>
        <v>47.5800000000005</v>
      </c>
    </row>
    <row r="379" customFormat="false" ht="12.8" hidden="false" customHeight="false" outlineLevel="0" collapsed="false">
      <c r="A379" s="5" t="n">
        <v>1.83500000000002</v>
      </c>
      <c r="B379" s="5" t="n">
        <f aca="false">A379*VOFLB</f>
        <v>47.7100000000005</v>
      </c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 t="e">
        <f aca="false">0.000001*('Design Worksheet'!B$88)*(B379-B378)/E$232+M378</f>
        <v>#N/A</v>
      </c>
      <c r="N379" s="5" t="n">
        <f aca="false">B379</f>
        <v>47.7100000000005</v>
      </c>
    </row>
    <row r="380" customFormat="false" ht="12.8" hidden="false" customHeight="false" outlineLevel="0" collapsed="false">
      <c r="A380" s="5" t="n">
        <v>1.84000000000002</v>
      </c>
      <c r="B380" s="5" t="n">
        <f aca="false">A380*VOFLB</f>
        <v>47.8400000000005</v>
      </c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 t="e">
        <f aca="false">0.000001*('Design Worksheet'!B$88)*(B380-B379)/E$232+M379</f>
        <v>#N/A</v>
      </c>
      <c r="N380" s="5" t="n">
        <f aca="false">B380</f>
        <v>47.8400000000005</v>
      </c>
    </row>
    <row r="381" customFormat="false" ht="12.8" hidden="false" customHeight="false" outlineLevel="0" collapsed="false">
      <c r="A381" s="5" t="n">
        <v>1.84500000000002</v>
      </c>
      <c r="B381" s="5" t="n">
        <f aca="false">A381*VOFLB</f>
        <v>47.9700000000005</v>
      </c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 t="e">
        <f aca="false">0.000001*('Design Worksheet'!B$88)*(B381-B380)/E$232+M380</f>
        <v>#N/A</v>
      </c>
      <c r="N381" s="5" t="n">
        <f aca="false">B381</f>
        <v>47.9700000000005</v>
      </c>
    </row>
    <row r="382" customFormat="false" ht="12.8" hidden="false" customHeight="false" outlineLevel="0" collapsed="false">
      <c r="A382" s="5" t="n">
        <v>1.85000000000002</v>
      </c>
      <c r="B382" s="5" t="n">
        <f aca="false">A382*VOFLB</f>
        <v>48.1000000000005</v>
      </c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 t="e">
        <f aca="false">0.000001*('Design Worksheet'!B$88)*(B382-B381)/E$232+M381</f>
        <v>#N/A</v>
      </c>
      <c r="N382" s="5" t="n">
        <f aca="false">B382</f>
        <v>48.1000000000005</v>
      </c>
    </row>
    <row r="383" customFormat="false" ht="12.8" hidden="false" customHeight="false" outlineLevel="0" collapsed="false">
      <c r="A383" s="5" t="n">
        <v>1.85500000000002</v>
      </c>
      <c r="B383" s="5" t="n">
        <f aca="false">A383*VOFLB</f>
        <v>48.2300000000005</v>
      </c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 t="e">
        <f aca="false">0.000001*('Design Worksheet'!B$88)*(B383-B382)/E$232+M382</f>
        <v>#N/A</v>
      </c>
      <c r="N383" s="5" t="n">
        <f aca="false">B383</f>
        <v>48.2300000000005</v>
      </c>
    </row>
    <row r="384" customFormat="false" ht="12.8" hidden="false" customHeight="false" outlineLevel="0" collapsed="false">
      <c r="A384" s="5" t="n">
        <v>1.86000000000002</v>
      </c>
      <c r="B384" s="5" t="n">
        <f aca="false">A384*VOFLB</f>
        <v>48.3600000000005</v>
      </c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 t="e">
        <f aca="false">0.000001*('Design Worksheet'!B$88)*(B384-B383)/E$232+M383</f>
        <v>#N/A</v>
      </c>
      <c r="N384" s="5" t="n">
        <f aca="false">B384</f>
        <v>48.3600000000005</v>
      </c>
    </row>
    <row r="385" customFormat="false" ht="12.8" hidden="false" customHeight="false" outlineLevel="0" collapsed="false">
      <c r="A385" s="5" t="n">
        <v>1.86500000000002</v>
      </c>
      <c r="B385" s="5" t="n">
        <f aca="false">A385*VOFLB</f>
        <v>48.4900000000005</v>
      </c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 t="e">
        <f aca="false">0.000001*('Design Worksheet'!B$88)*(B385-B384)/E$232+M384</f>
        <v>#N/A</v>
      </c>
      <c r="N385" s="5" t="n">
        <f aca="false">B385</f>
        <v>48.4900000000005</v>
      </c>
    </row>
    <row r="386" customFormat="false" ht="12.8" hidden="false" customHeight="false" outlineLevel="0" collapsed="false">
      <c r="A386" s="5" t="n">
        <v>1.87000000000002</v>
      </c>
      <c r="B386" s="5" t="n">
        <f aca="false">A386*VOFLB</f>
        <v>48.6200000000005</v>
      </c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 t="e">
        <f aca="false">0.000001*('Design Worksheet'!B$88)*(B386-B385)/E$232+M385</f>
        <v>#N/A</v>
      </c>
      <c r="N386" s="5" t="n">
        <f aca="false">B386</f>
        <v>48.6200000000005</v>
      </c>
    </row>
    <row r="387" customFormat="false" ht="12.8" hidden="false" customHeight="false" outlineLevel="0" collapsed="false">
      <c r="A387" s="5" t="n">
        <v>1.87500000000002</v>
      </c>
      <c r="B387" s="5" t="n">
        <f aca="false">A387*VOFLB</f>
        <v>48.7500000000005</v>
      </c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 t="e">
        <f aca="false">0.000001*('Design Worksheet'!B$88)*(B387-B386)/E$232+M386</f>
        <v>#N/A</v>
      </c>
      <c r="N387" s="5" t="n">
        <f aca="false">B387</f>
        <v>48.7500000000005</v>
      </c>
    </row>
    <row r="388" customFormat="false" ht="12.8" hidden="false" customHeight="false" outlineLevel="0" collapsed="false">
      <c r="A388" s="5" t="n">
        <v>1.88000000000002</v>
      </c>
      <c r="B388" s="5" t="n">
        <f aca="false">A388*VOFLB</f>
        <v>48.8800000000005</v>
      </c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 t="e">
        <f aca="false">0.000001*('Design Worksheet'!B$88)*(B388-B387)/E$232+M387</f>
        <v>#N/A</v>
      </c>
      <c r="N388" s="5" t="n">
        <f aca="false">B388</f>
        <v>48.8800000000005</v>
      </c>
    </row>
    <row r="389" customFormat="false" ht="12.8" hidden="false" customHeight="false" outlineLevel="0" collapsed="false">
      <c r="A389" s="5" t="n">
        <v>1.88500000000002</v>
      </c>
      <c r="B389" s="5" t="n">
        <f aca="false">A389*VOFLB</f>
        <v>49.0100000000005</v>
      </c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 t="e">
        <f aca="false">0.000001*('Design Worksheet'!B$88)*(B389-B388)/E$232+M388</f>
        <v>#N/A</v>
      </c>
      <c r="N389" s="5" t="n">
        <f aca="false">B389</f>
        <v>49.0100000000005</v>
      </c>
    </row>
    <row r="390" customFormat="false" ht="12.8" hidden="false" customHeight="false" outlineLevel="0" collapsed="false">
      <c r="A390" s="5" t="n">
        <v>1.89000000000002</v>
      </c>
      <c r="B390" s="5" t="n">
        <f aca="false">A390*VOFLB</f>
        <v>49.1400000000005</v>
      </c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 t="e">
        <f aca="false">0.000001*('Design Worksheet'!B$88)*(B390-B389)/E$232+M389</f>
        <v>#N/A</v>
      </c>
      <c r="N390" s="5" t="n">
        <f aca="false">B390</f>
        <v>49.1400000000005</v>
      </c>
    </row>
    <row r="391" customFormat="false" ht="12.8" hidden="false" customHeight="false" outlineLevel="0" collapsed="false">
      <c r="A391" s="5" t="n">
        <v>1.89500000000002</v>
      </c>
      <c r="B391" s="5" t="n">
        <f aca="false">A391*VOFLB</f>
        <v>49.2700000000005</v>
      </c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 t="e">
        <f aca="false">0.000001*('Design Worksheet'!B$88)*(B391-B390)/E$232+M390</f>
        <v>#N/A</v>
      </c>
      <c r="N391" s="5" t="n">
        <f aca="false">B391</f>
        <v>49.2700000000005</v>
      </c>
    </row>
    <row r="392" customFormat="false" ht="12.8" hidden="false" customHeight="false" outlineLevel="0" collapsed="false">
      <c r="A392" s="5" t="n">
        <v>1.90000000000002</v>
      </c>
      <c r="B392" s="5" t="n">
        <f aca="false">A392*VOFLB</f>
        <v>49.4000000000005</v>
      </c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 t="e">
        <f aca="false">0.000001*('Design Worksheet'!B$88)*(B392-B391)/E$232+M391</f>
        <v>#N/A</v>
      </c>
      <c r="N392" s="5" t="n">
        <f aca="false">B392</f>
        <v>49.4000000000005</v>
      </c>
    </row>
    <row r="393" customFormat="false" ht="12.8" hidden="false" customHeight="false" outlineLevel="0" collapsed="false">
      <c r="A393" s="5" t="n">
        <v>1.90500000000002</v>
      </c>
      <c r="B393" s="5" t="n">
        <f aca="false">A393*VOFLB</f>
        <v>49.5300000000005</v>
      </c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 t="e">
        <f aca="false">0.000001*('Design Worksheet'!B$88)*(B393-B392)/E$232+M392</f>
        <v>#N/A</v>
      </c>
      <c r="N393" s="5" t="n">
        <f aca="false">B393</f>
        <v>49.5300000000005</v>
      </c>
    </row>
    <row r="394" customFormat="false" ht="12.8" hidden="false" customHeight="false" outlineLevel="0" collapsed="false">
      <c r="A394" s="5" t="n">
        <v>1.91000000000002</v>
      </c>
      <c r="B394" s="5" t="n">
        <f aca="false">A394*VOFLB</f>
        <v>49.6600000000005</v>
      </c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 t="e">
        <f aca="false">0.000001*('Design Worksheet'!B$88)*(B394-B393)/E$232+M393</f>
        <v>#N/A</v>
      </c>
      <c r="N394" s="5" t="n">
        <f aca="false">B394</f>
        <v>49.6600000000005</v>
      </c>
    </row>
    <row r="395" customFormat="false" ht="12.8" hidden="false" customHeight="false" outlineLevel="0" collapsed="false">
      <c r="A395" s="5" t="n">
        <v>1.91500000000002</v>
      </c>
      <c r="B395" s="5" t="n">
        <f aca="false">A395*VOFLB</f>
        <v>49.7900000000005</v>
      </c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 t="e">
        <f aca="false">0.000001*('Design Worksheet'!B$88)*(B395-B394)/E$232+M394</f>
        <v>#N/A</v>
      </c>
      <c r="N395" s="5" t="n">
        <f aca="false">B395</f>
        <v>49.7900000000005</v>
      </c>
    </row>
    <row r="396" customFormat="false" ht="12.8" hidden="false" customHeight="false" outlineLevel="0" collapsed="false">
      <c r="A396" s="5" t="n">
        <v>1.92000000000002</v>
      </c>
      <c r="B396" s="5" t="n">
        <f aca="false">A396*VOFLB</f>
        <v>49.9200000000005</v>
      </c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 t="e">
        <f aca="false">0.000001*('Design Worksheet'!B$88)*(B396-B395)/E$232+M395</f>
        <v>#N/A</v>
      </c>
      <c r="N396" s="5" t="n">
        <f aca="false">B396</f>
        <v>49.9200000000005</v>
      </c>
    </row>
    <row r="397" customFormat="false" ht="12.8" hidden="false" customHeight="false" outlineLevel="0" collapsed="false">
      <c r="A397" s="5" t="n">
        <v>1.92500000000002</v>
      </c>
      <c r="B397" s="5" t="n">
        <f aca="false">A397*VOFLB</f>
        <v>50.0500000000005</v>
      </c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 t="e">
        <f aca="false">0.000001*('Design Worksheet'!B$88)*(B397-B396)/E$232+M396</f>
        <v>#N/A</v>
      </c>
      <c r="N397" s="5" t="n">
        <f aca="false">B397</f>
        <v>50.0500000000005</v>
      </c>
    </row>
    <row r="398" customFormat="false" ht="12.8" hidden="false" customHeight="false" outlineLevel="0" collapsed="false">
      <c r="A398" s="5" t="n">
        <v>1.93000000000002</v>
      </c>
      <c r="B398" s="5" t="n">
        <f aca="false">A398*VOFLB</f>
        <v>50.1800000000005</v>
      </c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 t="e">
        <f aca="false">0.000001*('Design Worksheet'!B$88)*(B398-B397)/E$232+M397</f>
        <v>#N/A</v>
      </c>
      <c r="N398" s="5" t="n">
        <f aca="false">B398</f>
        <v>50.1800000000005</v>
      </c>
    </row>
    <row r="399" customFormat="false" ht="12.8" hidden="false" customHeight="false" outlineLevel="0" collapsed="false">
      <c r="A399" s="5" t="n">
        <v>1.93500000000002</v>
      </c>
      <c r="B399" s="5" t="n">
        <f aca="false">A399*VOFLB</f>
        <v>50.3100000000005</v>
      </c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 t="e">
        <f aca="false">0.000001*('Design Worksheet'!B$88)*(B399-B398)/E$232+M398</f>
        <v>#N/A</v>
      </c>
      <c r="N399" s="5" t="n">
        <f aca="false">B399</f>
        <v>50.3100000000005</v>
      </c>
    </row>
    <row r="400" customFormat="false" ht="12.8" hidden="false" customHeight="false" outlineLevel="0" collapsed="false">
      <c r="A400" s="5" t="n">
        <v>1.94000000000002</v>
      </c>
      <c r="B400" s="5" t="n">
        <f aca="false">A400*VOFLB</f>
        <v>50.4400000000005</v>
      </c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 t="e">
        <f aca="false">0.000001*('Design Worksheet'!B$88)*(B400-B399)/E$232+M399</f>
        <v>#N/A</v>
      </c>
      <c r="N400" s="5" t="n">
        <f aca="false">B400</f>
        <v>50.4400000000005</v>
      </c>
    </row>
    <row r="401" customFormat="false" ht="12.8" hidden="false" customHeight="false" outlineLevel="0" collapsed="false">
      <c r="A401" s="5" t="n">
        <v>1.94500000000002</v>
      </c>
      <c r="B401" s="5" t="n">
        <f aca="false">A401*VOFLB</f>
        <v>50.5700000000005</v>
      </c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 t="e">
        <f aca="false">0.000001*('Design Worksheet'!B$88)*(B401-B400)/E$232+M400</f>
        <v>#N/A</v>
      </c>
      <c r="N401" s="5" t="n">
        <f aca="false">B401</f>
        <v>50.5700000000005</v>
      </c>
    </row>
    <row r="402" customFormat="false" ht="12.8" hidden="false" customHeight="false" outlineLevel="0" collapsed="false">
      <c r="A402" s="5" t="n">
        <v>1.95000000000002</v>
      </c>
      <c r="B402" s="5" t="n">
        <f aca="false">A402*VOFLB</f>
        <v>50.7000000000005</v>
      </c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 t="e">
        <f aca="false">0.000001*('Design Worksheet'!B$88)*(B402-B401)/E$232+M401</f>
        <v>#N/A</v>
      </c>
      <c r="N402" s="5" t="n">
        <f aca="false">B402</f>
        <v>50.7000000000005</v>
      </c>
    </row>
    <row r="403" customFormat="false" ht="12.8" hidden="false" customHeight="false" outlineLevel="0" collapsed="false">
      <c r="A403" s="5" t="n">
        <v>1.95500000000002</v>
      </c>
      <c r="B403" s="5" t="n">
        <f aca="false">A403*VOFLB</f>
        <v>50.8300000000005</v>
      </c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 t="e">
        <f aca="false">0.000001*('Design Worksheet'!B$88)*(B403-B402)/E$232+M402</f>
        <v>#N/A</v>
      </c>
      <c r="N403" s="5" t="n">
        <f aca="false">B403</f>
        <v>50.8300000000005</v>
      </c>
    </row>
    <row r="404" customFormat="false" ht="12.8" hidden="false" customHeight="false" outlineLevel="0" collapsed="false">
      <c r="A404" s="5" t="n">
        <v>1.96000000000002</v>
      </c>
      <c r="B404" s="5" t="n">
        <f aca="false">A404*VOFLB</f>
        <v>50.9600000000005</v>
      </c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 t="e">
        <f aca="false">0.000001*('Design Worksheet'!B$88)*(B404-B403)/E$232+M403</f>
        <v>#N/A</v>
      </c>
      <c r="N404" s="5" t="n">
        <f aca="false">B404</f>
        <v>50.9600000000005</v>
      </c>
    </row>
    <row r="405" customFormat="false" ht="12.8" hidden="false" customHeight="false" outlineLevel="0" collapsed="false">
      <c r="A405" s="5" t="n">
        <v>1.96500000000002</v>
      </c>
      <c r="B405" s="5" t="n">
        <f aca="false">A405*VOFLB</f>
        <v>51.0900000000005</v>
      </c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 t="e">
        <f aca="false">0.000001*('Design Worksheet'!B$88)*(B405-B404)/E$232+M404</f>
        <v>#N/A</v>
      </c>
      <c r="N405" s="5" t="n">
        <f aca="false">B405</f>
        <v>51.0900000000005</v>
      </c>
    </row>
    <row r="406" customFormat="false" ht="12.8" hidden="false" customHeight="false" outlineLevel="0" collapsed="false">
      <c r="A406" s="5" t="n">
        <v>1.97000000000002</v>
      </c>
      <c r="B406" s="5" t="n">
        <f aca="false">A406*VOFLB</f>
        <v>51.2200000000005</v>
      </c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 t="e">
        <f aca="false">0.000001*('Design Worksheet'!B$88)*(B406-B405)/E$232+M405</f>
        <v>#N/A</v>
      </c>
      <c r="N406" s="5" t="n">
        <f aca="false">B406</f>
        <v>51.2200000000005</v>
      </c>
    </row>
    <row r="407" customFormat="false" ht="12.8" hidden="false" customHeight="false" outlineLevel="0" collapsed="false">
      <c r="A407" s="5" t="n">
        <v>1.97500000000002</v>
      </c>
      <c r="B407" s="5" t="n">
        <f aca="false">A407*VOFLB</f>
        <v>51.3500000000005</v>
      </c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 t="e">
        <f aca="false">0.000001*('Design Worksheet'!B$88)*(B407-B406)/E$232+M406</f>
        <v>#N/A</v>
      </c>
      <c r="N407" s="5" t="n">
        <f aca="false">B407</f>
        <v>51.3500000000005</v>
      </c>
    </row>
    <row r="408" customFormat="false" ht="12.8" hidden="false" customHeight="false" outlineLevel="0" collapsed="false">
      <c r="A408" s="5" t="n">
        <v>1.98000000000002</v>
      </c>
      <c r="B408" s="5" t="n">
        <f aca="false">A408*VOFLB</f>
        <v>51.4800000000005</v>
      </c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 t="e">
        <f aca="false">0.000001*('Design Worksheet'!B$88)*(B408-B407)/E$232+M407</f>
        <v>#N/A</v>
      </c>
      <c r="N408" s="5" t="n">
        <f aca="false">B408</f>
        <v>51.4800000000005</v>
      </c>
    </row>
    <row r="409" customFormat="false" ht="12.8" hidden="false" customHeight="false" outlineLevel="0" collapsed="false">
      <c r="A409" s="5" t="n">
        <v>1.98500000000002</v>
      </c>
      <c r="B409" s="5" t="n">
        <f aca="false">A409*VOFLB</f>
        <v>51.6100000000005</v>
      </c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 t="e">
        <f aca="false">0.000001*('Design Worksheet'!B$88)*(B409-B408)/E$232+M408</f>
        <v>#N/A</v>
      </c>
      <c r="N409" s="5" t="n">
        <f aca="false">B409</f>
        <v>51.6100000000005</v>
      </c>
    </row>
    <row r="410" customFormat="false" ht="12.8" hidden="false" customHeight="false" outlineLevel="0" collapsed="false">
      <c r="A410" s="5" t="n">
        <v>1.99000000000002</v>
      </c>
      <c r="B410" s="5" t="n">
        <f aca="false">A410*VOFLB</f>
        <v>51.7400000000005</v>
      </c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 t="e">
        <f aca="false">0.000001*('Design Worksheet'!B$88)*(B410-B409)/E$232+M409</f>
        <v>#N/A</v>
      </c>
      <c r="N410" s="5" t="n">
        <f aca="false">B410</f>
        <v>51.7400000000005</v>
      </c>
    </row>
    <row r="411" customFormat="false" ht="12.8" hidden="false" customHeight="false" outlineLevel="0" collapsed="false">
      <c r="A411" s="5" t="n">
        <v>1.99500000000002</v>
      </c>
      <c r="B411" s="5" t="n">
        <f aca="false">A411*VOFLB</f>
        <v>51.8700000000005</v>
      </c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 t="e">
        <f aca="false">0.000001*('Design Worksheet'!B$88)*(B411-B410)/E$232+M410</f>
        <v>#N/A</v>
      </c>
      <c r="N411" s="5" t="n">
        <f aca="false">B411</f>
        <v>51.8700000000005</v>
      </c>
    </row>
    <row r="412" customFormat="false" ht="12.8" hidden="false" customHeight="false" outlineLevel="0" collapsed="false">
      <c r="A412" s="5" t="n">
        <v>2.00000000000002</v>
      </c>
      <c r="B412" s="5" t="n">
        <f aca="false">A412*VOFLB</f>
        <v>52.0000000000005</v>
      </c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 t="e">
        <f aca="false">0.000001*('Design Worksheet'!B$88)*(B412-B411)/E$232+M411</f>
        <v>#N/A</v>
      </c>
      <c r="N412" s="5" t="n">
        <f aca="false">B412</f>
        <v>52.0000000000005</v>
      </c>
    </row>
    <row r="413" customFormat="false" ht="12.8" hidden="false" customHeight="false" outlineLevel="0" collapsed="false">
      <c r="A413" s="5" t="n">
        <v>2.00500000000002</v>
      </c>
      <c r="B413" s="5" t="n">
        <f aca="false">A413*VOFLB</f>
        <v>52.1300000000005</v>
      </c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 t="e">
        <f aca="false">0.000001*('Design Worksheet'!B$88)*(B413-B412)/E$232+M412</f>
        <v>#N/A</v>
      </c>
      <c r="N413" s="5" t="n">
        <f aca="false">B413</f>
        <v>52.1300000000005</v>
      </c>
    </row>
    <row r="414" customFormat="false" ht="12.8" hidden="false" customHeight="false" outlineLevel="0" collapsed="false">
      <c r="A414" s="5" t="n">
        <v>2.01000000000002</v>
      </c>
      <c r="B414" s="5" t="n">
        <f aca="false">A414*VOFLB</f>
        <v>52.2600000000005</v>
      </c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 t="e">
        <f aca="false">0.000001*('Design Worksheet'!B$88)*(B414-B413)/E$232+M413</f>
        <v>#N/A</v>
      </c>
      <c r="N414" s="5" t="n">
        <f aca="false">B414</f>
        <v>52.2600000000005</v>
      </c>
    </row>
    <row r="415" customFormat="false" ht="12.8" hidden="false" customHeight="false" outlineLevel="0" collapsed="false">
      <c r="A415" s="5" t="n">
        <v>2.01500000000002</v>
      </c>
      <c r="B415" s="5" t="n">
        <f aca="false">A415*VOFLB</f>
        <v>52.3900000000005</v>
      </c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 t="e">
        <f aca="false">0.000001*('Design Worksheet'!B$88)*(B415-B414)/E$232+M414</f>
        <v>#N/A</v>
      </c>
      <c r="N415" s="5" t="n">
        <f aca="false">B415</f>
        <v>52.3900000000005</v>
      </c>
    </row>
    <row r="416" customFormat="false" ht="12.8" hidden="false" customHeight="false" outlineLevel="0" collapsed="false">
      <c r="A416" s="5" t="n">
        <v>2.02000000000002</v>
      </c>
      <c r="B416" s="5" t="n">
        <f aca="false">A416*VOFLB</f>
        <v>52.5200000000005</v>
      </c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 t="e">
        <f aca="false">0.000001*('Design Worksheet'!B$88)*(B416-B415)/E$232+M415</f>
        <v>#N/A</v>
      </c>
      <c r="N416" s="5" t="n">
        <f aca="false">B416</f>
        <v>52.5200000000005</v>
      </c>
    </row>
    <row r="417" customFormat="false" ht="12.8" hidden="false" customHeight="false" outlineLevel="0" collapsed="false">
      <c r="A417" s="5" t="n">
        <v>2.02500000000002</v>
      </c>
      <c r="B417" s="5" t="n">
        <f aca="false">A417*VOFLB</f>
        <v>52.6500000000005</v>
      </c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 t="e">
        <f aca="false">0.000001*('Design Worksheet'!B$88)*(B417-B416)/E$232+M416</f>
        <v>#N/A</v>
      </c>
      <c r="N417" s="5" t="n">
        <f aca="false">B417</f>
        <v>52.6500000000005</v>
      </c>
    </row>
    <row r="418" customFormat="false" ht="12.8" hidden="false" customHeight="false" outlineLevel="0" collapsed="false">
      <c r="A418" s="5" t="n">
        <v>2.03000000000002</v>
      </c>
      <c r="B418" s="5" t="n">
        <f aca="false">A418*VOFLB</f>
        <v>52.7800000000005</v>
      </c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 t="e">
        <f aca="false">0.000001*('Design Worksheet'!B$88)*(B418-B417)/E$232+M417</f>
        <v>#N/A</v>
      </c>
      <c r="N418" s="5" t="n">
        <f aca="false">B418</f>
        <v>52.7800000000005</v>
      </c>
    </row>
    <row r="419" customFormat="false" ht="12.8" hidden="false" customHeight="false" outlineLevel="0" collapsed="false">
      <c r="A419" s="5" t="n">
        <v>2.03500000000002</v>
      </c>
      <c r="B419" s="5" t="n">
        <f aca="false">A419*VOFLB</f>
        <v>52.9100000000005</v>
      </c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 t="e">
        <f aca="false">0.000001*('Design Worksheet'!B$88)*(B419-B418)/E$232+M418</f>
        <v>#N/A</v>
      </c>
      <c r="N419" s="5" t="n">
        <f aca="false">B419</f>
        <v>52.9100000000005</v>
      </c>
    </row>
    <row r="420" customFormat="false" ht="12.8" hidden="false" customHeight="false" outlineLevel="0" collapsed="false">
      <c r="A420" s="5" t="n">
        <v>2.04000000000002</v>
      </c>
      <c r="B420" s="5" t="n">
        <f aca="false">A420*VOFLB</f>
        <v>53.0400000000005</v>
      </c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 t="e">
        <f aca="false">0.000001*('Design Worksheet'!B$88)*(B420-B419)/E$232+M419</f>
        <v>#N/A</v>
      </c>
      <c r="N420" s="5" t="n">
        <f aca="false">B420</f>
        <v>53.0400000000005</v>
      </c>
    </row>
    <row r="421" customFormat="false" ht="12.8" hidden="false" customHeight="false" outlineLevel="0" collapsed="false">
      <c r="A421" s="5" t="n">
        <v>2.04500000000002</v>
      </c>
      <c r="B421" s="5" t="n">
        <f aca="false">A421*VOFLB</f>
        <v>53.1700000000005</v>
      </c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 t="e">
        <f aca="false">0.000001*('Design Worksheet'!B$88)*(B421-B420)/E$232+M420</f>
        <v>#N/A</v>
      </c>
      <c r="N421" s="5" t="n">
        <f aca="false">B421</f>
        <v>53.1700000000005</v>
      </c>
    </row>
    <row r="422" customFormat="false" ht="12.8" hidden="false" customHeight="false" outlineLevel="0" collapsed="false">
      <c r="A422" s="5" t="n">
        <v>2.05000000000002</v>
      </c>
      <c r="B422" s="5" t="n">
        <f aca="false">A422*VOFLB</f>
        <v>53.3000000000005</v>
      </c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 t="e">
        <f aca="false">0.000001*('Design Worksheet'!B$88)*(B422-B421)/E$232+M421</f>
        <v>#N/A</v>
      </c>
      <c r="N422" s="5" t="n">
        <f aca="false">B422</f>
        <v>53.3000000000005</v>
      </c>
    </row>
    <row r="423" customFormat="false" ht="12.8" hidden="false" customHeight="false" outlineLevel="0" collapsed="false">
      <c r="A423" s="5" t="n">
        <v>2.05500000000002</v>
      </c>
      <c r="B423" s="5" t="n">
        <f aca="false">A423*VOFLB</f>
        <v>53.4300000000005</v>
      </c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 t="e">
        <f aca="false">0.000001*('Design Worksheet'!B$88)*(B423-B422)/E$232+M422</f>
        <v>#N/A</v>
      </c>
      <c r="N423" s="5" t="n">
        <f aca="false">B423</f>
        <v>53.4300000000005</v>
      </c>
    </row>
    <row r="424" customFormat="false" ht="12.8" hidden="false" customHeight="false" outlineLevel="0" collapsed="false">
      <c r="A424" s="5" t="n">
        <v>2.06000000000002</v>
      </c>
      <c r="B424" s="5" t="n">
        <f aca="false">A424*VOFLB</f>
        <v>53.5600000000005</v>
      </c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 t="e">
        <f aca="false">0.000001*('Design Worksheet'!B$88)*(B424-B423)/E$232+M423</f>
        <v>#N/A</v>
      </c>
      <c r="N424" s="5" t="n">
        <f aca="false">B424</f>
        <v>53.5600000000005</v>
      </c>
    </row>
    <row r="425" customFormat="false" ht="12.8" hidden="false" customHeight="false" outlineLevel="0" collapsed="false">
      <c r="A425" s="5" t="n">
        <v>2.06500000000002</v>
      </c>
      <c r="B425" s="5" t="n">
        <f aca="false">A425*VOFLB</f>
        <v>53.6900000000005</v>
      </c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 t="e">
        <f aca="false">0.000001*('Design Worksheet'!B$88)*(B425-B424)/E$232+M424</f>
        <v>#N/A</v>
      </c>
      <c r="N425" s="5" t="n">
        <f aca="false">B425</f>
        <v>53.6900000000005</v>
      </c>
    </row>
    <row r="426" customFormat="false" ht="12.8" hidden="false" customHeight="false" outlineLevel="0" collapsed="false">
      <c r="A426" s="5" t="n">
        <v>2.07000000000002</v>
      </c>
      <c r="B426" s="5" t="n">
        <f aca="false">A426*VOFLB</f>
        <v>53.8200000000005</v>
      </c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 t="e">
        <f aca="false">0.000001*('Design Worksheet'!B$88)*(B426-B425)/E$232+M425</f>
        <v>#N/A</v>
      </c>
      <c r="N426" s="5" t="n">
        <f aca="false">B426</f>
        <v>53.8200000000005</v>
      </c>
    </row>
    <row r="427" customFormat="false" ht="12.8" hidden="false" customHeight="false" outlineLevel="0" collapsed="false">
      <c r="A427" s="5" t="n">
        <v>2.07500000000002</v>
      </c>
      <c r="B427" s="5" t="n">
        <f aca="false">A427*VOFLB</f>
        <v>53.9500000000005</v>
      </c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 t="e">
        <f aca="false">0.000001*('Design Worksheet'!B$88)*(B427-B426)/E$232+M426</f>
        <v>#N/A</v>
      </c>
      <c r="N427" s="5" t="n">
        <f aca="false">B427</f>
        <v>53.9500000000005</v>
      </c>
    </row>
    <row r="428" customFormat="false" ht="12.8" hidden="false" customHeight="false" outlineLevel="0" collapsed="false">
      <c r="A428" s="5" t="n">
        <v>2.08000000000002</v>
      </c>
      <c r="B428" s="5" t="n">
        <f aca="false">A428*VOFLB</f>
        <v>54.0800000000005</v>
      </c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 t="e">
        <f aca="false">0.000001*('Design Worksheet'!B$88)*(B428-B427)/E$232+M427</f>
        <v>#N/A</v>
      </c>
      <c r="N428" s="5" t="n">
        <f aca="false">B428</f>
        <v>54.0800000000005</v>
      </c>
    </row>
    <row r="429" customFormat="false" ht="12.8" hidden="false" customHeight="false" outlineLevel="0" collapsed="false">
      <c r="A429" s="5" t="n">
        <v>2.08500000000002</v>
      </c>
      <c r="B429" s="5" t="n">
        <f aca="false">A429*VOFLB</f>
        <v>54.2100000000005</v>
      </c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 t="e">
        <f aca="false">0.000001*('Design Worksheet'!B$88)*(B429-B428)/E$232+M428</f>
        <v>#N/A</v>
      </c>
      <c r="N429" s="5" t="n">
        <f aca="false">B429</f>
        <v>54.2100000000005</v>
      </c>
    </row>
    <row r="430" customFormat="false" ht="12.8" hidden="false" customHeight="false" outlineLevel="0" collapsed="false">
      <c r="A430" s="5" t="n">
        <v>2.09000000000002</v>
      </c>
      <c r="B430" s="5" t="n">
        <f aca="false">A430*VOFLB</f>
        <v>54.3400000000005</v>
      </c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 t="e">
        <f aca="false">0.000001*('Design Worksheet'!B$88)*(B430-B429)/E$232+M429</f>
        <v>#N/A</v>
      </c>
      <c r="N430" s="5" t="n">
        <f aca="false">B430</f>
        <v>54.3400000000005</v>
      </c>
    </row>
    <row r="431" customFormat="false" ht="12.8" hidden="false" customHeight="false" outlineLevel="0" collapsed="false">
      <c r="A431" s="5" t="n">
        <v>2.09500000000002</v>
      </c>
      <c r="B431" s="5" t="n">
        <f aca="false">A431*VOFLB</f>
        <v>54.4700000000005</v>
      </c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 t="e">
        <f aca="false">0.000001*('Design Worksheet'!B$88)*(B431-B430)/E$232+M430</f>
        <v>#N/A</v>
      </c>
      <c r="N431" s="5" t="n">
        <f aca="false">B431</f>
        <v>54.4700000000005</v>
      </c>
    </row>
    <row r="432" customFormat="false" ht="12.8" hidden="false" customHeight="false" outlineLevel="0" collapsed="false">
      <c r="A432" s="5" t="n">
        <v>2.10000000000002</v>
      </c>
      <c r="B432" s="5" t="n">
        <f aca="false">A432*VOFLB</f>
        <v>54.6000000000005</v>
      </c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 t="e">
        <f aca="false">0.000001*('Design Worksheet'!B$88)*(B432-B431)/E$232+M431</f>
        <v>#N/A</v>
      </c>
      <c r="N432" s="5" t="n">
        <f aca="false">B432</f>
        <v>54.6000000000005</v>
      </c>
    </row>
    <row r="433" customFormat="false" ht="12.8" hidden="false" customHeight="false" outlineLevel="0" collapsed="false">
      <c r="A433" s="5" t="n">
        <v>2.10500000000002</v>
      </c>
      <c r="B433" s="5" t="n">
        <f aca="false">A433*VOFLB</f>
        <v>54.7300000000005</v>
      </c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 t="e">
        <f aca="false">0.000001*('Design Worksheet'!B$88)*(B433-B432)/E$232+M432</f>
        <v>#N/A</v>
      </c>
      <c r="N433" s="5" t="n">
        <f aca="false">B433</f>
        <v>54.7300000000005</v>
      </c>
    </row>
    <row r="434" customFormat="false" ht="12.8" hidden="false" customHeight="false" outlineLevel="0" collapsed="false">
      <c r="A434" s="5" t="n">
        <v>2.11000000000002</v>
      </c>
      <c r="B434" s="5" t="n">
        <f aca="false">A434*VOFLB</f>
        <v>54.8600000000005</v>
      </c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 t="e">
        <f aca="false">0.000001*('Design Worksheet'!B$88)*(B434-B433)/E$232+M433</f>
        <v>#N/A</v>
      </c>
      <c r="N434" s="5" t="n">
        <f aca="false">B434</f>
        <v>54.8600000000005</v>
      </c>
    </row>
    <row r="435" customFormat="false" ht="12.8" hidden="false" customHeight="false" outlineLevel="0" collapsed="false">
      <c r="A435" s="5" t="n">
        <v>2.11500000000002</v>
      </c>
      <c r="B435" s="5" t="n">
        <f aca="false">A435*VOFLB</f>
        <v>54.9900000000005</v>
      </c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 t="e">
        <f aca="false">0.000001*('Design Worksheet'!B$88)*(B435-B434)/E$232+M434</f>
        <v>#N/A</v>
      </c>
      <c r="N435" s="5" t="n">
        <f aca="false">B435</f>
        <v>54.9900000000005</v>
      </c>
    </row>
    <row r="436" customFormat="false" ht="12.8" hidden="false" customHeight="false" outlineLevel="0" collapsed="false">
      <c r="A436" s="5" t="n">
        <v>2.12000000000002</v>
      </c>
      <c r="B436" s="5" t="n">
        <f aca="false">A436*VOFLB</f>
        <v>55.1200000000005</v>
      </c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 t="e">
        <f aca="false">0.000001*('Design Worksheet'!B$88)*(B436-B435)/E$232+M435</f>
        <v>#N/A</v>
      </c>
      <c r="N436" s="5" t="n">
        <f aca="false">B436</f>
        <v>55.1200000000005</v>
      </c>
    </row>
    <row r="437" customFormat="false" ht="12.8" hidden="false" customHeight="false" outlineLevel="0" collapsed="false">
      <c r="A437" s="5" t="n">
        <v>2.12500000000002</v>
      </c>
      <c r="B437" s="5" t="n">
        <f aca="false">A437*VOFLB</f>
        <v>55.2500000000005</v>
      </c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 t="e">
        <f aca="false">0.000001*('Design Worksheet'!B$88)*(B437-B436)/E$232+M436</f>
        <v>#N/A</v>
      </c>
      <c r="N437" s="5" t="n">
        <f aca="false">B437</f>
        <v>55.2500000000005</v>
      </c>
    </row>
    <row r="438" customFormat="false" ht="12.8" hidden="false" customHeight="false" outlineLevel="0" collapsed="false">
      <c r="A438" s="5" t="n">
        <v>2.13000000000002</v>
      </c>
      <c r="B438" s="5" t="n">
        <f aca="false">A438*VOFLB</f>
        <v>55.3800000000005</v>
      </c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 t="e">
        <f aca="false">0.000001*('Design Worksheet'!B$88)*(B438-B437)/E$232+M437</f>
        <v>#N/A</v>
      </c>
      <c r="N438" s="5" t="n">
        <f aca="false">B438</f>
        <v>55.3800000000005</v>
      </c>
    </row>
    <row r="439" customFormat="false" ht="12.8" hidden="false" customHeight="false" outlineLevel="0" collapsed="false">
      <c r="A439" s="5" t="n">
        <v>2.13500000000002</v>
      </c>
      <c r="B439" s="5" t="n">
        <f aca="false">A439*VOFLB</f>
        <v>55.5100000000005</v>
      </c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 t="e">
        <f aca="false">0.000001*('Design Worksheet'!B$88)*(B439-B438)/E$232+M438</f>
        <v>#N/A</v>
      </c>
      <c r="N439" s="5" t="n">
        <f aca="false">B439</f>
        <v>55.5100000000005</v>
      </c>
    </row>
    <row r="440" customFormat="false" ht="12.8" hidden="false" customHeight="false" outlineLevel="0" collapsed="false">
      <c r="A440" s="5" t="n">
        <v>2.14000000000002</v>
      </c>
      <c r="B440" s="5" t="n">
        <f aca="false">A440*VOFLB</f>
        <v>55.6400000000005</v>
      </c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 t="e">
        <f aca="false">0.000001*('Design Worksheet'!B$88)*(B440-B439)/E$232+M439</f>
        <v>#N/A</v>
      </c>
      <c r="N440" s="5" t="n">
        <f aca="false">B440</f>
        <v>55.6400000000005</v>
      </c>
    </row>
    <row r="441" customFormat="false" ht="12.8" hidden="false" customHeight="false" outlineLevel="0" collapsed="false">
      <c r="A441" s="5" t="n">
        <v>2.14500000000002</v>
      </c>
      <c r="B441" s="5" t="n">
        <f aca="false">A441*VOFLB</f>
        <v>55.7700000000005</v>
      </c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 t="e">
        <f aca="false">0.000001*('Design Worksheet'!B$88)*(B441-B440)/E$232+M440</f>
        <v>#N/A</v>
      </c>
      <c r="N441" s="5" t="n">
        <f aca="false">B441</f>
        <v>55.7700000000005</v>
      </c>
    </row>
    <row r="442" customFormat="false" ht="12.8" hidden="false" customHeight="false" outlineLevel="0" collapsed="false">
      <c r="A442" s="5" t="n">
        <v>2.15000000000002</v>
      </c>
      <c r="B442" s="5" t="n">
        <f aca="false">A442*VOFLB</f>
        <v>55.9000000000005</v>
      </c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 t="e">
        <f aca="false">0.000001*('Design Worksheet'!B$88)*(B442-B441)/E$232+M441</f>
        <v>#N/A</v>
      </c>
      <c r="N442" s="5" t="n">
        <f aca="false">B442</f>
        <v>55.9000000000005</v>
      </c>
    </row>
    <row r="443" customFormat="false" ht="12.8" hidden="false" customHeight="false" outlineLevel="0" collapsed="false">
      <c r="A443" s="5" t="n">
        <v>2.15500000000002</v>
      </c>
      <c r="B443" s="5" t="n">
        <f aca="false">A443*VOFLB</f>
        <v>56.0300000000005</v>
      </c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 t="e">
        <f aca="false">0.000001*('Design Worksheet'!B$88)*(B443-B442)/E$232+M442</f>
        <v>#N/A</v>
      </c>
      <c r="N443" s="5" t="n">
        <f aca="false">B443</f>
        <v>56.0300000000005</v>
      </c>
    </row>
    <row r="444" customFormat="false" ht="12.8" hidden="false" customHeight="false" outlineLevel="0" collapsed="false">
      <c r="A444" s="5" t="n">
        <v>2.16000000000002</v>
      </c>
      <c r="B444" s="5" t="n">
        <f aca="false">A444*VOFLB</f>
        <v>56.1600000000005</v>
      </c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 t="e">
        <f aca="false">0.000001*('Design Worksheet'!B$88)*(B444-B443)/E$232+M443</f>
        <v>#N/A</v>
      </c>
      <c r="N444" s="5" t="n">
        <f aca="false">B444</f>
        <v>56.1600000000005</v>
      </c>
    </row>
    <row r="445" customFormat="false" ht="12.8" hidden="false" customHeight="false" outlineLevel="0" collapsed="false">
      <c r="A445" s="5" t="n">
        <v>2.16500000000002</v>
      </c>
      <c r="B445" s="5" t="n">
        <f aca="false">A445*VOFLB</f>
        <v>56.2900000000005</v>
      </c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 t="e">
        <f aca="false">0.000001*('Design Worksheet'!B$88)*(B445-B444)/E$232+M444</f>
        <v>#N/A</v>
      </c>
      <c r="N445" s="5" t="n">
        <f aca="false">B445</f>
        <v>56.2900000000005</v>
      </c>
    </row>
    <row r="446" customFormat="false" ht="12.8" hidden="false" customHeight="false" outlineLevel="0" collapsed="false">
      <c r="A446" s="5" t="n">
        <v>2.17000000000002</v>
      </c>
      <c r="B446" s="5" t="n">
        <f aca="false">A446*VOFLB</f>
        <v>56.4200000000005</v>
      </c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 t="e">
        <f aca="false">0.000001*('Design Worksheet'!B$88)*(B446-B445)/E$232+M445</f>
        <v>#N/A</v>
      </c>
      <c r="N446" s="5" t="n">
        <f aca="false">B446</f>
        <v>56.4200000000005</v>
      </c>
    </row>
    <row r="447" customFormat="false" ht="12.8" hidden="false" customHeight="false" outlineLevel="0" collapsed="false">
      <c r="A447" s="5" t="n">
        <v>2.17500000000002</v>
      </c>
      <c r="B447" s="5" t="n">
        <f aca="false">A447*VOFLB</f>
        <v>56.5500000000005</v>
      </c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 t="e">
        <f aca="false">0.000001*('Design Worksheet'!B$88)*(B447-B446)/E$232+M446</f>
        <v>#N/A</v>
      </c>
      <c r="N447" s="5" t="n">
        <f aca="false">B447</f>
        <v>56.5500000000005</v>
      </c>
    </row>
    <row r="448" customFormat="false" ht="12.8" hidden="false" customHeight="false" outlineLevel="0" collapsed="false">
      <c r="A448" s="5" t="n">
        <v>2.18000000000002</v>
      </c>
      <c r="B448" s="5" t="n">
        <f aca="false">A448*VOFLB</f>
        <v>56.6800000000005</v>
      </c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 t="e">
        <f aca="false">0.000001*('Design Worksheet'!B$88)*(B448-B447)/E$232+M447</f>
        <v>#N/A</v>
      </c>
      <c r="N448" s="5" t="n">
        <f aca="false">B448</f>
        <v>56.6800000000005</v>
      </c>
    </row>
    <row r="449" customFormat="false" ht="12.8" hidden="false" customHeight="false" outlineLevel="0" collapsed="false">
      <c r="A449" s="5" t="n">
        <v>2.18500000000002</v>
      </c>
      <c r="B449" s="5" t="n">
        <f aca="false">A449*VOFLB</f>
        <v>56.8100000000005</v>
      </c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 t="e">
        <f aca="false">0.000001*('Design Worksheet'!B$88)*(B449-B448)/E$232+M448</f>
        <v>#N/A</v>
      </c>
      <c r="N449" s="5" t="n">
        <f aca="false">B449</f>
        <v>56.8100000000005</v>
      </c>
    </row>
    <row r="450" customFormat="false" ht="12.8" hidden="false" customHeight="false" outlineLevel="0" collapsed="false">
      <c r="A450" s="5" t="n">
        <v>2.19000000000002</v>
      </c>
      <c r="B450" s="5" t="n">
        <f aca="false">A450*VOFLB</f>
        <v>56.9400000000005</v>
      </c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 t="e">
        <f aca="false">0.000001*('Design Worksheet'!B$88)*(B450-B449)/E$232+M449</f>
        <v>#N/A</v>
      </c>
      <c r="N450" s="5" t="n">
        <f aca="false">B450</f>
        <v>56.9400000000005</v>
      </c>
    </row>
    <row r="451" customFormat="false" ht="12.8" hidden="false" customHeight="false" outlineLevel="0" collapsed="false">
      <c r="A451" s="5" t="n">
        <v>2.19500000000002</v>
      </c>
      <c r="B451" s="5" t="n">
        <f aca="false">A451*VOFLB</f>
        <v>57.0700000000005</v>
      </c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 t="e">
        <f aca="false">0.000001*('Design Worksheet'!B$88)*(B451-B450)/E$232+M450</f>
        <v>#N/A</v>
      </c>
      <c r="N451" s="5" t="n">
        <f aca="false">B451</f>
        <v>57.0700000000005</v>
      </c>
    </row>
    <row r="452" customFormat="false" ht="12.8" hidden="false" customHeight="false" outlineLevel="0" collapsed="false">
      <c r="A452" s="5" t="n">
        <v>2.20000000000002</v>
      </c>
      <c r="B452" s="5" t="n">
        <f aca="false">A452*VOFLB</f>
        <v>57.2000000000005</v>
      </c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 t="e">
        <f aca="false">0.000001*('Design Worksheet'!B$88)*(B452-B451)/E$232+M451</f>
        <v>#N/A</v>
      </c>
      <c r="N452" s="5" t="n">
        <f aca="false">B452</f>
        <v>57.2000000000005</v>
      </c>
    </row>
    <row r="453" customFormat="false" ht="12.8" hidden="false" customHeight="false" outlineLevel="0" collapsed="false">
      <c r="A453" s="5" t="n">
        <v>2.20500000000002</v>
      </c>
      <c r="B453" s="5" t="n">
        <f aca="false">A453*VOFLB</f>
        <v>57.3300000000005</v>
      </c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 t="e">
        <f aca="false">0.000001*('Design Worksheet'!B$88)*(B453-B452)/E$232+M452</f>
        <v>#N/A</v>
      </c>
      <c r="N453" s="5" t="n">
        <f aca="false">B453</f>
        <v>57.3300000000005</v>
      </c>
    </row>
    <row r="454" customFormat="false" ht="12.8" hidden="false" customHeight="false" outlineLevel="0" collapsed="false">
      <c r="A454" s="5" t="n">
        <v>2.21000000000002</v>
      </c>
      <c r="B454" s="5" t="n">
        <f aca="false">A454*VOFLB</f>
        <v>57.4600000000005</v>
      </c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 t="e">
        <f aca="false">0.000001*('Design Worksheet'!B$88)*(B454-B453)/E$232+M453</f>
        <v>#N/A</v>
      </c>
      <c r="N454" s="5" t="n">
        <f aca="false">B454</f>
        <v>57.4600000000005</v>
      </c>
    </row>
    <row r="455" customFormat="false" ht="12.8" hidden="false" customHeight="false" outlineLevel="0" collapsed="false">
      <c r="A455" s="5" t="n">
        <v>2.21500000000002</v>
      </c>
      <c r="B455" s="5" t="n">
        <f aca="false">A455*VOFLB</f>
        <v>57.5900000000005</v>
      </c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 t="e">
        <f aca="false">0.000001*('Design Worksheet'!B$88)*(B455-B454)/E$232+M454</f>
        <v>#N/A</v>
      </c>
      <c r="N455" s="5" t="n">
        <f aca="false">B455</f>
        <v>57.5900000000005</v>
      </c>
    </row>
    <row r="456" customFormat="false" ht="12.8" hidden="false" customHeight="false" outlineLevel="0" collapsed="false">
      <c r="A456" s="5" t="n">
        <v>2.22000000000002</v>
      </c>
      <c r="B456" s="5" t="n">
        <f aca="false">A456*VOFLB</f>
        <v>57.7200000000005</v>
      </c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 t="e">
        <f aca="false">0.000001*('Design Worksheet'!B$88)*(B456-B455)/E$232+M455</f>
        <v>#N/A</v>
      </c>
      <c r="N456" s="5" t="n">
        <f aca="false">B456</f>
        <v>57.7200000000005</v>
      </c>
    </row>
    <row r="457" customFormat="false" ht="12.8" hidden="false" customHeight="false" outlineLevel="0" collapsed="false">
      <c r="A457" s="5" t="n">
        <v>2.22500000000002</v>
      </c>
      <c r="B457" s="5" t="n">
        <f aca="false">A457*VOFLB</f>
        <v>57.8500000000005</v>
      </c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 t="e">
        <f aca="false">0.000001*('Design Worksheet'!B$88)*(B457-B456)/E$232+M456</f>
        <v>#N/A</v>
      </c>
      <c r="N457" s="5" t="n">
        <f aca="false">B457</f>
        <v>57.8500000000005</v>
      </c>
    </row>
    <row r="458" customFormat="false" ht="12.8" hidden="false" customHeight="false" outlineLevel="0" collapsed="false">
      <c r="A458" s="5" t="n">
        <v>2.23000000000002</v>
      </c>
      <c r="B458" s="5" t="n">
        <f aca="false">A458*VOFLB</f>
        <v>57.9800000000005</v>
      </c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 t="e">
        <f aca="false">0.000001*('Design Worksheet'!B$88)*(B458-B457)/E$232+M457</f>
        <v>#N/A</v>
      </c>
      <c r="N458" s="5" t="n">
        <f aca="false">B458</f>
        <v>57.9800000000005</v>
      </c>
    </row>
    <row r="459" customFormat="false" ht="12.8" hidden="false" customHeight="false" outlineLevel="0" collapsed="false">
      <c r="A459" s="5" t="n">
        <v>2.23500000000002</v>
      </c>
      <c r="B459" s="5" t="n">
        <f aca="false">A459*VOFLB</f>
        <v>58.1100000000005</v>
      </c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 t="e">
        <f aca="false">0.000001*('Design Worksheet'!B$88)*(B459-B458)/E$232+M458</f>
        <v>#N/A</v>
      </c>
      <c r="N459" s="5" t="n">
        <f aca="false">B459</f>
        <v>58.1100000000005</v>
      </c>
    </row>
    <row r="460" customFormat="false" ht="12.8" hidden="false" customHeight="false" outlineLevel="0" collapsed="false">
      <c r="A460" s="5" t="n">
        <v>2.24000000000002</v>
      </c>
      <c r="B460" s="5" t="n">
        <f aca="false">A460*VOFLB</f>
        <v>58.2400000000005</v>
      </c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 t="e">
        <f aca="false">0.000001*('Design Worksheet'!B$88)*(B460-B459)/E$232+M459</f>
        <v>#N/A</v>
      </c>
      <c r="N460" s="5" t="n">
        <f aca="false">B460</f>
        <v>58.2400000000005</v>
      </c>
    </row>
    <row r="461" customFormat="false" ht="12.8" hidden="false" customHeight="false" outlineLevel="0" collapsed="false">
      <c r="A461" s="5" t="n">
        <v>2.24500000000002</v>
      </c>
      <c r="B461" s="5" t="n">
        <f aca="false">A461*VOFLB</f>
        <v>58.3700000000005</v>
      </c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 t="e">
        <f aca="false">0.000001*('Design Worksheet'!B$88)*(B461-B460)/E$232+M460</f>
        <v>#N/A</v>
      </c>
      <c r="N461" s="5" t="n">
        <f aca="false">B461</f>
        <v>58.3700000000005</v>
      </c>
    </row>
    <row r="462" customFormat="false" ht="12.8" hidden="false" customHeight="false" outlineLevel="0" collapsed="false">
      <c r="A462" s="5" t="n">
        <v>2.25000000000002</v>
      </c>
      <c r="B462" s="5" t="n">
        <f aca="false">A462*VOFLB</f>
        <v>58.5000000000005</v>
      </c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 t="e">
        <f aca="false">0.000001*('Design Worksheet'!B$88)*(B462-B461)/E$232+M461</f>
        <v>#N/A</v>
      </c>
      <c r="N462" s="5" t="n">
        <f aca="false">B462</f>
        <v>58.5000000000005</v>
      </c>
    </row>
    <row r="463" customFormat="false" ht="12.8" hidden="false" customHeight="false" outlineLevel="0" collapsed="false">
      <c r="A463" s="5" t="n">
        <v>2.25500000000002</v>
      </c>
      <c r="B463" s="5" t="n">
        <f aca="false">A463*VOFLB</f>
        <v>58.6300000000005</v>
      </c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 t="e">
        <f aca="false">0.000001*('Design Worksheet'!B$88)*(B463-B462)/E$232+M462</f>
        <v>#N/A</v>
      </c>
      <c r="N463" s="5" t="n">
        <f aca="false">B463</f>
        <v>58.6300000000005</v>
      </c>
    </row>
    <row r="464" customFormat="false" ht="12.8" hidden="false" customHeight="false" outlineLevel="0" collapsed="false">
      <c r="A464" s="5" t="n">
        <v>2.26000000000002</v>
      </c>
      <c r="B464" s="5" t="n">
        <f aca="false">A464*VOFLB</f>
        <v>58.7600000000005</v>
      </c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 t="e">
        <f aca="false">0.000001*('Design Worksheet'!B$88)*(B464-B463)/E$232+M463</f>
        <v>#N/A</v>
      </c>
      <c r="N464" s="5" t="n">
        <f aca="false">B464</f>
        <v>58.7600000000005</v>
      </c>
    </row>
    <row r="465" customFormat="false" ht="12.8" hidden="false" customHeight="false" outlineLevel="0" collapsed="false">
      <c r="A465" s="5" t="n">
        <v>2.26500000000002</v>
      </c>
      <c r="B465" s="5" t="n">
        <f aca="false">A465*VOFLB</f>
        <v>58.8900000000005</v>
      </c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 t="e">
        <f aca="false">0.000001*('Design Worksheet'!B$88)*(B465-B464)/E$232+M464</f>
        <v>#N/A</v>
      </c>
      <c r="N465" s="5" t="n">
        <f aca="false">B465</f>
        <v>58.8900000000005</v>
      </c>
    </row>
    <row r="466" customFormat="false" ht="12.8" hidden="false" customHeight="false" outlineLevel="0" collapsed="false">
      <c r="A466" s="5" t="n">
        <v>2.27000000000002</v>
      </c>
      <c r="B466" s="5" t="n">
        <f aca="false">A466*VOFLB</f>
        <v>59.0200000000005</v>
      </c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 t="e">
        <f aca="false">0.000001*('Design Worksheet'!B$88)*(B466-B465)/E$232+M465</f>
        <v>#N/A</v>
      </c>
      <c r="N466" s="5" t="n">
        <f aca="false">B466</f>
        <v>59.0200000000005</v>
      </c>
    </row>
    <row r="467" customFormat="false" ht="12.8" hidden="false" customHeight="false" outlineLevel="0" collapsed="false">
      <c r="A467" s="5" t="n">
        <v>2.27500000000002</v>
      </c>
      <c r="B467" s="5" t="n">
        <f aca="false">A467*VOFLB</f>
        <v>59.1500000000005</v>
      </c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 t="e">
        <f aca="false">0.000001*('Design Worksheet'!B$88)*(B467-B466)/E$232+M466</f>
        <v>#N/A</v>
      </c>
      <c r="N467" s="5" t="n">
        <f aca="false">B467</f>
        <v>59.1500000000005</v>
      </c>
    </row>
    <row r="468" customFormat="false" ht="12.8" hidden="false" customHeight="false" outlineLevel="0" collapsed="false">
      <c r="A468" s="5" t="n">
        <v>2.28000000000001</v>
      </c>
      <c r="B468" s="5" t="n">
        <f aca="false">A468*VOFLB</f>
        <v>59.2800000000003</v>
      </c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 t="e">
        <f aca="false">0.000001*('Design Worksheet'!B$88)*(B468-B467)/E$232+M467</f>
        <v>#N/A</v>
      </c>
      <c r="N468" s="5" t="n">
        <f aca="false">B468</f>
        <v>59.2800000000003</v>
      </c>
    </row>
    <row r="469" customFormat="false" ht="12.8" hidden="false" customHeight="false" outlineLevel="0" collapsed="false">
      <c r="A469" s="5" t="n">
        <v>2.28500000000002</v>
      </c>
      <c r="B469" s="5" t="n">
        <f aca="false">A469*VOFLB</f>
        <v>59.4100000000005</v>
      </c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 t="e">
        <f aca="false">0.000001*('Design Worksheet'!B$88)*(B469-B468)/E$232+M468</f>
        <v>#N/A</v>
      </c>
      <c r="N469" s="5" t="n">
        <f aca="false">B469</f>
        <v>59.4100000000005</v>
      </c>
    </row>
    <row r="470" customFormat="false" ht="12.8" hidden="false" customHeight="false" outlineLevel="0" collapsed="false">
      <c r="A470" s="5" t="n">
        <v>2.29000000000002</v>
      </c>
      <c r="B470" s="5" t="n">
        <f aca="false">A470*VOFLB</f>
        <v>59.5400000000005</v>
      </c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 t="e">
        <f aca="false">0.000001*('Design Worksheet'!B$88)*(B470-B469)/E$232+M469</f>
        <v>#N/A</v>
      </c>
      <c r="N470" s="5" t="n">
        <f aca="false">B470</f>
        <v>59.5400000000005</v>
      </c>
    </row>
    <row r="471" customFormat="false" ht="12.8" hidden="false" customHeight="false" outlineLevel="0" collapsed="false">
      <c r="A471" s="5" t="n">
        <v>2.29500000000002</v>
      </c>
      <c r="B471" s="5" t="n">
        <f aca="false">A471*VOFLB</f>
        <v>59.6700000000005</v>
      </c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 t="e">
        <f aca="false">0.000001*('Design Worksheet'!B$88)*(B471-B470)/E$232+M470</f>
        <v>#N/A</v>
      </c>
      <c r="N471" s="5" t="n">
        <f aca="false">B471</f>
        <v>59.6700000000005</v>
      </c>
    </row>
    <row r="472" customFormat="false" ht="12.8" hidden="false" customHeight="false" outlineLevel="0" collapsed="false">
      <c r="A472" s="5" t="n">
        <v>2.30000000000001</v>
      </c>
      <c r="B472" s="5" t="n">
        <f aca="false">A472*VOFLB</f>
        <v>59.8000000000003</v>
      </c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 t="e">
        <f aca="false">0.000001*('Design Worksheet'!B$88)*(B472-B471)/E$232+M471</f>
        <v>#N/A</v>
      </c>
      <c r="N472" s="5" t="n">
        <f aca="false">B472</f>
        <v>59.8000000000003</v>
      </c>
    </row>
    <row r="473" customFormat="false" ht="12.8" hidden="false" customHeight="false" outlineLevel="0" collapsed="false">
      <c r="A473" s="5" t="n">
        <v>2.30500000000001</v>
      </c>
      <c r="B473" s="5" t="n">
        <f aca="false">A473*VOFLB</f>
        <v>59.9300000000003</v>
      </c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 t="e">
        <f aca="false">0.000001*('Design Worksheet'!B$88)*(B473-B472)/E$232+M472</f>
        <v>#N/A</v>
      </c>
      <c r="N473" s="5" t="n">
        <f aca="false">B473</f>
        <v>59.9300000000003</v>
      </c>
    </row>
    <row r="474" customFormat="false" ht="12.8" hidden="false" customHeight="false" outlineLevel="0" collapsed="false">
      <c r="A474" s="5" t="n">
        <v>2.31000000000002</v>
      </c>
      <c r="B474" s="5" t="n">
        <f aca="false">A474*VOFLB</f>
        <v>60.0600000000005</v>
      </c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 t="e">
        <f aca="false">0.000001*('Design Worksheet'!B$88)*(B474-B473)/E$232+M473</f>
        <v>#N/A</v>
      </c>
      <c r="N474" s="5" t="n">
        <f aca="false">B474</f>
        <v>60.0600000000005</v>
      </c>
    </row>
    <row r="475" customFormat="false" ht="12.8" hidden="false" customHeight="false" outlineLevel="0" collapsed="false">
      <c r="A475" s="5" t="n">
        <v>2.31500000000002</v>
      </c>
      <c r="B475" s="5" t="n">
        <f aca="false">A475*VOFLB</f>
        <v>60.1900000000005</v>
      </c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 t="e">
        <f aca="false">0.000001*('Design Worksheet'!B$88)*(B475-B474)/E$232+M474</f>
        <v>#N/A</v>
      </c>
      <c r="N475" s="5" t="n">
        <f aca="false">B475</f>
        <v>60.1900000000005</v>
      </c>
    </row>
    <row r="476" customFormat="false" ht="12.8" hidden="false" customHeight="false" outlineLevel="0" collapsed="false">
      <c r="A476" s="5" t="n">
        <v>2.32000000000001</v>
      </c>
      <c r="B476" s="5" t="n">
        <f aca="false">A476*VOFLB</f>
        <v>60.3200000000003</v>
      </c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 t="e">
        <f aca="false">0.000001*('Design Worksheet'!B$88)*(B476-B475)/E$232+M475</f>
        <v>#N/A</v>
      </c>
      <c r="N476" s="5" t="n">
        <f aca="false">B476</f>
        <v>60.3200000000003</v>
      </c>
    </row>
    <row r="477" customFormat="false" ht="12.8" hidden="false" customHeight="false" outlineLevel="0" collapsed="false">
      <c r="A477" s="5" t="n">
        <v>2.32500000000001</v>
      </c>
      <c r="B477" s="5" t="n">
        <f aca="false">A477*VOFLB</f>
        <v>60.4500000000003</v>
      </c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 t="e">
        <f aca="false">0.000001*('Design Worksheet'!B$88)*(B477-B476)/E$232+M476</f>
        <v>#N/A</v>
      </c>
      <c r="N477" s="5" t="n">
        <f aca="false">B477</f>
        <v>60.4500000000003</v>
      </c>
    </row>
    <row r="478" customFormat="false" ht="12.8" hidden="false" customHeight="false" outlineLevel="0" collapsed="false">
      <c r="A478" s="5" t="n">
        <v>2.33000000000001</v>
      </c>
      <c r="B478" s="5" t="n">
        <f aca="false">A478*VOFLB</f>
        <v>60.5800000000003</v>
      </c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 t="e">
        <f aca="false">0.000001*('Design Worksheet'!B$88)*(B478-B477)/E$232+M477</f>
        <v>#N/A</v>
      </c>
      <c r="N478" s="5" t="n">
        <f aca="false">B478</f>
        <v>60.5800000000003</v>
      </c>
    </row>
    <row r="479" customFormat="false" ht="12.8" hidden="false" customHeight="false" outlineLevel="0" collapsed="false">
      <c r="A479" s="5" t="n">
        <v>2.33500000000001</v>
      </c>
      <c r="B479" s="5" t="n">
        <f aca="false">A479*VOFLB</f>
        <v>60.7100000000003</v>
      </c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 t="e">
        <f aca="false">0.000001*('Design Worksheet'!B$88)*(B479-B478)/E$232+M478</f>
        <v>#N/A</v>
      </c>
      <c r="N479" s="5" t="n">
        <f aca="false">B479</f>
        <v>60.7100000000003</v>
      </c>
    </row>
    <row r="480" customFormat="false" ht="12.8" hidden="false" customHeight="false" outlineLevel="0" collapsed="false">
      <c r="A480" s="5" t="n">
        <v>2.34000000000001</v>
      </c>
      <c r="B480" s="5" t="n">
        <f aca="false">A480*VOFLB</f>
        <v>60.8400000000003</v>
      </c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 t="e">
        <f aca="false">0.000001*('Design Worksheet'!B$88)*(B480-B479)/E$232+M479</f>
        <v>#N/A</v>
      </c>
      <c r="N480" s="5" t="n">
        <f aca="false">B480</f>
        <v>60.8400000000003</v>
      </c>
    </row>
    <row r="481" customFormat="false" ht="12.8" hidden="false" customHeight="false" outlineLevel="0" collapsed="false">
      <c r="A481" s="5" t="n">
        <v>2.34500000000001</v>
      </c>
      <c r="B481" s="5" t="n">
        <f aca="false">A481*VOFLB</f>
        <v>60.9700000000003</v>
      </c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 t="e">
        <f aca="false">0.000001*('Design Worksheet'!B$88)*(B481-B480)/E$232+M480</f>
        <v>#N/A</v>
      </c>
      <c r="N481" s="5" t="n">
        <f aca="false">B481</f>
        <v>60.9700000000003</v>
      </c>
    </row>
    <row r="482" customFormat="false" ht="12.8" hidden="false" customHeight="false" outlineLevel="0" collapsed="false">
      <c r="A482" s="5" t="n">
        <v>2.35000000000001</v>
      </c>
      <c r="B482" s="5" t="n">
        <f aca="false">A482*VOFLB</f>
        <v>61.1000000000003</v>
      </c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 t="e">
        <f aca="false">0.000001*('Design Worksheet'!B$88)*(B482-B481)/E$232+M481</f>
        <v>#N/A</v>
      </c>
      <c r="N482" s="5" t="n">
        <f aca="false">B482</f>
        <v>61.1000000000003</v>
      </c>
    </row>
    <row r="483" customFormat="false" ht="12.8" hidden="false" customHeight="false" outlineLevel="0" collapsed="false">
      <c r="A483" s="5" t="n">
        <v>2.35500000000001</v>
      </c>
      <c r="B483" s="5" t="n">
        <f aca="false">A483*VOFLB</f>
        <v>61.2300000000003</v>
      </c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 t="e">
        <f aca="false">0.000001*('Design Worksheet'!B$88)*(B483-B482)/E$232+M482</f>
        <v>#N/A</v>
      </c>
      <c r="N483" s="5" t="n">
        <f aca="false">B483</f>
        <v>61.2300000000003</v>
      </c>
    </row>
    <row r="484" customFormat="false" ht="12.8" hidden="false" customHeight="false" outlineLevel="0" collapsed="false">
      <c r="A484" s="5" t="n">
        <v>2.36000000000001</v>
      </c>
      <c r="B484" s="5" t="n">
        <f aca="false">A484*VOFLB</f>
        <v>61.3600000000003</v>
      </c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 t="e">
        <f aca="false">0.000001*('Design Worksheet'!B$88)*(B484-B483)/E$232+M483</f>
        <v>#N/A</v>
      </c>
      <c r="N484" s="5" t="n">
        <f aca="false">B484</f>
        <v>61.3600000000003</v>
      </c>
    </row>
    <row r="485" customFormat="false" ht="12.8" hidden="false" customHeight="false" outlineLevel="0" collapsed="false">
      <c r="A485" s="5" t="n">
        <v>2.36500000000001</v>
      </c>
      <c r="B485" s="5" t="n">
        <f aca="false">A485*VOFLB</f>
        <v>61.4900000000003</v>
      </c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 t="e">
        <f aca="false">0.000001*('Design Worksheet'!B$88)*(B485-B484)/E$232+M484</f>
        <v>#N/A</v>
      </c>
      <c r="N485" s="5" t="n">
        <f aca="false">B485</f>
        <v>61.4900000000003</v>
      </c>
    </row>
    <row r="486" customFormat="false" ht="12.8" hidden="false" customHeight="false" outlineLevel="0" collapsed="false">
      <c r="A486" s="5" t="n">
        <v>2.37000000000001</v>
      </c>
      <c r="B486" s="5" t="n">
        <f aca="false">A486*VOFLB</f>
        <v>61.6200000000003</v>
      </c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 t="e">
        <f aca="false">0.000001*('Design Worksheet'!B$88)*(B486-B485)/E$232+M485</f>
        <v>#N/A</v>
      </c>
      <c r="N486" s="5" t="n">
        <f aca="false">B486</f>
        <v>61.6200000000003</v>
      </c>
    </row>
    <row r="487" customFormat="false" ht="12.8" hidden="false" customHeight="false" outlineLevel="0" collapsed="false">
      <c r="A487" s="5" t="n">
        <v>2.37500000000001</v>
      </c>
      <c r="B487" s="5" t="n">
        <f aca="false">A487*VOFLB</f>
        <v>61.7500000000003</v>
      </c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 t="e">
        <f aca="false">0.000001*('Design Worksheet'!B$88)*(B487-B486)/E$232+M486</f>
        <v>#N/A</v>
      </c>
      <c r="N487" s="5" t="n">
        <f aca="false">B487</f>
        <v>61.7500000000003</v>
      </c>
    </row>
    <row r="488" customFormat="false" ht="12.8" hidden="false" customHeight="false" outlineLevel="0" collapsed="false">
      <c r="A488" s="5" t="n">
        <v>2.38000000000001</v>
      </c>
      <c r="B488" s="5" t="n">
        <f aca="false">A488*VOFLB</f>
        <v>61.8800000000003</v>
      </c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 t="e">
        <f aca="false">0.000001*('Design Worksheet'!B$88)*(B488-B487)/E$232+M487</f>
        <v>#N/A</v>
      </c>
      <c r="N488" s="5" t="n">
        <f aca="false">B488</f>
        <v>61.8800000000003</v>
      </c>
    </row>
    <row r="489" customFormat="false" ht="12.8" hidden="false" customHeight="false" outlineLevel="0" collapsed="false">
      <c r="A489" s="5" t="n">
        <v>2.38500000000001</v>
      </c>
      <c r="B489" s="5" t="n">
        <f aca="false">A489*VOFLB</f>
        <v>62.0100000000003</v>
      </c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 t="e">
        <f aca="false">0.000001*('Design Worksheet'!B$88)*(B489-B488)/E$232+M488</f>
        <v>#N/A</v>
      </c>
      <c r="N489" s="5" t="n">
        <f aca="false">B489</f>
        <v>62.0100000000003</v>
      </c>
    </row>
    <row r="490" customFormat="false" ht="12.8" hidden="false" customHeight="false" outlineLevel="0" collapsed="false">
      <c r="A490" s="5" t="n">
        <v>2.39000000000001</v>
      </c>
      <c r="B490" s="5" t="n">
        <f aca="false">A490*VOFLB</f>
        <v>62.1400000000003</v>
      </c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 t="e">
        <f aca="false">0.000001*('Design Worksheet'!B$88)*(B490-B489)/E$232+M489</f>
        <v>#N/A</v>
      </c>
      <c r="N490" s="5" t="n">
        <f aca="false">B490</f>
        <v>62.1400000000003</v>
      </c>
    </row>
    <row r="491" customFormat="false" ht="12.8" hidden="false" customHeight="false" outlineLevel="0" collapsed="false">
      <c r="A491" s="5" t="n">
        <v>2.39500000000001</v>
      </c>
      <c r="B491" s="5" t="n">
        <f aca="false">A491*VOFLB</f>
        <v>62.2700000000003</v>
      </c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 t="e">
        <f aca="false">0.000001*('Design Worksheet'!B$88)*(B491-B490)/E$232+M490</f>
        <v>#N/A</v>
      </c>
      <c r="N491" s="5" t="n">
        <f aca="false">B491</f>
        <v>62.2700000000003</v>
      </c>
    </row>
    <row r="492" customFormat="false" ht="12.8" hidden="false" customHeight="false" outlineLevel="0" collapsed="false">
      <c r="A492" s="5" t="n">
        <v>2.40000000000001</v>
      </c>
      <c r="B492" s="5" t="n">
        <f aca="false">A492*VOFLB</f>
        <v>62.4000000000003</v>
      </c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 t="e">
        <f aca="false">0.000001*('Design Worksheet'!B$88)*(B492-B491)/E$232+M491</f>
        <v>#N/A</v>
      </c>
      <c r="N492" s="5" t="n">
        <f aca="false">B492</f>
        <v>62.4000000000003</v>
      </c>
    </row>
    <row r="493" customFormat="false" ht="12.8" hidden="false" customHeight="false" outlineLevel="0" collapsed="false">
      <c r="A493" s="5" t="n">
        <v>2.40500000000001</v>
      </c>
      <c r="B493" s="5" t="n">
        <f aca="false">A493*VOFLB</f>
        <v>62.5300000000003</v>
      </c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 t="e">
        <f aca="false">0.000001*('Design Worksheet'!B$88)*(B493-B492)/E$232+M492</f>
        <v>#N/A</v>
      </c>
      <c r="N493" s="5" t="n">
        <f aca="false">B493</f>
        <v>62.5300000000003</v>
      </c>
    </row>
    <row r="494" customFormat="false" ht="12.8" hidden="false" customHeight="false" outlineLevel="0" collapsed="false">
      <c r="A494" s="5" t="n">
        <v>2.41000000000001</v>
      </c>
      <c r="B494" s="5" t="n">
        <f aca="false">A494*VOFLB</f>
        <v>62.6600000000003</v>
      </c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 t="e">
        <f aca="false">0.000001*('Design Worksheet'!B$88)*(B494-B493)/E$232+M493</f>
        <v>#N/A</v>
      </c>
      <c r="N494" s="5" t="n">
        <f aca="false">B494</f>
        <v>62.6600000000003</v>
      </c>
    </row>
    <row r="495" customFormat="false" ht="12.8" hidden="false" customHeight="false" outlineLevel="0" collapsed="false">
      <c r="A495" s="5" t="n">
        <v>2.41500000000001</v>
      </c>
      <c r="B495" s="5" t="n">
        <f aca="false">A495*VOFLB</f>
        <v>62.7900000000003</v>
      </c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 t="e">
        <f aca="false">0.000001*('Design Worksheet'!B$88)*(B495-B494)/E$232+M494</f>
        <v>#N/A</v>
      </c>
      <c r="N495" s="5" t="n">
        <f aca="false">B495</f>
        <v>62.7900000000003</v>
      </c>
    </row>
    <row r="496" customFormat="false" ht="12.8" hidden="false" customHeight="false" outlineLevel="0" collapsed="false">
      <c r="A496" s="5" t="n">
        <v>2.42000000000001</v>
      </c>
      <c r="B496" s="5" t="n">
        <f aca="false">A496*VOFLB</f>
        <v>62.9200000000003</v>
      </c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 t="e">
        <f aca="false">0.000001*('Design Worksheet'!B$88)*(B496-B495)/E$232+M495</f>
        <v>#N/A</v>
      </c>
      <c r="N496" s="5" t="n">
        <f aca="false">B496</f>
        <v>62.9200000000003</v>
      </c>
    </row>
    <row r="497" customFormat="false" ht="12.8" hidden="false" customHeight="false" outlineLevel="0" collapsed="false">
      <c r="A497" s="5" t="n">
        <v>2.42500000000001</v>
      </c>
      <c r="B497" s="5" t="n">
        <f aca="false">A497*VOFLB</f>
        <v>63.0500000000003</v>
      </c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 t="e">
        <f aca="false">0.000001*('Design Worksheet'!B$88)*(B497-B496)/E$232+M496</f>
        <v>#N/A</v>
      </c>
      <c r="N497" s="5" t="n">
        <f aca="false">B497</f>
        <v>63.0500000000003</v>
      </c>
    </row>
    <row r="498" customFormat="false" ht="12.8" hidden="false" customHeight="false" outlineLevel="0" collapsed="false">
      <c r="A498" s="5" t="n">
        <v>2.43000000000001</v>
      </c>
      <c r="B498" s="5" t="n">
        <f aca="false">A498*VOFLB</f>
        <v>63.1800000000003</v>
      </c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 t="e">
        <f aca="false">0.000001*('Design Worksheet'!B$88)*(B498-B497)/E$232+M497</f>
        <v>#N/A</v>
      </c>
      <c r="N498" s="5" t="n">
        <f aca="false">B498</f>
        <v>63.1800000000003</v>
      </c>
    </row>
    <row r="499" customFormat="false" ht="12.8" hidden="false" customHeight="false" outlineLevel="0" collapsed="false">
      <c r="A499" s="5" t="n">
        <v>2.43500000000001</v>
      </c>
      <c r="B499" s="5" t="n">
        <f aca="false">A499*VOFLB</f>
        <v>63.3100000000003</v>
      </c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 t="e">
        <f aca="false">0.000001*('Design Worksheet'!B$88)*(B499-B498)/E$232+M498</f>
        <v>#N/A</v>
      </c>
      <c r="N499" s="5" t="n">
        <f aca="false">B499</f>
        <v>63.3100000000003</v>
      </c>
    </row>
    <row r="500" customFormat="false" ht="12.8" hidden="false" customHeight="false" outlineLevel="0" collapsed="false">
      <c r="A500" s="5" t="n">
        <v>2.44000000000001</v>
      </c>
      <c r="B500" s="5" t="n">
        <f aca="false">A500*VOFLB</f>
        <v>63.4400000000003</v>
      </c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 t="e">
        <f aca="false">0.000001*('Design Worksheet'!B$88)*(B500-B499)/E$232+M499</f>
        <v>#N/A</v>
      </c>
      <c r="N500" s="5" t="n">
        <f aca="false">B500</f>
        <v>63.4400000000003</v>
      </c>
    </row>
    <row r="501" customFormat="false" ht="12.8" hidden="false" customHeight="false" outlineLevel="0" collapsed="false">
      <c r="A501" s="5" t="n">
        <v>2.44500000000001</v>
      </c>
      <c r="B501" s="5" t="n">
        <f aca="false">A501*VOFLB</f>
        <v>63.5700000000003</v>
      </c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 t="e">
        <f aca="false">0.000001*('Design Worksheet'!B$88)*(B501-B500)/E$232+M500</f>
        <v>#N/A</v>
      </c>
      <c r="N501" s="5" t="n">
        <f aca="false">B501</f>
        <v>63.5700000000003</v>
      </c>
    </row>
    <row r="502" customFormat="false" ht="12.8" hidden="false" customHeight="false" outlineLevel="0" collapsed="false">
      <c r="A502" s="5" t="n">
        <v>2.45000000000001</v>
      </c>
      <c r="B502" s="5" t="n">
        <f aca="false">A502*VOFLB</f>
        <v>63.7000000000003</v>
      </c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 t="e">
        <f aca="false">0.000001*('Design Worksheet'!B$88)*(B502-B501)/E$232+M501</f>
        <v>#N/A</v>
      </c>
      <c r="N502" s="5" t="n">
        <f aca="false">B502</f>
        <v>63.7000000000003</v>
      </c>
    </row>
    <row r="503" customFormat="false" ht="12.8" hidden="false" customHeight="false" outlineLevel="0" collapsed="false">
      <c r="A503" s="5" t="n">
        <v>2.45500000000001</v>
      </c>
      <c r="B503" s="5" t="n">
        <f aca="false">A503*VOFLB</f>
        <v>63.8300000000003</v>
      </c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 t="e">
        <f aca="false">0.000001*('Design Worksheet'!B$88)*(B503-B502)/E$232+M502</f>
        <v>#N/A</v>
      </c>
      <c r="N503" s="5" t="n">
        <f aca="false">B503</f>
        <v>63.8300000000003</v>
      </c>
    </row>
    <row r="504" customFormat="false" ht="12.8" hidden="false" customHeight="false" outlineLevel="0" collapsed="false">
      <c r="A504" s="5" t="n">
        <v>2.46000000000001</v>
      </c>
      <c r="B504" s="5" t="n">
        <f aca="false">A504*VOFLB</f>
        <v>63.9600000000003</v>
      </c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 t="e">
        <f aca="false">0.000001*('Design Worksheet'!B$88)*(B504-B503)/E$232+M503</f>
        <v>#N/A</v>
      </c>
      <c r="N504" s="5" t="n">
        <f aca="false">B504</f>
        <v>63.9600000000003</v>
      </c>
    </row>
    <row r="505" customFormat="false" ht="12.8" hidden="false" customHeight="false" outlineLevel="0" collapsed="false">
      <c r="A505" s="5" t="n">
        <v>2.46500000000001</v>
      </c>
      <c r="B505" s="5" t="n">
        <f aca="false">A505*VOFLB</f>
        <v>64.0900000000003</v>
      </c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 t="e">
        <f aca="false">0.000001*('Design Worksheet'!B$88)*(B505-B504)/E$232+M504</f>
        <v>#N/A</v>
      </c>
      <c r="N505" s="5" t="n">
        <f aca="false">B505</f>
        <v>64.0900000000003</v>
      </c>
    </row>
    <row r="506" customFormat="false" ht="12.8" hidden="false" customHeight="false" outlineLevel="0" collapsed="false">
      <c r="A506" s="5" t="n">
        <v>2.47000000000001</v>
      </c>
      <c r="B506" s="5" t="n">
        <f aca="false">A506*VOFLB</f>
        <v>64.2200000000003</v>
      </c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 t="e">
        <f aca="false">0.000001*('Design Worksheet'!B$88)*(B506-B505)/E$232+M505</f>
        <v>#N/A</v>
      </c>
      <c r="N506" s="5" t="n">
        <f aca="false">B506</f>
        <v>64.2200000000003</v>
      </c>
    </row>
    <row r="507" customFormat="false" ht="12.8" hidden="false" customHeight="false" outlineLevel="0" collapsed="false">
      <c r="A507" s="5" t="n">
        <v>2.47500000000001</v>
      </c>
      <c r="B507" s="5" t="n">
        <f aca="false">A507*VOFLB</f>
        <v>64.3500000000003</v>
      </c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 t="e">
        <f aca="false">0.000001*('Design Worksheet'!B$88)*(B507-B506)/E$232+M506</f>
        <v>#N/A</v>
      </c>
      <c r="N507" s="5" t="n">
        <f aca="false">B507</f>
        <v>64.3500000000003</v>
      </c>
    </row>
    <row r="508" customFormat="false" ht="12.8" hidden="false" customHeight="false" outlineLevel="0" collapsed="false">
      <c r="A508" s="5" t="n">
        <v>2.48000000000001</v>
      </c>
      <c r="B508" s="5" t="n">
        <f aca="false">A508*VOFLB</f>
        <v>64.4800000000003</v>
      </c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 t="e">
        <f aca="false">0.000001*('Design Worksheet'!B$88)*(B508-B507)/E$232+M507</f>
        <v>#N/A</v>
      </c>
      <c r="N508" s="5" t="n">
        <f aca="false">B508</f>
        <v>64.4800000000003</v>
      </c>
    </row>
    <row r="509" customFormat="false" ht="12.8" hidden="false" customHeight="false" outlineLevel="0" collapsed="false">
      <c r="A509" s="5" t="n">
        <v>2.48500000000001</v>
      </c>
      <c r="B509" s="5" t="n">
        <f aca="false">A509*VOFLB</f>
        <v>64.6100000000003</v>
      </c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 t="e">
        <f aca="false">0.000001*('Design Worksheet'!B$88)*(B509-B508)/E$232+M508</f>
        <v>#N/A</v>
      </c>
      <c r="N509" s="5" t="n">
        <f aca="false">B509</f>
        <v>64.6100000000003</v>
      </c>
    </row>
    <row r="510" customFormat="false" ht="12.8" hidden="false" customHeight="false" outlineLevel="0" collapsed="false">
      <c r="A510" s="5" t="n">
        <v>2.49000000000001</v>
      </c>
      <c r="B510" s="5" t="n">
        <f aca="false">A510*VOFLB</f>
        <v>64.7400000000003</v>
      </c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 t="e">
        <f aca="false">0.000001*('Design Worksheet'!B$88)*(B510-B509)/E$232+M509</f>
        <v>#N/A</v>
      </c>
      <c r="N510" s="5" t="n">
        <f aca="false">B510</f>
        <v>64.7400000000003</v>
      </c>
    </row>
    <row r="511" customFormat="false" ht="12.8" hidden="false" customHeight="false" outlineLevel="0" collapsed="false">
      <c r="A511" s="5" t="n">
        <v>2.49500000000001</v>
      </c>
      <c r="B511" s="5" t="n">
        <f aca="false">A511*VOFLB</f>
        <v>64.8700000000003</v>
      </c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 t="e">
        <f aca="false">0.000001*('Design Worksheet'!B$88)*(B511-B510)/E$232+M510</f>
        <v>#N/A</v>
      </c>
      <c r="N511" s="5" t="n">
        <f aca="false">B511</f>
        <v>64.8700000000003</v>
      </c>
    </row>
    <row r="512" customFormat="false" ht="12.8" hidden="false" customHeight="false" outlineLevel="0" collapsed="false">
      <c r="A512" s="5" t="n">
        <v>2.50000000000001</v>
      </c>
      <c r="B512" s="5" t="n">
        <f aca="false">A512*VOFLB</f>
        <v>65.0000000000003</v>
      </c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 t="e">
        <f aca="false">0.000001*('Design Worksheet'!B$88)*(B512-B511)/E$232+M511</f>
        <v>#N/A</v>
      </c>
      <c r="N512" s="5" t="n">
        <f aca="false">B512</f>
        <v>65.0000000000003</v>
      </c>
    </row>
    <row r="513" customFormat="false" ht="12.8" hidden="false" customHeight="false" outlineLevel="0" collapsed="false">
      <c r="A513" s="5" t="n">
        <v>2.50500000000001</v>
      </c>
      <c r="B513" s="5" t="n">
        <f aca="false">A513*VOFLB</f>
        <v>65.1300000000003</v>
      </c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 t="e">
        <f aca="false">0.000001*('Design Worksheet'!B$88)*(B513-B512)/E$232+M512</f>
        <v>#N/A</v>
      </c>
      <c r="N513" s="5" t="n">
        <f aca="false">B513</f>
        <v>65.1300000000003</v>
      </c>
    </row>
    <row r="514" customFormat="false" ht="12.8" hidden="false" customHeight="false" outlineLevel="0" collapsed="false">
      <c r="A514" s="5" t="n">
        <v>2.51000000000001</v>
      </c>
      <c r="B514" s="5" t="n">
        <f aca="false">A514*VOFLB</f>
        <v>65.2600000000003</v>
      </c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 t="e">
        <f aca="false">0.000001*('Design Worksheet'!B$88)*(B514-B513)/E$232+M513</f>
        <v>#N/A</v>
      </c>
      <c r="N514" s="5" t="n">
        <f aca="false">B514</f>
        <v>65.2600000000003</v>
      </c>
    </row>
    <row r="515" customFormat="false" ht="12.8" hidden="false" customHeight="false" outlineLevel="0" collapsed="false">
      <c r="A515" s="5" t="n">
        <v>2.51500000000001</v>
      </c>
      <c r="B515" s="5" t="n">
        <f aca="false">A515*VOFLB</f>
        <v>65.3900000000003</v>
      </c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 t="e">
        <f aca="false">0.000001*('Design Worksheet'!B$88)*(B515-B514)/E$232+M514</f>
        <v>#N/A</v>
      </c>
      <c r="N515" s="5" t="n">
        <f aca="false">B515</f>
        <v>65.3900000000003</v>
      </c>
    </row>
    <row r="516" customFormat="false" ht="12.8" hidden="false" customHeight="false" outlineLevel="0" collapsed="false">
      <c r="A516" s="5" t="n">
        <v>2.52000000000001</v>
      </c>
      <c r="B516" s="5" t="n">
        <f aca="false">A516*VOFLB</f>
        <v>65.5200000000003</v>
      </c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 t="e">
        <f aca="false">0.000001*('Design Worksheet'!B$88)*(B516-B515)/E$232+M515</f>
        <v>#N/A</v>
      </c>
      <c r="N516" s="5" t="n">
        <f aca="false">B516</f>
        <v>65.5200000000003</v>
      </c>
    </row>
    <row r="517" customFormat="false" ht="12.8" hidden="false" customHeight="false" outlineLevel="0" collapsed="false">
      <c r="A517" s="5" t="n">
        <v>2.52500000000001</v>
      </c>
      <c r="B517" s="5" t="n">
        <f aca="false">A517*VOFLB</f>
        <v>65.6500000000003</v>
      </c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 t="e">
        <f aca="false">0.000001*('Design Worksheet'!B$88)*(B517-B516)/E$232+M516</f>
        <v>#N/A</v>
      </c>
      <c r="N517" s="5" t="n">
        <f aca="false">B517</f>
        <v>65.6500000000003</v>
      </c>
    </row>
    <row r="518" customFormat="false" ht="12.8" hidden="false" customHeight="false" outlineLevel="0" collapsed="false">
      <c r="A518" s="5" t="n">
        <v>2.53000000000001</v>
      </c>
      <c r="B518" s="5" t="n">
        <f aca="false">A518*VOFLB</f>
        <v>65.7800000000003</v>
      </c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 t="e">
        <f aca="false">0.000001*('Design Worksheet'!B$88)*(B518-B517)/E$232+M517</f>
        <v>#N/A</v>
      </c>
      <c r="N518" s="5" t="n">
        <f aca="false">B518</f>
        <v>65.7800000000003</v>
      </c>
    </row>
    <row r="519" customFormat="false" ht="12.8" hidden="false" customHeight="false" outlineLevel="0" collapsed="false">
      <c r="A519" s="5" t="n">
        <v>2.53500000000001</v>
      </c>
      <c r="B519" s="5" t="n">
        <f aca="false">A519*VOFLB</f>
        <v>65.9100000000003</v>
      </c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 t="e">
        <f aca="false">0.000001*('Design Worksheet'!B$88)*(B519-B518)/E$232+M518</f>
        <v>#N/A</v>
      </c>
      <c r="N519" s="5" t="n">
        <f aca="false">B519</f>
        <v>65.9100000000003</v>
      </c>
    </row>
    <row r="520" customFormat="false" ht="12.8" hidden="false" customHeight="false" outlineLevel="0" collapsed="false">
      <c r="A520" s="5" t="n">
        <v>2.54000000000001</v>
      </c>
      <c r="B520" s="5" t="n">
        <f aca="false">A520*VOFLB</f>
        <v>66.0400000000003</v>
      </c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 t="e">
        <f aca="false">0.000001*('Design Worksheet'!B$88)*(B520-B519)/E$232+M519</f>
        <v>#N/A</v>
      </c>
      <c r="N520" s="5" t="n">
        <f aca="false">B520</f>
        <v>66.0400000000003</v>
      </c>
    </row>
    <row r="521" customFormat="false" ht="12.8" hidden="false" customHeight="false" outlineLevel="0" collapsed="false">
      <c r="A521" s="5" t="n">
        <v>2.54500000000001</v>
      </c>
      <c r="B521" s="5" t="n">
        <f aca="false">A521*VOFLB</f>
        <v>66.1700000000003</v>
      </c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 t="e">
        <f aca="false">0.000001*('Design Worksheet'!B$88)*(B521-B520)/E$232+M520</f>
        <v>#N/A</v>
      </c>
      <c r="N521" s="5" t="n">
        <f aca="false">B521</f>
        <v>66.1700000000003</v>
      </c>
    </row>
    <row r="522" customFormat="false" ht="12.8" hidden="false" customHeight="false" outlineLevel="0" collapsed="false">
      <c r="A522" s="5" t="n">
        <v>2.55000000000001</v>
      </c>
      <c r="B522" s="5" t="n">
        <f aca="false">A522*VOFLB</f>
        <v>66.3000000000003</v>
      </c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 t="e">
        <f aca="false">0.000001*('Design Worksheet'!B$88)*(B522-B521)/E$232+M521</f>
        <v>#N/A</v>
      </c>
      <c r="N522" s="5" t="n">
        <f aca="false">B522</f>
        <v>66.3000000000003</v>
      </c>
    </row>
    <row r="523" customFormat="false" ht="12.8" hidden="false" customHeight="false" outlineLevel="0" collapsed="false">
      <c r="A523" s="5" t="n">
        <v>2.55500000000001</v>
      </c>
      <c r="B523" s="5" t="n">
        <f aca="false">A523*VOFLB</f>
        <v>66.4300000000003</v>
      </c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 t="e">
        <f aca="false">0.000001*('Design Worksheet'!B$88)*(B523-B522)/E$232+M522</f>
        <v>#N/A</v>
      </c>
      <c r="N523" s="5" t="n">
        <f aca="false">B523</f>
        <v>66.4300000000003</v>
      </c>
    </row>
    <row r="524" customFormat="false" ht="12.8" hidden="false" customHeight="false" outlineLevel="0" collapsed="false">
      <c r="A524" s="5" t="n">
        <v>2.56000000000001</v>
      </c>
      <c r="B524" s="5" t="n">
        <f aca="false">A524*VOFLB</f>
        <v>66.5600000000003</v>
      </c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 t="e">
        <f aca="false">0.000001*('Design Worksheet'!B$88)*(B524-B523)/E$232+M523</f>
        <v>#N/A</v>
      </c>
      <c r="N524" s="5" t="n">
        <f aca="false">B524</f>
        <v>66.5600000000003</v>
      </c>
    </row>
    <row r="525" customFormat="false" ht="12.8" hidden="false" customHeight="false" outlineLevel="0" collapsed="false">
      <c r="A525" s="5" t="n">
        <v>2.56500000000001</v>
      </c>
      <c r="B525" s="5" t="n">
        <f aca="false">A525*VOFLB</f>
        <v>66.6900000000003</v>
      </c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 t="e">
        <f aca="false">0.000001*('Design Worksheet'!B$88)*(B525-B524)/E$232+M524</f>
        <v>#N/A</v>
      </c>
      <c r="N525" s="5" t="n">
        <f aca="false">B525</f>
        <v>66.6900000000003</v>
      </c>
    </row>
    <row r="526" customFormat="false" ht="12.8" hidden="false" customHeight="false" outlineLevel="0" collapsed="false">
      <c r="A526" s="5" t="n">
        <v>2.57000000000001</v>
      </c>
      <c r="B526" s="5" t="n">
        <f aca="false">A526*VOFLB</f>
        <v>66.8200000000003</v>
      </c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 t="e">
        <f aca="false">0.000001*('Design Worksheet'!B$88)*(B526-B525)/E$232+M525</f>
        <v>#N/A</v>
      </c>
      <c r="N526" s="5" t="n">
        <f aca="false">B526</f>
        <v>66.8200000000003</v>
      </c>
    </row>
    <row r="527" customFormat="false" ht="12.8" hidden="false" customHeight="false" outlineLevel="0" collapsed="false">
      <c r="A527" s="5" t="n">
        <v>2.57500000000001</v>
      </c>
      <c r="B527" s="5" t="n">
        <f aca="false">A527*VOFLB</f>
        <v>66.9500000000003</v>
      </c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 t="e">
        <f aca="false">0.000001*('Design Worksheet'!B$88)*(B527-B526)/E$232+M526</f>
        <v>#N/A</v>
      </c>
      <c r="N527" s="5" t="n">
        <f aca="false">B527</f>
        <v>66.9500000000003</v>
      </c>
    </row>
    <row r="528" customFormat="false" ht="12.8" hidden="false" customHeight="false" outlineLevel="0" collapsed="false">
      <c r="A528" s="5" t="n">
        <v>2.58000000000001</v>
      </c>
      <c r="B528" s="5" t="n">
        <f aca="false">A528*VOFLB</f>
        <v>67.0800000000003</v>
      </c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 t="e">
        <f aca="false">0.000001*('Design Worksheet'!B$88)*(B528-B527)/E$232+M527</f>
        <v>#N/A</v>
      </c>
      <c r="N528" s="5" t="n">
        <f aca="false">B528</f>
        <v>67.0800000000003</v>
      </c>
    </row>
    <row r="529" customFormat="false" ht="12.8" hidden="false" customHeight="false" outlineLevel="0" collapsed="false">
      <c r="A529" s="5" t="n">
        <v>2.58500000000001</v>
      </c>
      <c r="B529" s="5" t="n">
        <f aca="false">A529*VOFLB</f>
        <v>67.2100000000003</v>
      </c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 t="e">
        <f aca="false">0.000001*('Design Worksheet'!B$88)*(B529-B528)/E$232+M528</f>
        <v>#N/A</v>
      </c>
      <c r="N529" s="5" t="n">
        <f aca="false">B529</f>
        <v>67.2100000000003</v>
      </c>
    </row>
    <row r="530" customFormat="false" ht="12.8" hidden="false" customHeight="false" outlineLevel="0" collapsed="false">
      <c r="A530" s="5" t="n">
        <v>2.59000000000001</v>
      </c>
      <c r="B530" s="5" t="n">
        <f aca="false">A530*VOFLB</f>
        <v>67.3400000000003</v>
      </c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 t="e">
        <f aca="false">0.000001*('Design Worksheet'!B$88)*(B530-B529)/E$232+M529</f>
        <v>#N/A</v>
      </c>
      <c r="N530" s="5" t="n">
        <f aca="false">B530</f>
        <v>67.3400000000003</v>
      </c>
    </row>
    <row r="531" customFormat="false" ht="12.8" hidden="false" customHeight="false" outlineLevel="0" collapsed="false">
      <c r="A531" s="5" t="n">
        <v>2.59500000000001</v>
      </c>
      <c r="B531" s="5" t="n">
        <f aca="false">A531*VOFLB</f>
        <v>67.4700000000003</v>
      </c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 t="e">
        <f aca="false">0.000001*('Design Worksheet'!B$88)*(B531-B530)/E$232+M530</f>
        <v>#N/A</v>
      </c>
      <c r="N531" s="5" t="n">
        <f aca="false">B531</f>
        <v>67.4700000000003</v>
      </c>
    </row>
    <row r="532" customFormat="false" ht="12.8" hidden="false" customHeight="false" outlineLevel="0" collapsed="false">
      <c r="A532" s="5" t="n">
        <v>2.60000000000001</v>
      </c>
      <c r="B532" s="5" t="n">
        <f aca="false">A532*VOFLB</f>
        <v>67.6000000000003</v>
      </c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 t="e">
        <f aca="false">0.000001*('Design Worksheet'!B$88)*(B532-B531)/E$232+M531</f>
        <v>#N/A</v>
      </c>
      <c r="N532" s="5" t="n">
        <f aca="false">B532</f>
        <v>67.6000000000003</v>
      </c>
    </row>
    <row r="533" customFormat="false" ht="12.8" hidden="false" customHeight="false" outlineLevel="0" collapsed="false">
      <c r="A533" s="5" t="n">
        <v>2.60500000000001</v>
      </c>
      <c r="B533" s="5" t="n">
        <f aca="false">A533*VOFLB</f>
        <v>67.7300000000003</v>
      </c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 t="e">
        <f aca="false">0.000001*('Design Worksheet'!B$88)*(B533-B532)/E$232+M532</f>
        <v>#N/A</v>
      </c>
      <c r="N533" s="5" t="n">
        <f aca="false">B533</f>
        <v>67.7300000000003</v>
      </c>
    </row>
    <row r="534" customFormat="false" ht="12.8" hidden="false" customHeight="false" outlineLevel="0" collapsed="false">
      <c r="A534" s="5" t="n">
        <v>2.61000000000001</v>
      </c>
      <c r="B534" s="5" t="n">
        <f aca="false">A534*VOFLB</f>
        <v>67.8600000000003</v>
      </c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 t="e">
        <f aca="false">0.000001*('Design Worksheet'!B$88)*(B534-B533)/E$232+M533</f>
        <v>#N/A</v>
      </c>
      <c r="N534" s="5" t="n">
        <f aca="false">B534</f>
        <v>67.8600000000003</v>
      </c>
    </row>
    <row r="535" customFormat="false" ht="12.8" hidden="false" customHeight="false" outlineLevel="0" collapsed="false">
      <c r="A535" s="5" t="n">
        <v>2.61500000000001</v>
      </c>
      <c r="B535" s="5" t="n">
        <f aca="false">A535*VOFLB</f>
        <v>67.9900000000003</v>
      </c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 t="e">
        <f aca="false">0.000001*('Design Worksheet'!B$88)*(B535-B534)/E$232+M534</f>
        <v>#N/A</v>
      </c>
      <c r="N535" s="5" t="n">
        <f aca="false">B535</f>
        <v>67.9900000000003</v>
      </c>
    </row>
    <row r="536" customFormat="false" ht="12.8" hidden="false" customHeight="false" outlineLevel="0" collapsed="false">
      <c r="A536" s="5" t="n">
        <v>2.62000000000001</v>
      </c>
      <c r="B536" s="5" t="n">
        <f aca="false">A536*VOFLB</f>
        <v>68.1200000000003</v>
      </c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 t="e">
        <f aca="false">0.000001*('Design Worksheet'!B$88)*(B536-B535)/E$232+M535</f>
        <v>#N/A</v>
      </c>
      <c r="N536" s="5" t="n">
        <f aca="false">B536</f>
        <v>68.1200000000003</v>
      </c>
    </row>
    <row r="537" customFormat="false" ht="12.8" hidden="false" customHeight="false" outlineLevel="0" collapsed="false">
      <c r="A537" s="5" t="n">
        <v>2.62500000000001</v>
      </c>
      <c r="B537" s="5" t="n">
        <f aca="false">A537*VOFLB</f>
        <v>68.2500000000003</v>
      </c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 t="e">
        <f aca="false">0.000001*('Design Worksheet'!B$88)*(B537-B536)/E$232+M536</f>
        <v>#N/A</v>
      </c>
      <c r="N537" s="5" t="n">
        <f aca="false">B537</f>
        <v>68.2500000000003</v>
      </c>
    </row>
    <row r="538" customFormat="false" ht="12.8" hidden="false" customHeight="false" outlineLevel="0" collapsed="false">
      <c r="A538" s="5" t="n">
        <v>2.63000000000001</v>
      </c>
      <c r="B538" s="5" t="n">
        <f aca="false">A538*VOFLB</f>
        <v>68.3800000000003</v>
      </c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 t="e">
        <f aca="false">0.000001*('Design Worksheet'!B$88)*(B538-B537)/E$232+M537</f>
        <v>#N/A</v>
      </c>
      <c r="N538" s="5" t="n">
        <f aca="false">B538</f>
        <v>68.3800000000003</v>
      </c>
    </row>
    <row r="539" customFormat="false" ht="12.8" hidden="false" customHeight="false" outlineLevel="0" collapsed="false">
      <c r="A539" s="5" t="n">
        <v>2.63500000000001</v>
      </c>
      <c r="B539" s="5" t="n">
        <f aca="false">A539*VOFLB</f>
        <v>68.5100000000003</v>
      </c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 t="e">
        <f aca="false">0.000001*('Design Worksheet'!B$88)*(B539-B538)/E$232+M538</f>
        <v>#N/A</v>
      </c>
      <c r="N539" s="5" t="n">
        <f aca="false">B539</f>
        <v>68.5100000000003</v>
      </c>
    </row>
    <row r="540" customFormat="false" ht="12.8" hidden="false" customHeight="false" outlineLevel="0" collapsed="false">
      <c r="A540" s="5" t="n">
        <v>2.64000000000001</v>
      </c>
      <c r="B540" s="5" t="n">
        <f aca="false">A540*VOFLB</f>
        <v>68.6400000000003</v>
      </c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 t="e">
        <f aca="false">0.000001*('Design Worksheet'!B$88)*(B540-B539)/E$232+M539</f>
        <v>#N/A</v>
      </c>
      <c r="N540" s="5" t="n">
        <f aca="false">B540</f>
        <v>68.6400000000003</v>
      </c>
    </row>
    <row r="541" customFormat="false" ht="12.8" hidden="false" customHeight="false" outlineLevel="0" collapsed="false">
      <c r="A541" s="5" t="n">
        <v>2.64500000000001</v>
      </c>
      <c r="B541" s="5" t="n">
        <f aca="false">A541*VOFLB</f>
        <v>68.7700000000003</v>
      </c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 t="e">
        <f aca="false">0.000001*('Design Worksheet'!B$88)*(B541-B540)/E$232+M540</f>
        <v>#N/A</v>
      </c>
      <c r="N541" s="5" t="n">
        <f aca="false">B541</f>
        <v>68.7700000000003</v>
      </c>
    </row>
    <row r="542" customFormat="false" ht="12.8" hidden="false" customHeight="false" outlineLevel="0" collapsed="false">
      <c r="A542" s="5" t="n">
        <v>2.65000000000001</v>
      </c>
      <c r="B542" s="5" t="n">
        <f aca="false">A542*VOFLB</f>
        <v>68.9000000000003</v>
      </c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 t="e">
        <f aca="false">0.000001*('Design Worksheet'!B$88)*(B542-B541)/E$232+M541</f>
        <v>#N/A</v>
      </c>
      <c r="N542" s="5" t="n">
        <f aca="false">B542</f>
        <v>68.9000000000003</v>
      </c>
    </row>
    <row r="543" customFormat="false" ht="12.8" hidden="false" customHeight="false" outlineLevel="0" collapsed="false">
      <c r="A543" s="5" t="n">
        <v>2.65500000000001</v>
      </c>
      <c r="B543" s="5" t="n">
        <f aca="false">A543*VOFLB</f>
        <v>69.0300000000003</v>
      </c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 t="e">
        <f aca="false">0.000001*('Design Worksheet'!B$88)*(B543-B542)/E$232+M542</f>
        <v>#N/A</v>
      </c>
      <c r="N543" s="5" t="n">
        <f aca="false">B543</f>
        <v>69.0300000000003</v>
      </c>
    </row>
    <row r="544" customFormat="false" ht="12.8" hidden="false" customHeight="false" outlineLevel="0" collapsed="false">
      <c r="A544" s="5" t="n">
        <v>2.66000000000001</v>
      </c>
      <c r="B544" s="5" t="n">
        <f aca="false">A544*VOFLB</f>
        <v>69.1600000000003</v>
      </c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 t="e">
        <f aca="false">0.000001*('Design Worksheet'!B$88)*(B544-B543)/E$232+M543</f>
        <v>#N/A</v>
      </c>
      <c r="N544" s="5" t="n">
        <f aca="false">B544</f>
        <v>69.1600000000003</v>
      </c>
    </row>
    <row r="545" customFormat="false" ht="12.8" hidden="false" customHeight="false" outlineLevel="0" collapsed="false">
      <c r="A545" s="5" t="n">
        <v>2.66500000000001</v>
      </c>
      <c r="B545" s="5" t="n">
        <f aca="false">A545*VOFLB</f>
        <v>69.2900000000003</v>
      </c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 t="e">
        <f aca="false">0.000001*('Design Worksheet'!B$88)*(B545-B544)/E$232+M544</f>
        <v>#N/A</v>
      </c>
      <c r="N545" s="5" t="n">
        <f aca="false">B545</f>
        <v>69.2900000000003</v>
      </c>
    </row>
    <row r="546" customFormat="false" ht="12.8" hidden="false" customHeight="false" outlineLevel="0" collapsed="false">
      <c r="A546" s="5" t="n">
        <v>2.67000000000001</v>
      </c>
      <c r="B546" s="5" t="n">
        <f aca="false">A546*VOFLB</f>
        <v>69.4200000000003</v>
      </c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 t="e">
        <f aca="false">0.000001*('Design Worksheet'!B$88)*(B546-B545)/E$232+M545</f>
        <v>#N/A</v>
      </c>
      <c r="N546" s="5" t="n">
        <f aca="false">B546</f>
        <v>69.4200000000003</v>
      </c>
    </row>
    <row r="547" customFormat="false" ht="12.8" hidden="false" customHeight="false" outlineLevel="0" collapsed="false">
      <c r="A547" s="5" t="n">
        <v>2.67500000000001</v>
      </c>
      <c r="B547" s="5" t="n">
        <f aca="false">A547*VOFLB</f>
        <v>69.5500000000003</v>
      </c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 t="e">
        <f aca="false">0.000001*('Design Worksheet'!B$88)*(B547-B546)/E$232+M546</f>
        <v>#N/A</v>
      </c>
      <c r="N547" s="5" t="n">
        <f aca="false">B547</f>
        <v>69.5500000000003</v>
      </c>
    </row>
    <row r="548" customFormat="false" ht="12.8" hidden="false" customHeight="false" outlineLevel="0" collapsed="false">
      <c r="A548" s="5" t="n">
        <v>2.68000000000001</v>
      </c>
      <c r="B548" s="5" t="n">
        <f aca="false">A548*VOFLB</f>
        <v>69.6800000000003</v>
      </c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 t="e">
        <f aca="false">0.000001*('Design Worksheet'!B$88)*(B548-B547)/E$232+M547</f>
        <v>#N/A</v>
      </c>
      <c r="N548" s="5" t="n">
        <f aca="false">B548</f>
        <v>69.6800000000003</v>
      </c>
    </row>
    <row r="549" customFormat="false" ht="12.8" hidden="false" customHeight="false" outlineLevel="0" collapsed="false">
      <c r="A549" s="5" t="n">
        <v>2.68500000000001</v>
      </c>
      <c r="B549" s="5" t="n">
        <f aca="false">A549*VOFLB</f>
        <v>69.8100000000003</v>
      </c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 t="e">
        <f aca="false">0.000001*('Design Worksheet'!B$88)*(B549-B548)/E$232+M548</f>
        <v>#N/A</v>
      </c>
      <c r="N549" s="5" t="n">
        <f aca="false">B549</f>
        <v>69.8100000000003</v>
      </c>
    </row>
    <row r="550" customFormat="false" ht="12.8" hidden="false" customHeight="false" outlineLevel="0" collapsed="false">
      <c r="A550" s="5" t="n">
        <v>2.69000000000001</v>
      </c>
      <c r="B550" s="5" t="n">
        <f aca="false">A550*VOFLB</f>
        <v>69.9400000000003</v>
      </c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 t="e">
        <f aca="false">0.000001*('Design Worksheet'!B$88)*(B550-B549)/E$232+M549</f>
        <v>#N/A</v>
      </c>
      <c r="N550" s="5" t="n">
        <f aca="false">B550</f>
        <v>69.9400000000003</v>
      </c>
    </row>
    <row r="551" customFormat="false" ht="12.8" hidden="false" customHeight="false" outlineLevel="0" collapsed="false">
      <c r="A551" s="5" t="n">
        <v>2.69500000000001</v>
      </c>
      <c r="B551" s="5" t="n">
        <f aca="false">A551*VOFLB</f>
        <v>70.0700000000003</v>
      </c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 t="e">
        <f aca="false">0.000001*('Design Worksheet'!B$88)*(B551-B550)/E$232+M550</f>
        <v>#N/A</v>
      </c>
      <c r="N551" s="5" t="n">
        <f aca="false">B551</f>
        <v>70.0700000000003</v>
      </c>
    </row>
    <row r="552" customFormat="false" ht="12.8" hidden="false" customHeight="false" outlineLevel="0" collapsed="false">
      <c r="A552" s="5" t="n">
        <v>2.70000000000001</v>
      </c>
      <c r="B552" s="5" t="n">
        <f aca="false">A552*VOFLB</f>
        <v>70.2000000000003</v>
      </c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 t="e">
        <f aca="false">0.000001*('Design Worksheet'!B$88)*(B552-B551)/E$232+M551</f>
        <v>#N/A</v>
      </c>
      <c r="N552" s="5" t="n">
        <f aca="false">B552</f>
        <v>70.2000000000003</v>
      </c>
    </row>
    <row r="553" customFormat="false" ht="12.8" hidden="false" customHeight="false" outlineLevel="0" collapsed="false">
      <c r="A553" s="5" t="n">
        <v>2.70500000000001</v>
      </c>
      <c r="B553" s="5" t="n">
        <f aca="false">A553*VOFLB</f>
        <v>70.3300000000003</v>
      </c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 t="e">
        <f aca="false">0.000001*('Design Worksheet'!B$88)*(B553-B552)/E$232+M552</f>
        <v>#N/A</v>
      </c>
      <c r="N553" s="5" t="n">
        <f aca="false">B553</f>
        <v>70.3300000000003</v>
      </c>
    </row>
    <row r="554" customFormat="false" ht="12.8" hidden="false" customHeight="false" outlineLevel="0" collapsed="false">
      <c r="A554" s="5" t="n">
        <v>2.71000000000001</v>
      </c>
      <c r="B554" s="5" t="n">
        <f aca="false">A554*VOFLB</f>
        <v>70.4600000000003</v>
      </c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 t="e">
        <f aca="false">0.000001*('Design Worksheet'!B$88)*(B554-B553)/E$232+M553</f>
        <v>#N/A</v>
      </c>
      <c r="N554" s="5" t="n">
        <f aca="false">B554</f>
        <v>70.4600000000003</v>
      </c>
    </row>
    <row r="555" customFormat="false" ht="12.8" hidden="false" customHeight="false" outlineLevel="0" collapsed="false">
      <c r="A555" s="5" t="n">
        <v>2.71500000000001</v>
      </c>
      <c r="B555" s="5" t="n">
        <f aca="false">A555*VOFLB</f>
        <v>70.5900000000003</v>
      </c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 t="e">
        <f aca="false">0.000001*('Design Worksheet'!B$88)*(B555-B554)/E$232+M554</f>
        <v>#N/A</v>
      </c>
      <c r="N555" s="5" t="n">
        <f aca="false">B555</f>
        <v>70.5900000000003</v>
      </c>
    </row>
    <row r="556" customFormat="false" ht="12.8" hidden="false" customHeight="false" outlineLevel="0" collapsed="false">
      <c r="A556" s="5" t="n">
        <v>2.72000000000001</v>
      </c>
      <c r="B556" s="5" t="n">
        <f aca="false">A556*VOFLB</f>
        <v>70.7200000000003</v>
      </c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 t="e">
        <f aca="false">0.000001*('Design Worksheet'!B$88)*(B556-B555)/E$232+M555</f>
        <v>#N/A</v>
      </c>
      <c r="N556" s="5" t="n">
        <f aca="false">B556</f>
        <v>70.7200000000003</v>
      </c>
    </row>
    <row r="557" customFormat="false" ht="12.8" hidden="false" customHeight="false" outlineLevel="0" collapsed="false">
      <c r="A557" s="5" t="n">
        <v>2.72500000000001</v>
      </c>
      <c r="B557" s="5" t="n">
        <f aca="false">A557*VOFLB</f>
        <v>70.8500000000003</v>
      </c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 t="e">
        <f aca="false">0.000001*('Design Worksheet'!B$88)*(B557-B556)/E$232+M556</f>
        <v>#N/A</v>
      </c>
      <c r="N557" s="5" t="n">
        <f aca="false">B557</f>
        <v>70.8500000000003</v>
      </c>
    </row>
    <row r="558" customFormat="false" ht="12.8" hidden="false" customHeight="false" outlineLevel="0" collapsed="false">
      <c r="A558" s="5" t="n">
        <v>2.73000000000001</v>
      </c>
      <c r="B558" s="5" t="n">
        <f aca="false">A558*VOFLB</f>
        <v>70.9800000000003</v>
      </c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 t="e">
        <f aca="false">0.000001*('Design Worksheet'!B$88)*(B558-B557)/E$232+M557</f>
        <v>#N/A</v>
      </c>
      <c r="N558" s="5" t="n">
        <f aca="false">B558</f>
        <v>70.9800000000003</v>
      </c>
    </row>
    <row r="559" customFormat="false" ht="12.8" hidden="false" customHeight="false" outlineLevel="0" collapsed="false">
      <c r="A559" s="5" t="n">
        <v>2.73500000000001</v>
      </c>
      <c r="B559" s="5" t="n">
        <f aca="false">A559*VOFLB</f>
        <v>71.1100000000003</v>
      </c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 t="e">
        <f aca="false">0.000001*('Design Worksheet'!B$88)*(B559-B558)/E$232+M558</f>
        <v>#N/A</v>
      </c>
      <c r="N559" s="5" t="n">
        <f aca="false">B559</f>
        <v>71.1100000000003</v>
      </c>
    </row>
    <row r="560" customFormat="false" ht="12.8" hidden="false" customHeight="false" outlineLevel="0" collapsed="false">
      <c r="A560" s="5" t="n">
        <v>2.74000000000001</v>
      </c>
      <c r="B560" s="5" t="n">
        <f aca="false">A560*VOFLB</f>
        <v>71.2400000000003</v>
      </c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 t="e">
        <f aca="false">0.000001*('Design Worksheet'!B$88)*(B560-B559)/E$232+M559</f>
        <v>#N/A</v>
      </c>
      <c r="N560" s="5" t="n">
        <f aca="false">B560</f>
        <v>71.2400000000003</v>
      </c>
    </row>
    <row r="561" customFormat="false" ht="12.8" hidden="false" customHeight="false" outlineLevel="0" collapsed="false">
      <c r="A561" s="5" t="n">
        <v>2.745</v>
      </c>
      <c r="B561" s="5" t="n">
        <f aca="false">A561*VOFLB</f>
        <v>71.37</v>
      </c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 t="e">
        <f aca="false">0.000001*('Design Worksheet'!B$88)*(B561-B560)/E$232+M560</f>
        <v>#N/A</v>
      </c>
      <c r="N561" s="5" t="n">
        <f aca="false">B561</f>
        <v>71.37</v>
      </c>
    </row>
    <row r="562" customFormat="false" ht="12.8" hidden="false" customHeight="false" outlineLevel="0" collapsed="false">
      <c r="A562" s="5" t="n">
        <v>2.75</v>
      </c>
      <c r="B562" s="5" t="n">
        <f aca="false">A562*VOFLB</f>
        <v>71.5</v>
      </c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 t="e">
        <f aca="false">0.000001*('Design Worksheet'!B$88)*(B562-B561)/E$232+M561</f>
        <v>#N/A</v>
      </c>
      <c r="N562" s="5" t="n">
        <f aca="false">B562</f>
        <v>71.5</v>
      </c>
    </row>
    <row r="563" customFormat="false" ht="12.8" hidden="false" customHeight="false" outlineLevel="0" collapsed="false">
      <c r="A563" s="5" t="n">
        <v>2.75500000000001</v>
      </c>
      <c r="B563" s="5" t="n">
        <f aca="false">A563*VOFLB</f>
        <v>71.6300000000003</v>
      </c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 t="e">
        <f aca="false">0.000001*('Design Worksheet'!B$88)*(B563-B562)/E$232+M562</f>
        <v>#N/A</v>
      </c>
      <c r="N563" s="5" t="n">
        <f aca="false">B563</f>
        <v>71.6300000000003</v>
      </c>
    </row>
    <row r="564" customFormat="false" ht="12.8" hidden="false" customHeight="false" outlineLevel="0" collapsed="false">
      <c r="A564" s="5" t="n">
        <v>2.76000000000001</v>
      </c>
      <c r="B564" s="5" t="n">
        <f aca="false">A564*VOFLB</f>
        <v>71.7600000000003</v>
      </c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 t="e">
        <f aca="false">0.000001*('Design Worksheet'!B$88)*(B564-B563)/E$232+M563</f>
        <v>#N/A</v>
      </c>
      <c r="N564" s="5" t="n">
        <f aca="false">B564</f>
        <v>71.7600000000003</v>
      </c>
    </row>
    <row r="565" customFormat="false" ht="12.8" hidden="false" customHeight="false" outlineLevel="0" collapsed="false">
      <c r="A565" s="5" t="n">
        <v>2.76500000000001</v>
      </c>
      <c r="B565" s="5" t="n">
        <f aca="false">A565*VOFLB</f>
        <v>71.8900000000003</v>
      </c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 t="e">
        <f aca="false">0.000001*('Design Worksheet'!B$88)*(B565-B564)/E$232+M564</f>
        <v>#N/A</v>
      </c>
      <c r="N565" s="5" t="n">
        <f aca="false">B565</f>
        <v>71.8900000000003</v>
      </c>
    </row>
    <row r="566" customFormat="false" ht="12.8" hidden="false" customHeight="false" outlineLevel="0" collapsed="false">
      <c r="A566" s="5" t="n">
        <v>2.77</v>
      </c>
      <c r="B566" s="5" t="n">
        <f aca="false">A566*VOFLB</f>
        <v>72.02</v>
      </c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 t="e">
        <f aca="false">0.000001*('Design Worksheet'!B$88)*(B566-B565)/E$232+M565</f>
        <v>#N/A</v>
      </c>
      <c r="N566" s="5" t="n">
        <f aca="false">B566</f>
        <v>72.02</v>
      </c>
    </row>
    <row r="567" customFormat="false" ht="12.8" hidden="false" customHeight="false" outlineLevel="0" collapsed="false">
      <c r="A567" s="5" t="n">
        <v>2.775</v>
      </c>
      <c r="B567" s="5" t="n">
        <f aca="false">A567*VOFLB</f>
        <v>72.15</v>
      </c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 t="e">
        <f aca="false">0.000001*('Design Worksheet'!B$88)*(B567-B566)/E$232+M566</f>
        <v>#N/A</v>
      </c>
      <c r="N567" s="5" t="n">
        <f aca="false">B567</f>
        <v>72.15</v>
      </c>
    </row>
    <row r="568" customFormat="false" ht="12.8" hidden="false" customHeight="false" outlineLevel="0" collapsed="false">
      <c r="A568" s="5" t="n">
        <v>2.78000000000001</v>
      </c>
      <c r="B568" s="5" t="n">
        <f aca="false">A568*VOFLB</f>
        <v>72.2800000000003</v>
      </c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 t="e">
        <f aca="false">0.000001*('Design Worksheet'!B$88)*(B568-B567)/E$232+M567</f>
        <v>#N/A</v>
      </c>
      <c r="N568" s="5" t="n">
        <f aca="false">B568</f>
        <v>72.2800000000003</v>
      </c>
    </row>
    <row r="569" customFormat="false" ht="12.8" hidden="false" customHeight="false" outlineLevel="0" collapsed="false">
      <c r="A569" s="5" t="n">
        <v>2.78500000000001</v>
      </c>
      <c r="B569" s="5" t="n">
        <f aca="false">A569*VOFLB</f>
        <v>72.4100000000003</v>
      </c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 t="e">
        <f aca="false">0.000001*('Design Worksheet'!B$88)*(B569-B568)/E$232+M568</f>
        <v>#N/A</v>
      </c>
      <c r="N569" s="5" t="n">
        <f aca="false">B569</f>
        <v>72.4100000000003</v>
      </c>
    </row>
    <row r="570" customFormat="false" ht="12.8" hidden="false" customHeight="false" outlineLevel="0" collapsed="false">
      <c r="A570" s="5" t="n">
        <v>2.79</v>
      </c>
      <c r="B570" s="5" t="n">
        <f aca="false">A570*VOFLB</f>
        <v>72.54</v>
      </c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 t="e">
        <f aca="false">0.000001*('Design Worksheet'!B$88)*(B570-B569)/E$232+M569</f>
        <v>#N/A</v>
      </c>
      <c r="N570" s="5" t="n">
        <f aca="false">B570</f>
        <v>72.54</v>
      </c>
    </row>
    <row r="571" customFormat="false" ht="12.8" hidden="false" customHeight="false" outlineLevel="0" collapsed="false">
      <c r="A571" s="5" t="n">
        <v>2.795</v>
      </c>
      <c r="B571" s="5" t="n">
        <f aca="false">A571*VOFLB</f>
        <v>72.67</v>
      </c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 t="e">
        <f aca="false">0.000001*('Design Worksheet'!B$88)*(B571-B570)/E$232+M570</f>
        <v>#N/A</v>
      </c>
      <c r="N571" s="5" t="n">
        <f aca="false">B571</f>
        <v>72.67</v>
      </c>
    </row>
    <row r="572" customFormat="false" ht="12.8" hidden="false" customHeight="false" outlineLevel="0" collapsed="false">
      <c r="A572" s="5" t="n">
        <v>2.8</v>
      </c>
      <c r="B572" s="5" t="n">
        <f aca="false">A572*VOFLB</f>
        <v>72.8</v>
      </c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 t="e">
        <f aca="false">0.000001*('Design Worksheet'!B$88)*(B572-B571)/E$232+M571</f>
        <v>#N/A</v>
      </c>
      <c r="N572" s="5" t="n">
        <f aca="false">B572</f>
        <v>72.8</v>
      </c>
    </row>
    <row r="573" customFormat="false" ht="12.8" hidden="false" customHeight="false" outlineLevel="0" collapsed="false">
      <c r="A573" s="5" t="n">
        <v>2.805</v>
      </c>
      <c r="B573" s="5" t="n">
        <f aca="false">A573*VOFLB</f>
        <v>72.93</v>
      </c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 t="e">
        <f aca="false">0.000001*('Design Worksheet'!B$88)*(B573-B572)/E$232+M572</f>
        <v>#N/A</v>
      </c>
      <c r="N573" s="5" t="n">
        <f aca="false">B573</f>
        <v>72.93</v>
      </c>
    </row>
    <row r="574" customFormat="false" ht="12.8" hidden="false" customHeight="false" outlineLevel="0" collapsed="false">
      <c r="A574" s="5" t="n">
        <v>2.81</v>
      </c>
      <c r="B574" s="5" t="n">
        <f aca="false">A574*VOFLB</f>
        <v>73.06</v>
      </c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 t="e">
        <f aca="false">0.000001*('Design Worksheet'!B$88)*(B574-B573)/E$232+M573</f>
        <v>#N/A</v>
      </c>
      <c r="N574" s="5" t="n">
        <f aca="false">B574</f>
        <v>73.06</v>
      </c>
    </row>
    <row r="575" customFormat="false" ht="12.8" hidden="false" customHeight="false" outlineLevel="0" collapsed="false">
      <c r="A575" s="5" t="n">
        <v>2.815</v>
      </c>
      <c r="B575" s="5" t="n">
        <f aca="false">A575*VOFLB</f>
        <v>73.19</v>
      </c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 t="e">
        <f aca="false">0.000001*('Design Worksheet'!B$88)*(B575-B574)/E$232+M574</f>
        <v>#N/A</v>
      </c>
      <c r="N575" s="5" t="n">
        <f aca="false">B575</f>
        <v>73.19</v>
      </c>
    </row>
    <row r="576" customFormat="false" ht="12.8" hidden="false" customHeight="false" outlineLevel="0" collapsed="false">
      <c r="A576" s="5" t="n">
        <v>2.82</v>
      </c>
      <c r="B576" s="5" t="n">
        <f aca="false">A576*VOFLB</f>
        <v>73.32</v>
      </c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 t="e">
        <f aca="false">0.000001*('Design Worksheet'!B$88)*(B576-B575)/E$232+M575</f>
        <v>#N/A</v>
      </c>
      <c r="N576" s="5" t="n">
        <f aca="false">B576</f>
        <v>73.32</v>
      </c>
    </row>
    <row r="577" customFormat="false" ht="12.8" hidden="false" customHeight="false" outlineLevel="0" collapsed="false">
      <c r="A577" s="5" t="n">
        <v>2.825</v>
      </c>
      <c r="B577" s="5" t="n">
        <f aca="false">A577*VOFLB</f>
        <v>73.45</v>
      </c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 t="e">
        <f aca="false">0.000001*('Design Worksheet'!B$88)*(B577-B576)/E$232+M576</f>
        <v>#N/A</v>
      </c>
      <c r="N577" s="5" t="n">
        <f aca="false">B577</f>
        <v>73.45</v>
      </c>
    </row>
    <row r="578" customFormat="false" ht="12.8" hidden="false" customHeight="false" outlineLevel="0" collapsed="false">
      <c r="A578" s="5" t="n">
        <v>2.83</v>
      </c>
      <c r="B578" s="5" t="n">
        <f aca="false">A578*VOFLB</f>
        <v>73.58</v>
      </c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 t="e">
        <f aca="false">0.000001*('Design Worksheet'!B$88)*(B578-B577)/E$232+M577</f>
        <v>#N/A</v>
      </c>
      <c r="N578" s="5" t="n">
        <f aca="false">B578</f>
        <v>73.58</v>
      </c>
    </row>
    <row r="579" customFormat="false" ht="12.8" hidden="false" customHeight="false" outlineLevel="0" collapsed="false">
      <c r="A579" s="5" t="n">
        <v>2.835</v>
      </c>
      <c r="B579" s="5" t="n">
        <f aca="false">A579*VOFLB</f>
        <v>73.71</v>
      </c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 t="e">
        <f aca="false">0.000001*('Design Worksheet'!B$88)*(B579-B578)/E$232+M578</f>
        <v>#N/A</v>
      </c>
      <c r="N579" s="5" t="n">
        <f aca="false">B579</f>
        <v>73.71</v>
      </c>
    </row>
    <row r="580" customFormat="false" ht="12.8" hidden="false" customHeight="false" outlineLevel="0" collapsed="false">
      <c r="A580" s="5" t="n">
        <v>2.84</v>
      </c>
      <c r="B580" s="5" t="n">
        <f aca="false">A580*VOFLB</f>
        <v>73.84</v>
      </c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 t="e">
        <f aca="false">0.000001*('Design Worksheet'!B$88)*(B580-B579)/E$232+M579</f>
        <v>#N/A</v>
      </c>
      <c r="N580" s="5" t="n">
        <f aca="false">B580</f>
        <v>73.84</v>
      </c>
    </row>
    <row r="581" customFormat="false" ht="12.8" hidden="false" customHeight="false" outlineLevel="0" collapsed="false">
      <c r="A581" s="5" t="n">
        <v>2.845</v>
      </c>
      <c r="B581" s="5" t="n">
        <f aca="false">A581*VOFLB</f>
        <v>73.97</v>
      </c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 t="e">
        <f aca="false">0.000001*('Design Worksheet'!B$88)*(B581-B580)/E$232+M580</f>
        <v>#N/A</v>
      </c>
      <c r="N581" s="5" t="n">
        <f aca="false">B581</f>
        <v>73.97</v>
      </c>
    </row>
    <row r="582" customFormat="false" ht="12.8" hidden="false" customHeight="false" outlineLevel="0" collapsed="false">
      <c r="A582" s="5" t="n">
        <v>2.85</v>
      </c>
      <c r="B582" s="5" t="n">
        <f aca="false">A582*VOFLB</f>
        <v>74.1</v>
      </c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 t="e">
        <f aca="false">0.000001*('Design Worksheet'!B$88)*(B582-B581)/E$232+M581</f>
        <v>#N/A</v>
      </c>
      <c r="N582" s="5" t="n">
        <f aca="false">B582</f>
        <v>74.1</v>
      </c>
    </row>
    <row r="583" customFormat="false" ht="12.8" hidden="false" customHeight="false" outlineLevel="0" collapsed="false">
      <c r="A583" s="5" t="n">
        <v>2.855</v>
      </c>
      <c r="B583" s="5" t="n">
        <f aca="false">A583*VOFLB</f>
        <v>74.23</v>
      </c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 t="e">
        <f aca="false">0.000001*('Design Worksheet'!B$88)*(B583-B582)/E$232+M582</f>
        <v>#N/A</v>
      </c>
      <c r="N583" s="5" t="n">
        <f aca="false">B583</f>
        <v>74.23</v>
      </c>
    </row>
    <row r="584" customFormat="false" ht="12.8" hidden="false" customHeight="false" outlineLevel="0" collapsed="false">
      <c r="A584" s="5" t="n">
        <v>2.86</v>
      </c>
      <c r="B584" s="5" t="n">
        <f aca="false">A584*VOFLB</f>
        <v>74.36</v>
      </c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 t="e">
        <f aca="false">0.000001*('Design Worksheet'!B$88)*(B584-B583)/E$232+M583</f>
        <v>#N/A</v>
      </c>
      <c r="N584" s="5" t="n">
        <f aca="false">B584</f>
        <v>74.36</v>
      </c>
    </row>
    <row r="585" customFormat="false" ht="12.8" hidden="false" customHeight="false" outlineLevel="0" collapsed="false">
      <c r="A585" s="5" t="n">
        <v>2.865</v>
      </c>
      <c r="B585" s="5" t="n">
        <f aca="false">A585*VOFLB</f>
        <v>74.49</v>
      </c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 t="e">
        <f aca="false">0.000001*('Design Worksheet'!B$88)*(B585-B584)/E$232+M584</f>
        <v>#N/A</v>
      </c>
      <c r="N585" s="5" t="n">
        <f aca="false">B585</f>
        <v>74.49</v>
      </c>
    </row>
    <row r="586" customFormat="false" ht="12.8" hidden="false" customHeight="false" outlineLevel="0" collapsed="false">
      <c r="A586" s="5" t="n">
        <v>2.87</v>
      </c>
      <c r="B586" s="5" t="n">
        <f aca="false">A586*VOFLB</f>
        <v>74.62</v>
      </c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 t="e">
        <f aca="false">0.000001*('Design Worksheet'!B$88)*(B586-B585)/E$232+M585</f>
        <v>#N/A</v>
      </c>
      <c r="N586" s="5" t="n">
        <f aca="false">B586</f>
        <v>74.62</v>
      </c>
    </row>
    <row r="587" customFormat="false" ht="12.8" hidden="false" customHeight="false" outlineLevel="0" collapsed="false">
      <c r="A587" s="5" t="n">
        <v>2.875</v>
      </c>
      <c r="B587" s="5" t="n">
        <f aca="false">A587*VOFLB</f>
        <v>74.75</v>
      </c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 t="e">
        <f aca="false">0.000001*('Design Worksheet'!B$88)*(B587-B586)/E$232+M586</f>
        <v>#N/A</v>
      </c>
      <c r="N587" s="5" t="n">
        <f aca="false">B587</f>
        <v>74.75</v>
      </c>
    </row>
    <row r="588" customFormat="false" ht="12.8" hidden="false" customHeight="false" outlineLevel="0" collapsed="false">
      <c r="A588" s="5" t="n">
        <v>2.88</v>
      </c>
      <c r="B588" s="5" t="n">
        <f aca="false">A588*VOFLB</f>
        <v>74.88</v>
      </c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 t="e">
        <f aca="false">0.000001*('Design Worksheet'!B$88)*(B588-B587)/E$232+M587</f>
        <v>#N/A</v>
      </c>
      <c r="N588" s="5" t="n">
        <f aca="false">B588</f>
        <v>74.88</v>
      </c>
    </row>
    <row r="589" customFormat="false" ht="12.8" hidden="false" customHeight="false" outlineLevel="0" collapsed="false">
      <c r="A589" s="5" t="n">
        <v>2.885</v>
      </c>
      <c r="B589" s="5" t="n">
        <f aca="false">A589*VOFLB</f>
        <v>75.01</v>
      </c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 t="e">
        <f aca="false">0.000001*('Design Worksheet'!B$88)*(B589-B588)/E$232+M588</f>
        <v>#N/A</v>
      </c>
      <c r="N589" s="5" t="n">
        <f aca="false">B589</f>
        <v>75.01</v>
      </c>
    </row>
    <row r="590" customFormat="false" ht="12.8" hidden="false" customHeight="false" outlineLevel="0" collapsed="false">
      <c r="A590" s="5" t="n">
        <v>2.89</v>
      </c>
      <c r="B590" s="5" t="n">
        <f aca="false">A590*VOFLB</f>
        <v>75.14</v>
      </c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 t="e">
        <f aca="false">0.000001*('Design Worksheet'!B$88)*(B590-B589)/E$232+M589</f>
        <v>#N/A</v>
      </c>
      <c r="N590" s="5" t="n">
        <f aca="false">B590</f>
        <v>75.14</v>
      </c>
    </row>
    <row r="591" customFormat="false" ht="12.8" hidden="false" customHeight="false" outlineLevel="0" collapsed="false">
      <c r="A591" s="5" t="n">
        <v>2.895</v>
      </c>
      <c r="B591" s="5" t="n">
        <f aca="false">A591*VOFLB</f>
        <v>75.27</v>
      </c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 t="e">
        <f aca="false">0.000001*('Design Worksheet'!B$88)*(B591-B590)/E$232+M590</f>
        <v>#N/A</v>
      </c>
      <c r="N591" s="5" t="n">
        <f aca="false">B591</f>
        <v>75.27</v>
      </c>
    </row>
    <row r="592" customFormat="false" ht="12.8" hidden="false" customHeight="false" outlineLevel="0" collapsed="false">
      <c r="A592" s="5" t="n">
        <v>2.9</v>
      </c>
      <c r="B592" s="5" t="n">
        <f aca="false">A592*VOFLB</f>
        <v>75.4</v>
      </c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 t="e">
        <f aca="false">0.000001*('Design Worksheet'!B$88)*(B592-B591)/E$232+M591</f>
        <v>#N/A</v>
      </c>
      <c r="N592" s="5" t="n">
        <f aca="false">B592</f>
        <v>75.4</v>
      </c>
    </row>
    <row r="593" customFormat="false" ht="12.8" hidden="false" customHeight="false" outlineLevel="0" collapsed="false">
      <c r="A593" s="5" t="n">
        <v>2.905</v>
      </c>
      <c r="B593" s="5" t="n">
        <f aca="false">A593*VOFLB</f>
        <v>75.53</v>
      </c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 t="e">
        <f aca="false">0.000001*('Design Worksheet'!B$88)*(B593-B592)/E$232+M592</f>
        <v>#N/A</v>
      </c>
      <c r="N593" s="5" t="n">
        <f aca="false">B593</f>
        <v>75.53</v>
      </c>
    </row>
    <row r="594" customFormat="false" ht="12.8" hidden="false" customHeight="false" outlineLevel="0" collapsed="false">
      <c r="A594" s="5" t="n">
        <v>2.91</v>
      </c>
      <c r="B594" s="5" t="n">
        <f aca="false">A594*VOFLB</f>
        <v>75.66</v>
      </c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 t="e">
        <f aca="false">0.000001*('Design Worksheet'!B$88)*(B594-B593)/E$232+M593</f>
        <v>#N/A</v>
      </c>
      <c r="N594" s="5" t="n">
        <f aca="false">B594</f>
        <v>75.66</v>
      </c>
    </row>
    <row r="595" customFormat="false" ht="12.8" hidden="false" customHeight="false" outlineLevel="0" collapsed="false">
      <c r="A595" s="5" t="n">
        <v>2.915</v>
      </c>
      <c r="B595" s="5" t="n">
        <f aca="false">A595*VOFLB</f>
        <v>75.79</v>
      </c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 t="e">
        <f aca="false">0.000001*('Design Worksheet'!B$88)*(B595-B594)/E$232+M594</f>
        <v>#N/A</v>
      </c>
      <c r="N595" s="5" t="n">
        <f aca="false">B595</f>
        <v>75.79</v>
      </c>
    </row>
    <row r="596" customFormat="false" ht="12.8" hidden="false" customHeight="false" outlineLevel="0" collapsed="false">
      <c r="A596" s="5" t="n">
        <v>2.92</v>
      </c>
      <c r="B596" s="5" t="n">
        <f aca="false">A596*VOFLB</f>
        <v>75.92</v>
      </c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 t="e">
        <f aca="false">0.000001*('Design Worksheet'!B$88)*(B596-B595)/E$232+M595</f>
        <v>#N/A</v>
      </c>
      <c r="N596" s="5" t="n">
        <f aca="false">B596</f>
        <v>75.92</v>
      </c>
    </row>
    <row r="597" customFormat="false" ht="12.8" hidden="false" customHeight="false" outlineLevel="0" collapsed="false">
      <c r="A597" s="5" t="n">
        <v>2.925</v>
      </c>
      <c r="B597" s="5" t="n">
        <f aca="false">A597*VOFLB</f>
        <v>76.05</v>
      </c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 t="e">
        <f aca="false">0.000001*('Design Worksheet'!B$88)*(B597-B596)/E$232+M596</f>
        <v>#N/A</v>
      </c>
      <c r="N597" s="5" t="n">
        <f aca="false">B597</f>
        <v>76.05</v>
      </c>
    </row>
    <row r="598" customFormat="false" ht="12.8" hidden="false" customHeight="false" outlineLevel="0" collapsed="false">
      <c r="A598" s="5" t="n">
        <v>2.93</v>
      </c>
      <c r="B598" s="5" t="n">
        <f aca="false">A598*VOFLB</f>
        <v>76.18</v>
      </c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 t="e">
        <f aca="false">0.000001*('Design Worksheet'!B$88)*(B598-B597)/E$232+M597</f>
        <v>#N/A</v>
      </c>
      <c r="N598" s="5" t="n">
        <f aca="false">B598</f>
        <v>76.18</v>
      </c>
    </row>
    <row r="599" customFormat="false" ht="12.8" hidden="false" customHeight="false" outlineLevel="0" collapsed="false">
      <c r="A599" s="5" t="n">
        <v>2.935</v>
      </c>
      <c r="B599" s="5" t="n">
        <f aca="false">A599*VOFLB</f>
        <v>76.31</v>
      </c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 t="e">
        <f aca="false">0.000001*('Design Worksheet'!B$88)*(B599-B598)/E$232+M598</f>
        <v>#N/A</v>
      </c>
      <c r="N599" s="5" t="n">
        <f aca="false">B599</f>
        <v>76.31</v>
      </c>
    </row>
    <row r="600" customFormat="false" ht="12.8" hidden="false" customHeight="false" outlineLevel="0" collapsed="false">
      <c r="A600" s="5" t="n">
        <v>2.94</v>
      </c>
      <c r="B600" s="5" t="n">
        <f aca="false">A600*VOFLB</f>
        <v>76.44</v>
      </c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 t="e">
        <f aca="false">0.000001*('Design Worksheet'!B$88)*(B600-B599)/E$232+M599</f>
        <v>#N/A</v>
      </c>
      <c r="N600" s="5" t="n">
        <f aca="false">B600</f>
        <v>76.44</v>
      </c>
    </row>
    <row r="601" customFormat="false" ht="12.8" hidden="false" customHeight="false" outlineLevel="0" collapsed="false">
      <c r="A601" s="5" t="n">
        <v>2.945</v>
      </c>
      <c r="B601" s="5" t="n">
        <f aca="false">A601*VOFLB</f>
        <v>76.57</v>
      </c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 t="e">
        <f aca="false">0.000001*('Design Worksheet'!B$88)*(B601-B600)/E$232+M600</f>
        <v>#N/A</v>
      </c>
      <c r="N601" s="5" t="n">
        <f aca="false">B601</f>
        <v>76.57</v>
      </c>
    </row>
    <row r="602" customFormat="false" ht="12.8" hidden="false" customHeight="false" outlineLevel="0" collapsed="false">
      <c r="A602" s="5" t="n">
        <v>2.95</v>
      </c>
      <c r="B602" s="5" t="n">
        <f aca="false">A602*VOFLB</f>
        <v>76.7</v>
      </c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 t="e">
        <f aca="false">0.000001*('Design Worksheet'!B$88)*(B602-B601)/E$232+M601</f>
        <v>#N/A</v>
      </c>
      <c r="N602" s="5" t="n">
        <f aca="false">B602</f>
        <v>76.7</v>
      </c>
    </row>
    <row r="603" customFormat="false" ht="12.8" hidden="false" customHeight="false" outlineLevel="0" collapsed="false">
      <c r="A603" s="5" t="n">
        <v>2.955</v>
      </c>
      <c r="B603" s="5" t="n">
        <f aca="false">A603*VOFLB</f>
        <v>76.83</v>
      </c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 t="e">
        <f aca="false">0.000001*('Design Worksheet'!B$88)*(B603-B602)/E$232+M602</f>
        <v>#N/A</v>
      </c>
      <c r="N603" s="5" t="n">
        <f aca="false">B603</f>
        <v>76.83</v>
      </c>
    </row>
    <row r="604" customFormat="false" ht="12.8" hidden="false" customHeight="false" outlineLevel="0" collapsed="false">
      <c r="A604" s="5" t="n">
        <v>2.96</v>
      </c>
      <c r="B604" s="5" t="n">
        <f aca="false">A604*VOFLB</f>
        <v>76.96</v>
      </c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 t="e">
        <f aca="false">0.000001*('Design Worksheet'!B$88)*(B604-B603)/E$232+M603</f>
        <v>#N/A</v>
      </c>
      <c r="N604" s="5" t="n">
        <f aca="false">B604</f>
        <v>76.96</v>
      </c>
    </row>
    <row r="605" customFormat="false" ht="12.8" hidden="false" customHeight="false" outlineLevel="0" collapsed="false">
      <c r="A605" s="5" t="n">
        <v>2.965</v>
      </c>
      <c r="B605" s="5" t="n">
        <f aca="false">A605*VOFLB</f>
        <v>77.09</v>
      </c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 t="e">
        <f aca="false">0.000001*('Design Worksheet'!B$88)*(B605-B604)/E$232+M604</f>
        <v>#N/A</v>
      </c>
      <c r="N605" s="5" t="n">
        <f aca="false">B605</f>
        <v>77.09</v>
      </c>
    </row>
    <row r="606" customFormat="false" ht="12.8" hidden="false" customHeight="false" outlineLevel="0" collapsed="false">
      <c r="A606" s="5" t="n">
        <v>2.97</v>
      </c>
      <c r="B606" s="5" t="n">
        <f aca="false">A606*VOFLB</f>
        <v>77.22</v>
      </c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 t="e">
        <f aca="false">0.000001*('Design Worksheet'!B$88)*(B606-B605)/E$232+M605</f>
        <v>#N/A</v>
      </c>
      <c r="N606" s="5" t="n">
        <f aca="false">B606</f>
        <v>77.22</v>
      </c>
    </row>
    <row r="607" customFormat="false" ht="12.8" hidden="false" customHeight="false" outlineLevel="0" collapsed="false">
      <c r="A607" s="5" t="n">
        <v>2.975</v>
      </c>
      <c r="B607" s="5" t="n">
        <f aca="false">A607*VOFLB</f>
        <v>77.35</v>
      </c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 t="e">
        <f aca="false">0.000001*('Design Worksheet'!B$88)*(B607-B606)/E$232+M606</f>
        <v>#N/A</v>
      </c>
      <c r="N607" s="5" t="n">
        <f aca="false">B607</f>
        <v>77.35</v>
      </c>
    </row>
    <row r="608" customFormat="false" ht="12.8" hidden="false" customHeight="false" outlineLevel="0" collapsed="false">
      <c r="A608" s="5" t="n">
        <v>2.98</v>
      </c>
      <c r="B608" s="5" t="n">
        <f aca="false">A608*VOFLB</f>
        <v>77.48</v>
      </c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 t="e">
        <f aca="false">0.000001*('Design Worksheet'!B$88)*(B608-B607)/E$232+M607</f>
        <v>#N/A</v>
      </c>
      <c r="N608" s="5" t="n">
        <f aca="false">B608</f>
        <v>77.48</v>
      </c>
    </row>
    <row r="609" customFormat="false" ht="12.8" hidden="false" customHeight="false" outlineLevel="0" collapsed="false">
      <c r="A609" s="5" t="n">
        <v>2.985</v>
      </c>
      <c r="B609" s="5" t="n">
        <f aca="false">A609*VOFLB</f>
        <v>77.61</v>
      </c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 t="e">
        <f aca="false">0.000001*('Design Worksheet'!B$88)*(B609-B608)/E$232+M608</f>
        <v>#N/A</v>
      </c>
      <c r="N609" s="5" t="n">
        <f aca="false">B609</f>
        <v>77.61</v>
      </c>
    </row>
    <row r="610" customFormat="false" ht="12.8" hidden="false" customHeight="false" outlineLevel="0" collapsed="false">
      <c r="A610" s="5" t="n">
        <v>2.99</v>
      </c>
      <c r="B610" s="5" t="n">
        <f aca="false">A610*VOFLB</f>
        <v>77.74</v>
      </c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 t="e">
        <f aca="false">0.000001*('Design Worksheet'!B$88)*(B610-B609)/E$232+M609</f>
        <v>#N/A</v>
      </c>
      <c r="N610" s="5" t="n">
        <f aca="false">B610</f>
        <v>77.74</v>
      </c>
    </row>
    <row r="611" customFormat="false" ht="12.8" hidden="false" customHeight="false" outlineLevel="0" collapsed="false">
      <c r="A611" s="5" t="n">
        <v>2.995</v>
      </c>
      <c r="B611" s="5" t="n">
        <f aca="false">A611*VOFLB</f>
        <v>77.87</v>
      </c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 t="e">
        <f aca="false">0.000001*('Design Worksheet'!B$88)*(B611-B610)/E$232+M610</f>
        <v>#N/A</v>
      </c>
      <c r="N611" s="5" t="n">
        <f aca="false">B611</f>
        <v>77.87</v>
      </c>
    </row>
    <row r="612" customFormat="false" ht="12.8" hidden="false" customHeight="false" outlineLevel="0" collapsed="false">
      <c r="A612" s="5" t="n">
        <v>3</v>
      </c>
      <c r="B612" s="5" t="n">
        <f aca="false">A612*VOFLB</f>
        <v>78</v>
      </c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 t="e">
        <f aca="false">0.000001*('Design Worksheet'!B$88)*(B612-B611)/E$232+M611</f>
        <v>#N/A</v>
      </c>
      <c r="N612" s="5" t="n">
        <f aca="false">B612</f>
        <v>78</v>
      </c>
    </row>
    <row r="613" customFormat="false" ht="12.8" hidden="false" customHeight="false" outlineLevel="0" collapsed="false">
      <c r="A613" s="5" t="n">
        <v>3.005</v>
      </c>
      <c r="B613" s="5" t="n">
        <f aca="false">A613*VOFLB</f>
        <v>78.13</v>
      </c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 t="e">
        <f aca="false">0.000001*('Design Worksheet'!B$88)*(B613-B612)/E$232+M612</f>
        <v>#N/A</v>
      </c>
      <c r="N613" s="5" t="n">
        <f aca="false">B613</f>
        <v>78.13</v>
      </c>
    </row>
    <row r="614" customFormat="false" ht="12.8" hidden="false" customHeight="false" outlineLevel="0" collapsed="false">
      <c r="A614" s="5" t="n">
        <v>3.01</v>
      </c>
      <c r="B614" s="5" t="n">
        <f aca="false">A614*VOFLB</f>
        <v>78.26</v>
      </c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 t="e">
        <f aca="false">0.000001*('Design Worksheet'!B$88)*(B614-B613)/E$232+M613</f>
        <v>#N/A</v>
      </c>
      <c r="N614" s="5" t="n">
        <f aca="false">B614</f>
        <v>78.26</v>
      </c>
    </row>
    <row r="615" customFormat="false" ht="12.8" hidden="false" customHeight="false" outlineLevel="0" collapsed="false">
      <c r="A615" s="5" t="n">
        <v>3.015</v>
      </c>
      <c r="B615" s="5" t="n">
        <f aca="false">A615*VOFLB</f>
        <v>78.39</v>
      </c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 t="e">
        <f aca="false">0.000001*('Design Worksheet'!B$88)*(B615-B614)/E$232+M614</f>
        <v>#N/A</v>
      </c>
      <c r="N615" s="5" t="n">
        <f aca="false">B615</f>
        <v>78.39</v>
      </c>
    </row>
    <row r="616" customFormat="false" ht="12.8" hidden="false" customHeight="false" outlineLevel="0" collapsed="false">
      <c r="A616" s="5" t="n">
        <v>3.02</v>
      </c>
      <c r="B616" s="5" t="n">
        <f aca="false">A616*VOFLB</f>
        <v>78.52</v>
      </c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 t="e">
        <f aca="false">0.000001*('Design Worksheet'!B$88)*(B616-B615)/E$232+M615</f>
        <v>#N/A</v>
      </c>
      <c r="N616" s="5" t="n">
        <f aca="false">B616</f>
        <v>78.52</v>
      </c>
    </row>
    <row r="617" customFormat="false" ht="12.8" hidden="false" customHeight="false" outlineLevel="0" collapsed="false">
      <c r="A617" s="5" t="n">
        <v>3.025</v>
      </c>
      <c r="B617" s="5" t="n">
        <f aca="false">A617*VOFLB</f>
        <v>78.65</v>
      </c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 t="e">
        <f aca="false">0.000001*('Design Worksheet'!B$88)*(B617-B616)/E$232+M616</f>
        <v>#N/A</v>
      </c>
      <c r="N617" s="5" t="n">
        <f aca="false">B617</f>
        <v>78.65</v>
      </c>
    </row>
    <row r="618" customFormat="false" ht="12.8" hidden="false" customHeight="false" outlineLevel="0" collapsed="false">
      <c r="A618" s="5" t="n">
        <v>3.03</v>
      </c>
      <c r="B618" s="5" t="n">
        <f aca="false">A618*VOFLB</f>
        <v>78.78</v>
      </c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 t="e">
        <f aca="false">0.000001*('Design Worksheet'!B$88)*(B618-B617)/E$232+M617</f>
        <v>#N/A</v>
      </c>
      <c r="N618" s="5" t="n">
        <f aca="false">B618</f>
        <v>78.78</v>
      </c>
    </row>
    <row r="619" customFormat="false" ht="12.8" hidden="false" customHeight="false" outlineLevel="0" collapsed="false">
      <c r="A619" s="5" t="n">
        <v>3.035</v>
      </c>
      <c r="B619" s="5" t="n">
        <f aca="false">A619*VOFLB</f>
        <v>78.91</v>
      </c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 t="e">
        <f aca="false">0.000001*('Design Worksheet'!B$88)*(B619-B618)/E$232+M618</f>
        <v>#N/A</v>
      </c>
      <c r="N619" s="5" t="n">
        <f aca="false">B619</f>
        <v>78.91</v>
      </c>
    </row>
    <row r="620" customFormat="false" ht="12.8" hidden="false" customHeight="false" outlineLevel="0" collapsed="false">
      <c r="A620" s="5" t="n">
        <v>3.04</v>
      </c>
      <c r="B620" s="5" t="n">
        <f aca="false">A620*VOFLB</f>
        <v>79.04</v>
      </c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 t="e">
        <f aca="false">0.000001*('Design Worksheet'!B$88)*(B620-B619)/E$232+M619</f>
        <v>#N/A</v>
      </c>
      <c r="N620" s="5" t="n">
        <f aca="false">B620</f>
        <v>79.04</v>
      </c>
    </row>
    <row r="621" customFormat="false" ht="12.8" hidden="false" customHeight="false" outlineLevel="0" collapsed="false">
      <c r="A621" s="5" t="n">
        <v>3.045</v>
      </c>
      <c r="B621" s="5" t="n">
        <f aca="false">A621*VOFLB</f>
        <v>79.17</v>
      </c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 t="e">
        <f aca="false">0.000001*('Design Worksheet'!B$88)*(B621-B620)/E$232+M620</f>
        <v>#N/A</v>
      </c>
      <c r="N621" s="5" t="n">
        <f aca="false">B621</f>
        <v>79.17</v>
      </c>
    </row>
    <row r="622" customFormat="false" ht="12.8" hidden="false" customHeight="false" outlineLevel="0" collapsed="false">
      <c r="A622" s="5" t="n">
        <v>3.05</v>
      </c>
      <c r="B622" s="5" t="n">
        <f aca="false">A622*VOFLB</f>
        <v>79.3</v>
      </c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 t="e">
        <f aca="false">0.000001*('Design Worksheet'!B$88)*(B622-B621)/E$232+M621</f>
        <v>#N/A</v>
      </c>
      <c r="N622" s="5" t="n">
        <f aca="false">B622</f>
        <v>79.3</v>
      </c>
    </row>
    <row r="623" customFormat="false" ht="12.8" hidden="false" customHeight="false" outlineLevel="0" collapsed="false">
      <c r="A623" s="5" t="n">
        <v>3.055</v>
      </c>
      <c r="B623" s="5" t="n">
        <f aca="false">A623*VOFLB</f>
        <v>79.43</v>
      </c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 t="e">
        <f aca="false">0.000001*('Design Worksheet'!B$88)*(B623-B622)/E$232+M622</f>
        <v>#N/A</v>
      </c>
      <c r="N623" s="5" t="n">
        <f aca="false">B623</f>
        <v>79.43</v>
      </c>
    </row>
    <row r="624" customFormat="false" ht="12.8" hidden="false" customHeight="false" outlineLevel="0" collapsed="false">
      <c r="A624" s="5" t="n">
        <v>3.06</v>
      </c>
      <c r="B624" s="5" t="n">
        <f aca="false">A624*VOFLB</f>
        <v>79.56</v>
      </c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 t="e">
        <f aca="false">0.000001*('Design Worksheet'!B$88)*(B624-B623)/E$232+M623</f>
        <v>#N/A</v>
      </c>
      <c r="N624" s="5" t="n">
        <f aca="false">B624</f>
        <v>79.56</v>
      </c>
    </row>
    <row r="625" customFormat="false" ht="12.8" hidden="false" customHeight="false" outlineLevel="0" collapsed="false">
      <c r="A625" s="5" t="n">
        <v>3.065</v>
      </c>
      <c r="B625" s="5" t="n">
        <f aca="false">A625*VOFLB</f>
        <v>79.69</v>
      </c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 t="e">
        <f aca="false">0.000001*('Design Worksheet'!B$88)*(B625-B624)/E$232+M624</f>
        <v>#N/A</v>
      </c>
      <c r="N625" s="5" t="n">
        <f aca="false">B625</f>
        <v>79.69</v>
      </c>
    </row>
    <row r="626" customFormat="false" ht="12.8" hidden="false" customHeight="false" outlineLevel="0" collapsed="false">
      <c r="A626" s="5" t="n">
        <v>3.07</v>
      </c>
      <c r="B626" s="5" t="n">
        <f aca="false">A626*VOFLB</f>
        <v>79.82</v>
      </c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 t="e">
        <f aca="false">0.000001*('Design Worksheet'!B$88)*(B626-B625)/E$232+M625</f>
        <v>#N/A</v>
      </c>
      <c r="N626" s="5" t="n">
        <f aca="false">B626</f>
        <v>79.82</v>
      </c>
    </row>
    <row r="627" customFormat="false" ht="12.8" hidden="false" customHeight="false" outlineLevel="0" collapsed="false">
      <c r="A627" s="5" t="n">
        <v>3.075</v>
      </c>
      <c r="B627" s="5" t="n">
        <f aca="false">A627*VOFLB</f>
        <v>79.95</v>
      </c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 t="e">
        <f aca="false">0.000001*('Design Worksheet'!B$88)*(B627-B626)/E$232+M626</f>
        <v>#N/A</v>
      </c>
      <c r="N627" s="5" t="n">
        <f aca="false">B627</f>
        <v>79.95</v>
      </c>
    </row>
    <row r="628" customFormat="false" ht="12.8" hidden="false" customHeight="false" outlineLevel="0" collapsed="false">
      <c r="A628" s="5" t="n">
        <v>3.08</v>
      </c>
      <c r="B628" s="5" t="n">
        <f aca="false">A628*VOFLB</f>
        <v>80.08</v>
      </c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 t="e">
        <f aca="false">0.000001*('Design Worksheet'!B$88)*(B628-B627)/E$232+M627</f>
        <v>#N/A</v>
      </c>
      <c r="N628" s="5" t="n">
        <f aca="false">B628</f>
        <v>80.08</v>
      </c>
    </row>
    <row r="629" customFormat="false" ht="12.8" hidden="false" customHeight="false" outlineLevel="0" collapsed="false">
      <c r="A629" s="5" t="n">
        <v>3.085</v>
      </c>
      <c r="B629" s="5" t="n">
        <f aca="false">A629*VOFLB</f>
        <v>80.21</v>
      </c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 t="e">
        <f aca="false">0.000001*('Design Worksheet'!B$88)*(B629-B628)/E$232+M628</f>
        <v>#N/A</v>
      </c>
      <c r="N629" s="5" t="n">
        <f aca="false">B629</f>
        <v>80.21</v>
      </c>
    </row>
    <row r="630" customFormat="false" ht="12.8" hidden="false" customHeight="false" outlineLevel="0" collapsed="false">
      <c r="A630" s="5" t="n">
        <v>3.09</v>
      </c>
      <c r="B630" s="5" t="n">
        <f aca="false">A630*VOFLB</f>
        <v>80.34</v>
      </c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 t="e">
        <f aca="false">0.000001*('Design Worksheet'!B$88)*(B630-B629)/E$232+M629</f>
        <v>#N/A</v>
      </c>
      <c r="N630" s="5" t="n">
        <f aca="false">B630</f>
        <v>80.34</v>
      </c>
    </row>
    <row r="631" customFormat="false" ht="12.8" hidden="false" customHeight="false" outlineLevel="0" collapsed="false">
      <c r="A631" s="5" t="n">
        <v>3.095</v>
      </c>
      <c r="B631" s="5" t="n">
        <f aca="false">A631*VOFLB</f>
        <v>80.47</v>
      </c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 t="e">
        <f aca="false">0.000001*('Design Worksheet'!B$88)*(B631-B630)/E$232+M630</f>
        <v>#N/A</v>
      </c>
      <c r="N631" s="5" t="n">
        <f aca="false">B631</f>
        <v>80.47</v>
      </c>
    </row>
    <row r="632" customFormat="false" ht="12.8" hidden="false" customHeight="false" outlineLevel="0" collapsed="false">
      <c r="A632" s="5" t="n">
        <v>3.1</v>
      </c>
      <c r="B632" s="5" t="n">
        <f aca="false">A632*VOFLB</f>
        <v>80.6</v>
      </c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 t="e">
        <f aca="false">0.000001*('Design Worksheet'!B$88)*(B632-B631)/E$232+M631</f>
        <v>#N/A</v>
      </c>
      <c r="N632" s="5" t="n">
        <f aca="false">B632</f>
        <v>80.6</v>
      </c>
    </row>
    <row r="633" customFormat="false" ht="12.8" hidden="false" customHeight="false" outlineLevel="0" collapsed="false">
      <c r="A633" s="5" t="n">
        <v>3.105</v>
      </c>
      <c r="B633" s="5" t="n">
        <f aca="false">A633*VOFLB</f>
        <v>80.73</v>
      </c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 t="e">
        <f aca="false">0.000001*('Design Worksheet'!B$88)*(B633-B632)/E$232+M632</f>
        <v>#N/A</v>
      </c>
      <c r="N633" s="5" t="n">
        <f aca="false">B633</f>
        <v>80.73</v>
      </c>
    </row>
    <row r="634" customFormat="false" ht="12.8" hidden="false" customHeight="false" outlineLevel="0" collapsed="false">
      <c r="A634" s="5" t="n">
        <v>3.11</v>
      </c>
      <c r="B634" s="5" t="n">
        <f aca="false">A634*VOFLB</f>
        <v>80.86</v>
      </c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 t="e">
        <f aca="false">0.000001*('Design Worksheet'!B$88)*(B634-B633)/E$232+M633</f>
        <v>#N/A</v>
      </c>
      <c r="N634" s="5" t="n">
        <f aca="false">B634</f>
        <v>80.86</v>
      </c>
    </row>
    <row r="635" customFormat="false" ht="12.8" hidden="false" customHeight="false" outlineLevel="0" collapsed="false">
      <c r="A635" s="5" t="n">
        <v>3.115</v>
      </c>
      <c r="B635" s="5" t="n">
        <f aca="false">A635*VOFLB</f>
        <v>80.99</v>
      </c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 t="e">
        <f aca="false">0.000001*('Design Worksheet'!B$88)*(B635-B634)/E$232+M634</f>
        <v>#N/A</v>
      </c>
      <c r="N635" s="5" t="n">
        <f aca="false">B635</f>
        <v>80.99</v>
      </c>
    </row>
    <row r="636" customFormat="false" ht="12.8" hidden="false" customHeight="false" outlineLevel="0" collapsed="false">
      <c r="A636" s="5" t="n">
        <v>3.12</v>
      </c>
      <c r="B636" s="5" t="n">
        <f aca="false">A636*VOFLB</f>
        <v>81.12</v>
      </c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 t="e">
        <f aca="false">0.000001*('Design Worksheet'!B$88)*(B636-B635)/E$232+M635</f>
        <v>#N/A</v>
      </c>
      <c r="N636" s="5" t="n">
        <f aca="false">B636</f>
        <v>81.12</v>
      </c>
    </row>
    <row r="637" customFormat="false" ht="12.8" hidden="false" customHeight="false" outlineLevel="0" collapsed="false">
      <c r="A637" s="5" t="n">
        <v>3.125</v>
      </c>
      <c r="B637" s="5" t="n">
        <f aca="false">A637*VOFLB</f>
        <v>81.25</v>
      </c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 t="e">
        <f aca="false">0.000001*('Design Worksheet'!B$88)*(B637-B636)/E$232+M636</f>
        <v>#N/A</v>
      </c>
      <c r="N637" s="5" t="n">
        <f aca="false">B637</f>
        <v>81.25</v>
      </c>
    </row>
    <row r="638" customFormat="false" ht="12.8" hidden="false" customHeight="false" outlineLevel="0" collapsed="false">
      <c r="A638" s="5" t="n">
        <v>3.13</v>
      </c>
      <c r="B638" s="5" t="n">
        <f aca="false">A638*VOFLB</f>
        <v>81.38</v>
      </c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 t="e">
        <f aca="false">0.000001*('Design Worksheet'!B$88)*(B638-B637)/E$232+M637</f>
        <v>#N/A</v>
      </c>
      <c r="N638" s="5" t="n">
        <f aca="false">B638</f>
        <v>81.38</v>
      </c>
    </row>
    <row r="639" customFormat="false" ht="12.8" hidden="false" customHeight="false" outlineLevel="0" collapsed="false">
      <c r="A639" s="5" t="n">
        <v>3.135</v>
      </c>
      <c r="B639" s="5" t="n">
        <f aca="false">A639*VOFLB</f>
        <v>81.51</v>
      </c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 t="e">
        <f aca="false">0.000001*('Design Worksheet'!B$88)*(B639-B638)/E$232+M638</f>
        <v>#N/A</v>
      </c>
      <c r="N639" s="5" t="n">
        <f aca="false">B639</f>
        <v>81.51</v>
      </c>
    </row>
    <row r="640" customFormat="false" ht="12.8" hidden="false" customHeight="false" outlineLevel="0" collapsed="false">
      <c r="A640" s="5" t="n">
        <v>3.14</v>
      </c>
      <c r="B640" s="5" t="n">
        <f aca="false">A640*VOFLB</f>
        <v>81.64</v>
      </c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 t="e">
        <f aca="false">0.000001*('Design Worksheet'!B$88)*(B640-B639)/E$232+M639</f>
        <v>#N/A</v>
      </c>
      <c r="N640" s="5" t="n">
        <f aca="false">B640</f>
        <v>81.64</v>
      </c>
    </row>
    <row r="641" customFormat="false" ht="12.8" hidden="false" customHeight="false" outlineLevel="0" collapsed="false">
      <c r="A641" s="5" t="n">
        <v>3.145</v>
      </c>
      <c r="B641" s="5" t="n">
        <f aca="false">A641*VOFLB</f>
        <v>81.77</v>
      </c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 t="e">
        <f aca="false">0.000001*('Design Worksheet'!B$88)*(B641-B640)/E$232+M640</f>
        <v>#N/A</v>
      </c>
      <c r="N641" s="5" t="n">
        <f aca="false">B641</f>
        <v>81.77</v>
      </c>
    </row>
    <row r="642" customFormat="false" ht="12.8" hidden="false" customHeight="false" outlineLevel="0" collapsed="false">
      <c r="A642" s="5" t="n">
        <v>3.15</v>
      </c>
      <c r="B642" s="5" t="n">
        <f aca="false">A642*VOFLB</f>
        <v>81.9</v>
      </c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 t="e">
        <f aca="false">0.000001*('Design Worksheet'!B$88)*(B642-B641)/E$232+M641</f>
        <v>#N/A</v>
      </c>
      <c r="N642" s="5" t="n">
        <f aca="false">B642</f>
        <v>81.9</v>
      </c>
    </row>
    <row r="643" customFormat="false" ht="12.8" hidden="false" customHeight="false" outlineLevel="0" collapsed="false">
      <c r="A643" s="5" t="n">
        <v>3.155</v>
      </c>
      <c r="B643" s="5" t="n">
        <f aca="false">A643*VOFLB</f>
        <v>82.03</v>
      </c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 t="e">
        <f aca="false">0.000001*('Design Worksheet'!B$88)*(B643-B642)/E$232+M642</f>
        <v>#N/A</v>
      </c>
      <c r="N643" s="5" t="n">
        <f aca="false">B643</f>
        <v>82.03</v>
      </c>
    </row>
    <row r="644" customFormat="false" ht="12.8" hidden="false" customHeight="false" outlineLevel="0" collapsed="false">
      <c r="A644" s="5" t="n">
        <v>3.16</v>
      </c>
      <c r="B644" s="5" t="n">
        <f aca="false">A644*VOFLB</f>
        <v>82.16</v>
      </c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 t="e">
        <f aca="false">0.000001*('Design Worksheet'!B$88)*(B644-B643)/E$232+M643</f>
        <v>#N/A</v>
      </c>
      <c r="N644" s="5" t="n">
        <f aca="false">B644</f>
        <v>82.16</v>
      </c>
    </row>
    <row r="645" customFormat="false" ht="12.8" hidden="false" customHeight="false" outlineLevel="0" collapsed="false">
      <c r="A645" s="5" t="n">
        <v>3.165</v>
      </c>
      <c r="B645" s="5" t="n">
        <f aca="false">A645*VOFLB</f>
        <v>82.29</v>
      </c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 t="e">
        <f aca="false">0.000001*('Design Worksheet'!B$88)*(B645-B644)/E$232+M644</f>
        <v>#N/A</v>
      </c>
      <c r="N645" s="5" t="n">
        <f aca="false">B645</f>
        <v>82.29</v>
      </c>
    </row>
    <row r="646" customFormat="false" ht="12.8" hidden="false" customHeight="false" outlineLevel="0" collapsed="false">
      <c r="A646" s="5" t="n">
        <v>3.17</v>
      </c>
      <c r="B646" s="5" t="n">
        <f aca="false">A646*VOFLB</f>
        <v>82.42</v>
      </c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 t="e">
        <f aca="false">0.000001*('Design Worksheet'!B$88)*(B646-B645)/E$232+M645</f>
        <v>#N/A</v>
      </c>
      <c r="N646" s="5" t="n">
        <f aca="false">B646</f>
        <v>82.42</v>
      </c>
    </row>
    <row r="647" customFormat="false" ht="12.8" hidden="false" customHeight="false" outlineLevel="0" collapsed="false">
      <c r="A647" s="5" t="n">
        <v>3.175</v>
      </c>
      <c r="B647" s="5" t="n">
        <f aca="false">A647*VOFLB</f>
        <v>82.55</v>
      </c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 t="e">
        <f aca="false">0.000001*('Design Worksheet'!B$88)*(B647-B646)/E$232+M646</f>
        <v>#N/A</v>
      </c>
      <c r="N647" s="5" t="n">
        <f aca="false">B647</f>
        <v>82.55</v>
      </c>
    </row>
    <row r="648" customFormat="false" ht="12.8" hidden="false" customHeight="false" outlineLevel="0" collapsed="false">
      <c r="A648" s="5" t="n">
        <v>3.18</v>
      </c>
      <c r="B648" s="5" t="n">
        <f aca="false">A648*VOFLB</f>
        <v>82.68</v>
      </c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 t="e">
        <f aca="false">0.000001*('Design Worksheet'!B$88)*(B648-B647)/E$232+M647</f>
        <v>#N/A</v>
      </c>
      <c r="N648" s="5" t="n">
        <f aca="false">B648</f>
        <v>82.68</v>
      </c>
    </row>
    <row r="649" customFormat="false" ht="12.8" hidden="false" customHeight="false" outlineLevel="0" collapsed="false">
      <c r="A649" s="5" t="n">
        <v>3.185</v>
      </c>
      <c r="B649" s="5" t="n">
        <f aca="false">A649*VOFLB</f>
        <v>82.81</v>
      </c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 t="e">
        <f aca="false">0.000001*('Design Worksheet'!B$88)*(B649-B648)/E$232+M648</f>
        <v>#N/A</v>
      </c>
      <c r="N649" s="5" t="n">
        <f aca="false">B649</f>
        <v>82.81</v>
      </c>
    </row>
    <row r="650" customFormat="false" ht="12.8" hidden="false" customHeight="false" outlineLevel="0" collapsed="false">
      <c r="A650" s="5" t="n">
        <v>3.19</v>
      </c>
      <c r="B650" s="5" t="n">
        <f aca="false">A650*VOFLB</f>
        <v>82.94</v>
      </c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 t="e">
        <f aca="false">0.000001*('Design Worksheet'!B$88)*(B650-B649)/E$232+M649</f>
        <v>#N/A</v>
      </c>
      <c r="N650" s="5" t="n">
        <f aca="false">B650</f>
        <v>82.94</v>
      </c>
    </row>
    <row r="651" customFormat="false" ht="12.8" hidden="false" customHeight="false" outlineLevel="0" collapsed="false">
      <c r="A651" s="5" t="n">
        <v>3.195</v>
      </c>
      <c r="B651" s="5" t="n">
        <f aca="false">A651*VOFLB</f>
        <v>83.07</v>
      </c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 t="e">
        <f aca="false">0.000001*('Design Worksheet'!B$88)*(B651-B650)/E$232+M650</f>
        <v>#N/A</v>
      </c>
      <c r="N651" s="5" t="n">
        <f aca="false">B651</f>
        <v>83.07</v>
      </c>
    </row>
    <row r="652" customFormat="false" ht="12.8" hidden="false" customHeight="false" outlineLevel="0" collapsed="false">
      <c r="A652" s="5" t="n">
        <v>3.2</v>
      </c>
      <c r="B652" s="5" t="n">
        <f aca="false">A652*VOFLB</f>
        <v>83.2</v>
      </c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 t="e">
        <f aca="false">0.000001*('Design Worksheet'!B$88)*(B652-B651)/E$232+M651</f>
        <v>#N/A</v>
      </c>
      <c r="N652" s="5" t="n">
        <f aca="false">B652</f>
        <v>83.2</v>
      </c>
    </row>
    <row r="653" customFormat="false" ht="12.8" hidden="false" customHeight="false" outlineLevel="0" collapsed="false">
      <c r="A653" s="5" t="n">
        <v>3.205</v>
      </c>
      <c r="B653" s="5" t="n">
        <f aca="false">A653*VOFLB</f>
        <v>83.33</v>
      </c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 t="e">
        <f aca="false">0.000001*('Design Worksheet'!B$88)*(B653-B652)/E$232+M652</f>
        <v>#N/A</v>
      </c>
      <c r="N653" s="5" t="n">
        <f aca="false">B653</f>
        <v>83.33</v>
      </c>
    </row>
    <row r="654" customFormat="false" ht="12.8" hidden="false" customHeight="false" outlineLevel="0" collapsed="false">
      <c r="A654" s="5" t="n">
        <v>3.21</v>
      </c>
      <c r="B654" s="5" t="n">
        <f aca="false">A654*VOFLB</f>
        <v>83.46</v>
      </c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 t="e">
        <f aca="false">0.000001*('Design Worksheet'!B$88)*(B654-B653)/E$232+M653</f>
        <v>#N/A</v>
      </c>
      <c r="N654" s="5" t="n">
        <f aca="false">B654</f>
        <v>83.46</v>
      </c>
    </row>
    <row r="655" customFormat="false" ht="12.8" hidden="false" customHeight="false" outlineLevel="0" collapsed="false">
      <c r="A655" s="5" t="n">
        <v>3.215</v>
      </c>
      <c r="B655" s="5" t="n">
        <f aca="false">A655*VOFLB</f>
        <v>83.59</v>
      </c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 t="e">
        <f aca="false">0.000001*('Design Worksheet'!B$88)*(B655-B654)/E$232+M654</f>
        <v>#N/A</v>
      </c>
      <c r="N655" s="5" t="n">
        <f aca="false">B655</f>
        <v>83.59</v>
      </c>
    </row>
    <row r="656" customFormat="false" ht="12.8" hidden="false" customHeight="false" outlineLevel="0" collapsed="false">
      <c r="A656" s="5" t="n">
        <v>3.22</v>
      </c>
      <c r="B656" s="5" t="n">
        <f aca="false">A656*VOFLB</f>
        <v>83.72</v>
      </c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 t="e">
        <f aca="false">0.000001*('Design Worksheet'!B$88)*(B656-B655)/E$232+M655</f>
        <v>#N/A</v>
      </c>
      <c r="N656" s="5" t="n">
        <f aca="false">B656</f>
        <v>83.72</v>
      </c>
    </row>
    <row r="657" customFormat="false" ht="12.8" hidden="false" customHeight="false" outlineLevel="0" collapsed="false">
      <c r="A657" s="5" t="n">
        <v>3.225</v>
      </c>
      <c r="B657" s="5" t="n">
        <f aca="false">A657*VOFLB</f>
        <v>83.85</v>
      </c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 t="e">
        <f aca="false">0.000001*('Design Worksheet'!B$88)*(B657-B656)/E$232+M656</f>
        <v>#N/A</v>
      </c>
      <c r="N657" s="5" t="n">
        <f aca="false">B657</f>
        <v>83.85</v>
      </c>
    </row>
    <row r="658" customFormat="false" ht="12.8" hidden="false" customHeight="false" outlineLevel="0" collapsed="false">
      <c r="A658" s="5" t="n">
        <v>3.23</v>
      </c>
      <c r="B658" s="5" t="n">
        <f aca="false">A658*VOFLB</f>
        <v>83.98</v>
      </c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 t="e">
        <f aca="false">0.000001*('Design Worksheet'!B$88)*(B658-B657)/E$232+M657</f>
        <v>#N/A</v>
      </c>
      <c r="N658" s="5" t="n">
        <f aca="false">B658</f>
        <v>83.98</v>
      </c>
    </row>
    <row r="659" customFormat="false" ht="12.8" hidden="false" customHeight="false" outlineLevel="0" collapsed="false">
      <c r="A659" s="5" t="n">
        <v>3.23499999999999</v>
      </c>
      <c r="B659" s="5" t="n">
        <f aca="false">A659*VOFLB</f>
        <v>84.1099999999997</v>
      </c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 t="e">
        <f aca="false">0.000001*('Design Worksheet'!B$88)*(B659-B658)/E$232+M658</f>
        <v>#N/A</v>
      </c>
      <c r="N659" s="5" t="n">
        <f aca="false">B659</f>
        <v>84.1099999999997</v>
      </c>
    </row>
    <row r="660" customFormat="false" ht="12.8" hidden="false" customHeight="false" outlineLevel="0" collapsed="false">
      <c r="A660" s="5" t="n">
        <v>3.23999999999999</v>
      </c>
      <c r="B660" s="5" t="n">
        <f aca="false">A660*VOFLB</f>
        <v>84.2399999999997</v>
      </c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 t="e">
        <f aca="false">0.000001*('Design Worksheet'!B$88)*(B660-B659)/E$232+M659</f>
        <v>#N/A</v>
      </c>
      <c r="N660" s="5" t="n">
        <f aca="false">B660</f>
        <v>84.2399999999997</v>
      </c>
    </row>
    <row r="661" customFormat="false" ht="12.8" hidden="false" customHeight="false" outlineLevel="0" collapsed="false">
      <c r="A661" s="5" t="n">
        <v>3.24499999999999</v>
      </c>
      <c r="B661" s="5" t="n">
        <f aca="false">A661*VOFLB</f>
        <v>84.3699999999997</v>
      </c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 t="e">
        <f aca="false">0.000001*('Design Worksheet'!B$88)*(B661-B660)/E$232+M660</f>
        <v>#N/A</v>
      </c>
      <c r="N661" s="5" t="n">
        <f aca="false">B661</f>
        <v>84.3699999999997</v>
      </c>
    </row>
    <row r="662" customFormat="false" ht="12.8" hidden="false" customHeight="false" outlineLevel="0" collapsed="false">
      <c r="A662" s="5" t="n">
        <v>3.24999999999999</v>
      </c>
      <c r="B662" s="5" t="n">
        <f aca="false">A662*VOFLB</f>
        <v>84.4999999999997</v>
      </c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 t="e">
        <f aca="false">0.000001*('Design Worksheet'!B$88)*(B662-B661)/E$232+M661</f>
        <v>#N/A</v>
      </c>
      <c r="N662" s="5" t="n">
        <f aca="false">B662</f>
        <v>84.4999999999997</v>
      </c>
    </row>
    <row r="663" customFormat="false" ht="12.8" hidden="false" customHeight="false" outlineLevel="0" collapsed="false">
      <c r="A663" s="5" t="n">
        <v>3.25499999999999</v>
      </c>
      <c r="B663" s="5" t="n">
        <f aca="false">A663*VOFLB</f>
        <v>84.6299999999997</v>
      </c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 t="e">
        <f aca="false">0.000001*('Design Worksheet'!B$88)*(B663-B662)/E$232+M662</f>
        <v>#N/A</v>
      </c>
      <c r="N663" s="5" t="n">
        <f aca="false">B663</f>
        <v>84.6299999999997</v>
      </c>
    </row>
    <row r="664" customFormat="false" ht="12.8" hidden="false" customHeight="false" outlineLevel="0" collapsed="false">
      <c r="A664" s="5" t="n">
        <v>3.25999999999999</v>
      </c>
      <c r="B664" s="5" t="n">
        <f aca="false">A664*VOFLB</f>
        <v>84.7599999999997</v>
      </c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 t="e">
        <f aca="false">0.000001*('Design Worksheet'!B$88)*(B664-B663)/E$232+M663</f>
        <v>#N/A</v>
      </c>
      <c r="N664" s="5" t="n">
        <f aca="false">B664</f>
        <v>84.7599999999997</v>
      </c>
    </row>
    <row r="665" customFormat="false" ht="12.8" hidden="false" customHeight="false" outlineLevel="0" collapsed="false">
      <c r="A665" s="5" t="n">
        <v>3.26499999999999</v>
      </c>
      <c r="B665" s="5" t="n">
        <f aca="false">A665*VOFLB</f>
        <v>84.8899999999997</v>
      </c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 t="e">
        <f aca="false">0.000001*('Design Worksheet'!B$88)*(B665-B664)/E$232+M664</f>
        <v>#N/A</v>
      </c>
      <c r="N665" s="5" t="n">
        <f aca="false">B665</f>
        <v>84.8899999999997</v>
      </c>
    </row>
    <row r="666" customFormat="false" ht="12.8" hidden="false" customHeight="false" outlineLevel="0" collapsed="false">
      <c r="A666" s="5" t="n">
        <v>3.26999999999999</v>
      </c>
      <c r="B666" s="5" t="n">
        <f aca="false">A666*VOFLB</f>
        <v>85.0199999999997</v>
      </c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 t="e">
        <f aca="false">0.000001*('Design Worksheet'!B$88)*(B666-B665)/E$232+M665</f>
        <v>#N/A</v>
      </c>
      <c r="N666" s="5" t="n">
        <f aca="false">B666</f>
        <v>85.0199999999997</v>
      </c>
    </row>
    <row r="667" customFormat="false" ht="12.8" hidden="false" customHeight="false" outlineLevel="0" collapsed="false">
      <c r="A667" s="5" t="n">
        <v>3.27499999999999</v>
      </c>
      <c r="B667" s="5" t="n">
        <f aca="false">A667*VOFLB</f>
        <v>85.1499999999998</v>
      </c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 t="e">
        <f aca="false">0.000001*('Design Worksheet'!B$88)*(B667-B666)/E$232+M666</f>
        <v>#N/A</v>
      </c>
      <c r="N667" s="5" t="n">
        <f aca="false">B667</f>
        <v>85.1499999999998</v>
      </c>
    </row>
    <row r="668" customFormat="false" ht="12.8" hidden="false" customHeight="false" outlineLevel="0" collapsed="false">
      <c r="A668" s="5" t="n">
        <v>3.27999999999999</v>
      </c>
      <c r="B668" s="5" t="n">
        <f aca="false">A668*VOFLB</f>
        <v>85.2799999999998</v>
      </c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 t="e">
        <f aca="false">0.000001*('Design Worksheet'!B$88)*(B668-B667)/E$232+M667</f>
        <v>#N/A</v>
      </c>
      <c r="N668" s="5" t="n">
        <f aca="false">B668</f>
        <v>85.2799999999998</v>
      </c>
    </row>
    <row r="669" customFormat="false" ht="12.8" hidden="false" customHeight="false" outlineLevel="0" collapsed="false">
      <c r="A669" s="5" t="n">
        <v>3.28499999999999</v>
      </c>
      <c r="B669" s="5" t="n">
        <f aca="false">A669*VOFLB</f>
        <v>85.4099999999997</v>
      </c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 t="e">
        <f aca="false">0.000001*('Design Worksheet'!B$88)*(B669-B668)/E$232+M668</f>
        <v>#N/A</v>
      </c>
      <c r="N669" s="5" t="n">
        <f aca="false">B669</f>
        <v>85.4099999999997</v>
      </c>
    </row>
    <row r="670" customFormat="false" ht="12.8" hidden="false" customHeight="false" outlineLevel="0" collapsed="false">
      <c r="A670" s="5" t="n">
        <v>3.28999999999999</v>
      </c>
      <c r="B670" s="5" t="n">
        <f aca="false">A670*VOFLB</f>
        <v>85.5399999999997</v>
      </c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 t="e">
        <f aca="false">0.000001*('Design Worksheet'!B$88)*(B670-B669)/E$232+M669</f>
        <v>#N/A</v>
      </c>
      <c r="N670" s="5" t="n">
        <f aca="false">B670</f>
        <v>85.5399999999997</v>
      </c>
    </row>
    <row r="671" customFormat="false" ht="12.8" hidden="false" customHeight="false" outlineLevel="0" collapsed="false">
      <c r="A671" s="5" t="n">
        <v>3.29499999999999</v>
      </c>
      <c r="B671" s="5" t="n">
        <f aca="false">A671*VOFLB</f>
        <v>85.6699999999998</v>
      </c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 t="e">
        <f aca="false">0.000001*('Design Worksheet'!B$88)*(B671-B670)/E$232+M670</f>
        <v>#N/A</v>
      </c>
      <c r="N671" s="5" t="n">
        <f aca="false">B671</f>
        <v>85.6699999999998</v>
      </c>
    </row>
    <row r="672" customFormat="false" ht="12.8" hidden="false" customHeight="false" outlineLevel="0" collapsed="false">
      <c r="A672" s="5" t="n">
        <v>3.29999999999999</v>
      </c>
      <c r="B672" s="5" t="n">
        <f aca="false">A672*VOFLB</f>
        <v>85.7999999999997</v>
      </c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 t="e">
        <f aca="false">0.000001*('Design Worksheet'!B$88)*(B672-B671)/E$232+M671</f>
        <v>#N/A</v>
      </c>
      <c r="N672" s="5" t="n">
        <f aca="false">B672</f>
        <v>85.7999999999997</v>
      </c>
    </row>
    <row r="673" customFormat="false" ht="12.8" hidden="false" customHeight="false" outlineLevel="0" collapsed="false">
      <c r="A673" s="5" t="n">
        <v>3.30499999999999</v>
      </c>
      <c r="B673" s="5" t="n">
        <f aca="false">A673*VOFLB</f>
        <v>85.9299999999997</v>
      </c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 t="e">
        <f aca="false">0.000001*('Design Worksheet'!B$88)*(B673-B672)/E$232+M672</f>
        <v>#N/A</v>
      </c>
      <c r="N673" s="5" t="n">
        <f aca="false">B673</f>
        <v>85.9299999999997</v>
      </c>
    </row>
    <row r="674" customFormat="false" ht="12.8" hidden="false" customHeight="false" outlineLevel="0" collapsed="false">
      <c r="A674" s="5" t="n">
        <v>3.30999999999999</v>
      </c>
      <c r="B674" s="5" t="n">
        <f aca="false">A674*VOFLB</f>
        <v>86.0599999999997</v>
      </c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 t="e">
        <f aca="false">0.000001*('Design Worksheet'!B$88)*(B674-B673)/E$232+M673</f>
        <v>#N/A</v>
      </c>
      <c r="N674" s="5" t="n">
        <f aca="false">B674</f>
        <v>86.0599999999997</v>
      </c>
    </row>
    <row r="675" customFormat="false" ht="12.8" hidden="false" customHeight="false" outlineLevel="0" collapsed="false">
      <c r="A675" s="5" t="n">
        <v>3.31499999999999</v>
      </c>
      <c r="B675" s="5" t="n">
        <f aca="false">A675*VOFLB</f>
        <v>86.1899999999997</v>
      </c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 t="e">
        <f aca="false">0.000001*('Design Worksheet'!B$88)*(B675-B674)/E$232+M674</f>
        <v>#N/A</v>
      </c>
      <c r="N675" s="5" t="n">
        <f aca="false">B675</f>
        <v>86.1899999999997</v>
      </c>
    </row>
    <row r="676" customFormat="false" ht="12.8" hidden="false" customHeight="false" outlineLevel="0" collapsed="false">
      <c r="A676" s="5" t="n">
        <v>3.31999999999999</v>
      </c>
      <c r="B676" s="5" t="n">
        <f aca="false">A676*VOFLB</f>
        <v>86.3199999999997</v>
      </c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 t="e">
        <f aca="false">0.000001*('Design Worksheet'!B$88)*(B676-B675)/E$232+M675</f>
        <v>#N/A</v>
      </c>
      <c r="N676" s="5" t="n">
        <f aca="false">B676</f>
        <v>86.3199999999997</v>
      </c>
    </row>
    <row r="677" customFormat="false" ht="12.8" hidden="false" customHeight="false" outlineLevel="0" collapsed="false">
      <c r="A677" s="5" t="n">
        <v>3.32499999999999</v>
      </c>
      <c r="B677" s="5" t="n">
        <f aca="false">A677*VOFLB</f>
        <v>86.4499999999997</v>
      </c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 t="e">
        <f aca="false">0.000001*('Design Worksheet'!B$88)*(B677-B676)/E$232+M676</f>
        <v>#N/A</v>
      </c>
      <c r="N677" s="5" t="n">
        <f aca="false">B677</f>
        <v>86.4499999999997</v>
      </c>
    </row>
    <row r="678" customFormat="false" ht="12.8" hidden="false" customHeight="false" outlineLevel="0" collapsed="false">
      <c r="A678" s="5" t="n">
        <v>3.32999999999999</v>
      </c>
      <c r="B678" s="5" t="n">
        <f aca="false">A678*VOFLB</f>
        <v>86.5799999999997</v>
      </c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 t="e">
        <f aca="false">0.000001*('Design Worksheet'!B$88)*(B678-B677)/E$232+M677</f>
        <v>#N/A</v>
      </c>
      <c r="N678" s="5" t="n">
        <f aca="false">B678</f>
        <v>86.5799999999997</v>
      </c>
    </row>
    <row r="679" customFormat="false" ht="12.8" hidden="false" customHeight="false" outlineLevel="0" collapsed="false">
      <c r="A679" s="5" t="n">
        <v>3.33499999999999</v>
      </c>
      <c r="B679" s="5" t="n">
        <f aca="false">A679*VOFLB</f>
        <v>86.7099999999998</v>
      </c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 t="e">
        <f aca="false">0.000001*('Design Worksheet'!B$88)*(B679-B678)/E$232+M678</f>
        <v>#N/A</v>
      </c>
      <c r="N679" s="5" t="n">
        <f aca="false">B679</f>
        <v>86.7099999999998</v>
      </c>
    </row>
    <row r="680" customFormat="false" ht="12.8" hidden="false" customHeight="false" outlineLevel="0" collapsed="false">
      <c r="A680" s="5" t="n">
        <v>3.33999999999999</v>
      </c>
      <c r="B680" s="5" t="n">
        <f aca="false">A680*VOFLB</f>
        <v>86.8399999999998</v>
      </c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 t="e">
        <f aca="false">0.000001*('Design Worksheet'!B$88)*(B680-B679)/E$232+M679</f>
        <v>#N/A</v>
      </c>
      <c r="N680" s="5" t="n">
        <f aca="false">B680</f>
        <v>86.8399999999998</v>
      </c>
    </row>
    <row r="681" customFormat="false" ht="12.8" hidden="false" customHeight="false" outlineLevel="0" collapsed="false">
      <c r="A681" s="5" t="n">
        <v>3.34499999999999</v>
      </c>
      <c r="B681" s="5" t="n">
        <f aca="false">A681*VOFLB</f>
        <v>86.9699999999997</v>
      </c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 t="e">
        <f aca="false">0.000001*('Design Worksheet'!B$88)*(B681-B680)/E$232+M680</f>
        <v>#N/A</v>
      </c>
      <c r="N681" s="5" t="n">
        <f aca="false">B681</f>
        <v>86.9699999999997</v>
      </c>
    </row>
    <row r="682" customFormat="false" ht="12.8" hidden="false" customHeight="false" outlineLevel="0" collapsed="false">
      <c r="A682" s="5" t="n">
        <v>3.34999999999999</v>
      </c>
      <c r="B682" s="5" t="n">
        <f aca="false">A682*VOFLB</f>
        <v>87.0999999999997</v>
      </c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 t="e">
        <f aca="false">0.000001*('Design Worksheet'!B$88)*(B682-B681)/E$232+M681</f>
        <v>#N/A</v>
      </c>
      <c r="N682" s="5" t="n">
        <f aca="false">B682</f>
        <v>87.0999999999997</v>
      </c>
    </row>
    <row r="683" customFormat="false" ht="12.8" hidden="false" customHeight="false" outlineLevel="0" collapsed="false">
      <c r="A683" s="5" t="n">
        <v>3.35499999999999</v>
      </c>
      <c r="B683" s="5" t="n">
        <f aca="false">A683*VOFLB</f>
        <v>87.2299999999998</v>
      </c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 t="e">
        <f aca="false">0.000001*('Design Worksheet'!B$88)*(B683-B682)/E$232+M682</f>
        <v>#N/A</v>
      </c>
      <c r="N683" s="5" t="n">
        <f aca="false">B683</f>
        <v>87.2299999999998</v>
      </c>
    </row>
    <row r="684" customFormat="false" ht="12.8" hidden="false" customHeight="false" outlineLevel="0" collapsed="false">
      <c r="A684" s="5" t="n">
        <v>3.35999999999999</v>
      </c>
      <c r="B684" s="5" t="n">
        <f aca="false">A684*VOFLB</f>
        <v>87.3599999999997</v>
      </c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 t="e">
        <f aca="false">0.000001*('Design Worksheet'!B$88)*(B684-B683)/E$232+M683</f>
        <v>#N/A</v>
      </c>
      <c r="N684" s="5" t="n">
        <f aca="false">B684</f>
        <v>87.3599999999997</v>
      </c>
    </row>
    <row r="685" customFormat="false" ht="12.8" hidden="false" customHeight="false" outlineLevel="0" collapsed="false">
      <c r="A685" s="5" t="n">
        <v>3.36499999999999</v>
      </c>
      <c r="B685" s="5" t="n">
        <f aca="false">A685*VOFLB</f>
        <v>87.4899999999997</v>
      </c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 t="e">
        <f aca="false">0.000001*('Design Worksheet'!B$88)*(B685-B684)/E$232+M684</f>
        <v>#N/A</v>
      </c>
      <c r="N685" s="5" t="n">
        <f aca="false">B685</f>
        <v>87.4899999999997</v>
      </c>
    </row>
    <row r="686" customFormat="false" ht="12.8" hidden="false" customHeight="false" outlineLevel="0" collapsed="false">
      <c r="A686" s="5" t="n">
        <v>3.36999999999999</v>
      </c>
      <c r="B686" s="5" t="n">
        <f aca="false">A686*VOFLB</f>
        <v>87.6199999999997</v>
      </c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 t="e">
        <f aca="false">0.000001*('Design Worksheet'!B$88)*(B686-B685)/E$232+M685</f>
        <v>#N/A</v>
      </c>
      <c r="N686" s="5" t="n">
        <f aca="false">B686</f>
        <v>87.6199999999997</v>
      </c>
    </row>
    <row r="687" customFormat="false" ht="12.8" hidden="false" customHeight="false" outlineLevel="0" collapsed="false">
      <c r="A687" s="5" t="n">
        <v>3.37499999999999</v>
      </c>
      <c r="B687" s="5" t="n">
        <f aca="false">A687*VOFLB</f>
        <v>87.7499999999997</v>
      </c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 t="e">
        <f aca="false">0.000001*('Design Worksheet'!B$88)*(B687-B686)/E$232+M686</f>
        <v>#N/A</v>
      </c>
      <c r="N687" s="5" t="n">
        <f aca="false">B687</f>
        <v>87.7499999999997</v>
      </c>
    </row>
    <row r="688" customFormat="false" ht="12.8" hidden="false" customHeight="false" outlineLevel="0" collapsed="false">
      <c r="A688" s="5" t="n">
        <v>3.37999999999999</v>
      </c>
      <c r="B688" s="5" t="n">
        <f aca="false">A688*VOFLB</f>
        <v>87.8799999999997</v>
      </c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 t="e">
        <f aca="false">0.000001*('Design Worksheet'!B$88)*(B688-B687)/E$232+M687</f>
        <v>#N/A</v>
      </c>
      <c r="N688" s="5" t="n">
        <f aca="false">B688</f>
        <v>87.8799999999997</v>
      </c>
    </row>
    <row r="689" customFormat="false" ht="12.8" hidden="false" customHeight="false" outlineLevel="0" collapsed="false">
      <c r="A689" s="5" t="n">
        <v>3.38499999999999</v>
      </c>
      <c r="B689" s="5" t="n">
        <f aca="false">A689*VOFLB</f>
        <v>88.0099999999997</v>
      </c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 t="e">
        <f aca="false">0.000001*('Design Worksheet'!B$88)*(B689-B688)/E$232+M688</f>
        <v>#N/A</v>
      </c>
      <c r="N689" s="5" t="n">
        <f aca="false">B689</f>
        <v>88.0099999999997</v>
      </c>
    </row>
    <row r="690" customFormat="false" ht="12.8" hidden="false" customHeight="false" outlineLevel="0" collapsed="false">
      <c r="A690" s="5" t="n">
        <v>3.38999999999999</v>
      </c>
      <c r="B690" s="5" t="n">
        <f aca="false">A690*VOFLB</f>
        <v>88.1399999999997</v>
      </c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 t="e">
        <f aca="false">0.000001*('Design Worksheet'!B$88)*(B690-B689)/E$232+M689</f>
        <v>#N/A</v>
      </c>
      <c r="N690" s="5" t="n">
        <f aca="false">B690</f>
        <v>88.1399999999997</v>
      </c>
    </row>
    <row r="691" customFormat="false" ht="12.8" hidden="false" customHeight="false" outlineLevel="0" collapsed="false">
      <c r="A691" s="5" t="n">
        <v>3.39499999999999</v>
      </c>
      <c r="B691" s="5" t="n">
        <f aca="false">A691*VOFLB</f>
        <v>88.2699999999997</v>
      </c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 t="e">
        <f aca="false">0.000001*('Design Worksheet'!B$88)*(B691-B690)/E$232+M690</f>
        <v>#N/A</v>
      </c>
      <c r="N691" s="5" t="n">
        <f aca="false">B691</f>
        <v>88.2699999999997</v>
      </c>
    </row>
    <row r="692" customFormat="false" ht="12.8" hidden="false" customHeight="false" outlineLevel="0" collapsed="false">
      <c r="A692" s="5" t="n">
        <v>3.39999999999999</v>
      </c>
      <c r="B692" s="5" t="n">
        <f aca="false">A692*VOFLB</f>
        <v>88.3999999999998</v>
      </c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 t="e">
        <f aca="false">0.000001*('Design Worksheet'!B$88)*(B692-B691)/E$232+M691</f>
        <v>#N/A</v>
      </c>
      <c r="N692" s="5" t="n">
        <f aca="false">B692</f>
        <v>88.3999999999998</v>
      </c>
    </row>
    <row r="693" customFormat="false" ht="12.8" hidden="false" customHeight="false" outlineLevel="0" collapsed="false">
      <c r="A693" s="5" t="n">
        <v>3.40499999999999</v>
      </c>
      <c r="B693" s="5" t="n">
        <f aca="false">A693*VOFLB</f>
        <v>88.5299999999998</v>
      </c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 t="e">
        <f aca="false">0.000001*('Design Worksheet'!B$88)*(B693-B692)/E$232+M692</f>
        <v>#N/A</v>
      </c>
      <c r="N693" s="5" t="n">
        <f aca="false">B693</f>
        <v>88.5299999999998</v>
      </c>
    </row>
    <row r="694" customFormat="false" ht="12.8" hidden="false" customHeight="false" outlineLevel="0" collapsed="false">
      <c r="A694" s="5" t="n">
        <v>3.40999999999999</v>
      </c>
      <c r="B694" s="5" t="n">
        <f aca="false">A694*VOFLB</f>
        <v>88.6599999999997</v>
      </c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 t="e">
        <f aca="false">0.000001*('Design Worksheet'!B$88)*(B694-B693)/E$232+M693</f>
        <v>#N/A</v>
      </c>
      <c r="N694" s="5" t="n">
        <f aca="false">B694</f>
        <v>88.6599999999997</v>
      </c>
    </row>
    <row r="695" customFormat="false" ht="12.8" hidden="false" customHeight="false" outlineLevel="0" collapsed="false">
      <c r="A695" s="5" t="n">
        <v>3.41499999999999</v>
      </c>
      <c r="B695" s="5" t="n">
        <f aca="false">A695*VOFLB</f>
        <v>88.7899999999997</v>
      </c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 t="e">
        <f aca="false">0.000001*('Design Worksheet'!B$88)*(B695-B694)/E$232+M694</f>
        <v>#N/A</v>
      </c>
      <c r="N695" s="5" t="n">
        <f aca="false">B695</f>
        <v>88.7899999999997</v>
      </c>
    </row>
    <row r="696" customFormat="false" ht="12.8" hidden="false" customHeight="false" outlineLevel="0" collapsed="false">
      <c r="A696" s="5" t="n">
        <v>3.41999999999999</v>
      </c>
      <c r="B696" s="5" t="n">
        <f aca="false">A696*VOFLB</f>
        <v>88.9199999999998</v>
      </c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 t="e">
        <f aca="false">0.000001*('Design Worksheet'!B$88)*(B696-B695)/E$232+M695</f>
        <v>#N/A</v>
      </c>
      <c r="N696" s="5" t="n">
        <f aca="false">B696</f>
        <v>88.9199999999998</v>
      </c>
    </row>
    <row r="697" customFormat="false" ht="12.8" hidden="false" customHeight="false" outlineLevel="0" collapsed="false">
      <c r="A697" s="5" t="n">
        <v>3.42499999999999</v>
      </c>
      <c r="B697" s="5" t="n">
        <f aca="false">A697*VOFLB</f>
        <v>89.0499999999997</v>
      </c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 t="e">
        <f aca="false">0.000001*('Design Worksheet'!B$88)*(B697-B696)/E$232+M696</f>
        <v>#N/A</v>
      </c>
      <c r="N697" s="5" t="n">
        <f aca="false">B697</f>
        <v>89.0499999999997</v>
      </c>
    </row>
    <row r="698" customFormat="false" ht="12.8" hidden="false" customHeight="false" outlineLevel="0" collapsed="false">
      <c r="A698" s="5" t="n">
        <v>3.42999999999999</v>
      </c>
      <c r="B698" s="5" t="n">
        <f aca="false">A698*VOFLB</f>
        <v>89.1799999999997</v>
      </c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 t="e">
        <f aca="false">0.000001*('Design Worksheet'!B$88)*(B698-B697)/E$232+M697</f>
        <v>#N/A</v>
      </c>
      <c r="N698" s="5" t="n">
        <f aca="false">B698</f>
        <v>89.1799999999997</v>
      </c>
    </row>
    <row r="699" customFormat="false" ht="12.8" hidden="false" customHeight="false" outlineLevel="0" collapsed="false">
      <c r="A699" s="5" t="n">
        <v>3.43499999999999</v>
      </c>
      <c r="B699" s="5" t="n">
        <f aca="false">A699*VOFLB</f>
        <v>89.3099999999997</v>
      </c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 t="e">
        <f aca="false">0.000001*('Design Worksheet'!B$88)*(B699-B698)/E$232+M698</f>
        <v>#N/A</v>
      </c>
      <c r="N699" s="5" t="n">
        <f aca="false">B699</f>
        <v>89.3099999999997</v>
      </c>
    </row>
    <row r="700" customFormat="false" ht="12.8" hidden="false" customHeight="false" outlineLevel="0" collapsed="false">
      <c r="A700" s="5" t="n">
        <v>3.43999999999999</v>
      </c>
      <c r="B700" s="5" t="n">
        <f aca="false">A700*VOFLB</f>
        <v>89.4399999999997</v>
      </c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 t="e">
        <f aca="false">0.000001*('Design Worksheet'!B$88)*(B700-B699)/E$232+M699</f>
        <v>#N/A</v>
      </c>
      <c r="N700" s="5" t="n">
        <f aca="false">B700</f>
        <v>89.4399999999997</v>
      </c>
    </row>
    <row r="701" customFormat="false" ht="12.8" hidden="false" customHeight="false" outlineLevel="0" collapsed="false">
      <c r="A701" s="5" t="n">
        <v>3.44499999999999</v>
      </c>
      <c r="B701" s="5" t="n">
        <f aca="false">A701*VOFLB</f>
        <v>89.5699999999997</v>
      </c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 t="e">
        <f aca="false">0.000001*('Design Worksheet'!B$88)*(B701-B700)/E$232+M700</f>
        <v>#N/A</v>
      </c>
      <c r="N701" s="5" t="n">
        <f aca="false">B701</f>
        <v>89.5699999999997</v>
      </c>
    </row>
    <row r="702" customFormat="false" ht="12.8" hidden="false" customHeight="false" outlineLevel="0" collapsed="false">
      <c r="A702" s="5" t="n">
        <v>3.44999999999999</v>
      </c>
      <c r="B702" s="5" t="n">
        <f aca="false">A702*VOFLB</f>
        <v>89.6999999999997</v>
      </c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 t="e">
        <f aca="false">0.000001*('Design Worksheet'!B$88)*(B702-B701)/E$232+M701</f>
        <v>#N/A</v>
      </c>
      <c r="N702" s="5" t="n">
        <f aca="false">B702</f>
        <v>89.6999999999997</v>
      </c>
    </row>
    <row r="703" customFormat="false" ht="12.8" hidden="false" customHeight="false" outlineLevel="0" collapsed="false">
      <c r="A703" s="5" t="n">
        <v>3.45499999999999</v>
      </c>
      <c r="B703" s="5" t="n">
        <f aca="false">A703*VOFLB</f>
        <v>89.8299999999997</v>
      </c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 t="e">
        <f aca="false">0.000001*('Design Worksheet'!B$88)*(B703-B702)/E$232+M702</f>
        <v>#N/A</v>
      </c>
      <c r="N703" s="5" t="n">
        <f aca="false">B703</f>
        <v>89.8299999999997</v>
      </c>
    </row>
    <row r="704" customFormat="false" ht="12.8" hidden="false" customHeight="false" outlineLevel="0" collapsed="false">
      <c r="A704" s="5" t="n">
        <v>3.45999999999999</v>
      </c>
      <c r="B704" s="5" t="n">
        <f aca="false">A704*VOFLB</f>
        <v>89.9599999999998</v>
      </c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 t="e">
        <f aca="false">0.000001*('Design Worksheet'!B$88)*(B704-B703)/E$232+M703</f>
        <v>#N/A</v>
      </c>
      <c r="N704" s="5" t="n">
        <f aca="false">B704</f>
        <v>89.9599999999998</v>
      </c>
    </row>
    <row r="705" customFormat="false" ht="12.8" hidden="false" customHeight="false" outlineLevel="0" collapsed="false">
      <c r="A705" s="5" t="n">
        <v>3.46499999999999</v>
      </c>
      <c r="B705" s="5" t="n">
        <f aca="false">A705*VOFLB</f>
        <v>90.0899999999998</v>
      </c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 t="e">
        <f aca="false">0.000001*('Design Worksheet'!B$88)*(B705-B704)/E$232+M704</f>
        <v>#N/A</v>
      </c>
      <c r="N705" s="5" t="n">
        <f aca="false">B705</f>
        <v>90.0899999999998</v>
      </c>
    </row>
    <row r="706" customFormat="false" ht="12.8" hidden="false" customHeight="false" outlineLevel="0" collapsed="false">
      <c r="A706" s="5" t="n">
        <v>3.46999999999999</v>
      </c>
      <c r="B706" s="5" t="n">
        <f aca="false">A706*VOFLB</f>
        <v>90.2199999999997</v>
      </c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 t="e">
        <f aca="false">0.000001*('Design Worksheet'!B$88)*(B706-B705)/E$232+M705</f>
        <v>#N/A</v>
      </c>
      <c r="N706" s="5" t="n">
        <f aca="false">B706</f>
        <v>90.2199999999997</v>
      </c>
    </row>
    <row r="707" customFormat="false" ht="12.8" hidden="false" customHeight="false" outlineLevel="0" collapsed="false">
      <c r="A707" s="5" t="n">
        <v>3.47499999999999</v>
      </c>
      <c r="B707" s="5" t="n">
        <f aca="false">A707*VOFLB</f>
        <v>90.3499999999997</v>
      </c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 t="e">
        <f aca="false">0.000001*('Design Worksheet'!B$88)*(B707-B706)/E$232+M706</f>
        <v>#N/A</v>
      </c>
      <c r="N707" s="5" t="n">
        <f aca="false">B707</f>
        <v>90.3499999999997</v>
      </c>
    </row>
    <row r="708" customFormat="false" ht="12.8" hidden="false" customHeight="false" outlineLevel="0" collapsed="false">
      <c r="A708" s="5" t="n">
        <v>3.47999999999999</v>
      </c>
      <c r="B708" s="5" t="n">
        <f aca="false">A708*VOFLB</f>
        <v>90.4799999999998</v>
      </c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 t="e">
        <f aca="false">0.000001*('Design Worksheet'!B$88)*(B708-B707)/E$232+M707</f>
        <v>#N/A</v>
      </c>
      <c r="N708" s="5" t="n">
        <f aca="false">B708</f>
        <v>90.4799999999998</v>
      </c>
    </row>
    <row r="709" customFormat="false" ht="12.8" hidden="false" customHeight="false" outlineLevel="0" collapsed="false">
      <c r="A709" s="5" t="n">
        <v>3.48499999999999</v>
      </c>
      <c r="B709" s="5" t="n">
        <f aca="false">A709*VOFLB</f>
        <v>90.6099999999997</v>
      </c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 t="e">
        <f aca="false">0.000001*('Design Worksheet'!B$88)*(B709-B708)/E$232+M708</f>
        <v>#N/A</v>
      </c>
      <c r="N709" s="5" t="n">
        <f aca="false">B709</f>
        <v>90.6099999999997</v>
      </c>
    </row>
    <row r="710" customFormat="false" ht="12.8" hidden="false" customHeight="false" outlineLevel="0" collapsed="false">
      <c r="A710" s="5" t="n">
        <v>3.48999999999999</v>
      </c>
      <c r="B710" s="5" t="n">
        <f aca="false">A710*VOFLB</f>
        <v>90.7399999999997</v>
      </c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 t="e">
        <f aca="false">0.000001*('Design Worksheet'!B$88)*(B710-B709)/E$232+M709</f>
        <v>#N/A</v>
      </c>
      <c r="N710" s="5" t="n">
        <f aca="false">B710</f>
        <v>90.7399999999997</v>
      </c>
    </row>
    <row r="711" customFormat="false" ht="12.8" hidden="false" customHeight="false" outlineLevel="0" collapsed="false">
      <c r="A711" s="5" t="n">
        <v>3.49499999999999</v>
      </c>
      <c r="B711" s="5" t="n">
        <f aca="false">A711*VOFLB</f>
        <v>90.8699999999997</v>
      </c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 t="e">
        <f aca="false">0.000001*('Design Worksheet'!B$88)*(B711-B710)/E$232+M710</f>
        <v>#N/A</v>
      </c>
      <c r="N711" s="5" t="n">
        <f aca="false">B711</f>
        <v>90.8699999999997</v>
      </c>
    </row>
    <row r="712" customFormat="false" ht="12.8" hidden="false" customHeight="false" outlineLevel="0" collapsed="false">
      <c r="A712" s="5" t="n">
        <v>3.49999999999999</v>
      </c>
      <c r="B712" s="5" t="n">
        <f aca="false">A712*VOFLB</f>
        <v>90.9999999999997</v>
      </c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 t="e">
        <f aca="false">0.000001*('Design Worksheet'!B$88)*(B712-B711)/E$232+M711</f>
        <v>#N/A</v>
      </c>
      <c r="N712" s="5" t="n">
        <f aca="false">B712</f>
        <v>90.9999999999997</v>
      </c>
    </row>
    <row r="713" customFormat="false" ht="12.8" hidden="false" customHeight="false" outlineLevel="0" collapsed="false">
      <c r="A713" s="5" t="n">
        <v>3.50499999999999</v>
      </c>
      <c r="B713" s="5" t="n">
        <f aca="false">A713*VOFLB</f>
        <v>91.1299999999997</v>
      </c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 t="e">
        <f aca="false">0.000001*('Design Worksheet'!B$88)*(B713-B712)/E$232+M712</f>
        <v>#N/A</v>
      </c>
      <c r="N713" s="5" t="n">
        <f aca="false">B713</f>
        <v>91.1299999999997</v>
      </c>
    </row>
    <row r="714" customFormat="false" ht="12.8" hidden="false" customHeight="false" outlineLevel="0" collapsed="false">
      <c r="A714" s="5" t="n">
        <v>3.50999999999999</v>
      </c>
      <c r="B714" s="5" t="n">
        <f aca="false">A714*VOFLB</f>
        <v>91.2599999999997</v>
      </c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 t="e">
        <f aca="false">0.000001*('Design Worksheet'!B$88)*(B714-B713)/E$232+M713</f>
        <v>#N/A</v>
      </c>
      <c r="N714" s="5" t="n">
        <f aca="false">B714</f>
        <v>91.2599999999997</v>
      </c>
    </row>
    <row r="715" customFormat="false" ht="12.8" hidden="false" customHeight="false" outlineLevel="0" collapsed="false">
      <c r="A715" s="5" t="n">
        <v>3.51499999999999</v>
      </c>
      <c r="B715" s="5" t="n">
        <f aca="false">A715*VOFLB</f>
        <v>91.3899999999997</v>
      </c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 t="e">
        <f aca="false">0.000001*('Design Worksheet'!B$88)*(B715-B714)/E$232+M714</f>
        <v>#N/A</v>
      </c>
      <c r="N715" s="5" t="n">
        <f aca="false">B715</f>
        <v>91.3899999999997</v>
      </c>
    </row>
    <row r="716" customFormat="false" ht="12.8" hidden="false" customHeight="false" outlineLevel="0" collapsed="false">
      <c r="A716" s="5" t="n">
        <v>3.51999999999999</v>
      </c>
      <c r="B716" s="5" t="n">
        <f aca="false">A716*VOFLB</f>
        <v>91.5199999999997</v>
      </c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 t="e">
        <f aca="false">0.000001*('Design Worksheet'!B$88)*(B716-B715)/E$232+M715</f>
        <v>#N/A</v>
      </c>
      <c r="N716" s="5" t="n">
        <f aca="false">B716</f>
        <v>91.5199999999997</v>
      </c>
    </row>
    <row r="717" customFormat="false" ht="12.8" hidden="false" customHeight="false" outlineLevel="0" collapsed="false">
      <c r="A717" s="5" t="n">
        <v>3.52499999999999</v>
      </c>
      <c r="B717" s="5" t="n">
        <f aca="false">A717*VOFLB</f>
        <v>91.6499999999998</v>
      </c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 t="e">
        <f aca="false">0.000001*('Design Worksheet'!B$88)*(B717-B716)/E$232+M716</f>
        <v>#N/A</v>
      </c>
      <c r="N717" s="5" t="n">
        <f aca="false">B717</f>
        <v>91.6499999999998</v>
      </c>
    </row>
    <row r="718" customFormat="false" ht="12.8" hidden="false" customHeight="false" outlineLevel="0" collapsed="false">
      <c r="A718" s="5" t="n">
        <v>3.52999999999999</v>
      </c>
      <c r="B718" s="5" t="n">
        <f aca="false">A718*VOFLB</f>
        <v>91.7799999999998</v>
      </c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 t="e">
        <f aca="false">0.000001*('Design Worksheet'!B$88)*(B718-B717)/E$232+M717</f>
        <v>#N/A</v>
      </c>
      <c r="N718" s="5" t="n">
        <f aca="false">B718</f>
        <v>91.7799999999998</v>
      </c>
    </row>
    <row r="719" customFormat="false" ht="12.8" hidden="false" customHeight="false" outlineLevel="0" collapsed="false">
      <c r="A719" s="5" t="n">
        <v>3.53499999999999</v>
      </c>
      <c r="B719" s="5" t="n">
        <f aca="false">A719*VOFLB</f>
        <v>91.9099999999997</v>
      </c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 t="e">
        <f aca="false">0.000001*('Design Worksheet'!B$88)*(B719-B718)/E$232+M718</f>
        <v>#N/A</v>
      </c>
      <c r="N719" s="5" t="n">
        <f aca="false">B719</f>
        <v>91.9099999999997</v>
      </c>
    </row>
    <row r="720" customFormat="false" ht="12.8" hidden="false" customHeight="false" outlineLevel="0" collapsed="false">
      <c r="A720" s="5" t="n">
        <v>3.53999999999999</v>
      </c>
      <c r="B720" s="5" t="n">
        <f aca="false">A720*VOFLB</f>
        <v>92.0399999999997</v>
      </c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 t="e">
        <f aca="false">0.000001*('Design Worksheet'!B$88)*(B720-B719)/E$232+M719</f>
        <v>#N/A</v>
      </c>
      <c r="N720" s="5" t="n">
        <f aca="false">B720</f>
        <v>92.0399999999997</v>
      </c>
    </row>
    <row r="721" customFormat="false" ht="12.8" hidden="false" customHeight="false" outlineLevel="0" collapsed="false">
      <c r="A721" s="5" t="n">
        <v>3.54499999999999</v>
      </c>
      <c r="B721" s="5" t="n">
        <f aca="false">A721*VOFLB</f>
        <v>92.1699999999998</v>
      </c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 t="e">
        <f aca="false">0.000001*('Design Worksheet'!B$88)*(B721-B720)/E$232+M720</f>
        <v>#N/A</v>
      </c>
      <c r="N721" s="5" t="n">
        <f aca="false">B721</f>
        <v>92.1699999999998</v>
      </c>
    </row>
    <row r="722" customFormat="false" ht="12.8" hidden="false" customHeight="false" outlineLevel="0" collapsed="false">
      <c r="A722" s="5" t="n">
        <v>3.54999999999999</v>
      </c>
      <c r="B722" s="5" t="n">
        <f aca="false">A722*VOFLB</f>
        <v>92.2999999999997</v>
      </c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 t="e">
        <f aca="false">0.000001*('Design Worksheet'!B$88)*(B722-B721)/E$232+M721</f>
        <v>#N/A</v>
      </c>
      <c r="N722" s="5" t="n">
        <f aca="false">B722</f>
        <v>92.2999999999997</v>
      </c>
    </row>
    <row r="723" customFormat="false" ht="12.8" hidden="false" customHeight="false" outlineLevel="0" collapsed="false">
      <c r="A723" s="5" t="n">
        <v>3.55499999999999</v>
      </c>
      <c r="B723" s="5" t="n">
        <f aca="false">A723*VOFLB</f>
        <v>92.4299999999997</v>
      </c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 t="e">
        <f aca="false">0.000001*('Design Worksheet'!B$88)*(B723-B722)/E$232+M722</f>
        <v>#N/A</v>
      </c>
      <c r="N723" s="5" t="n">
        <f aca="false">B723</f>
        <v>92.4299999999997</v>
      </c>
    </row>
    <row r="724" customFormat="false" ht="12.8" hidden="false" customHeight="false" outlineLevel="0" collapsed="false">
      <c r="A724" s="5" t="n">
        <v>3.55999999999999</v>
      </c>
      <c r="B724" s="5" t="n">
        <f aca="false">A724*VOFLB</f>
        <v>92.5599999999997</v>
      </c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 t="e">
        <f aca="false">0.000001*('Design Worksheet'!B$88)*(B724-B723)/E$232+M723</f>
        <v>#N/A</v>
      </c>
      <c r="N724" s="5" t="n">
        <f aca="false">B724</f>
        <v>92.5599999999997</v>
      </c>
    </row>
    <row r="725" customFormat="false" ht="12.8" hidden="false" customHeight="false" outlineLevel="0" collapsed="false">
      <c r="A725" s="5" t="n">
        <v>3.56499999999999</v>
      </c>
      <c r="B725" s="5" t="n">
        <f aca="false">A725*VOFLB</f>
        <v>92.6899999999997</v>
      </c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 t="e">
        <f aca="false">0.000001*('Design Worksheet'!B$88)*(B725-B724)/E$232+M724</f>
        <v>#N/A</v>
      </c>
      <c r="N725" s="5" t="n">
        <f aca="false">B725</f>
        <v>92.6899999999997</v>
      </c>
    </row>
    <row r="726" customFormat="false" ht="12.8" hidden="false" customHeight="false" outlineLevel="0" collapsed="false">
      <c r="A726" s="5" t="n">
        <v>3.56999999999999</v>
      </c>
      <c r="B726" s="5" t="n">
        <f aca="false">A726*VOFLB</f>
        <v>92.8199999999997</v>
      </c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 t="e">
        <f aca="false">0.000001*('Design Worksheet'!B$88)*(B726-B725)/E$232+M725</f>
        <v>#N/A</v>
      </c>
      <c r="N726" s="5" t="n">
        <f aca="false">B726</f>
        <v>92.8199999999997</v>
      </c>
    </row>
    <row r="727" customFormat="false" ht="12.8" hidden="false" customHeight="false" outlineLevel="0" collapsed="false">
      <c r="A727" s="5" t="n">
        <v>3.57499999999999</v>
      </c>
      <c r="B727" s="5" t="n">
        <f aca="false">A727*VOFLB</f>
        <v>92.9499999999997</v>
      </c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 t="e">
        <f aca="false">0.000001*('Design Worksheet'!B$88)*(B727-B726)/E$232+M726</f>
        <v>#N/A</v>
      </c>
      <c r="N727" s="5" t="n">
        <f aca="false">B727</f>
        <v>92.9499999999997</v>
      </c>
    </row>
    <row r="728" customFormat="false" ht="12.8" hidden="false" customHeight="false" outlineLevel="0" collapsed="false">
      <c r="A728" s="5" t="n">
        <v>3.57999999999999</v>
      </c>
      <c r="B728" s="5" t="n">
        <f aca="false">A728*VOFLB</f>
        <v>93.0799999999997</v>
      </c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 t="e">
        <f aca="false">0.000001*('Design Worksheet'!B$88)*(B728-B727)/E$232+M727</f>
        <v>#N/A</v>
      </c>
      <c r="N728" s="5" t="n">
        <f aca="false">B728</f>
        <v>93.0799999999997</v>
      </c>
    </row>
    <row r="729" customFormat="false" ht="12.8" hidden="false" customHeight="false" outlineLevel="0" collapsed="false">
      <c r="A729" s="5" t="n">
        <v>3.58499999999999</v>
      </c>
      <c r="B729" s="5" t="n">
        <f aca="false">A729*VOFLB</f>
        <v>93.2099999999998</v>
      </c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 t="e">
        <f aca="false">0.000001*('Design Worksheet'!B$88)*(B729-B728)/E$232+M728</f>
        <v>#N/A</v>
      </c>
      <c r="N729" s="5" t="n">
        <f aca="false">B729</f>
        <v>93.2099999999998</v>
      </c>
    </row>
    <row r="730" customFormat="false" ht="12.8" hidden="false" customHeight="false" outlineLevel="0" collapsed="false">
      <c r="A730" s="5" t="n">
        <v>3.58999999999999</v>
      </c>
      <c r="B730" s="5" t="n">
        <f aca="false">A730*VOFLB</f>
        <v>93.3399999999998</v>
      </c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 t="e">
        <f aca="false">0.000001*('Design Worksheet'!B$88)*(B730-B729)/E$232+M729</f>
        <v>#N/A</v>
      </c>
      <c r="N730" s="5" t="n">
        <f aca="false">B730</f>
        <v>93.3399999999998</v>
      </c>
    </row>
    <row r="731" customFormat="false" ht="12.8" hidden="false" customHeight="false" outlineLevel="0" collapsed="false">
      <c r="A731" s="5" t="n">
        <v>3.59499999999999</v>
      </c>
      <c r="B731" s="5" t="n">
        <f aca="false">A731*VOFLB</f>
        <v>93.4699999999997</v>
      </c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 t="e">
        <f aca="false">0.000001*('Design Worksheet'!B$88)*(B731-B730)/E$232+M730</f>
        <v>#N/A</v>
      </c>
      <c r="N731" s="5" t="n">
        <f aca="false">B731</f>
        <v>93.4699999999997</v>
      </c>
    </row>
    <row r="732" customFormat="false" ht="12.8" hidden="false" customHeight="false" outlineLevel="0" collapsed="false">
      <c r="A732" s="5" t="n">
        <v>3.59999999999999</v>
      </c>
      <c r="B732" s="5" t="n">
        <f aca="false">A732*VOFLB</f>
        <v>93.5999999999997</v>
      </c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 t="e">
        <f aca="false">0.000001*('Design Worksheet'!B$88)*(B732-B731)/E$232+M731</f>
        <v>#N/A</v>
      </c>
      <c r="N732" s="5" t="n">
        <f aca="false">B732</f>
        <v>93.5999999999997</v>
      </c>
    </row>
    <row r="733" customFormat="false" ht="12.8" hidden="false" customHeight="false" outlineLevel="0" collapsed="false">
      <c r="A733" s="5" t="n">
        <v>3.60499999999999</v>
      </c>
      <c r="B733" s="5" t="n">
        <f aca="false">A733*VOFLB</f>
        <v>93.7299999999998</v>
      </c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 t="e">
        <f aca="false">0.000001*('Design Worksheet'!B$88)*(B733-B732)/E$232+M732</f>
        <v>#N/A</v>
      </c>
      <c r="N733" s="5" t="n">
        <f aca="false">B733</f>
        <v>93.7299999999998</v>
      </c>
    </row>
    <row r="734" customFormat="false" ht="12.8" hidden="false" customHeight="false" outlineLevel="0" collapsed="false">
      <c r="A734" s="5" t="n">
        <v>3.60999999999999</v>
      </c>
      <c r="B734" s="5" t="n">
        <f aca="false">A734*VOFLB</f>
        <v>93.8599999999997</v>
      </c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 t="e">
        <f aca="false">0.000001*('Design Worksheet'!B$88)*(B734-B733)/E$232+M733</f>
        <v>#N/A</v>
      </c>
      <c r="N734" s="5" t="n">
        <f aca="false">B734</f>
        <v>93.8599999999997</v>
      </c>
    </row>
    <row r="735" customFormat="false" ht="12.8" hidden="false" customHeight="false" outlineLevel="0" collapsed="false">
      <c r="A735" s="5" t="n">
        <v>3.61499999999999</v>
      </c>
      <c r="B735" s="5" t="n">
        <f aca="false">A735*VOFLB</f>
        <v>93.9899999999997</v>
      </c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 t="e">
        <f aca="false">0.000001*('Design Worksheet'!B$88)*(B735-B734)/E$232+M734</f>
        <v>#N/A</v>
      </c>
      <c r="N735" s="5" t="n">
        <f aca="false">B735</f>
        <v>93.9899999999997</v>
      </c>
    </row>
    <row r="736" customFormat="false" ht="12.8" hidden="false" customHeight="false" outlineLevel="0" collapsed="false">
      <c r="A736" s="5" t="n">
        <v>3.61999999999999</v>
      </c>
      <c r="B736" s="5" t="n">
        <f aca="false">A736*VOFLB</f>
        <v>94.1199999999997</v>
      </c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 t="e">
        <f aca="false">0.000001*('Design Worksheet'!B$88)*(B736-B735)/E$232+M735</f>
        <v>#N/A</v>
      </c>
      <c r="N736" s="5" t="n">
        <f aca="false">B736</f>
        <v>94.1199999999997</v>
      </c>
    </row>
    <row r="737" customFormat="false" ht="12.8" hidden="false" customHeight="false" outlineLevel="0" collapsed="false">
      <c r="A737" s="5" t="n">
        <v>3.62499999999999</v>
      </c>
      <c r="B737" s="5" t="n">
        <f aca="false">A737*VOFLB</f>
        <v>94.2499999999997</v>
      </c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 t="e">
        <f aca="false">0.000001*('Design Worksheet'!B$88)*(B737-B736)/E$232+M736</f>
        <v>#N/A</v>
      </c>
      <c r="N737" s="5" t="n">
        <f aca="false">B737</f>
        <v>94.2499999999997</v>
      </c>
    </row>
    <row r="738" customFormat="false" ht="12.8" hidden="false" customHeight="false" outlineLevel="0" collapsed="false">
      <c r="A738" s="5" t="n">
        <v>3.62999999999999</v>
      </c>
      <c r="B738" s="5" t="n">
        <f aca="false">A738*VOFLB</f>
        <v>94.3799999999997</v>
      </c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 t="e">
        <f aca="false">0.000001*('Design Worksheet'!B$88)*(B738-B737)/E$232+M737</f>
        <v>#N/A</v>
      </c>
      <c r="N738" s="5" t="n">
        <f aca="false">B738</f>
        <v>94.3799999999997</v>
      </c>
    </row>
    <row r="739" customFormat="false" ht="12.8" hidden="false" customHeight="false" outlineLevel="0" collapsed="false">
      <c r="A739" s="5" t="n">
        <v>3.63499999999999</v>
      </c>
      <c r="B739" s="5" t="n">
        <f aca="false">A739*VOFLB</f>
        <v>94.5099999999997</v>
      </c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 t="e">
        <f aca="false">0.000001*('Design Worksheet'!B$88)*(B739-B738)/E$232+M738</f>
        <v>#N/A</v>
      </c>
      <c r="N739" s="5" t="n">
        <f aca="false">B739</f>
        <v>94.5099999999997</v>
      </c>
    </row>
    <row r="740" customFormat="false" ht="12.8" hidden="false" customHeight="false" outlineLevel="0" collapsed="false">
      <c r="A740" s="5" t="n">
        <v>3.63999999999999</v>
      </c>
      <c r="B740" s="5" t="n">
        <f aca="false">A740*VOFLB</f>
        <v>94.6399999999997</v>
      </c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 t="e">
        <f aca="false">0.000001*('Design Worksheet'!B$88)*(B740-B739)/E$232+M739</f>
        <v>#N/A</v>
      </c>
      <c r="N740" s="5" t="n">
        <f aca="false">B740</f>
        <v>94.6399999999997</v>
      </c>
    </row>
    <row r="741" customFormat="false" ht="12.8" hidden="false" customHeight="false" outlineLevel="0" collapsed="false">
      <c r="A741" s="5" t="n">
        <v>3.64499999999999</v>
      </c>
      <c r="B741" s="5" t="n">
        <f aca="false">A741*VOFLB</f>
        <v>94.7699999999997</v>
      </c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 t="e">
        <f aca="false">0.000001*('Design Worksheet'!B$88)*(B741-B740)/E$232+M740</f>
        <v>#N/A</v>
      </c>
      <c r="N741" s="5" t="n">
        <f aca="false">B741</f>
        <v>94.7699999999997</v>
      </c>
    </row>
    <row r="742" customFormat="false" ht="12.8" hidden="false" customHeight="false" outlineLevel="0" collapsed="false">
      <c r="A742" s="5" t="n">
        <v>3.64999999999999</v>
      </c>
      <c r="B742" s="5" t="n">
        <f aca="false">A742*VOFLB</f>
        <v>94.8999999999998</v>
      </c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 t="e">
        <f aca="false">0.000001*('Design Worksheet'!B$88)*(B742-B741)/E$232+M741</f>
        <v>#N/A</v>
      </c>
      <c r="N742" s="5" t="n">
        <f aca="false">B742</f>
        <v>94.8999999999998</v>
      </c>
    </row>
    <row r="743" customFormat="false" ht="12.8" hidden="false" customHeight="false" outlineLevel="0" collapsed="false">
      <c r="A743" s="5" t="n">
        <v>3.65499999999999</v>
      </c>
      <c r="B743" s="5" t="n">
        <f aca="false">A743*VOFLB</f>
        <v>95.0299999999998</v>
      </c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 t="e">
        <f aca="false">0.000001*('Design Worksheet'!B$88)*(B743-B742)/E$232+M742</f>
        <v>#N/A</v>
      </c>
      <c r="N743" s="5" t="n">
        <f aca="false">B743</f>
        <v>95.0299999999998</v>
      </c>
    </row>
    <row r="744" customFormat="false" ht="12.8" hidden="false" customHeight="false" outlineLevel="0" collapsed="false">
      <c r="A744" s="5" t="n">
        <v>3.65999999999999</v>
      </c>
      <c r="B744" s="5" t="n">
        <f aca="false">A744*VOFLB</f>
        <v>95.1599999999997</v>
      </c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 t="e">
        <f aca="false">0.000001*('Design Worksheet'!B$88)*(B744-B743)/E$232+M743</f>
        <v>#N/A</v>
      </c>
      <c r="N744" s="5" t="n">
        <f aca="false">B744</f>
        <v>95.1599999999997</v>
      </c>
    </row>
    <row r="745" customFormat="false" ht="12.8" hidden="false" customHeight="false" outlineLevel="0" collapsed="false">
      <c r="A745" s="5" t="n">
        <v>3.66499999999999</v>
      </c>
      <c r="B745" s="5" t="n">
        <f aca="false">A745*VOFLB</f>
        <v>95.2899999999997</v>
      </c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 t="e">
        <f aca="false">0.000001*('Design Worksheet'!B$88)*(B745-B744)/E$232+M744</f>
        <v>#N/A</v>
      </c>
      <c r="N745" s="5" t="n">
        <f aca="false">B745</f>
        <v>95.2899999999997</v>
      </c>
    </row>
    <row r="746" customFormat="false" ht="12.8" hidden="false" customHeight="false" outlineLevel="0" collapsed="false">
      <c r="A746" s="5" t="n">
        <v>3.66999999999999</v>
      </c>
      <c r="B746" s="5" t="n">
        <f aca="false">A746*VOFLB</f>
        <v>95.4199999999998</v>
      </c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 t="e">
        <f aca="false">0.000001*('Design Worksheet'!B$88)*(B746-B745)/E$232+M745</f>
        <v>#N/A</v>
      </c>
      <c r="N746" s="5" t="n">
        <f aca="false">B746</f>
        <v>95.4199999999998</v>
      </c>
    </row>
    <row r="747" customFormat="false" ht="12.8" hidden="false" customHeight="false" outlineLevel="0" collapsed="false">
      <c r="A747" s="5" t="n">
        <v>3.67499999999999</v>
      </c>
      <c r="B747" s="5" t="n">
        <f aca="false">A747*VOFLB</f>
        <v>95.5499999999997</v>
      </c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 t="e">
        <f aca="false">0.000001*('Design Worksheet'!B$88)*(B747-B746)/E$232+M746</f>
        <v>#N/A</v>
      </c>
      <c r="N747" s="5" t="n">
        <f aca="false">B747</f>
        <v>95.5499999999997</v>
      </c>
    </row>
    <row r="748" customFormat="false" ht="12.8" hidden="false" customHeight="false" outlineLevel="0" collapsed="false">
      <c r="A748" s="5" t="n">
        <v>3.67999999999999</v>
      </c>
      <c r="B748" s="5" t="n">
        <f aca="false">A748*VOFLB</f>
        <v>95.6799999999997</v>
      </c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 t="e">
        <f aca="false">0.000001*('Design Worksheet'!B$88)*(B748-B747)/E$232+M747</f>
        <v>#N/A</v>
      </c>
      <c r="N748" s="5" t="n">
        <f aca="false">B748</f>
        <v>95.6799999999997</v>
      </c>
    </row>
    <row r="749" customFormat="false" ht="12.8" hidden="false" customHeight="false" outlineLevel="0" collapsed="false">
      <c r="A749" s="5" t="n">
        <v>3.68499999999999</v>
      </c>
      <c r="B749" s="5" t="n">
        <f aca="false">A749*VOFLB</f>
        <v>95.8099999999997</v>
      </c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 t="e">
        <f aca="false">0.000001*('Design Worksheet'!B$88)*(B749-B748)/E$232+M748</f>
        <v>#N/A</v>
      </c>
      <c r="N749" s="5" t="n">
        <f aca="false">B749</f>
        <v>95.8099999999997</v>
      </c>
    </row>
    <row r="750" customFormat="false" ht="12.8" hidden="false" customHeight="false" outlineLevel="0" collapsed="false">
      <c r="A750" s="5" t="n">
        <v>3.68999999999999</v>
      </c>
      <c r="B750" s="5" t="n">
        <f aca="false">A750*VOFLB</f>
        <v>95.9399999999997</v>
      </c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 t="e">
        <f aca="false">0.000001*('Design Worksheet'!B$88)*(B750-B749)/E$232+M749</f>
        <v>#N/A</v>
      </c>
      <c r="N750" s="5" t="n">
        <f aca="false">B750</f>
        <v>95.9399999999997</v>
      </c>
    </row>
    <row r="751" customFormat="false" ht="12.8" hidden="false" customHeight="false" outlineLevel="0" collapsed="false">
      <c r="A751" s="5" t="n">
        <v>3.69499999999999</v>
      </c>
      <c r="B751" s="5" t="n">
        <f aca="false">A751*VOFLB</f>
        <v>96.0699999999997</v>
      </c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 t="e">
        <f aca="false">0.000001*('Design Worksheet'!B$88)*(B751-B750)/E$232+M750</f>
        <v>#N/A</v>
      </c>
      <c r="N751" s="5" t="n">
        <f aca="false">B751</f>
        <v>96.0699999999997</v>
      </c>
    </row>
    <row r="752" customFormat="false" ht="12.8" hidden="false" customHeight="false" outlineLevel="0" collapsed="false">
      <c r="A752" s="5" t="n">
        <v>3.69999999999999</v>
      </c>
      <c r="B752" s="5" t="n">
        <f aca="false">A752*VOFLB</f>
        <v>96.1999999999997</v>
      </c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 t="e">
        <f aca="false">0.000001*('Design Worksheet'!B$88)*(B752-B751)/E$232+M751</f>
        <v>#N/A</v>
      </c>
      <c r="N752" s="5" t="n">
        <f aca="false">B752</f>
        <v>96.1999999999997</v>
      </c>
    </row>
    <row r="753" customFormat="false" ht="12.8" hidden="false" customHeight="false" outlineLevel="0" collapsed="false">
      <c r="A753" s="5" t="n">
        <v>3.70499999999998</v>
      </c>
      <c r="B753" s="5" t="n">
        <f aca="false">A753*VOFLB</f>
        <v>96.3299999999995</v>
      </c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 t="e">
        <f aca="false">0.000001*('Design Worksheet'!B$88)*(B753-B752)/E$232+M752</f>
        <v>#N/A</v>
      </c>
      <c r="N753" s="5" t="n">
        <f aca="false">B753</f>
        <v>96.3299999999995</v>
      </c>
    </row>
    <row r="754" customFormat="false" ht="12.8" hidden="false" customHeight="false" outlineLevel="0" collapsed="false">
      <c r="A754" s="5" t="n">
        <v>3.70999999999998</v>
      </c>
      <c r="B754" s="5" t="n">
        <f aca="false">A754*VOFLB</f>
        <v>96.4599999999995</v>
      </c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 t="e">
        <f aca="false">0.000001*('Design Worksheet'!B$88)*(B754-B753)/E$232+M753</f>
        <v>#N/A</v>
      </c>
      <c r="N754" s="5" t="n">
        <f aca="false">B754</f>
        <v>96.4599999999995</v>
      </c>
    </row>
    <row r="755" customFormat="false" ht="12.8" hidden="false" customHeight="false" outlineLevel="0" collapsed="false">
      <c r="A755" s="5" t="n">
        <v>3.71499999999998</v>
      </c>
      <c r="B755" s="5" t="n">
        <f aca="false">A755*VOFLB</f>
        <v>96.5899999999995</v>
      </c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 t="e">
        <f aca="false">0.000001*('Design Worksheet'!B$88)*(B755-B754)/E$232+M754</f>
        <v>#N/A</v>
      </c>
      <c r="N755" s="5" t="n">
        <f aca="false">B755</f>
        <v>96.5899999999995</v>
      </c>
    </row>
    <row r="756" customFormat="false" ht="12.8" hidden="false" customHeight="false" outlineLevel="0" collapsed="false">
      <c r="A756" s="5" t="n">
        <v>3.71999999999998</v>
      </c>
      <c r="B756" s="5" t="n">
        <f aca="false">A756*VOFLB</f>
        <v>96.7199999999995</v>
      </c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 t="e">
        <f aca="false">0.000001*('Design Worksheet'!B$88)*(B756-B755)/E$232+M755</f>
        <v>#N/A</v>
      </c>
      <c r="N756" s="5" t="n">
        <f aca="false">B756</f>
        <v>96.7199999999995</v>
      </c>
    </row>
    <row r="757" customFormat="false" ht="12.8" hidden="false" customHeight="false" outlineLevel="0" collapsed="false">
      <c r="A757" s="5" t="n">
        <v>3.72499999999998</v>
      </c>
      <c r="B757" s="5" t="n">
        <f aca="false">A757*VOFLB</f>
        <v>96.8499999999995</v>
      </c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 t="e">
        <f aca="false">0.000001*('Design Worksheet'!B$88)*(B757-B756)/E$232+M756</f>
        <v>#N/A</v>
      </c>
      <c r="N757" s="5" t="n">
        <f aca="false">B757</f>
        <v>96.8499999999995</v>
      </c>
    </row>
    <row r="758" customFormat="false" ht="12.8" hidden="false" customHeight="false" outlineLevel="0" collapsed="false">
      <c r="A758" s="5" t="n">
        <v>3.72999999999998</v>
      </c>
      <c r="B758" s="5" t="n">
        <f aca="false">A758*VOFLB</f>
        <v>96.9799999999995</v>
      </c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 t="e">
        <f aca="false">0.000001*('Design Worksheet'!B$88)*(B758-B757)/E$232+M757</f>
        <v>#N/A</v>
      </c>
      <c r="N758" s="5" t="n">
        <f aca="false">B758</f>
        <v>96.9799999999995</v>
      </c>
    </row>
    <row r="759" customFormat="false" ht="12.8" hidden="false" customHeight="false" outlineLevel="0" collapsed="false">
      <c r="A759" s="5" t="n">
        <v>3.73499999999998</v>
      </c>
      <c r="B759" s="5" t="n">
        <f aca="false">A759*VOFLB</f>
        <v>97.1099999999995</v>
      </c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 t="e">
        <f aca="false">0.000001*('Design Worksheet'!B$88)*(B759-B758)/E$232+M758</f>
        <v>#N/A</v>
      </c>
      <c r="N759" s="5" t="n">
        <f aca="false">B759</f>
        <v>97.1099999999995</v>
      </c>
    </row>
    <row r="760" customFormat="false" ht="12.8" hidden="false" customHeight="false" outlineLevel="0" collapsed="false">
      <c r="A760" s="5" t="n">
        <v>3.73999999999998</v>
      </c>
      <c r="B760" s="5" t="n">
        <f aca="false">A760*VOFLB</f>
        <v>97.2399999999995</v>
      </c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 t="e">
        <f aca="false">0.000001*('Design Worksheet'!B$88)*(B760-B759)/E$232+M759</f>
        <v>#N/A</v>
      </c>
      <c r="N760" s="5" t="n">
        <f aca="false">B760</f>
        <v>97.2399999999995</v>
      </c>
    </row>
    <row r="761" customFormat="false" ht="12.8" hidden="false" customHeight="false" outlineLevel="0" collapsed="false">
      <c r="A761" s="5" t="n">
        <v>3.74499999999998</v>
      </c>
      <c r="B761" s="5" t="n">
        <f aca="false">A761*VOFLB</f>
        <v>97.3699999999995</v>
      </c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 t="e">
        <f aca="false">0.000001*('Design Worksheet'!B$88)*(B761-B760)/E$232+M760</f>
        <v>#N/A</v>
      </c>
      <c r="N761" s="5" t="n">
        <f aca="false">B761</f>
        <v>97.3699999999995</v>
      </c>
    </row>
    <row r="762" customFormat="false" ht="12.8" hidden="false" customHeight="false" outlineLevel="0" collapsed="false">
      <c r="A762" s="5" t="n">
        <v>3.74999999999998</v>
      </c>
      <c r="B762" s="5" t="n">
        <f aca="false">A762*VOFLB</f>
        <v>97.4999999999995</v>
      </c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 t="e">
        <f aca="false">0.000001*('Design Worksheet'!B$88)*(B762-B761)/E$232+M761</f>
        <v>#N/A</v>
      </c>
      <c r="N762" s="5" t="n">
        <f aca="false">B762</f>
        <v>97.4999999999995</v>
      </c>
    </row>
    <row r="763" customFormat="false" ht="12.8" hidden="false" customHeight="false" outlineLevel="0" collapsed="false">
      <c r="A763" s="5" t="n">
        <v>3.75499999999998</v>
      </c>
      <c r="B763" s="5" t="n">
        <f aca="false">A763*VOFLB</f>
        <v>97.6299999999995</v>
      </c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 t="e">
        <f aca="false">0.000001*('Design Worksheet'!B$88)*(B763-B762)/E$232+M762</f>
        <v>#N/A</v>
      </c>
      <c r="N763" s="5" t="n">
        <f aca="false">B763</f>
        <v>97.6299999999995</v>
      </c>
    </row>
    <row r="764" customFormat="false" ht="12.8" hidden="false" customHeight="false" outlineLevel="0" collapsed="false">
      <c r="A764" s="5" t="n">
        <v>3.75999999999998</v>
      </c>
      <c r="B764" s="5" t="n">
        <f aca="false">A764*VOFLB</f>
        <v>97.7599999999995</v>
      </c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 t="e">
        <f aca="false">0.000001*('Design Worksheet'!B$88)*(B764-B763)/E$232+M763</f>
        <v>#N/A</v>
      </c>
      <c r="N764" s="5" t="n">
        <f aca="false">B764</f>
        <v>97.7599999999995</v>
      </c>
    </row>
    <row r="765" customFormat="false" ht="12.8" hidden="false" customHeight="false" outlineLevel="0" collapsed="false">
      <c r="A765" s="5" t="n">
        <v>3.76499999999998</v>
      </c>
      <c r="B765" s="5" t="n">
        <f aca="false">A765*VOFLB</f>
        <v>97.8899999999995</v>
      </c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 t="e">
        <f aca="false">0.000001*('Design Worksheet'!B$88)*(B765-B764)/E$232+M764</f>
        <v>#N/A</v>
      </c>
      <c r="N765" s="5" t="n">
        <f aca="false">B765</f>
        <v>97.8899999999995</v>
      </c>
    </row>
    <row r="766" customFormat="false" ht="12.8" hidden="false" customHeight="false" outlineLevel="0" collapsed="false">
      <c r="A766" s="5" t="n">
        <v>3.76999999999998</v>
      </c>
      <c r="B766" s="5" t="n">
        <f aca="false">A766*VOFLB</f>
        <v>98.0199999999995</v>
      </c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 t="e">
        <f aca="false">0.000001*('Design Worksheet'!B$88)*(B766-B765)/E$232+M765</f>
        <v>#N/A</v>
      </c>
      <c r="N766" s="5" t="n">
        <f aca="false">B766</f>
        <v>98.0199999999995</v>
      </c>
    </row>
    <row r="767" customFormat="false" ht="12.8" hidden="false" customHeight="false" outlineLevel="0" collapsed="false">
      <c r="A767" s="5" t="n">
        <v>3.77499999999998</v>
      </c>
      <c r="B767" s="5" t="n">
        <f aca="false">A767*VOFLB</f>
        <v>98.1499999999995</v>
      </c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 t="e">
        <f aca="false">0.000001*('Design Worksheet'!B$88)*(B767-B766)/E$232+M766</f>
        <v>#N/A</v>
      </c>
      <c r="N767" s="5" t="n">
        <f aca="false">B767</f>
        <v>98.1499999999995</v>
      </c>
    </row>
    <row r="768" customFormat="false" ht="12.8" hidden="false" customHeight="false" outlineLevel="0" collapsed="false">
      <c r="A768" s="5" t="n">
        <v>3.77999999999998</v>
      </c>
      <c r="B768" s="5" t="n">
        <f aca="false">A768*VOFLB</f>
        <v>98.2799999999995</v>
      </c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 t="e">
        <f aca="false">0.000001*('Design Worksheet'!B$88)*(B768-B767)/E$232+M767</f>
        <v>#N/A</v>
      </c>
      <c r="N768" s="5" t="n">
        <f aca="false">B768</f>
        <v>98.2799999999995</v>
      </c>
    </row>
    <row r="769" customFormat="false" ht="12.8" hidden="false" customHeight="false" outlineLevel="0" collapsed="false">
      <c r="A769" s="5" t="n">
        <v>3.78499999999998</v>
      </c>
      <c r="B769" s="5" t="n">
        <f aca="false">A769*VOFLB</f>
        <v>98.4099999999995</v>
      </c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 t="e">
        <f aca="false">0.000001*('Design Worksheet'!B$88)*(B769-B768)/E$232+M768</f>
        <v>#N/A</v>
      </c>
      <c r="N769" s="5" t="n">
        <f aca="false">B769</f>
        <v>98.4099999999995</v>
      </c>
    </row>
    <row r="770" customFormat="false" ht="12.8" hidden="false" customHeight="false" outlineLevel="0" collapsed="false">
      <c r="A770" s="5" t="n">
        <v>3.78999999999998</v>
      </c>
      <c r="B770" s="5" t="n">
        <f aca="false">A770*VOFLB</f>
        <v>98.5399999999995</v>
      </c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 t="e">
        <f aca="false">0.000001*('Design Worksheet'!B$88)*(B770-B769)/E$232+M769</f>
        <v>#N/A</v>
      </c>
      <c r="N770" s="5" t="n">
        <f aca="false">B770</f>
        <v>98.5399999999995</v>
      </c>
    </row>
    <row r="771" customFormat="false" ht="12.8" hidden="false" customHeight="false" outlineLevel="0" collapsed="false">
      <c r="A771" s="5" t="n">
        <v>3.79499999999998</v>
      </c>
      <c r="B771" s="5" t="n">
        <f aca="false">A771*VOFLB</f>
        <v>98.6699999999995</v>
      </c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 t="e">
        <f aca="false">0.000001*('Design Worksheet'!B$88)*(B771-B770)/E$232+M770</f>
        <v>#N/A</v>
      </c>
      <c r="N771" s="5" t="n">
        <f aca="false">B771</f>
        <v>98.6699999999995</v>
      </c>
    </row>
    <row r="772" customFormat="false" ht="12.8" hidden="false" customHeight="false" outlineLevel="0" collapsed="false">
      <c r="A772" s="5" t="n">
        <v>3.79999999999998</v>
      </c>
      <c r="B772" s="5" t="n">
        <f aca="false">A772*VOFLB</f>
        <v>98.7999999999995</v>
      </c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 t="e">
        <f aca="false">0.000001*('Design Worksheet'!B$88)*(B772-B771)/E$232+M771</f>
        <v>#N/A</v>
      </c>
      <c r="N772" s="5" t="n">
        <f aca="false">B772</f>
        <v>98.7999999999995</v>
      </c>
    </row>
    <row r="773" customFormat="false" ht="12.8" hidden="false" customHeight="false" outlineLevel="0" collapsed="false">
      <c r="A773" s="5" t="n">
        <v>3.80499999999998</v>
      </c>
      <c r="B773" s="5" t="n">
        <f aca="false">A773*VOFLB</f>
        <v>98.9299999999995</v>
      </c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 t="e">
        <f aca="false">0.000001*('Design Worksheet'!B$88)*(B773-B772)/E$232+M772</f>
        <v>#N/A</v>
      </c>
      <c r="N773" s="5" t="n">
        <f aca="false">B773</f>
        <v>98.9299999999995</v>
      </c>
    </row>
    <row r="774" customFormat="false" ht="12.8" hidden="false" customHeight="false" outlineLevel="0" collapsed="false">
      <c r="A774" s="5" t="n">
        <v>3.80999999999998</v>
      </c>
      <c r="B774" s="5" t="n">
        <f aca="false">A774*VOFLB</f>
        <v>99.0599999999995</v>
      </c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 t="e">
        <f aca="false">0.000001*('Design Worksheet'!B$88)*(B774-B773)/E$232+M773</f>
        <v>#N/A</v>
      </c>
      <c r="N774" s="5" t="n">
        <f aca="false">B774</f>
        <v>99.0599999999995</v>
      </c>
    </row>
    <row r="775" customFormat="false" ht="12.8" hidden="false" customHeight="false" outlineLevel="0" collapsed="false">
      <c r="A775" s="5" t="n">
        <v>3.81499999999998</v>
      </c>
      <c r="B775" s="5" t="n">
        <f aca="false">A775*VOFLB</f>
        <v>99.1899999999995</v>
      </c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 t="e">
        <f aca="false">0.000001*('Design Worksheet'!B$88)*(B775-B774)/E$232+M774</f>
        <v>#N/A</v>
      </c>
      <c r="N775" s="5" t="n">
        <f aca="false">B775</f>
        <v>99.1899999999995</v>
      </c>
    </row>
    <row r="776" customFormat="false" ht="12.8" hidden="false" customHeight="false" outlineLevel="0" collapsed="false">
      <c r="A776" s="5" t="n">
        <v>3.81999999999998</v>
      </c>
      <c r="B776" s="5" t="n">
        <f aca="false">A776*VOFLB</f>
        <v>99.3199999999995</v>
      </c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 t="e">
        <f aca="false">0.000001*('Design Worksheet'!B$88)*(B776-B775)/E$232+M775</f>
        <v>#N/A</v>
      </c>
      <c r="N776" s="5" t="n">
        <f aca="false">B776</f>
        <v>99.3199999999995</v>
      </c>
    </row>
    <row r="777" customFormat="false" ht="12.8" hidden="false" customHeight="false" outlineLevel="0" collapsed="false">
      <c r="A777" s="5" t="n">
        <v>3.82499999999998</v>
      </c>
      <c r="B777" s="5" t="n">
        <f aca="false">A777*VOFLB</f>
        <v>99.4499999999995</v>
      </c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 t="e">
        <f aca="false">0.000001*('Design Worksheet'!B$88)*(B777-B776)/E$232+M776</f>
        <v>#N/A</v>
      </c>
      <c r="N777" s="5" t="n">
        <f aca="false">B777</f>
        <v>99.4499999999995</v>
      </c>
    </row>
    <row r="778" customFormat="false" ht="12.8" hidden="false" customHeight="false" outlineLevel="0" collapsed="false">
      <c r="A778" s="5" t="n">
        <v>3.82999999999998</v>
      </c>
      <c r="B778" s="5" t="n">
        <f aca="false">A778*VOFLB</f>
        <v>99.5799999999995</v>
      </c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 t="e">
        <f aca="false">0.000001*('Design Worksheet'!B$88)*(B778-B777)/E$232+M777</f>
        <v>#N/A</v>
      </c>
      <c r="N778" s="5" t="n">
        <f aca="false">B778</f>
        <v>99.5799999999995</v>
      </c>
    </row>
    <row r="779" customFormat="false" ht="12.8" hidden="false" customHeight="false" outlineLevel="0" collapsed="false">
      <c r="A779" s="5" t="n">
        <v>3.83499999999998</v>
      </c>
      <c r="B779" s="5" t="n">
        <f aca="false">A779*VOFLB</f>
        <v>99.7099999999995</v>
      </c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 t="e">
        <f aca="false">0.000001*('Design Worksheet'!B$88)*(B779-B778)/E$232+M778</f>
        <v>#N/A</v>
      </c>
      <c r="N779" s="5" t="n">
        <f aca="false">B779</f>
        <v>99.7099999999995</v>
      </c>
    </row>
    <row r="780" customFormat="false" ht="12.8" hidden="false" customHeight="false" outlineLevel="0" collapsed="false">
      <c r="A780" s="5" t="n">
        <v>3.83999999999998</v>
      </c>
      <c r="B780" s="5" t="n">
        <f aca="false">A780*VOFLB</f>
        <v>99.8399999999995</v>
      </c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 t="e">
        <f aca="false">0.000001*('Design Worksheet'!B$88)*(B780-B779)/E$232+M779</f>
        <v>#N/A</v>
      </c>
      <c r="N780" s="5" t="n">
        <f aca="false">B780</f>
        <v>99.8399999999995</v>
      </c>
    </row>
    <row r="781" customFormat="false" ht="12.8" hidden="false" customHeight="false" outlineLevel="0" collapsed="false">
      <c r="A781" s="5" t="n">
        <v>3.84499999999998</v>
      </c>
      <c r="B781" s="5" t="n">
        <f aca="false">A781*VOFLB</f>
        <v>99.9699999999995</v>
      </c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 t="e">
        <f aca="false">0.000001*('Design Worksheet'!B$88)*(B781-B780)/E$232+M780</f>
        <v>#N/A</v>
      </c>
      <c r="N781" s="5" t="n">
        <f aca="false">B781</f>
        <v>99.9699999999995</v>
      </c>
    </row>
    <row r="782" customFormat="false" ht="12.8" hidden="false" customHeight="false" outlineLevel="0" collapsed="false">
      <c r="A782" s="5" t="n">
        <v>3.84999999999998</v>
      </c>
      <c r="B782" s="5" t="n">
        <f aca="false">A782*VOFLB</f>
        <v>100.099999999999</v>
      </c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 t="e">
        <f aca="false">0.000001*('Design Worksheet'!B$88)*(B782-B781)/E$232+M781</f>
        <v>#N/A</v>
      </c>
      <c r="N782" s="5" t="n">
        <f aca="false">B782</f>
        <v>100.099999999999</v>
      </c>
    </row>
    <row r="783" customFormat="false" ht="12.8" hidden="false" customHeight="false" outlineLevel="0" collapsed="false">
      <c r="A783" s="5" t="n">
        <v>3.85499999999998</v>
      </c>
      <c r="B783" s="5" t="n">
        <f aca="false">A783*VOFLB</f>
        <v>100.229999999999</v>
      </c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 t="e">
        <f aca="false">0.000001*('Design Worksheet'!B$88)*(B783-B782)/E$232+M782</f>
        <v>#N/A</v>
      </c>
      <c r="N783" s="5" t="n">
        <f aca="false">B783</f>
        <v>100.229999999999</v>
      </c>
    </row>
    <row r="784" customFormat="false" ht="12.8" hidden="false" customHeight="false" outlineLevel="0" collapsed="false">
      <c r="A784" s="5" t="n">
        <v>3.85999999999998</v>
      </c>
      <c r="B784" s="5" t="n">
        <f aca="false">A784*VOFLB</f>
        <v>100.359999999999</v>
      </c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 t="e">
        <f aca="false">0.000001*('Design Worksheet'!B$88)*(B784-B783)/E$232+M783</f>
        <v>#N/A</v>
      </c>
      <c r="N784" s="5" t="n">
        <f aca="false">B784</f>
        <v>100.359999999999</v>
      </c>
    </row>
    <row r="785" customFormat="false" ht="12.8" hidden="false" customHeight="false" outlineLevel="0" collapsed="false">
      <c r="A785" s="5" t="n">
        <v>3.86499999999998</v>
      </c>
      <c r="B785" s="5" t="n">
        <f aca="false">A785*VOFLB</f>
        <v>100.489999999999</v>
      </c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 t="e">
        <f aca="false">0.000001*('Design Worksheet'!B$88)*(B785-B784)/E$232+M784</f>
        <v>#N/A</v>
      </c>
      <c r="N785" s="5" t="n">
        <f aca="false">B785</f>
        <v>100.489999999999</v>
      </c>
    </row>
    <row r="786" customFormat="false" ht="12.8" hidden="false" customHeight="false" outlineLevel="0" collapsed="false">
      <c r="A786" s="5" t="n">
        <v>3.86999999999998</v>
      </c>
      <c r="B786" s="5" t="n">
        <f aca="false">A786*VOFLB</f>
        <v>100.619999999999</v>
      </c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 t="e">
        <f aca="false">0.000001*('Design Worksheet'!B$88)*(B786-B785)/E$232+M785</f>
        <v>#N/A</v>
      </c>
      <c r="N786" s="5" t="n">
        <f aca="false">B786</f>
        <v>100.619999999999</v>
      </c>
    </row>
    <row r="787" customFormat="false" ht="12.8" hidden="false" customHeight="false" outlineLevel="0" collapsed="false">
      <c r="A787" s="5" t="n">
        <v>3.87499999999998</v>
      </c>
      <c r="B787" s="5" t="n">
        <f aca="false">A787*VOFLB</f>
        <v>100.749999999999</v>
      </c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 t="e">
        <f aca="false">0.000001*('Design Worksheet'!B$88)*(B787-B786)/E$232+M786</f>
        <v>#N/A</v>
      </c>
      <c r="N787" s="5" t="n">
        <f aca="false">B787</f>
        <v>100.749999999999</v>
      </c>
    </row>
    <row r="788" customFormat="false" ht="12.8" hidden="false" customHeight="false" outlineLevel="0" collapsed="false">
      <c r="A788" s="5" t="n">
        <v>3.87999999999998</v>
      </c>
      <c r="B788" s="5" t="n">
        <f aca="false">A788*VOFLB</f>
        <v>100.879999999999</v>
      </c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 t="e">
        <f aca="false">0.000001*('Design Worksheet'!B$88)*(B788-B787)/E$232+M787</f>
        <v>#N/A</v>
      </c>
      <c r="N788" s="5" t="n">
        <f aca="false">B788</f>
        <v>100.879999999999</v>
      </c>
    </row>
    <row r="789" customFormat="false" ht="12.8" hidden="false" customHeight="false" outlineLevel="0" collapsed="false">
      <c r="A789" s="5" t="n">
        <v>3.88499999999998</v>
      </c>
      <c r="B789" s="5" t="n">
        <f aca="false">A789*VOFLB</f>
        <v>101.009999999999</v>
      </c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 t="e">
        <f aca="false">0.000001*('Design Worksheet'!B$88)*(B789-B788)/E$232+M788</f>
        <v>#N/A</v>
      </c>
      <c r="N789" s="5" t="n">
        <f aca="false">B789</f>
        <v>101.009999999999</v>
      </c>
    </row>
    <row r="790" customFormat="false" ht="12.8" hidden="false" customHeight="false" outlineLevel="0" collapsed="false">
      <c r="A790" s="5" t="n">
        <v>3.88999999999998</v>
      </c>
      <c r="B790" s="5" t="n">
        <f aca="false">A790*VOFLB</f>
        <v>101.139999999999</v>
      </c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 t="e">
        <f aca="false">0.000001*('Design Worksheet'!B$88)*(B790-B789)/E$232+M789</f>
        <v>#N/A</v>
      </c>
      <c r="N790" s="5" t="n">
        <f aca="false">B790</f>
        <v>101.139999999999</v>
      </c>
    </row>
    <row r="791" customFormat="false" ht="12.8" hidden="false" customHeight="false" outlineLevel="0" collapsed="false">
      <c r="A791" s="5" t="n">
        <v>3.89499999999998</v>
      </c>
      <c r="B791" s="5" t="n">
        <f aca="false">A791*VOFLB</f>
        <v>101.269999999999</v>
      </c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 t="e">
        <f aca="false">0.000001*('Design Worksheet'!B$88)*(B791-B790)/E$232+M790</f>
        <v>#N/A</v>
      </c>
      <c r="N791" s="5" t="n">
        <f aca="false">B791</f>
        <v>101.269999999999</v>
      </c>
    </row>
    <row r="792" customFormat="false" ht="12.8" hidden="false" customHeight="false" outlineLevel="0" collapsed="false">
      <c r="A792" s="5" t="n">
        <v>3.89999999999998</v>
      </c>
      <c r="B792" s="5" t="n">
        <f aca="false">A792*VOFLB</f>
        <v>101.399999999999</v>
      </c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 t="e">
        <f aca="false">0.000001*('Design Worksheet'!B$88)*(B792-B791)/E$232+M791</f>
        <v>#N/A</v>
      </c>
      <c r="N792" s="5" t="n">
        <f aca="false">B792</f>
        <v>101.399999999999</v>
      </c>
    </row>
    <row r="793" customFormat="false" ht="12.8" hidden="false" customHeight="false" outlineLevel="0" collapsed="false">
      <c r="A793" s="5" t="n">
        <v>3.90499999999998</v>
      </c>
      <c r="B793" s="5" t="n">
        <f aca="false">A793*VOFLB</f>
        <v>101.529999999999</v>
      </c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 t="e">
        <f aca="false">0.000001*('Design Worksheet'!B$88)*(B793-B792)/E$232+M792</f>
        <v>#N/A</v>
      </c>
      <c r="N793" s="5" t="n">
        <f aca="false">B793</f>
        <v>101.529999999999</v>
      </c>
    </row>
    <row r="794" customFormat="false" ht="12.8" hidden="false" customHeight="false" outlineLevel="0" collapsed="false">
      <c r="A794" s="5" t="n">
        <v>3.90999999999998</v>
      </c>
      <c r="B794" s="5" t="n">
        <f aca="false">A794*VOFLB</f>
        <v>101.659999999999</v>
      </c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 t="e">
        <f aca="false">0.000001*('Design Worksheet'!B$88)*(B794-B793)/E$232+M793</f>
        <v>#N/A</v>
      </c>
      <c r="N794" s="5" t="n">
        <f aca="false">B794</f>
        <v>101.659999999999</v>
      </c>
    </row>
    <row r="795" customFormat="false" ht="12.8" hidden="false" customHeight="false" outlineLevel="0" collapsed="false">
      <c r="A795" s="5" t="n">
        <v>3.91499999999998</v>
      </c>
      <c r="B795" s="5" t="n">
        <f aca="false">A795*VOFLB</f>
        <v>101.789999999999</v>
      </c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 t="e">
        <f aca="false">0.000001*('Design Worksheet'!B$88)*(B795-B794)/E$232+M794</f>
        <v>#N/A</v>
      </c>
      <c r="N795" s="5" t="n">
        <f aca="false">B795</f>
        <v>101.789999999999</v>
      </c>
    </row>
    <row r="796" customFormat="false" ht="12.8" hidden="false" customHeight="false" outlineLevel="0" collapsed="false">
      <c r="A796" s="5" t="n">
        <v>3.91999999999998</v>
      </c>
      <c r="B796" s="5" t="n">
        <f aca="false">A796*VOFLB</f>
        <v>101.919999999999</v>
      </c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 t="e">
        <f aca="false">0.000001*('Design Worksheet'!B$88)*(B796-B795)/E$232+M795</f>
        <v>#N/A</v>
      </c>
      <c r="N796" s="5" t="n">
        <f aca="false">B796</f>
        <v>101.919999999999</v>
      </c>
    </row>
    <row r="797" customFormat="false" ht="12.8" hidden="false" customHeight="false" outlineLevel="0" collapsed="false">
      <c r="A797" s="5" t="n">
        <v>3.92499999999998</v>
      </c>
      <c r="B797" s="5" t="n">
        <f aca="false">A797*VOFLB</f>
        <v>102.049999999999</v>
      </c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 t="e">
        <f aca="false">0.000001*('Design Worksheet'!B$88)*(B797-B796)/E$232+M796</f>
        <v>#N/A</v>
      </c>
      <c r="N797" s="5" t="n">
        <f aca="false">B797</f>
        <v>102.049999999999</v>
      </c>
    </row>
    <row r="798" customFormat="false" ht="12.8" hidden="false" customHeight="false" outlineLevel="0" collapsed="false">
      <c r="A798" s="5" t="n">
        <v>3.92999999999998</v>
      </c>
      <c r="B798" s="5" t="n">
        <f aca="false">A798*VOFLB</f>
        <v>102.179999999999</v>
      </c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 t="e">
        <f aca="false">0.000001*('Design Worksheet'!B$88)*(B798-B797)/E$232+M797</f>
        <v>#N/A</v>
      </c>
      <c r="N798" s="5" t="n">
        <f aca="false">B798</f>
        <v>102.179999999999</v>
      </c>
    </row>
    <row r="799" customFormat="false" ht="12.8" hidden="false" customHeight="false" outlineLevel="0" collapsed="false">
      <c r="A799" s="5" t="n">
        <v>3.93499999999998</v>
      </c>
      <c r="B799" s="5" t="n">
        <f aca="false">A799*VOFLB</f>
        <v>102.309999999999</v>
      </c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 t="e">
        <f aca="false">0.000001*('Design Worksheet'!B$88)*(B799-B798)/E$232+M798</f>
        <v>#N/A</v>
      </c>
      <c r="N799" s="5" t="n">
        <f aca="false">B799</f>
        <v>102.309999999999</v>
      </c>
    </row>
    <row r="800" customFormat="false" ht="12.8" hidden="false" customHeight="false" outlineLevel="0" collapsed="false">
      <c r="A800" s="5" t="n">
        <v>3.93999999999998</v>
      </c>
      <c r="B800" s="5" t="n">
        <f aca="false">A800*VOFLB</f>
        <v>102.439999999999</v>
      </c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 t="e">
        <f aca="false">0.000001*('Design Worksheet'!B$88)*(B800-B799)/E$232+M799</f>
        <v>#N/A</v>
      </c>
      <c r="N800" s="5" t="n">
        <f aca="false">B800</f>
        <v>102.439999999999</v>
      </c>
    </row>
    <row r="801" customFormat="false" ht="12.8" hidden="false" customHeight="false" outlineLevel="0" collapsed="false">
      <c r="A801" s="5" t="n">
        <v>3.94499999999998</v>
      </c>
      <c r="B801" s="5" t="n">
        <f aca="false">A801*VOFLB</f>
        <v>102.569999999999</v>
      </c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 t="e">
        <f aca="false">0.000001*('Design Worksheet'!B$88)*(B801-B800)/E$232+M800</f>
        <v>#N/A</v>
      </c>
      <c r="N801" s="5" t="n">
        <f aca="false">B801</f>
        <v>102.569999999999</v>
      </c>
    </row>
    <row r="802" customFormat="false" ht="12.8" hidden="false" customHeight="false" outlineLevel="0" collapsed="false">
      <c r="A802" s="5" t="n">
        <v>3.94999999999998</v>
      </c>
      <c r="B802" s="5" t="n">
        <f aca="false">A802*VOFLB</f>
        <v>102.699999999999</v>
      </c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 t="e">
        <f aca="false">0.000001*('Design Worksheet'!B$88)*(B802-B801)/E$232+M801</f>
        <v>#N/A</v>
      </c>
      <c r="N802" s="5" t="n">
        <f aca="false">B802</f>
        <v>102.699999999999</v>
      </c>
    </row>
    <row r="803" customFormat="false" ht="12.8" hidden="false" customHeight="false" outlineLevel="0" collapsed="false">
      <c r="A803" s="5" t="n">
        <v>3.95499999999998</v>
      </c>
      <c r="B803" s="5" t="n">
        <f aca="false">A803*VOFLB</f>
        <v>102.829999999999</v>
      </c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 t="e">
        <f aca="false">0.000001*('Design Worksheet'!B$88)*(B803-B802)/E$232+M802</f>
        <v>#N/A</v>
      </c>
      <c r="N803" s="5" t="n">
        <f aca="false">B803</f>
        <v>102.829999999999</v>
      </c>
    </row>
    <row r="804" customFormat="false" ht="12.8" hidden="false" customHeight="false" outlineLevel="0" collapsed="false">
      <c r="A804" s="5" t="n">
        <v>3.95999999999998</v>
      </c>
      <c r="B804" s="5" t="n">
        <f aca="false">A804*VOFLB</f>
        <v>102.959999999999</v>
      </c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 t="e">
        <f aca="false">0.000001*('Design Worksheet'!B$88)*(B804-B803)/E$232+M803</f>
        <v>#N/A</v>
      </c>
      <c r="N804" s="5" t="n">
        <f aca="false">B804</f>
        <v>102.959999999999</v>
      </c>
    </row>
    <row r="805" customFormat="false" ht="12.8" hidden="false" customHeight="false" outlineLevel="0" collapsed="false">
      <c r="A805" s="5" t="n">
        <v>3.96499999999998</v>
      </c>
      <c r="B805" s="5" t="n">
        <f aca="false">A805*VOFLB</f>
        <v>103.089999999999</v>
      </c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 t="e">
        <f aca="false">0.000001*('Design Worksheet'!B$88)*(B805-B804)/E$232+M804</f>
        <v>#N/A</v>
      </c>
      <c r="N805" s="5" t="n">
        <f aca="false">B805</f>
        <v>103.089999999999</v>
      </c>
    </row>
    <row r="806" customFormat="false" ht="12.8" hidden="false" customHeight="false" outlineLevel="0" collapsed="false">
      <c r="A806" s="5" t="n">
        <v>3.96999999999998</v>
      </c>
      <c r="B806" s="5" t="n">
        <f aca="false">A806*VOFLB</f>
        <v>103.219999999999</v>
      </c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 t="e">
        <f aca="false">0.000001*('Design Worksheet'!B$88)*(B806-B805)/E$232+M805</f>
        <v>#N/A</v>
      </c>
      <c r="N806" s="5" t="n">
        <f aca="false">B806</f>
        <v>103.219999999999</v>
      </c>
    </row>
    <row r="807" customFormat="false" ht="12.8" hidden="false" customHeight="false" outlineLevel="0" collapsed="false">
      <c r="A807" s="5" t="n">
        <v>3.97499999999998</v>
      </c>
      <c r="B807" s="5" t="n">
        <f aca="false">A807*VOFLB</f>
        <v>103.349999999999</v>
      </c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 t="e">
        <f aca="false">0.000001*('Design Worksheet'!B$88)*(B807-B806)/E$232+M806</f>
        <v>#N/A</v>
      </c>
      <c r="N807" s="5" t="n">
        <f aca="false">B807</f>
        <v>103.349999999999</v>
      </c>
    </row>
    <row r="808" customFormat="false" ht="12.8" hidden="false" customHeight="false" outlineLevel="0" collapsed="false">
      <c r="A808" s="5" t="n">
        <v>3.97999999999998</v>
      </c>
      <c r="B808" s="5" t="n">
        <f aca="false">A808*VOFLB</f>
        <v>103.479999999999</v>
      </c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 t="e">
        <f aca="false">0.000001*('Design Worksheet'!B$88)*(B808-B807)/E$232+M807</f>
        <v>#N/A</v>
      </c>
      <c r="N808" s="5" t="n">
        <f aca="false">B808</f>
        <v>103.479999999999</v>
      </c>
    </row>
    <row r="809" customFormat="false" ht="12.8" hidden="false" customHeight="false" outlineLevel="0" collapsed="false">
      <c r="A809" s="5" t="n">
        <v>3.98499999999998</v>
      </c>
      <c r="B809" s="5" t="n">
        <f aca="false">A809*VOFLB</f>
        <v>103.609999999999</v>
      </c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 t="e">
        <f aca="false">0.000001*('Design Worksheet'!B$88)*(B809-B808)/E$232+M808</f>
        <v>#N/A</v>
      </c>
      <c r="N809" s="5" t="n">
        <f aca="false">B809</f>
        <v>103.609999999999</v>
      </c>
    </row>
    <row r="810" customFormat="false" ht="12.8" hidden="false" customHeight="false" outlineLevel="0" collapsed="false">
      <c r="A810" s="5" t="n">
        <v>3.98999999999998</v>
      </c>
      <c r="B810" s="5" t="n">
        <f aca="false">A810*VOFLB</f>
        <v>103.739999999999</v>
      </c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 t="e">
        <f aca="false">0.000001*('Design Worksheet'!B$88)*(B810-B809)/E$232+M809</f>
        <v>#N/A</v>
      </c>
      <c r="N810" s="5" t="n">
        <f aca="false">B810</f>
        <v>103.739999999999</v>
      </c>
    </row>
    <row r="811" customFormat="false" ht="12.8" hidden="false" customHeight="false" outlineLevel="0" collapsed="false">
      <c r="A811" s="5" t="n">
        <v>3.99499999999998</v>
      </c>
      <c r="B811" s="5" t="n">
        <f aca="false">A811*VOFLB</f>
        <v>103.869999999999</v>
      </c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 t="e">
        <f aca="false">0.000001*('Design Worksheet'!B$88)*(B811-B810)/E$232+M810</f>
        <v>#N/A</v>
      </c>
      <c r="N811" s="5" t="n">
        <f aca="false">B811</f>
        <v>103.869999999999</v>
      </c>
    </row>
    <row r="812" customFormat="false" ht="12.8" hidden="false" customHeight="false" outlineLevel="0" collapsed="false">
      <c r="A812" s="5" t="n">
        <v>3.99999999999998</v>
      </c>
      <c r="B812" s="5" t="n">
        <f aca="false">A812*VOFLB</f>
        <v>103.999999999999</v>
      </c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 t="e">
        <f aca="false">0.000001*('Design Worksheet'!B$88)*(B812-B811)/E$232+M811</f>
        <v>#N/A</v>
      </c>
      <c r="N812" s="5" t="n">
        <f aca="false">B812</f>
        <v>103.999999999999</v>
      </c>
    </row>
    <row r="813" customFormat="false" ht="12.8" hidden="false" customHeight="false" outlineLevel="0" collapsed="false">
      <c r="A813" s="5" t="n">
        <v>4.00499999999998</v>
      </c>
      <c r="B813" s="5" t="n">
        <f aca="false">A813*VOFLB</f>
        <v>104.129999999999</v>
      </c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 t="e">
        <f aca="false">0.000001*('Design Worksheet'!B$88)*(B813-B812)/E$232+M812</f>
        <v>#N/A</v>
      </c>
      <c r="N813" s="5" t="n">
        <f aca="false">B813</f>
        <v>104.129999999999</v>
      </c>
    </row>
    <row r="814" customFormat="false" ht="12.8" hidden="false" customHeight="false" outlineLevel="0" collapsed="false">
      <c r="A814" s="5" t="n">
        <v>4.00999999999998</v>
      </c>
      <c r="B814" s="5" t="n">
        <f aca="false">A814*VOFLB</f>
        <v>104.259999999999</v>
      </c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 t="e">
        <f aca="false">0.000001*('Design Worksheet'!B$88)*(B814-B813)/E$232+M813</f>
        <v>#N/A</v>
      </c>
      <c r="N814" s="5" t="n">
        <f aca="false">B814</f>
        <v>104.259999999999</v>
      </c>
    </row>
    <row r="815" customFormat="false" ht="12.8" hidden="false" customHeight="false" outlineLevel="0" collapsed="false">
      <c r="A815" s="5" t="n">
        <v>4.01499999999998</v>
      </c>
      <c r="B815" s="5" t="n">
        <f aca="false">A815*VOFLB</f>
        <v>104.389999999999</v>
      </c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 t="e">
        <f aca="false">0.000001*('Design Worksheet'!B$88)*(B815-B814)/E$232+M814</f>
        <v>#N/A</v>
      </c>
      <c r="N815" s="5" t="n">
        <f aca="false">B815</f>
        <v>104.389999999999</v>
      </c>
    </row>
    <row r="816" customFormat="false" ht="12.8" hidden="false" customHeight="false" outlineLevel="0" collapsed="false">
      <c r="A816" s="5" t="n">
        <v>4.01999999999998</v>
      </c>
      <c r="B816" s="5" t="n">
        <f aca="false">A816*VOFLB</f>
        <v>104.519999999999</v>
      </c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 t="e">
        <f aca="false">0.000001*('Design Worksheet'!B$88)*(B816-B815)/E$232+M815</f>
        <v>#N/A</v>
      </c>
      <c r="N816" s="5" t="n">
        <f aca="false">B816</f>
        <v>104.519999999999</v>
      </c>
    </row>
    <row r="817" customFormat="false" ht="12.8" hidden="false" customHeight="false" outlineLevel="0" collapsed="false">
      <c r="A817" s="5" t="n">
        <v>4.02499999999998</v>
      </c>
      <c r="B817" s="5" t="n">
        <f aca="false">A817*VOFLB</f>
        <v>104.649999999999</v>
      </c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 t="e">
        <f aca="false">0.000001*('Design Worksheet'!B$88)*(B817-B816)/E$232+M816</f>
        <v>#N/A</v>
      </c>
      <c r="N817" s="5" t="n">
        <f aca="false">B817</f>
        <v>104.649999999999</v>
      </c>
    </row>
    <row r="818" customFormat="false" ht="12.8" hidden="false" customHeight="false" outlineLevel="0" collapsed="false">
      <c r="A818" s="5" t="n">
        <v>4.02999999999998</v>
      </c>
      <c r="B818" s="5" t="n">
        <f aca="false">A818*VOFLB</f>
        <v>104.779999999999</v>
      </c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 t="e">
        <f aca="false">0.000001*('Design Worksheet'!B$88)*(B818-B817)/E$232+M817</f>
        <v>#N/A</v>
      </c>
      <c r="N818" s="5" t="n">
        <f aca="false">B818</f>
        <v>104.779999999999</v>
      </c>
    </row>
    <row r="819" customFormat="false" ht="12.8" hidden="false" customHeight="false" outlineLevel="0" collapsed="false">
      <c r="A819" s="5" t="n">
        <v>4.03499999999998</v>
      </c>
      <c r="B819" s="5" t="n">
        <f aca="false">A819*VOFLB</f>
        <v>104.909999999999</v>
      </c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 t="e">
        <f aca="false">0.000001*('Design Worksheet'!B$88)*(B819-B818)/E$232+M818</f>
        <v>#N/A</v>
      </c>
      <c r="N819" s="5" t="n">
        <f aca="false">B819</f>
        <v>104.909999999999</v>
      </c>
    </row>
    <row r="820" customFormat="false" ht="12.8" hidden="false" customHeight="false" outlineLevel="0" collapsed="false">
      <c r="A820" s="5" t="n">
        <v>4.03999999999998</v>
      </c>
      <c r="B820" s="5" t="n">
        <f aca="false">A820*VOFLB</f>
        <v>105.039999999999</v>
      </c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 t="e">
        <f aca="false">0.000001*('Design Worksheet'!B$88)*(B820-B819)/E$232+M819</f>
        <v>#N/A</v>
      </c>
      <c r="N820" s="5" t="n">
        <f aca="false">B820</f>
        <v>105.039999999999</v>
      </c>
    </row>
    <row r="821" customFormat="false" ht="12.8" hidden="false" customHeight="false" outlineLevel="0" collapsed="false">
      <c r="A821" s="5" t="n">
        <v>4.04499999999998</v>
      </c>
      <c r="B821" s="5" t="n">
        <f aca="false">A821*VOFLB</f>
        <v>105.169999999999</v>
      </c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 t="e">
        <f aca="false">0.000001*('Design Worksheet'!B$88)*(B821-B820)/E$232+M820</f>
        <v>#N/A</v>
      </c>
      <c r="N821" s="5" t="n">
        <f aca="false">B821</f>
        <v>105.169999999999</v>
      </c>
    </row>
    <row r="822" customFormat="false" ht="12.8" hidden="false" customHeight="false" outlineLevel="0" collapsed="false">
      <c r="A822" s="5" t="n">
        <v>4.04999999999998</v>
      </c>
      <c r="B822" s="5" t="n">
        <f aca="false">A822*VOFLB</f>
        <v>105.299999999999</v>
      </c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 t="e">
        <f aca="false">0.000001*('Design Worksheet'!B$88)*(B822-B821)/E$232+M821</f>
        <v>#N/A</v>
      </c>
      <c r="N822" s="5" t="n">
        <f aca="false">B822</f>
        <v>105.299999999999</v>
      </c>
    </row>
    <row r="823" customFormat="false" ht="12.8" hidden="false" customHeight="false" outlineLevel="0" collapsed="false">
      <c r="A823" s="5" t="n">
        <v>4.05499999999998</v>
      </c>
      <c r="B823" s="5" t="n">
        <f aca="false">A823*VOFLB</f>
        <v>105.429999999999</v>
      </c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 t="e">
        <f aca="false">0.000001*('Design Worksheet'!B$88)*(B823-B822)/E$232+M822</f>
        <v>#N/A</v>
      </c>
      <c r="N823" s="5" t="n">
        <f aca="false">B823</f>
        <v>105.429999999999</v>
      </c>
    </row>
    <row r="824" customFormat="false" ht="12.8" hidden="false" customHeight="false" outlineLevel="0" collapsed="false">
      <c r="A824" s="5" t="n">
        <v>4.05999999999998</v>
      </c>
      <c r="B824" s="5" t="n">
        <f aca="false">A824*VOFLB</f>
        <v>105.559999999999</v>
      </c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 t="e">
        <f aca="false">0.000001*('Design Worksheet'!B$88)*(B824-B823)/E$232+M823</f>
        <v>#N/A</v>
      </c>
      <c r="N824" s="5" t="n">
        <f aca="false">B824</f>
        <v>105.559999999999</v>
      </c>
    </row>
    <row r="825" customFormat="false" ht="12.8" hidden="false" customHeight="false" outlineLevel="0" collapsed="false">
      <c r="A825" s="5" t="n">
        <v>4.06499999999998</v>
      </c>
      <c r="B825" s="5" t="n">
        <f aca="false">A825*VOFLB</f>
        <v>105.689999999999</v>
      </c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 t="e">
        <f aca="false">0.000001*('Design Worksheet'!B$88)*(B825-B824)/E$232+M824</f>
        <v>#N/A</v>
      </c>
      <c r="N825" s="5" t="n">
        <f aca="false">B825</f>
        <v>105.689999999999</v>
      </c>
    </row>
    <row r="826" customFormat="false" ht="12.8" hidden="false" customHeight="false" outlineLevel="0" collapsed="false">
      <c r="A826" s="5" t="n">
        <v>4.06999999999998</v>
      </c>
      <c r="B826" s="5" t="n">
        <f aca="false">A826*VOFLB</f>
        <v>105.819999999999</v>
      </c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 t="e">
        <f aca="false">0.000001*('Design Worksheet'!B$88)*(B826-B825)/E$232+M825</f>
        <v>#N/A</v>
      </c>
      <c r="N826" s="5" t="n">
        <f aca="false">B826</f>
        <v>105.819999999999</v>
      </c>
    </row>
    <row r="827" customFormat="false" ht="12.8" hidden="false" customHeight="false" outlineLevel="0" collapsed="false">
      <c r="A827" s="5" t="n">
        <v>4.07499999999998</v>
      </c>
      <c r="B827" s="5" t="n">
        <f aca="false">A827*VOFLB</f>
        <v>105.949999999999</v>
      </c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 t="e">
        <f aca="false">0.000001*('Design Worksheet'!B$88)*(B827-B826)/E$232+M826</f>
        <v>#N/A</v>
      </c>
      <c r="N827" s="5" t="n">
        <f aca="false">B827</f>
        <v>105.949999999999</v>
      </c>
    </row>
    <row r="828" customFormat="false" ht="12.8" hidden="false" customHeight="false" outlineLevel="0" collapsed="false">
      <c r="A828" s="5" t="n">
        <v>4.07999999999998</v>
      </c>
      <c r="B828" s="5" t="n">
        <f aca="false">A828*VOFLB</f>
        <v>106.079999999999</v>
      </c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 t="e">
        <f aca="false">0.000001*('Design Worksheet'!B$88)*(B828-B827)/E$232+M827</f>
        <v>#N/A</v>
      </c>
      <c r="N828" s="5" t="n">
        <f aca="false">B828</f>
        <v>106.079999999999</v>
      </c>
    </row>
    <row r="829" customFormat="false" ht="12.8" hidden="false" customHeight="false" outlineLevel="0" collapsed="false">
      <c r="A829" s="5" t="n">
        <v>4.08499999999998</v>
      </c>
      <c r="B829" s="5" t="n">
        <f aca="false">A829*VOFLB</f>
        <v>106.21</v>
      </c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 t="e">
        <f aca="false">0.000001*('Design Worksheet'!B$88)*(B829-B828)/E$232+M828</f>
        <v>#N/A</v>
      </c>
      <c r="N829" s="5" t="n">
        <f aca="false">B829</f>
        <v>106.21</v>
      </c>
    </row>
    <row r="830" customFormat="false" ht="12.8" hidden="false" customHeight="false" outlineLevel="0" collapsed="false">
      <c r="A830" s="5" t="n">
        <v>4.08999999999998</v>
      </c>
      <c r="B830" s="5" t="n">
        <f aca="false">A830*VOFLB</f>
        <v>106.339999999999</v>
      </c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 t="e">
        <f aca="false">0.000001*('Design Worksheet'!B$88)*(B830-B829)/E$232+M829</f>
        <v>#N/A</v>
      </c>
      <c r="N830" s="5" t="n">
        <f aca="false">B830</f>
        <v>106.339999999999</v>
      </c>
    </row>
    <row r="831" customFormat="false" ht="12.8" hidden="false" customHeight="false" outlineLevel="0" collapsed="false">
      <c r="A831" s="5" t="n">
        <v>4.09499999999998</v>
      </c>
      <c r="B831" s="5" t="n">
        <f aca="false">A831*VOFLB</f>
        <v>106.469999999999</v>
      </c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 t="e">
        <f aca="false">0.000001*('Design Worksheet'!B$88)*(B831-B830)/E$232+M830</f>
        <v>#N/A</v>
      </c>
      <c r="N831" s="5" t="n">
        <f aca="false">B831</f>
        <v>106.469999999999</v>
      </c>
    </row>
    <row r="832" customFormat="false" ht="12.8" hidden="false" customHeight="false" outlineLevel="0" collapsed="false">
      <c r="A832" s="5" t="n">
        <v>4.09999999999998</v>
      </c>
      <c r="B832" s="5" t="n">
        <f aca="false">A832*VOFLB</f>
        <v>106.599999999999</v>
      </c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 t="e">
        <f aca="false">0.000001*('Design Worksheet'!B$88)*(B832-B831)/E$232+M831</f>
        <v>#N/A</v>
      </c>
      <c r="N832" s="5" t="n">
        <f aca="false">B832</f>
        <v>106.599999999999</v>
      </c>
    </row>
    <row r="833" customFormat="false" ht="12.8" hidden="false" customHeight="false" outlineLevel="0" collapsed="false">
      <c r="A833" s="5" t="n">
        <v>4.10499999999998</v>
      </c>
      <c r="B833" s="5" t="n">
        <f aca="false">A833*VOFLB</f>
        <v>106.729999999999</v>
      </c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 t="e">
        <f aca="false">0.000001*('Design Worksheet'!B$88)*(B833-B832)/E$232+M832</f>
        <v>#N/A</v>
      </c>
      <c r="N833" s="5" t="n">
        <f aca="false">B833</f>
        <v>106.729999999999</v>
      </c>
    </row>
    <row r="834" customFormat="false" ht="12.8" hidden="false" customHeight="false" outlineLevel="0" collapsed="false">
      <c r="A834" s="5" t="n">
        <v>4.10999999999998</v>
      </c>
      <c r="B834" s="5" t="n">
        <f aca="false">A834*VOFLB</f>
        <v>106.859999999999</v>
      </c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 t="e">
        <f aca="false">0.000001*('Design Worksheet'!B$88)*(B834-B833)/E$232+M833</f>
        <v>#N/A</v>
      </c>
      <c r="N834" s="5" t="n">
        <f aca="false">B834</f>
        <v>106.859999999999</v>
      </c>
    </row>
    <row r="835" customFormat="false" ht="12.8" hidden="false" customHeight="false" outlineLevel="0" collapsed="false">
      <c r="A835" s="5" t="n">
        <v>4.11499999999998</v>
      </c>
      <c r="B835" s="5" t="n">
        <f aca="false">A835*VOFLB</f>
        <v>106.989999999999</v>
      </c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 t="e">
        <f aca="false">0.000001*('Design Worksheet'!B$88)*(B835-B834)/E$232+M834</f>
        <v>#N/A</v>
      </c>
      <c r="N835" s="5" t="n">
        <f aca="false">B835</f>
        <v>106.989999999999</v>
      </c>
    </row>
    <row r="836" customFormat="false" ht="12.8" hidden="false" customHeight="false" outlineLevel="0" collapsed="false">
      <c r="A836" s="5" t="n">
        <v>4.11999999999998</v>
      </c>
      <c r="B836" s="5" t="n">
        <f aca="false">A836*VOFLB</f>
        <v>107.119999999999</v>
      </c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 t="e">
        <f aca="false">0.000001*('Design Worksheet'!B$88)*(B836-B835)/E$232+M835</f>
        <v>#N/A</v>
      </c>
      <c r="N836" s="5" t="n">
        <f aca="false">B836</f>
        <v>107.119999999999</v>
      </c>
    </row>
    <row r="837" customFormat="false" ht="12.8" hidden="false" customHeight="false" outlineLevel="0" collapsed="false">
      <c r="A837" s="5" t="n">
        <v>4.12499999999998</v>
      </c>
      <c r="B837" s="5" t="n">
        <f aca="false">A837*VOFLB</f>
        <v>107.249999999999</v>
      </c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 t="e">
        <f aca="false">0.000001*('Design Worksheet'!B$88)*(B837-B836)/E$232+M836</f>
        <v>#N/A</v>
      </c>
      <c r="N837" s="5" t="n">
        <f aca="false">B837</f>
        <v>107.249999999999</v>
      </c>
    </row>
    <row r="838" customFormat="false" ht="12.8" hidden="false" customHeight="false" outlineLevel="0" collapsed="false">
      <c r="A838" s="5" t="n">
        <v>4.12999999999998</v>
      </c>
      <c r="B838" s="5" t="n">
        <f aca="false">A838*VOFLB</f>
        <v>107.379999999999</v>
      </c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 t="e">
        <f aca="false">0.000001*('Design Worksheet'!B$88)*(B838-B837)/E$232+M837</f>
        <v>#N/A</v>
      </c>
      <c r="N838" s="5" t="n">
        <f aca="false">B838</f>
        <v>107.379999999999</v>
      </c>
    </row>
    <row r="839" customFormat="false" ht="12.8" hidden="false" customHeight="false" outlineLevel="0" collapsed="false">
      <c r="A839" s="5" t="n">
        <v>4.13499999999998</v>
      </c>
      <c r="B839" s="5" t="n">
        <f aca="false">A839*VOFLB</f>
        <v>107.509999999999</v>
      </c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 t="e">
        <f aca="false">0.000001*('Design Worksheet'!B$88)*(B839-B838)/E$232+M838</f>
        <v>#N/A</v>
      </c>
      <c r="N839" s="5" t="n">
        <f aca="false">B839</f>
        <v>107.509999999999</v>
      </c>
    </row>
    <row r="840" customFormat="false" ht="12.8" hidden="false" customHeight="false" outlineLevel="0" collapsed="false">
      <c r="A840" s="5" t="n">
        <v>4.13999999999998</v>
      </c>
      <c r="B840" s="5" t="n">
        <f aca="false">A840*VOFLB</f>
        <v>107.639999999999</v>
      </c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 t="e">
        <f aca="false">0.000001*('Design Worksheet'!B$88)*(B840-B839)/E$232+M839</f>
        <v>#N/A</v>
      </c>
      <c r="N840" s="5" t="n">
        <f aca="false">B840</f>
        <v>107.639999999999</v>
      </c>
    </row>
    <row r="841" customFormat="false" ht="12.8" hidden="false" customHeight="false" outlineLevel="0" collapsed="false">
      <c r="A841" s="5" t="n">
        <v>4.14499999999998</v>
      </c>
      <c r="B841" s="5" t="n">
        <f aca="false">A841*VOFLB</f>
        <v>107.769999999999</v>
      </c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 t="e">
        <f aca="false">0.000001*('Design Worksheet'!B$88)*(B841-B840)/E$232+M840</f>
        <v>#N/A</v>
      </c>
      <c r="N841" s="5" t="n">
        <f aca="false">B841</f>
        <v>107.769999999999</v>
      </c>
    </row>
    <row r="842" customFormat="false" ht="12.8" hidden="false" customHeight="false" outlineLevel="0" collapsed="false">
      <c r="A842" s="5" t="n">
        <v>4.14999999999998</v>
      </c>
      <c r="B842" s="5" t="n">
        <f aca="false">A842*VOFLB</f>
        <v>107.899999999999</v>
      </c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 t="e">
        <f aca="false">0.000001*('Design Worksheet'!B$88)*(B842-B841)/E$232+M841</f>
        <v>#N/A</v>
      </c>
      <c r="N842" s="5" t="n">
        <f aca="false">B842</f>
        <v>107.899999999999</v>
      </c>
    </row>
    <row r="843" customFormat="false" ht="12.8" hidden="false" customHeight="false" outlineLevel="0" collapsed="false">
      <c r="A843" s="5" t="n">
        <v>4.15499999999998</v>
      </c>
      <c r="B843" s="5" t="n">
        <f aca="false">A843*VOFLB</f>
        <v>108.029999999999</v>
      </c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 t="e">
        <f aca="false">0.000001*('Design Worksheet'!B$88)*(B843-B842)/E$232+M842</f>
        <v>#N/A</v>
      </c>
      <c r="N843" s="5" t="n">
        <f aca="false">B843</f>
        <v>108.029999999999</v>
      </c>
    </row>
    <row r="844" customFormat="false" ht="12.8" hidden="false" customHeight="false" outlineLevel="0" collapsed="false">
      <c r="A844" s="5" t="n">
        <v>4.15999999999998</v>
      </c>
      <c r="B844" s="5" t="n">
        <f aca="false">A844*VOFLB</f>
        <v>108.159999999999</v>
      </c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 t="e">
        <f aca="false">0.000001*('Design Worksheet'!B$88)*(B844-B843)/E$232+M843</f>
        <v>#N/A</v>
      </c>
      <c r="N844" s="5" t="n">
        <f aca="false">B844</f>
        <v>108.159999999999</v>
      </c>
    </row>
    <row r="845" customFormat="false" ht="12.8" hidden="false" customHeight="false" outlineLevel="0" collapsed="false">
      <c r="A845" s="5" t="n">
        <v>4.16499999999998</v>
      </c>
      <c r="B845" s="5" t="n">
        <f aca="false">A845*VOFLB</f>
        <v>108.289999999999</v>
      </c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 t="e">
        <f aca="false">0.000001*('Design Worksheet'!B$88)*(B845-B844)/E$232+M844</f>
        <v>#N/A</v>
      </c>
      <c r="N845" s="5" t="n">
        <f aca="false">B845</f>
        <v>108.289999999999</v>
      </c>
    </row>
    <row r="846" customFormat="false" ht="12.8" hidden="false" customHeight="false" outlineLevel="0" collapsed="false">
      <c r="A846" s="5" t="n">
        <v>4.16999999999998</v>
      </c>
      <c r="B846" s="5" t="n">
        <f aca="false">A846*VOFLB</f>
        <v>108.419999999999</v>
      </c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 t="e">
        <f aca="false">0.000001*('Design Worksheet'!B$88)*(B846-B845)/E$232+M845</f>
        <v>#N/A</v>
      </c>
      <c r="N846" s="5" t="n">
        <f aca="false">B846</f>
        <v>108.419999999999</v>
      </c>
    </row>
    <row r="847" customFormat="false" ht="12.8" hidden="false" customHeight="false" outlineLevel="0" collapsed="false">
      <c r="A847" s="5" t="n">
        <v>4.17499999999997</v>
      </c>
      <c r="B847" s="5" t="n">
        <f aca="false">A847*VOFLB</f>
        <v>108.549999999999</v>
      </c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 t="e">
        <f aca="false">0.000001*('Design Worksheet'!B$88)*(B847-B846)/E$232+M846</f>
        <v>#N/A</v>
      </c>
      <c r="N847" s="5" t="n">
        <f aca="false">B847</f>
        <v>108.549999999999</v>
      </c>
    </row>
    <row r="848" customFormat="false" ht="12.8" hidden="false" customHeight="false" outlineLevel="0" collapsed="false">
      <c r="A848" s="5" t="n">
        <v>4.17999999999997</v>
      </c>
      <c r="B848" s="5" t="n">
        <f aca="false">A848*VOFLB</f>
        <v>108.679999999999</v>
      </c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 t="e">
        <f aca="false">0.000001*('Design Worksheet'!B$88)*(B848-B847)/E$232+M847</f>
        <v>#N/A</v>
      </c>
      <c r="N848" s="5" t="n">
        <f aca="false">B848</f>
        <v>108.679999999999</v>
      </c>
    </row>
    <row r="849" customFormat="false" ht="12.8" hidden="false" customHeight="false" outlineLevel="0" collapsed="false">
      <c r="A849" s="5" t="n">
        <v>4.18499999999997</v>
      </c>
      <c r="B849" s="5" t="n">
        <f aca="false">A849*VOFLB</f>
        <v>108.809999999999</v>
      </c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 t="e">
        <f aca="false">0.000001*('Design Worksheet'!B$88)*(B849-B848)/E$232+M848</f>
        <v>#N/A</v>
      </c>
      <c r="N849" s="5" t="n">
        <f aca="false">B849</f>
        <v>108.809999999999</v>
      </c>
    </row>
    <row r="850" customFormat="false" ht="12.8" hidden="false" customHeight="false" outlineLevel="0" collapsed="false">
      <c r="A850" s="5" t="n">
        <v>4.18999999999997</v>
      </c>
      <c r="B850" s="5" t="n">
        <f aca="false">A850*VOFLB</f>
        <v>108.939999999999</v>
      </c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 t="e">
        <f aca="false">0.000001*('Design Worksheet'!B$88)*(B850-B849)/E$232+M849</f>
        <v>#N/A</v>
      </c>
      <c r="N850" s="5" t="n">
        <f aca="false">B850</f>
        <v>108.939999999999</v>
      </c>
    </row>
    <row r="851" customFormat="false" ht="12.8" hidden="false" customHeight="false" outlineLevel="0" collapsed="false">
      <c r="A851" s="5" t="n">
        <v>4.19499999999997</v>
      </c>
      <c r="B851" s="5" t="n">
        <f aca="false">A851*VOFLB</f>
        <v>109.069999999999</v>
      </c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 t="e">
        <f aca="false">0.000001*('Design Worksheet'!B$88)*(B851-B850)/E$232+M850</f>
        <v>#N/A</v>
      </c>
      <c r="N851" s="5" t="n">
        <f aca="false">B851</f>
        <v>109.069999999999</v>
      </c>
    </row>
    <row r="852" customFormat="false" ht="12.8" hidden="false" customHeight="false" outlineLevel="0" collapsed="false">
      <c r="A852" s="5" t="n">
        <v>4.19999999999997</v>
      </c>
      <c r="B852" s="5" t="n">
        <f aca="false">A852*VOFLB</f>
        <v>109.199999999999</v>
      </c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 t="e">
        <f aca="false">0.000001*('Design Worksheet'!B$88)*(B852-B851)/E$232+M851</f>
        <v>#N/A</v>
      </c>
      <c r="N852" s="5" t="n">
        <f aca="false">B852</f>
        <v>109.199999999999</v>
      </c>
    </row>
    <row r="853" customFormat="false" ht="12.8" hidden="false" customHeight="false" outlineLevel="0" collapsed="false">
      <c r="A853" s="5" t="n">
        <v>4.20499999999997</v>
      </c>
      <c r="B853" s="5" t="n">
        <f aca="false">A853*VOFLB</f>
        <v>109.329999999999</v>
      </c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 t="e">
        <f aca="false">0.000001*('Design Worksheet'!B$88)*(B853-B852)/E$232+M852</f>
        <v>#N/A</v>
      </c>
      <c r="N853" s="5" t="n">
        <f aca="false">B853</f>
        <v>109.329999999999</v>
      </c>
    </row>
    <row r="854" customFormat="false" ht="12.8" hidden="false" customHeight="false" outlineLevel="0" collapsed="false">
      <c r="A854" s="5" t="n">
        <v>4.20999999999997</v>
      </c>
      <c r="B854" s="5" t="n">
        <f aca="false">A854*VOFLB</f>
        <v>109.459999999999</v>
      </c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 t="e">
        <f aca="false">0.000001*('Design Worksheet'!B$88)*(B854-B853)/E$232+M853</f>
        <v>#N/A</v>
      </c>
      <c r="N854" s="5" t="n">
        <f aca="false">B854</f>
        <v>109.459999999999</v>
      </c>
    </row>
    <row r="855" customFormat="false" ht="12.8" hidden="false" customHeight="false" outlineLevel="0" collapsed="false">
      <c r="A855" s="5" t="n">
        <v>4.21499999999997</v>
      </c>
      <c r="B855" s="5" t="n">
        <f aca="false">A855*VOFLB</f>
        <v>109.589999999999</v>
      </c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 t="e">
        <f aca="false">0.000001*('Design Worksheet'!B$88)*(B855-B854)/E$232+M854</f>
        <v>#N/A</v>
      </c>
      <c r="N855" s="5" t="n">
        <f aca="false">B855</f>
        <v>109.589999999999</v>
      </c>
    </row>
    <row r="856" customFormat="false" ht="12.8" hidden="false" customHeight="false" outlineLevel="0" collapsed="false">
      <c r="A856" s="5" t="n">
        <v>4.21999999999997</v>
      </c>
      <c r="B856" s="5" t="n">
        <f aca="false">A856*VOFLB</f>
        <v>109.719999999999</v>
      </c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 t="e">
        <f aca="false">0.000001*('Design Worksheet'!B$88)*(B856-B855)/E$232+M855</f>
        <v>#N/A</v>
      </c>
      <c r="N856" s="5" t="n">
        <f aca="false">B856</f>
        <v>109.719999999999</v>
      </c>
    </row>
    <row r="857" customFormat="false" ht="12.8" hidden="false" customHeight="false" outlineLevel="0" collapsed="false">
      <c r="A857" s="5" t="n">
        <v>4.22499999999997</v>
      </c>
      <c r="B857" s="5" t="n">
        <f aca="false">A857*VOFLB</f>
        <v>109.849999999999</v>
      </c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 t="e">
        <f aca="false">0.000001*('Design Worksheet'!B$88)*(B857-B856)/E$232+M856</f>
        <v>#N/A</v>
      </c>
      <c r="N857" s="5" t="n">
        <f aca="false">B857</f>
        <v>109.849999999999</v>
      </c>
    </row>
    <row r="858" customFormat="false" ht="12.8" hidden="false" customHeight="false" outlineLevel="0" collapsed="false">
      <c r="A858" s="5" t="n">
        <v>4.22999999999997</v>
      </c>
      <c r="B858" s="5" t="n">
        <f aca="false">A858*VOFLB</f>
        <v>109.979999999999</v>
      </c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 t="e">
        <f aca="false">0.000001*('Design Worksheet'!B$88)*(B858-B857)/E$232+M857</f>
        <v>#N/A</v>
      </c>
      <c r="N858" s="5" t="n">
        <f aca="false">B858</f>
        <v>109.979999999999</v>
      </c>
    </row>
    <row r="859" customFormat="false" ht="12.8" hidden="false" customHeight="false" outlineLevel="0" collapsed="false">
      <c r="A859" s="5" t="n">
        <v>4.23499999999997</v>
      </c>
      <c r="B859" s="5" t="n">
        <f aca="false">A859*VOFLB</f>
        <v>110.109999999999</v>
      </c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 t="e">
        <f aca="false">0.000001*('Design Worksheet'!B$88)*(B859-B858)/E$232+M858</f>
        <v>#N/A</v>
      </c>
      <c r="N859" s="5" t="n">
        <f aca="false">B859</f>
        <v>110.109999999999</v>
      </c>
    </row>
    <row r="860" customFormat="false" ht="12.8" hidden="false" customHeight="false" outlineLevel="0" collapsed="false">
      <c r="A860" s="5" t="n">
        <v>4.23999999999997</v>
      </c>
      <c r="B860" s="5" t="n">
        <f aca="false">A860*VOFLB</f>
        <v>110.239999999999</v>
      </c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 t="e">
        <f aca="false">0.000001*('Design Worksheet'!B$88)*(B860-B859)/E$232+M859</f>
        <v>#N/A</v>
      </c>
      <c r="N860" s="5" t="n">
        <f aca="false">B860</f>
        <v>110.239999999999</v>
      </c>
    </row>
    <row r="861" customFormat="false" ht="12.8" hidden="false" customHeight="false" outlineLevel="0" collapsed="false">
      <c r="A861" s="5" t="n">
        <v>4.24499999999997</v>
      </c>
      <c r="B861" s="5" t="n">
        <f aca="false">A861*VOFLB</f>
        <v>110.369999999999</v>
      </c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 t="e">
        <f aca="false">0.000001*('Design Worksheet'!B$88)*(B861-B860)/E$232+M860</f>
        <v>#N/A</v>
      </c>
      <c r="N861" s="5" t="n">
        <f aca="false">B861</f>
        <v>110.369999999999</v>
      </c>
    </row>
    <row r="862" customFormat="false" ht="12.8" hidden="false" customHeight="false" outlineLevel="0" collapsed="false">
      <c r="A862" s="5" t="n">
        <v>4.24999999999997</v>
      </c>
      <c r="B862" s="5" t="n">
        <f aca="false">A862*VOFLB</f>
        <v>110.499999999999</v>
      </c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 t="e">
        <f aca="false">0.000001*('Design Worksheet'!B$88)*(B862-B861)/E$232+M861</f>
        <v>#N/A</v>
      </c>
      <c r="N862" s="5" t="n">
        <f aca="false">B862</f>
        <v>110.499999999999</v>
      </c>
    </row>
    <row r="863" customFormat="false" ht="12.8" hidden="false" customHeight="false" outlineLevel="0" collapsed="false">
      <c r="A863" s="5" t="n">
        <v>4.25499999999997</v>
      </c>
      <c r="B863" s="5" t="n">
        <f aca="false">A863*VOFLB</f>
        <v>110.629999999999</v>
      </c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 t="e">
        <f aca="false">0.000001*('Design Worksheet'!B$88)*(B863-B862)/E$232+M862</f>
        <v>#N/A</v>
      </c>
      <c r="N863" s="5" t="n">
        <f aca="false">B863</f>
        <v>110.629999999999</v>
      </c>
    </row>
    <row r="864" customFormat="false" ht="12.8" hidden="false" customHeight="false" outlineLevel="0" collapsed="false">
      <c r="A864" s="5" t="n">
        <v>4.25999999999997</v>
      </c>
      <c r="B864" s="5" t="n">
        <f aca="false">A864*VOFLB</f>
        <v>110.759999999999</v>
      </c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 t="e">
        <f aca="false">0.000001*('Design Worksheet'!B$88)*(B864-B863)/E$232+M863</f>
        <v>#N/A</v>
      </c>
      <c r="N864" s="5" t="n">
        <f aca="false">B864</f>
        <v>110.759999999999</v>
      </c>
    </row>
    <row r="865" customFormat="false" ht="12.8" hidden="false" customHeight="false" outlineLevel="0" collapsed="false">
      <c r="A865" s="5" t="n">
        <v>4.26499999999997</v>
      </c>
      <c r="B865" s="5" t="n">
        <f aca="false">A865*VOFLB</f>
        <v>110.889999999999</v>
      </c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 t="e">
        <f aca="false">0.000001*('Design Worksheet'!B$88)*(B865-B864)/E$232+M864</f>
        <v>#N/A</v>
      </c>
      <c r="N865" s="5" t="n">
        <f aca="false">B865</f>
        <v>110.889999999999</v>
      </c>
    </row>
    <row r="866" customFormat="false" ht="12.8" hidden="false" customHeight="false" outlineLevel="0" collapsed="false">
      <c r="A866" s="5" t="n">
        <v>4.26999999999997</v>
      </c>
      <c r="B866" s="5" t="n">
        <f aca="false">A866*VOFLB</f>
        <v>111.019999999999</v>
      </c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 t="e">
        <f aca="false">0.000001*('Design Worksheet'!B$88)*(B866-B865)/E$232+M865</f>
        <v>#N/A</v>
      </c>
      <c r="N866" s="5" t="n">
        <f aca="false">B866</f>
        <v>111.019999999999</v>
      </c>
    </row>
    <row r="867" customFormat="false" ht="12.8" hidden="false" customHeight="false" outlineLevel="0" collapsed="false">
      <c r="A867" s="5" t="n">
        <v>4.27499999999997</v>
      </c>
      <c r="B867" s="5" t="n">
        <f aca="false">A867*VOFLB</f>
        <v>111.149999999999</v>
      </c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 t="e">
        <f aca="false">0.000001*('Design Worksheet'!B$88)*(B867-B866)/E$232+M866</f>
        <v>#N/A</v>
      </c>
      <c r="N867" s="5" t="n">
        <f aca="false">B867</f>
        <v>111.149999999999</v>
      </c>
    </row>
    <row r="868" customFormat="false" ht="12.8" hidden="false" customHeight="false" outlineLevel="0" collapsed="false">
      <c r="A868" s="5" t="n">
        <v>4.27999999999997</v>
      </c>
      <c r="B868" s="5" t="n">
        <f aca="false">A868*VOFLB</f>
        <v>111.279999999999</v>
      </c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 t="e">
        <f aca="false">0.000001*('Design Worksheet'!B$88)*(B868-B867)/E$232+M867</f>
        <v>#N/A</v>
      </c>
      <c r="N868" s="5" t="n">
        <f aca="false">B868</f>
        <v>111.279999999999</v>
      </c>
    </row>
    <row r="869" customFormat="false" ht="12.8" hidden="false" customHeight="false" outlineLevel="0" collapsed="false">
      <c r="A869" s="5" t="n">
        <v>4.28499999999997</v>
      </c>
      <c r="B869" s="5" t="n">
        <f aca="false">A869*VOFLB</f>
        <v>111.409999999999</v>
      </c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 t="e">
        <f aca="false">0.000001*('Design Worksheet'!B$88)*(B869-B868)/E$232+M868</f>
        <v>#N/A</v>
      </c>
      <c r="N869" s="5" t="n">
        <f aca="false">B869</f>
        <v>111.409999999999</v>
      </c>
    </row>
    <row r="870" customFormat="false" ht="12.8" hidden="false" customHeight="false" outlineLevel="0" collapsed="false">
      <c r="A870" s="5" t="n">
        <v>4.28999999999997</v>
      </c>
      <c r="B870" s="5" t="n">
        <f aca="false">A870*VOFLB</f>
        <v>111.539999999999</v>
      </c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 t="e">
        <f aca="false">0.000001*('Design Worksheet'!B$88)*(B870-B869)/E$232+M869</f>
        <v>#N/A</v>
      </c>
      <c r="N870" s="5" t="n">
        <f aca="false">B870</f>
        <v>111.539999999999</v>
      </c>
    </row>
    <row r="871" customFormat="false" ht="12.8" hidden="false" customHeight="false" outlineLevel="0" collapsed="false">
      <c r="A871" s="5" t="n">
        <v>4.29499999999997</v>
      </c>
      <c r="B871" s="5" t="n">
        <f aca="false">A871*VOFLB</f>
        <v>111.669999999999</v>
      </c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 t="e">
        <f aca="false">0.000001*('Design Worksheet'!B$88)*(B871-B870)/E$232+M870</f>
        <v>#N/A</v>
      </c>
      <c r="N871" s="5" t="n">
        <f aca="false">B871</f>
        <v>111.669999999999</v>
      </c>
    </row>
    <row r="872" customFormat="false" ht="12.8" hidden="false" customHeight="false" outlineLevel="0" collapsed="false">
      <c r="A872" s="5" t="n">
        <v>4.29999999999997</v>
      </c>
      <c r="B872" s="5" t="n">
        <f aca="false">A872*VOFLB</f>
        <v>111.799999999999</v>
      </c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 t="e">
        <f aca="false">0.000001*('Design Worksheet'!B$88)*(B872-B871)/E$232+M871</f>
        <v>#N/A</v>
      </c>
      <c r="N872" s="5" t="n">
        <f aca="false">B872</f>
        <v>111.799999999999</v>
      </c>
    </row>
    <row r="873" customFormat="false" ht="12.8" hidden="false" customHeight="false" outlineLevel="0" collapsed="false">
      <c r="A873" s="5" t="n">
        <v>4.30499999999997</v>
      </c>
      <c r="B873" s="5" t="n">
        <f aca="false">A873*VOFLB</f>
        <v>111.929999999999</v>
      </c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 t="e">
        <f aca="false">0.000001*('Design Worksheet'!B$88)*(B873-B872)/E$232+M872</f>
        <v>#N/A</v>
      </c>
      <c r="N873" s="5" t="n">
        <f aca="false">B873</f>
        <v>111.929999999999</v>
      </c>
    </row>
    <row r="874" customFormat="false" ht="12.8" hidden="false" customHeight="false" outlineLevel="0" collapsed="false">
      <c r="A874" s="5" t="n">
        <v>4.30999999999997</v>
      </c>
      <c r="B874" s="5" t="n">
        <f aca="false">A874*VOFLB</f>
        <v>112.059999999999</v>
      </c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 t="e">
        <f aca="false">0.000001*('Design Worksheet'!B$88)*(B874-B873)/E$232+M873</f>
        <v>#N/A</v>
      </c>
      <c r="N874" s="5" t="n">
        <f aca="false">B874</f>
        <v>112.059999999999</v>
      </c>
    </row>
    <row r="875" customFormat="false" ht="12.8" hidden="false" customHeight="false" outlineLevel="0" collapsed="false">
      <c r="A875" s="5" t="n">
        <v>4.31499999999997</v>
      </c>
      <c r="B875" s="5" t="n">
        <f aca="false">A875*VOFLB</f>
        <v>112.189999999999</v>
      </c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 t="e">
        <f aca="false">0.000001*('Design Worksheet'!B$88)*(B875-B874)/E$232+M874</f>
        <v>#N/A</v>
      </c>
      <c r="N875" s="5" t="n">
        <f aca="false">B875</f>
        <v>112.189999999999</v>
      </c>
    </row>
    <row r="876" customFormat="false" ht="12.8" hidden="false" customHeight="false" outlineLevel="0" collapsed="false">
      <c r="A876" s="5" t="n">
        <v>4.31999999999997</v>
      </c>
      <c r="B876" s="5" t="n">
        <f aca="false">A876*VOFLB</f>
        <v>112.319999999999</v>
      </c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 t="e">
        <f aca="false">0.000001*('Design Worksheet'!B$88)*(B876-B875)/E$232+M875</f>
        <v>#N/A</v>
      </c>
      <c r="N876" s="5" t="n">
        <f aca="false">B876</f>
        <v>112.319999999999</v>
      </c>
    </row>
    <row r="877" customFormat="false" ht="12.8" hidden="false" customHeight="false" outlineLevel="0" collapsed="false">
      <c r="A877" s="5" t="n">
        <v>4.32499999999997</v>
      </c>
      <c r="B877" s="5" t="n">
        <f aca="false">A877*VOFLB</f>
        <v>112.449999999999</v>
      </c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 t="e">
        <f aca="false">0.000001*('Design Worksheet'!B$88)*(B877-B876)/E$232+M876</f>
        <v>#N/A</v>
      </c>
      <c r="N877" s="5" t="n">
        <f aca="false">B877</f>
        <v>112.449999999999</v>
      </c>
    </row>
    <row r="878" customFormat="false" ht="12.8" hidden="false" customHeight="false" outlineLevel="0" collapsed="false">
      <c r="A878" s="5" t="n">
        <v>4.32999999999997</v>
      </c>
      <c r="B878" s="5" t="n">
        <f aca="false">A878*VOFLB</f>
        <v>112.579999999999</v>
      </c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 t="e">
        <f aca="false">0.000001*('Design Worksheet'!B$88)*(B878-B877)/E$232+M877</f>
        <v>#N/A</v>
      </c>
      <c r="N878" s="5" t="n">
        <f aca="false">B878</f>
        <v>112.579999999999</v>
      </c>
    </row>
    <row r="879" customFormat="false" ht="12.8" hidden="false" customHeight="false" outlineLevel="0" collapsed="false">
      <c r="A879" s="5" t="n">
        <v>4.33499999999997</v>
      </c>
      <c r="B879" s="5" t="n">
        <f aca="false">A879*VOFLB</f>
        <v>112.709999999999</v>
      </c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 t="e">
        <f aca="false">0.000001*('Design Worksheet'!B$88)*(B879-B878)/E$232+M878</f>
        <v>#N/A</v>
      </c>
      <c r="N879" s="5" t="n">
        <f aca="false">B879</f>
        <v>112.709999999999</v>
      </c>
    </row>
    <row r="880" customFormat="false" ht="12.8" hidden="false" customHeight="false" outlineLevel="0" collapsed="false">
      <c r="A880" s="5" t="n">
        <v>4.33999999999997</v>
      </c>
      <c r="B880" s="5" t="n">
        <f aca="false">A880*VOFLB</f>
        <v>112.839999999999</v>
      </c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 t="e">
        <f aca="false">0.000001*('Design Worksheet'!B$88)*(B880-B879)/E$232+M879</f>
        <v>#N/A</v>
      </c>
      <c r="N880" s="5" t="n">
        <f aca="false">B880</f>
        <v>112.839999999999</v>
      </c>
    </row>
    <row r="881" customFormat="false" ht="12.8" hidden="false" customHeight="false" outlineLevel="0" collapsed="false">
      <c r="A881" s="5" t="n">
        <v>4.34499999999997</v>
      </c>
      <c r="B881" s="5" t="n">
        <f aca="false">A881*VOFLB</f>
        <v>112.969999999999</v>
      </c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 t="e">
        <f aca="false">0.000001*('Design Worksheet'!B$88)*(B881-B880)/E$232+M880</f>
        <v>#N/A</v>
      </c>
      <c r="N881" s="5" t="n">
        <f aca="false">B881</f>
        <v>112.969999999999</v>
      </c>
    </row>
    <row r="882" customFormat="false" ht="12.8" hidden="false" customHeight="false" outlineLevel="0" collapsed="false">
      <c r="A882" s="5" t="n">
        <v>4.34999999999997</v>
      </c>
      <c r="B882" s="5" t="n">
        <f aca="false">A882*VOFLB</f>
        <v>113.099999999999</v>
      </c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 t="e">
        <f aca="false">0.000001*('Design Worksheet'!B$88)*(B882-B881)/E$232+M881</f>
        <v>#N/A</v>
      </c>
      <c r="N882" s="5" t="n">
        <f aca="false">B882</f>
        <v>113.099999999999</v>
      </c>
    </row>
    <row r="883" customFormat="false" ht="12.8" hidden="false" customHeight="false" outlineLevel="0" collapsed="false">
      <c r="A883" s="5" t="n">
        <v>4.35499999999997</v>
      </c>
      <c r="B883" s="5" t="n">
        <f aca="false">A883*VOFLB</f>
        <v>113.229999999999</v>
      </c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 t="e">
        <f aca="false">0.000001*('Design Worksheet'!B$88)*(B883-B882)/E$232+M882</f>
        <v>#N/A</v>
      </c>
      <c r="N883" s="5" t="n">
        <f aca="false">B883</f>
        <v>113.229999999999</v>
      </c>
    </row>
    <row r="884" customFormat="false" ht="12.8" hidden="false" customHeight="false" outlineLevel="0" collapsed="false">
      <c r="A884" s="5" t="n">
        <v>4.35999999999997</v>
      </c>
      <c r="B884" s="5" t="n">
        <f aca="false">A884*VOFLB</f>
        <v>113.359999999999</v>
      </c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 t="e">
        <f aca="false">0.000001*('Design Worksheet'!B$88)*(B884-B883)/E$232+M883</f>
        <v>#N/A</v>
      </c>
      <c r="N884" s="5" t="n">
        <f aca="false">B884</f>
        <v>113.359999999999</v>
      </c>
    </row>
    <row r="885" customFormat="false" ht="12.8" hidden="false" customHeight="false" outlineLevel="0" collapsed="false">
      <c r="A885" s="5" t="n">
        <v>4.36499999999997</v>
      </c>
      <c r="B885" s="5" t="n">
        <f aca="false">A885*VOFLB</f>
        <v>113.489999999999</v>
      </c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 t="e">
        <f aca="false">0.000001*('Design Worksheet'!B$88)*(B885-B884)/E$232+M884</f>
        <v>#N/A</v>
      </c>
      <c r="N885" s="5" t="n">
        <f aca="false">B885</f>
        <v>113.489999999999</v>
      </c>
    </row>
    <row r="886" customFormat="false" ht="12.8" hidden="false" customHeight="false" outlineLevel="0" collapsed="false">
      <c r="A886" s="5" t="n">
        <v>4.36999999999997</v>
      </c>
      <c r="B886" s="5" t="n">
        <f aca="false">A886*VOFLB</f>
        <v>113.619999999999</v>
      </c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 t="e">
        <f aca="false">0.000001*('Design Worksheet'!B$88)*(B886-B885)/E$232+M885</f>
        <v>#N/A</v>
      </c>
      <c r="N886" s="5" t="n">
        <f aca="false">B886</f>
        <v>113.619999999999</v>
      </c>
    </row>
    <row r="887" customFormat="false" ht="12.8" hidden="false" customHeight="false" outlineLevel="0" collapsed="false">
      <c r="A887" s="5" t="n">
        <v>4.37499999999997</v>
      </c>
      <c r="B887" s="5" t="n">
        <f aca="false">A887*VOFLB</f>
        <v>113.749999999999</v>
      </c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 t="e">
        <f aca="false">0.000001*('Design Worksheet'!B$88)*(B887-B886)/E$232+M886</f>
        <v>#N/A</v>
      </c>
      <c r="N887" s="5" t="n">
        <f aca="false">B887</f>
        <v>113.749999999999</v>
      </c>
    </row>
    <row r="888" customFormat="false" ht="12.8" hidden="false" customHeight="false" outlineLevel="0" collapsed="false">
      <c r="A888" s="5" t="n">
        <v>4.37999999999997</v>
      </c>
      <c r="B888" s="5" t="n">
        <f aca="false">A888*VOFLB</f>
        <v>113.879999999999</v>
      </c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 t="e">
        <f aca="false">0.000001*('Design Worksheet'!B$88)*(B888-B887)/E$232+M887</f>
        <v>#N/A</v>
      </c>
      <c r="N888" s="5" t="n">
        <f aca="false">B888</f>
        <v>113.879999999999</v>
      </c>
    </row>
    <row r="889" customFormat="false" ht="12.8" hidden="false" customHeight="false" outlineLevel="0" collapsed="false">
      <c r="A889" s="5" t="n">
        <v>4.38499999999997</v>
      </c>
      <c r="B889" s="5" t="n">
        <f aca="false">A889*VOFLB</f>
        <v>114.009999999999</v>
      </c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 t="e">
        <f aca="false">0.000001*('Design Worksheet'!B$88)*(B889-B888)/E$232+M888</f>
        <v>#N/A</v>
      </c>
      <c r="N889" s="5" t="n">
        <f aca="false">B889</f>
        <v>114.009999999999</v>
      </c>
    </row>
    <row r="890" customFormat="false" ht="12.8" hidden="false" customHeight="false" outlineLevel="0" collapsed="false">
      <c r="A890" s="5" t="n">
        <v>4.38999999999997</v>
      </c>
      <c r="B890" s="5" t="n">
        <f aca="false">A890*VOFLB</f>
        <v>114.139999999999</v>
      </c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 t="e">
        <f aca="false">0.000001*('Design Worksheet'!B$88)*(B890-B889)/E$232+M889</f>
        <v>#N/A</v>
      </c>
      <c r="N890" s="5" t="n">
        <f aca="false">B890</f>
        <v>114.139999999999</v>
      </c>
    </row>
    <row r="891" customFormat="false" ht="12.8" hidden="false" customHeight="false" outlineLevel="0" collapsed="false">
      <c r="A891" s="5" t="n">
        <v>4.39499999999997</v>
      </c>
      <c r="B891" s="5" t="n">
        <f aca="false">A891*VOFLB</f>
        <v>114.269999999999</v>
      </c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 t="e">
        <f aca="false">0.000001*('Design Worksheet'!B$88)*(B891-B890)/E$232+M890</f>
        <v>#N/A</v>
      </c>
      <c r="N891" s="5" t="n">
        <f aca="false">B891</f>
        <v>114.269999999999</v>
      </c>
    </row>
    <row r="892" customFormat="false" ht="12.8" hidden="false" customHeight="false" outlineLevel="0" collapsed="false">
      <c r="A892" s="5" t="n">
        <v>4.39999999999997</v>
      </c>
      <c r="B892" s="5" t="n">
        <f aca="false">A892*VOFLB</f>
        <v>114.399999999999</v>
      </c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 t="e">
        <f aca="false">0.000001*('Design Worksheet'!B$88)*(B892-B891)/E$232+M891</f>
        <v>#N/A</v>
      </c>
      <c r="N892" s="5" t="n">
        <f aca="false">B892</f>
        <v>114.399999999999</v>
      </c>
    </row>
    <row r="893" customFormat="false" ht="12.8" hidden="false" customHeight="false" outlineLevel="0" collapsed="false">
      <c r="A893" s="5" t="n">
        <v>4.40499999999997</v>
      </c>
      <c r="B893" s="5" t="n">
        <f aca="false">A893*VOFLB</f>
        <v>114.529999999999</v>
      </c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 t="e">
        <f aca="false">0.000001*('Design Worksheet'!B$88)*(B893-B892)/E$232+M892</f>
        <v>#N/A</v>
      </c>
      <c r="N893" s="5" t="n">
        <f aca="false">B893</f>
        <v>114.529999999999</v>
      </c>
    </row>
    <row r="894" customFormat="false" ht="12.8" hidden="false" customHeight="false" outlineLevel="0" collapsed="false">
      <c r="A894" s="5" t="n">
        <v>4.40999999999997</v>
      </c>
      <c r="B894" s="5" t="n">
        <f aca="false">A894*VOFLB</f>
        <v>114.659999999999</v>
      </c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 t="e">
        <f aca="false">0.000001*('Design Worksheet'!B$88)*(B894-B893)/E$232+M893</f>
        <v>#N/A</v>
      </c>
      <c r="N894" s="5" t="n">
        <f aca="false">B894</f>
        <v>114.659999999999</v>
      </c>
    </row>
    <row r="895" customFormat="false" ht="12.8" hidden="false" customHeight="false" outlineLevel="0" collapsed="false">
      <c r="A895" s="5" t="n">
        <v>4.41499999999997</v>
      </c>
      <c r="B895" s="5" t="n">
        <f aca="false">A895*VOFLB</f>
        <v>114.789999999999</v>
      </c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 t="e">
        <f aca="false">0.000001*('Design Worksheet'!B$88)*(B895-B894)/E$232+M894</f>
        <v>#N/A</v>
      </c>
      <c r="N895" s="5" t="n">
        <f aca="false">B895</f>
        <v>114.789999999999</v>
      </c>
    </row>
    <row r="896" customFormat="false" ht="12.8" hidden="false" customHeight="false" outlineLevel="0" collapsed="false">
      <c r="A896" s="5" t="n">
        <v>4.41999999999997</v>
      </c>
      <c r="B896" s="5" t="n">
        <f aca="false">A896*VOFLB</f>
        <v>114.919999999999</v>
      </c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 t="e">
        <f aca="false">0.000001*('Design Worksheet'!B$88)*(B896-B895)/E$232+M895</f>
        <v>#N/A</v>
      </c>
      <c r="N896" s="5" t="n">
        <f aca="false">B896</f>
        <v>114.919999999999</v>
      </c>
    </row>
    <row r="897" customFormat="false" ht="12.8" hidden="false" customHeight="false" outlineLevel="0" collapsed="false">
      <c r="A897" s="5" t="n">
        <v>4.42499999999997</v>
      </c>
      <c r="B897" s="5" t="n">
        <f aca="false">A897*VOFLB</f>
        <v>115.049999999999</v>
      </c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 t="e">
        <f aca="false">0.000001*('Design Worksheet'!B$88)*(B897-B896)/E$232+M896</f>
        <v>#N/A</v>
      </c>
      <c r="N897" s="5" t="n">
        <f aca="false">B897</f>
        <v>115.049999999999</v>
      </c>
    </row>
    <row r="898" customFormat="false" ht="12.8" hidden="false" customHeight="false" outlineLevel="0" collapsed="false">
      <c r="A898" s="5" t="n">
        <v>4.42999999999997</v>
      </c>
      <c r="B898" s="5" t="n">
        <f aca="false">A898*VOFLB</f>
        <v>115.179999999999</v>
      </c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 t="e">
        <f aca="false">0.000001*('Design Worksheet'!B$88)*(B898-B897)/E$232+M897</f>
        <v>#N/A</v>
      </c>
      <c r="N898" s="5" t="n">
        <f aca="false">B898</f>
        <v>115.179999999999</v>
      </c>
    </row>
    <row r="899" customFormat="false" ht="12.8" hidden="false" customHeight="false" outlineLevel="0" collapsed="false">
      <c r="A899" s="5" t="n">
        <v>4.43499999999997</v>
      </c>
      <c r="B899" s="5" t="n">
        <f aca="false">A899*VOFLB</f>
        <v>115.309999999999</v>
      </c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 t="e">
        <f aca="false">0.000001*('Design Worksheet'!B$88)*(B899-B898)/E$232+M898</f>
        <v>#N/A</v>
      </c>
      <c r="N899" s="5" t="n">
        <f aca="false">B899</f>
        <v>115.309999999999</v>
      </c>
    </row>
    <row r="900" customFormat="false" ht="12.8" hidden="false" customHeight="false" outlineLevel="0" collapsed="false">
      <c r="A900" s="5" t="n">
        <v>4.43999999999997</v>
      </c>
      <c r="B900" s="5" t="n">
        <f aca="false">A900*VOFLB</f>
        <v>115.439999999999</v>
      </c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 t="e">
        <f aca="false">0.000001*('Design Worksheet'!B$88)*(B900-B899)/E$232+M899</f>
        <v>#N/A</v>
      </c>
      <c r="N900" s="5" t="n">
        <f aca="false">B900</f>
        <v>115.439999999999</v>
      </c>
    </row>
    <row r="901" customFormat="false" ht="12.8" hidden="false" customHeight="false" outlineLevel="0" collapsed="false">
      <c r="A901" s="5" t="n">
        <v>4.44499999999997</v>
      </c>
      <c r="B901" s="5" t="n">
        <f aca="false">A901*VOFLB</f>
        <v>115.569999999999</v>
      </c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 t="e">
        <f aca="false">0.000001*('Design Worksheet'!B$88)*(B901-B900)/E$232+M900</f>
        <v>#N/A</v>
      </c>
      <c r="N901" s="5" t="n">
        <f aca="false">B901</f>
        <v>115.569999999999</v>
      </c>
    </row>
    <row r="902" customFormat="false" ht="12.8" hidden="false" customHeight="false" outlineLevel="0" collapsed="false">
      <c r="A902" s="5" t="n">
        <v>4.44999999999997</v>
      </c>
      <c r="B902" s="5" t="n">
        <f aca="false">A902*VOFLB</f>
        <v>115.699999999999</v>
      </c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 t="e">
        <f aca="false">0.000001*('Design Worksheet'!B$88)*(B902-B901)/E$232+M901</f>
        <v>#N/A</v>
      </c>
      <c r="N902" s="5" t="n">
        <f aca="false">B902</f>
        <v>115.699999999999</v>
      </c>
    </row>
    <row r="903" customFormat="false" ht="12.8" hidden="false" customHeight="false" outlineLevel="0" collapsed="false">
      <c r="A903" s="5" t="n">
        <v>4.45499999999997</v>
      </c>
      <c r="B903" s="5" t="n">
        <f aca="false">A903*VOFLB</f>
        <v>115.829999999999</v>
      </c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 t="e">
        <f aca="false">0.000001*('Design Worksheet'!B$88)*(B903-B902)/E$232+M902</f>
        <v>#N/A</v>
      </c>
      <c r="N903" s="5" t="n">
        <f aca="false">B903</f>
        <v>115.829999999999</v>
      </c>
    </row>
    <row r="904" customFormat="false" ht="12.8" hidden="false" customHeight="false" outlineLevel="0" collapsed="false">
      <c r="A904" s="5" t="n">
        <v>4.45999999999997</v>
      </c>
      <c r="B904" s="5" t="n">
        <f aca="false">A904*VOFLB</f>
        <v>115.959999999999</v>
      </c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 t="e">
        <f aca="false">0.000001*('Design Worksheet'!B$88)*(B904-B903)/E$232+M903</f>
        <v>#N/A</v>
      </c>
      <c r="N904" s="5" t="n">
        <f aca="false">B904</f>
        <v>115.959999999999</v>
      </c>
    </row>
    <row r="905" customFormat="false" ht="12.8" hidden="false" customHeight="false" outlineLevel="0" collapsed="false">
      <c r="A905" s="5" t="n">
        <v>4.46499999999997</v>
      </c>
      <c r="B905" s="5" t="n">
        <f aca="false">A905*VOFLB</f>
        <v>116.089999999999</v>
      </c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 t="e">
        <f aca="false">0.000001*('Design Worksheet'!B$88)*(B905-B904)/E$232+M904</f>
        <v>#N/A</v>
      </c>
      <c r="N905" s="5" t="n">
        <f aca="false">B905</f>
        <v>116.089999999999</v>
      </c>
    </row>
    <row r="906" customFormat="false" ht="12.8" hidden="false" customHeight="false" outlineLevel="0" collapsed="false">
      <c r="A906" s="5" t="n">
        <v>4.46999999999997</v>
      </c>
      <c r="B906" s="5" t="n">
        <f aca="false">A906*VOFLB</f>
        <v>116.219999999999</v>
      </c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 t="e">
        <f aca="false">0.000001*('Design Worksheet'!B$88)*(B906-B905)/E$232+M905</f>
        <v>#N/A</v>
      </c>
      <c r="N906" s="5" t="n">
        <f aca="false">B906</f>
        <v>116.219999999999</v>
      </c>
    </row>
    <row r="907" customFormat="false" ht="12.8" hidden="false" customHeight="false" outlineLevel="0" collapsed="false">
      <c r="A907" s="5" t="n">
        <v>4.47499999999997</v>
      </c>
      <c r="B907" s="5" t="n">
        <f aca="false">A907*VOFLB</f>
        <v>116.349999999999</v>
      </c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 t="e">
        <f aca="false">0.000001*('Design Worksheet'!B$88)*(B907-B906)/E$232+M906</f>
        <v>#N/A</v>
      </c>
      <c r="N907" s="5" t="n">
        <f aca="false">B907</f>
        <v>116.349999999999</v>
      </c>
    </row>
    <row r="908" customFormat="false" ht="12.8" hidden="false" customHeight="false" outlineLevel="0" collapsed="false">
      <c r="A908" s="5" t="n">
        <v>4.47999999999997</v>
      </c>
      <c r="B908" s="5" t="n">
        <f aca="false">A908*VOFLB</f>
        <v>116.479999999999</v>
      </c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 t="e">
        <f aca="false">0.000001*('Design Worksheet'!B$88)*(B908-B907)/E$232+M907</f>
        <v>#N/A</v>
      </c>
      <c r="N908" s="5" t="n">
        <f aca="false">B908</f>
        <v>116.479999999999</v>
      </c>
    </row>
    <row r="909" customFormat="false" ht="12.8" hidden="false" customHeight="false" outlineLevel="0" collapsed="false">
      <c r="A909" s="5" t="n">
        <v>4.48499999999997</v>
      </c>
      <c r="B909" s="5" t="n">
        <f aca="false">A909*VOFLB</f>
        <v>116.609999999999</v>
      </c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 t="e">
        <f aca="false">0.000001*('Design Worksheet'!B$88)*(B909-B908)/E$232+M908</f>
        <v>#N/A</v>
      </c>
      <c r="N909" s="5" t="n">
        <f aca="false">B909</f>
        <v>116.609999999999</v>
      </c>
    </row>
    <row r="910" customFormat="false" ht="12.8" hidden="false" customHeight="false" outlineLevel="0" collapsed="false">
      <c r="A910" s="5" t="n">
        <v>4.48999999999997</v>
      </c>
      <c r="B910" s="5" t="n">
        <f aca="false">A910*VOFLB</f>
        <v>116.739999999999</v>
      </c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 t="e">
        <f aca="false">0.000001*('Design Worksheet'!B$88)*(B910-B909)/E$232+M909</f>
        <v>#N/A</v>
      </c>
      <c r="N910" s="5" t="n">
        <f aca="false">B910</f>
        <v>116.739999999999</v>
      </c>
    </row>
    <row r="911" customFormat="false" ht="12.8" hidden="false" customHeight="false" outlineLevel="0" collapsed="false">
      <c r="A911" s="5" t="n">
        <v>4.49499999999997</v>
      </c>
      <c r="B911" s="5" t="n">
        <f aca="false">A911*VOFLB</f>
        <v>116.869999999999</v>
      </c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 t="e">
        <f aca="false">0.000001*('Design Worksheet'!B$88)*(B911-B910)/E$232+M910</f>
        <v>#N/A</v>
      </c>
      <c r="N911" s="5" t="n">
        <f aca="false">B911</f>
        <v>116.869999999999</v>
      </c>
    </row>
    <row r="912" customFormat="false" ht="12.8" hidden="false" customHeight="false" outlineLevel="0" collapsed="false">
      <c r="A912" s="5" t="n">
        <v>4.49999999999997</v>
      </c>
      <c r="B912" s="5" t="n">
        <f aca="false">A912*VOFLB</f>
        <v>116.999999999999</v>
      </c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 t="e">
        <f aca="false">0.000001*('Design Worksheet'!B$88)*(B912-B911)/E$232+M911</f>
        <v>#N/A</v>
      </c>
      <c r="N912" s="5" t="n">
        <f aca="false">B912</f>
        <v>116.999999999999</v>
      </c>
    </row>
    <row r="913" customFormat="false" ht="12.8" hidden="false" customHeight="false" outlineLevel="0" collapsed="false">
      <c r="A913" s="5" t="n">
        <v>4.50499999999997</v>
      </c>
      <c r="B913" s="5" t="n">
        <f aca="false">A913*VOFLB</f>
        <v>117.129999999999</v>
      </c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 t="e">
        <f aca="false">0.000001*('Design Worksheet'!B$88)*(B913-B912)/E$232+M912</f>
        <v>#N/A</v>
      </c>
      <c r="N913" s="5" t="n">
        <f aca="false">B913</f>
        <v>117.129999999999</v>
      </c>
    </row>
    <row r="914" customFormat="false" ht="12.8" hidden="false" customHeight="false" outlineLevel="0" collapsed="false">
      <c r="A914" s="5" t="n">
        <v>4.50999999999997</v>
      </c>
      <c r="B914" s="5" t="n">
        <f aca="false">A914*VOFLB</f>
        <v>117.259999999999</v>
      </c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 t="e">
        <f aca="false">0.000001*('Design Worksheet'!B$88)*(B914-B913)/E$232+M913</f>
        <v>#N/A</v>
      </c>
      <c r="N914" s="5" t="n">
        <f aca="false">B914</f>
        <v>117.259999999999</v>
      </c>
    </row>
    <row r="915" customFormat="false" ht="12.8" hidden="false" customHeight="false" outlineLevel="0" collapsed="false">
      <c r="A915" s="5" t="n">
        <v>4.51499999999997</v>
      </c>
      <c r="B915" s="5" t="n">
        <f aca="false">A915*VOFLB</f>
        <v>117.389999999999</v>
      </c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 t="e">
        <f aca="false">0.000001*('Design Worksheet'!B$88)*(B915-B914)/E$232+M914</f>
        <v>#N/A</v>
      </c>
      <c r="N915" s="5" t="n">
        <f aca="false">B915</f>
        <v>117.389999999999</v>
      </c>
    </row>
    <row r="916" customFormat="false" ht="12.8" hidden="false" customHeight="false" outlineLevel="0" collapsed="false">
      <c r="A916" s="5" t="n">
        <v>4.51999999999997</v>
      </c>
      <c r="B916" s="5" t="n">
        <f aca="false">A916*VOFLB</f>
        <v>117.519999999999</v>
      </c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 t="e">
        <f aca="false">0.000001*('Design Worksheet'!B$88)*(B916-B915)/E$232+M915</f>
        <v>#N/A</v>
      </c>
      <c r="N916" s="5" t="n">
        <f aca="false">B916</f>
        <v>117.519999999999</v>
      </c>
    </row>
    <row r="917" customFormat="false" ht="12.8" hidden="false" customHeight="false" outlineLevel="0" collapsed="false">
      <c r="A917" s="5" t="n">
        <v>4.52499999999997</v>
      </c>
      <c r="B917" s="5" t="n">
        <f aca="false">A917*VOFLB</f>
        <v>117.649999999999</v>
      </c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 t="e">
        <f aca="false">0.000001*('Design Worksheet'!B$88)*(B917-B916)/E$232+M916</f>
        <v>#N/A</v>
      </c>
      <c r="N917" s="5" t="n">
        <f aca="false">B917</f>
        <v>117.649999999999</v>
      </c>
    </row>
    <row r="918" customFormat="false" ht="12.8" hidden="false" customHeight="false" outlineLevel="0" collapsed="false">
      <c r="A918" s="5" t="n">
        <v>4.52999999999997</v>
      </c>
      <c r="B918" s="5" t="n">
        <f aca="false">A918*VOFLB</f>
        <v>117.779999999999</v>
      </c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 t="e">
        <f aca="false">0.000001*('Design Worksheet'!B$88)*(B918-B917)/E$232+M917</f>
        <v>#N/A</v>
      </c>
      <c r="N918" s="5" t="n">
        <f aca="false">B918</f>
        <v>117.779999999999</v>
      </c>
    </row>
    <row r="919" customFormat="false" ht="12.8" hidden="false" customHeight="false" outlineLevel="0" collapsed="false">
      <c r="A919" s="5" t="n">
        <v>4.53499999999997</v>
      </c>
      <c r="B919" s="5" t="n">
        <f aca="false">A919*VOFLB</f>
        <v>117.909999999999</v>
      </c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 t="e">
        <f aca="false">0.000001*('Design Worksheet'!B$88)*(B919-B918)/E$232+M918</f>
        <v>#N/A</v>
      </c>
      <c r="N919" s="5" t="n">
        <f aca="false">B919</f>
        <v>117.909999999999</v>
      </c>
    </row>
    <row r="920" customFormat="false" ht="12.8" hidden="false" customHeight="false" outlineLevel="0" collapsed="false">
      <c r="A920" s="5" t="n">
        <v>4.53999999999997</v>
      </c>
      <c r="B920" s="5" t="n">
        <f aca="false">A920*VOFLB</f>
        <v>118.039999999999</v>
      </c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 t="e">
        <f aca="false">0.000001*('Design Worksheet'!B$88)*(B920-B919)/E$232+M919</f>
        <v>#N/A</v>
      </c>
      <c r="N920" s="5" t="n">
        <f aca="false">B920</f>
        <v>118.039999999999</v>
      </c>
    </row>
    <row r="921" customFormat="false" ht="12.8" hidden="false" customHeight="false" outlineLevel="0" collapsed="false">
      <c r="A921" s="5" t="n">
        <v>4.54499999999997</v>
      </c>
      <c r="B921" s="5" t="n">
        <f aca="false">A921*VOFLB</f>
        <v>118.169999999999</v>
      </c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 t="e">
        <f aca="false">0.000001*('Design Worksheet'!B$88)*(B921-B920)/E$232+M920</f>
        <v>#N/A</v>
      </c>
      <c r="N921" s="5" t="n">
        <f aca="false">B921</f>
        <v>118.169999999999</v>
      </c>
    </row>
    <row r="922" customFormat="false" ht="12.8" hidden="false" customHeight="false" outlineLevel="0" collapsed="false">
      <c r="A922" s="5" t="n">
        <v>4.54999999999997</v>
      </c>
      <c r="B922" s="5" t="n">
        <f aca="false">A922*VOFLB</f>
        <v>118.299999999999</v>
      </c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 t="e">
        <f aca="false">0.000001*('Design Worksheet'!B$88)*(B922-B921)/E$232+M921</f>
        <v>#N/A</v>
      </c>
      <c r="N922" s="5" t="n">
        <f aca="false">B922</f>
        <v>118.299999999999</v>
      </c>
    </row>
    <row r="923" customFormat="false" ht="12.8" hidden="false" customHeight="false" outlineLevel="0" collapsed="false">
      <c r="A923" s="5" t="n">
        <v>4.55499999999997</v>
      </c>
      <c r="B923" s="5" t="n">
        <f aca="false">A923*VOFLB</f>
        <v>118.429999999999</v>
      </c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 t="e">
        <f aca="false">0.000001*('Design Worksheet'!B$88)*(B923-B922)/E$232+M922</f>
        <v>#N/A</v>
      </c>
      <c r="N923" s="5" t="n">
        <f aca="false">B923</f>
        <v>118.429999999999</v>
      </c>
    </row>
    <row r="924" customFormat="false" ht="12.8" hidden="false" customHeight="false" outlineLevel="0" collapsed="false">
      <c r="A924" s="5" t="n">
        <v>4.55999999999997</v>
      </c>
      <c r="B924" s="5" t="n">
        <f aca="false">A924*VOFLB</f>
        <v>118.559999999999</v>
      </c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 t="e">
        <f aca="false">0.000001*('Design Worksheet'!B$88)*(B924-B923)/E$232+M923</f>
        <v>#N/A</v>
      </c>
      <c r="N924" s="5" t="n">
        <f aca="false">B924</f>
        <v>118.559999999999</v>
      </c>
    </row>
    <row r="925" customFormat="false" ht="12.8" hidden="false" customHeight="false" outlineLevel="0" collapsed="false">
      <c r="A925" s="5" t="n">
        <v>4.56499999999997</v>
      </c>
      <c r="B925" s="5" t="n">
        <f aca="false">A925*VOFLB</f>
        <v>118.689999999999</v>
      </c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 t="e">
        <f aca="false">0.000001*('Design Worksheet'!B$88)*(B925-B924)/E$232+M924</f>
        <v>#N/A</v>
      </c>
      <c r="N925" s="5" t="n">
        <f aca="false">B925</f>
        <v>118.689999999999</v>
      </c>
    </row>
    <row r="926" customFormat="false" ht="12.8" hidden="false" customHeight="false" outlineLevel="0" collapsed="false">
      <c r="A926" s="5" t="n">
        <v>4.56999999999997</v>
      </c>
      <c r="B926" s="5" t="n">
        <f aca="false">A926*VOFLB</f>
        <v>118.819999999999</v>
      </c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 t="e">
        <f aca="false">0.000001*('Design Worksheet'!B$88)*(B926-B925)/E$232+M925</f>
        <v>#N/A</v>
      </c>
      <c r="N926" s="5" t="n">
        <f aca="false">B926</f>
        <v>118.819999999999</v>
      </c>
    </row>
    <row r="927" customFormat="false" ht="12.8" hidden="false" customHeight="false" outlineLevel="0" collapsed="false">
      <c r="A927" s="5" t="n">
        <v>4.57499999999997</v>
      </c>
      <c r="B927" s="5" t="n">
        <f aca="false">A927*VOFLB</f>
        <v>118.949999999999</v>
      </c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 t="e">
        <f aca="false">0.000001*('Design Worksheet'!B$88)*(B927-B926)/E$232+M926</f>
        <v>#N/A</v>
      </c>
      <c r="N927" s="5" t="n">
        <f aca="false">B927</f>
        <v>118.949999999999</v>
      </c>
    </row>
    <row r="928" customFormat="false" ht="12.8" hidden="false" customHeight="false" outlineLevel="0" collapsed="false">
      <c r="A928" s="5" t="n">
        <v>4.57999999999997</v>
      </c>
      <c r="B928" s="5" t="n">
        <f aca="false">A928*VOFLB</f>
        <v>119.079999999999</v>
      </c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 t="e">
        <f aca="false">0.000001*('Design Worksheet'!B$88)*(B928-B927)/E$232+M927</f>
        <v>#N/A</v>
      </c>
      <c r="N928" s="5" t="n">
        <f aca="false">B928</f>
        <v>119.079999999999</v>
      </c>
    </row>
    <row r="929" customFormat="false" ht="12.8" hidden="false" customHeight="false" outlineLevel="0" collapsed="false">
      <c r="A929" s="5" t="n">
        <v>4.58499999999997</v>
      </c>
      <c r="B929" s="5" t="n">
        <f aca="false">A929*VOFLB</f>
        <v>119.209999999999</v>
      </c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 t="e">
        <f aca="false">0.000001*('Design Worksheet'!B$88)*(B929-B928)/E$232+M928</f>
        <v>#N/A</v>
      </c>
      <c r="N929" s="5" t="n">
        <f aca="false">B929</f>
        <v>119.209999999999</v>
      </c>
    </row>
    <row r="930" customFormat="false" ht="12.8" hidden="false" customHeight="false" outlineLevel="0" collapsed="false">
      <c r="A930" s="5" t="n">
        <v>4.58999999999997</v>
      </c>
      <c r="B930" s="5" t="n">
        <f aca="false">A930*VOFLB</f>
        <v>119.339999999999</v>
      </c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 t="e">
        <f aca="false">0.000001*('Design Worksheet'!B$88)*(B930-B929)/E$232+M929</f>
        <v>#N/A</v>
      </c>
      <c r="N930" s="5" t="n">
        <f aca="false">B930</f>
        <v>119.339999999999</v>
      </c>
    </row>
    <row r="931" customFormat="false" ht="12.8" hidden="false" customHeight="false" outlineLevel="0" collapsed="false">
      <c r="A931" s="5" t="n">
        <v>4.59499999999997</v>
      </c>
      <c r="B931" s="5" t="n">
        <f aca="false">A931*VOFLB</f>
        <v>119.469999999999</v>
      </c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 t="e">
        <f aca="false">0.000001*('Design Worksheet'!B$88)*(B931-B930)/E$232+M930</f>
        <v>#N/A</v>
      </c>
      <c r="N931" s="5" t="n">
        <f aca="false">B931</f>
        <v>119.469999999999</v>
      </c>
    </row>
    <row r="932" customFormat="false" ht="12.8" hidden="false" customHeight="false" outlineLevel="0" collapsed="false">
      <c r="A932" s="5" t="n">
        <v>4.59999999999997</v>
      </c>
      <c r="B932" s="5" t="n">
        <f aca="false">A932*VOFLB</f>
        <v>119.599999999999</v>
      </c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 t="e">
        <f aca="false">0.000001*('Design Worksheet'!B$88)*(B932-B931)/E$232+M931</f>
        <v>#N/A</v>
      </c>
      <c r="N932" s="5" t="n">
        <f aca="false">B932</f>
        <v>119.599999999999</v>
      </c>
    </row>
    <row r="933" customFormat="false" ht="12.8" hidden="false" customHeight="false" outlineLevel="0" collapsed="false">
      <c r="A933" s="5" t="n">
        <v>4.60499999999997</v>
      </c>
      <c r="B933" s="5" t="n">
        <f aca="false">A933*VOFLB</f>
        <v>119.729999999999</v>
      </c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 t="e">
        <f aca="false">0.000001*('Design Worksheet'!B$88)*(B933-B932)/E$232+M932</f>
        <v>#N/A</v>
      </c>
      <c r="N933" s="5" t="n">
        <f aca="false">B933</f>
        <v>119.729999999999</v>
      </c>
    </row>
    <row r="934" customFormat="false" ht="12.8" hidden="false" customHeight="false" outlineLevel="0" collapsed="false">
      <c r="A934" s="5" t="n">
        <v>4.60999999999997</v>
      </c>
      <c r="B934" s="5" t="n">
        <f aca="false">A934*VOFLB</f>
        <v>119.859999999999</v>
      </c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 t="e">
        <f aca="false">0.000001*('Design Worksheet'!B$88)*(B934-B933)/E$232+M933</f>
        <v>#N/A</v>
      </c>
      <c r="N934" s="5" t="n">
        <f aca="false">B934</f>
        <v>119.859999999999</v>
      </c>
    </row>
    <row r="935" customFormat="false" ht="12.8" hidden="false" customHeight="false" outlineLevel="0" collapsed="false">
      <c r="A935" s="5" t="n">
        <v>4.61499999999997</v>
      </c>
      <c r="B935" s="5" t="n">
        <f aca="false">A935*VOFLB</f>
        <v>119.989999999999</v>
      </c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 t="e">
        <f aca="false">0.000001*('Design Worksheet'!B$88)*(B935-B934)/E$232+M934</f>
        <v>#N/A</v>
      </c>
      <c r="N935" s="5" t="n">
        <f aca="false">B935</f>
        <v>119.989999999999</v>
      </c>
    </row>
    <row r="936" customFormat="false" ht="12.8" hidden="false" customHeight="false" outlineLevel="0" collapsed="false">
      <c r="A936" s="5" t="n">
        <v>4.61999999999997</v>
      </c>
      <c r="B936" s="5" t="n">
        <f aca="false">A936*VOFLB</f>
        <v>120.119999999999</v>
      </c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 t="e">
        <f aca="false">0.000001*('Design Worksheet'!B$88)*(B936-B935)/E$232+M935</f>
        <v>#N/A</v>
      </c>
      <c r="N936" s="5" t="n">
        <f aca="false">B936</f>
        <v>120.119999999999</v>
      </c>
    </row>
    <row r="937" customFormat="false" ht="12.8" hidden="false" customHeight="false" outlineLevel="0" collapsed="false">
      <c r="A937" s="5" t="n">
        <v>4.62499999999997</v>
      </c>
      <c r="B937" s="5" t="n">
        <f aca="false">A937*VOFLB</f>
        <v>120.249999999999</v>
      </c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 t="e">
        <f aca="false">0.000001*('Design Worksheet'!B$88)*(B937-B936)/E$232+M936</f>
        <v>#N/A</v>
      </c>
      <c r="N937" s="5" t="n">
        <f aca="false">B937</f>
        <v>120.249999999999</v>
      </c>
    </row>
    <row r="938" customFormat="false" ht="12.8" hidden="false" customHeight="false" outlineLevel="0" collapsed="false">
      <c r="A938" s="5" t="n">
        <v>4.62999999999997</v>
      </c>
      <c r="B938" s="5" t="n">
        <f aca="false">A938*VOFLB</f>
        <v>120.379999999999</v>
      </c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 t="e">
        <f aca="false">0.000001*('Design Worksheet'!B$88)*(B938-B937)/E$232+M937</f>
        <v>#N/A</v>
      </c>
      <c r="N938" s="5" t="n">
        <f aca="false">B938</f>
        <v>120.379999999999</v>
      </c>
    </row>
    <row r="939" customFormat="false" ht="12.8" hidden="false" customHeight="false" outlineLevel="0" collapsed="false">
      <c r="A939" s="5" t="n">
        <v>4.63499999999997</v>
      </c>
      <c r="B939" s="5" t="n">
        <f aca="false">A939*VOFLB</f>
        <v>120.509999999999</v>
      </c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 t="e">
        <f aca="false">0.000001*('Design Worksheet'!B$88)*(B939-B938)/E$232+M938</f>
        <v>#N/A</v>
      </c>
      <c r="N939" s="5" t="n">
        <f aca="false">B939</f>
        <v>120.509999999999</v>
      </c>
    </row>
    <row r="940" customFormat="false" ht="12.8" hidden="false" customHeight="false" outlineLevel="0" collapsed="false">
      <c r="A940" s="5" t="n">
        <v>4.63999999999997</v>
      </c>
      <c r="B940" s="5" t="n">
        <f aca="false">A940*VOFLB</f>
        <v>120.639999999999</v>
      </c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 t="e">
        <f aca="false">0.000001*('Design Worksheet'!B$88)*(B940-B939)/E$232+M939</f>
        <v>#N/A</v>
      </c>
      <c r="N940" s="5" t="n">
        <f aca="false">B940</f>
        <v>120.639999999999</v>
      </c>
    </row>
    <row r="941" customFormat="false" ht="12.8" hidden="false" customHeight="false" outlineLevel="0" collapsed="false">
      <c r="A941" s="5" t="n">
        <v>4.64499999999996</v>
      </c>
      <c r="B941" s="5" t="n">
        <f aca="false">A941*VOFLB</f>
        <v>120.769999999999</v>
      </c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 t="e">
        <f aca="false">0.000001*('Design Worksheet'!B$88)*(B941-B940)/E$232+M940</f>
        <v>#N/A</v>
      </c>
      <c r="N941" s="5" t="n">
        <f aca="false">B941</f>
        <v>120.769999999999</v>
      </c>
    </row>
    <row r="942" customFormat="false" ht="12.8" hidden="false" customHeight="false" outlineLevel="0" collapsed="false">
      <c r="A942" s="5" t="n">
        <v>4.64999999999996</v>
      </c>
      <c r="B942" s="5" t="n">
        <f aca="false">A942*VOFLB</f>
        <v>120.899999999999</v>
      </c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 t="e">
        <f aca="false">0.000001*('Design Worksheet'!B$88)*(B942-B941)/E$232+M941</f>
        <v>#N/A</v>
      </c>
      <c r="N942" s="5" t="n">
        <f aca="false">B942</f>
        <v>120.899999999999</v>
      </c>
    </row>
    <row r="943" customFormat="false" ht="12.8" hidden="false" customHeight="false" outlineLevel="0" collapsed="false">
      <c r="A943" s="5" t="n">
        <v>4.65499999999996</v>
      </c>
      <c r="B943" s="5" t="n">
        <f aca="false">A943*VOFLB</f>
        <v>121.029999999999</v>
      </c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 t="e">
        <f aca="false">0.000001*('Design Worksheet'!B$88)*(B943-B942)/E$232+M942</f>
        <v>#N/A</v>
      </c>
      <c r="N943" s="5" t="n">
        <f aca="false">B943</f>
        <v>121.029999999999</v>
      </c>
    </row>
    <row r="944" customFormat="false" ht="12.8" hidden="false" customHeight="false" outlineLevel="0" collapsed="false">
      <c r="A944" s="5" t="n">
        <v>4.65999999999996</v>
      </c>
      <c r="B944" s="5" t="n">
        <f aca="false">A944*VOFLB</f>
        <v>121.159999999999</v>
      </c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 t="e">
        <f aca="false">0.000001*('Design Worksheet'!B$88)*(B944-B943)/E$232+M943</f>
        <v>#N/A</v>
      </c>
      <c r="N944" s="5" t="n">
        <f aca="false">B944</f>
        <v>121.159999999999</v>
      </c>
    </row>
    <row r="945" customFormat="false" ht="12.8" hidden="false" customHeight="false" outlineLevel="0" collapsed="false">
      <c r="A945" s="5" t="n">
        <v>4.66499999999996</v>
      </c>
      <c r="B945" s="5" t="n">
        <f aca="false">A945*VOFLB</f>
        <v>121.289999999999</v>
      </c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 t="e">
        <f aca="false">0.000001*('Design Worksheet'!B$88)*(B945-B944)/E$232+M944</f>
        <v>#N/A</v>
      </c>
      <c r="N945" s="5" t="n">
        <f aca="false">B945</f>
        <v>121.289999999999</v>
      </c>
    </row>
    <row r="946" customFormat="false" ht="12.8" hidden="false" customHeight="false" outlineLevel="0" collapsed="false">
      <c r="A946" s="5" t="n">
        <v>4.66999999999996</v>
      </c>
      <c r="B946" s="5" t="n">
        <f aca="false">A946*VOFLB</f>
        <v>121.419999999999</v>
      </c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 t="e">
        <f aca="false">0.000001*('Design Worksheet'!B$88)*(B946-B945)/E$232+M945</f>
        <v>#N/A</v>
      </c>
      <c r="N946" s="5" t="n">
        <f aca="false">B946</f>
        <v>121.419999999999</v>
      </c>
    </row>
    <row r="947" customFormat="false" ht="12.8" hidden="false" customHeight="false" outlineLevel="0" collapsed="false">
      <c r="A947" s="5" t="n">
        <v>4.67499999999996</v>
      </c>
      <c r="B947" s="5" t="n">
        <f aca="false">A947*VOFLB</f>
        <v>121.549999999999</v>
      </c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 t="e">
        <f aca="false">0.000001*('Design Worksheet'!B$88)*(B947-B946)/E$232+M946</f>
        <v>#N/A</v>
      </c>
      <c r="N947" s="5" t="n">
        <f aca="false">B947</f>
        <v>121.549999999999</v>
      </c>
    </row>
    <row r="948" customFormat="false" ht="12.8" hidden="false" customHeight="false" outlineLevel="0" collapsed="false">
      <c r="A948" s="5" t="n">
        <v>4.67999999999996</v>
      </c>
      <c r="B948" s="5" t="n">
        <f aca="false">A948*VOFLB</f>
        <v>121.679999999999</v>
      </c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 t="e">
        <f aca="false">0.000001*('Design Worksheet'!B$88)*(B948-B947)/E$232+M947</f>
        <v>#N/A</v>
      </c>
      <c r="N948" s="5" t="n">
        <f aca="false">B948</f>
        <v>121.679999999999</v>
      </c>
    </row>
    <row r="949" customFormat="false" ht="12.8" hidden="false" customHeight="false" outlineLevel="0" collapsed="false">
      <c r="A949" s="5" t="n">
        <v>4.68499999999996</v>
      </c>
      <c r="B949" s="5" t="n">
        <f aca="false">A949*VOFLB</f>
        <v>121.809999999999</v>
      </c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 t="e">
        <f aca="false">0.000001*('Design Worksheet'!B$88)*(B949-B948)/E$232+M948</f>
        <v>#N/A</v>
      </c>
      <c r="N949" s="5" t="n">
        <f aca="false">B949</f>
        <v>121.809999999999</v>
      </c>
    </row>
    <row r="950" customFormat="false" ht="12.8" hidden="false" customHeight="false" outlineLevel="0" collapsed="false">
      <c r="A950" s="5" t="n">
        <v>4.68999999999996</v>
      </c>
      <c r="B950" s="5" t="n">
        <f aca="false">A950*VOFLB</f>
        <v>121.939999999999</v>
      </c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 t="e">
        <f aca="false">0.000001*('Design Worksheet'!B$88)*(B950-B949)/E$232+M949</f>
        <v>#N/A</v>
      </c>
      <c r="N950" s="5" t="n">
        <f aca="false">B950</f>
        <v>121.939999999999</v>
      </c>
    </row>
    <row r="951" customFormat="false" ht="12.8" hidden="false" customHeight="false" outlineLevel="0" collapsed="false">
      <c r="A951" s="5" t="n">
        <v>4.69499999999996</v>
      </c>
      <c r="B951" s="5" t="n">
        <f aca="false">A951*VOFLB</f>
        <v>122.069999999999</v>
      </c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 t="e">
        <f aca="false">0.000001*('Design Worksheet'!B$88)*(B951-B950)/E$232+M950</f>
        <v>#N/A</v>
      </c>
      <c r="N951" s="5" t="n">
        <f aca="false">B951</f>
        <v>122.069999999999</v>
      </c>
    </row>
    <row r="952" customFormat="false" ht="12.8" hidden="false" customHeight="false" outlineLevel="0" collapsed="false">
      <c r="A952" s="5" t="n">
        <v>4.69999999999996</v>
      </c>
      <c r="B952" s="5" t="n">
        <f aca="false">A952*VOFLB</f>
        <v>122.199999999999</v>
      </c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 t="e">
        <f aca="false">0.000001*('Design Worksheet'!B$88)*(B952-B951)/E$232+M951</f>
        <v>#N/A</v>
      </c>
      <c r="N952" s="5" t="n">
        <f aca="false">B952</f>
        <v>122.199999999999</v>
      </c>
    </row>
    <row r="953" customFormat="false" ht="12.8" hidden="false" customHeight="false" outlineLevel="0" collapsed="false">
      <c r="A953" s="5" t="n">
        <v>4.70499999999996</v>
      </c>
      <c r="B953" s="5" t="n">
        <f aca="false">A953*VOFLB</f>
        <v>122.329999999999</v>
      </c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 t="e">
        <f aca="false">0.000001*('Design Worksheet'!B$88)*(B953-B952)/E$232+M952</f>
        <v>#N/A</v>
      </c>
      <c r="N953" s="5" t="n">
        <f aca="false">B953</f>
        <v>122.329999999999</v>
      </c>
    </row>
    <row r="954" customFormat="false" ht="12.8" hidden="false" customHeight="false" outlineLevel="0" collapsed="false">
      <c r="A954" s="5" t="n">
        <v>4.70999999999996</v>
      </c>
      <c r="B954" s="5" t="n">
        <f aca="false">A954*VOFLB</f>
        <v>122.459999999999</v>
      </c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 t="e">
        <f aca="false">0.000001*('Design Worksheet'!B$88)*(B954-B953)/E$232+M953</f>
        <v>#N/A</v>
      </c>
      <c r="N954" s="5" t="n">
        <f aca="false">B954</f>
        <v>122.459999999999</v>
      </c>
    </row>
    <row r="955" customFormat="false" ht="12.8" hidden="false" customHeight="false" outlineLevel="0" collapsed="false">
      <c r="A955" s="5" t="n">
        <v>4.71499999999996</v>
      </c>
      <c r="B955" s="5" t="n">
        <f aca="false">A955*VOFLB</f>
        <v>122.589999999999</v>
      </c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 t="e">
        <f aca="false">0.000001*('Design Worksheet'!B$88)*(B955-B954)/E$232+M954</f>
        <v>#N/A</v>
      </c>
      <c r="N955" s="5" t="n">
        <f aca="false">B955</f>
        <v>122.589999999999</v>
      </c>
    </row>
    <row r="956" customFormat="false" ht="12.8" hidden="false" customHeight="false" outlineLevel="0" collapsed="false">
      <c r="A956" s="5" t="n">
        <v>4.71999999999996</v>
      </c>
      <c r="B956" s="5" t="n">
        <f aca="false">A956*VOFLB</f>
        <v>122.719999999999</v>
      </c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 t="e">
        <f aca="false">0.000001*('Design Worksheet'!B$88)*(B956-B955)/E$232+M955</f>
        <v>#N/A</v>
      </c>
      <c r="N956" s="5" t="n">
        <f aca="false">B956</f>
        <v>122.719999999999</v>
      </c>
    </row>
    <row r="957" customFormat="false" ht="12.8" hidden="false" customHeight="false" outlineLevel="0" collapsed="false">
      <c r="A957" s="5" t="n">
        <v>4.72499999999996</v>
      </c>
      <c r="B957" s="5" t="n">
        <f aca="false">A957*VOFLB</f>
        <v>122.849999999999</v>
      </c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 t="e">
        <f aca="false">0.000001*('Design Worksheet'!B$88)*(B957-B956)/E$232+M956</f>
        <v>#N/A</v>
      </c>
      <c r="N957" s="5" t="n">
        <f aca="false">B957</f>
        <v>122.849999999999</v>
      </c>
    </row>
    <row r="958" customFormat="false" ht="12.8" hidden="false" customHeight="false" outlineLevel="0" collapsed="false">
      <c r="A958" s="5" t="n">
        <v>4.72999999999996</v>
      </c>
      <c r="B958" s="5" t="n">
        <f aca="false">A958*VOFLB</f>
        <v>122.979999999999</v>
      </c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 t="e">
        <f aca="false">0.000001*('Design Worksheet'!B$88)*(B958-B957)/E$232+M957</f>
        <v>#N/A</v>
      </c>
      <c r="N958" s="5" t="n">
        <f aca="false">B958</f>
        <v>122.979999999999</v>
      </c>
    </row>
    <row r="959" customFormat="false" ht="12.8" hidden="false" customHeight="false" outlineLevel="0" collapsed="false">
      <c r="A959" s="5" t="n">
        <v>4.73499999999996</v>
      </c>
      <c r="B959" s="5" t="n">
        <f aca="false">A959*VOFLB</f>
        <v>123.109999999999</v>
      </c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 t="e">
        <f aca="false">0.000001*('Design Worksheet'!B$88)*(B959-B958)/E$232+M958</f>
        <v>#N/A</v>
      </c>
      <c r="N959" s="5" t="n">
        <f aca="false">B959</f>
        <v>123.109999999999</v>
      </c>
    </row>
    <row r="960" customFormat="false" ht="12.8" hidden="false" customHeight="false" outlineLevel="0" collapsed="false">
      <c r="A960" s="5" t="n">
        <v>4.73999999999996</v>
      </c>
      <c r="B960" s="5" t="n">
        <f aca="false">A960*VOFLB</f>
        <v>123.239999999999</v>
      </c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 t="e">
        <f aca="false">0.000001*('Design Worksheet'!B$88)*(B960-B959)/E$232+M959</f>
        <v>#N/A</v>
      </c>
      <c r="N960" s="5" t="n">
        <f aca="false">B960</f>
        <v>123.239999999999</v>
      </c>
    </row>
    <row r="961" customFormat="false" ht="12.8" hidden="false" customHeight="false" outlineLevel="0" collapsed="false">
      <c r="A961" s="5" t="n">
        <v>4.74499999999996</v>
      </c>
      <c r="B961" s="5" t="n">
        <f aca="false">A961*VOFLB</f>
        <v>123.369999999999</v>
      </c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 t="e">
        <f aca="false">0.000001*('Design Worksheet'!B$88)*(B961-B960)/E$232+M960</f>
        <v>#N/A</v>
      </c>
      <c r="N961" s="5" t="n">
        <f aca="false">B961</f>
        <v>123.369999999999</v>
      </c>
    </row>
    <row r="962" customFormat="false" ht="12.8" hidden="false" customHeight="false" outlineLevel="0" collapsed="false">
      <c r="A962" s="5" t="n">
        <v>4.74999999999996</v>
      </c>
      <c r="B962" s="5" t="n">
        <f aca="false">A962*VOFLB</f>
        <v>123.499999999999</v>
      </c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 t="e">
        <f aca="false">0.000001*('Design Worksheet'!B$88)*(B962-B961)/E$232+M961</f>
        <v>#N/A</v>
      </c>
      <c r="N962" s="5" t="n">
        <f aca="false">B962</f>
        <v>123.499999999999</v>
      </c>
    </row>
    <row r="963" customFormat="false" ht="12.8" hidden="false" customHeight="false" outlineLevel="0" collapsed="false">
      <c r="A963" s="5" t="n">
        <v>4.75499999999996</v>
      </c>
      <c r="B963" s="5" t="n">
        <f aca="false">A963*VOFLB</f>
        <v>123.629999999999</v>
      </c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 t="e">
        <f aca="false">0.000001*('Design Worksheet'!B$88)*(B963-B962)/E$232+M962</f>
        <v>#N/A</v>
      </c>
      <c r="N963" s="5" t="n">
        <f aca="false">B963</f>
        <v>123.629999999999</v>
      </c>
    </row>
    <row r="964" customFormat="false" ht="12.8" hidden="false" customHeight="false" outlineLevel="0" collapsed="false">
      <c r="A964" s="5" t="n">
        <v>4.75999999999996</v>
      </c>
      <c r="B964" s="5" t="n">
        <f aca="false">A964*VOFLB</f>
        <v>123.759999999999</v>
      </c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 t="e">
        <f aca="false">0.000001*('Design Worksheet'!B$88)*(B964-B963)/E$232+M963</f>
        <v>#N/A</v>
      </c>
      <c r="N964" s="5" t="n">
        <f aca="false">B964</f>
        <v>123.759999999999</v>
      </c>
    </row>
    <row r="965" customFormat="false" ht="12.8" hidden="false" customHeight="false" outlineLevel="0" collapsed="false">
      <c r="A965" s="5" t="n">
        <v>4.76499999999996</v>
      </c>
      <c r="B965" s="5" t="n">
        <f aca="false">A965*VOFLB</f>
        <v>123.889999999999</v>
      </c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 t="e">
        <f aca="false">0.000001*('Design Worksheet'!B$88)*(B965-B964)/E$232+M964</f>
        <v>#N/A</v>
      </c>
      <c r="N965" s="5" t="n">
        <f aca="false">B965</f>
        <v>123.889999999999</v>
      </c>
    </row>
    <row r="966" customFormat="false" ht="12.8" hidden="false" customHeight="false" outlineLevel="0" collapsed="false">
      <c r="A966" s="5" t="n">
        <v>4.76999999999996</v>
      </c>
      <c r="B966" s="5" t="n">
        <f aca="false">A966*VOFLB</f>
        <v>124.019999999999</v>
      </c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 t="e">
        <f aca="false">0.000001*('Design Worksheet'!B$88)*(B966-B965)/E$232+M965</f>
        <v>#N/A</v>
      </c>
      <c r="N966" s="5" t="n">
        <f aca="false">B966</f>
        <v>124.019999999999</v>
      </c>
    </row>
    <row r="967" customFormat="false" ht="12.8" hidden="false" customHeight="false" outlineLevel="0" collapsed="false">
      <c r="A967" s="5" t="n">
        <v>4.77499999999996</v>
      </c>
      <c r="B967" s="5" t="n">
        <f aca="false">A967*VOFLB</f>
        <v>124.149999999999</v>
      </c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 t="e">
        <f aca="false">0.000001*('Design Worksheet'!B$88)*(B967-B966)/E$232+M966</f>
        <v>#N/A</v>
      </c>
      <c r="N967" s="5" t="n">
        <f aca="false">B967</f>
        <v>124.149999999999</v>
      </c>
    </row>
    <row r="968" customFormat="false" ht="12.8" hidden="false" customHeight="false" outlineLevel="0" collapsed="false">
      <c r="A968" s="5" t="n">
        <v>4.77999999999996</v>
      </c>
      <c r="B968" s="5" t="n">
        <f aca="false">A968*VOFLB</f>
        <v>124.279999999999</v>
      </c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 t="e">
        <f aca="false">0.000001*('Design Worksheet'!B$88)*(B968-B967)/E$232+M967</f>
        <v>#N/A</v>
      </c>
      <c r="N968" s="5" t="n">
        <f aca="false">B968</f>
        <v>124.279999999999</v>
      </c>
    </row>
    <row r="969" customFormat="false" ht="12.8" hidden="false" customHeight="false" outlineLevel="0" collapsed="false">
      <c r="A969" s="5" t="n">
        <v>4.78499999999996</v>
      </c>
      <c r="B969" s="5" t="n">
        <f aca="false">A969*VOFLB</f>
        <v>124.409999999999</v>
      </c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 t="e">
        <f aca="false">0.000001*('Design Worksheet'!B$88)*(B969-B968)/E$232+M968</f>
        <v>#N/A</v>
      </c>
      <c r="N969" s="5" t="n">
        <f aca="false">B969</f>
        <v>124.409999999999</v>
      </c>
    </row>
    <row r="970" customFormat="false" ht="12.8" hidden="false" customHeight="false" outlineLevel="0" collapsed="false">
      <c r="A970" s="5" t="n">
        <v>4.78999999999996</v>
      </c>
      <c r="B970" s="5" t="n">
        <f aca="false">A970*VOFLB</f>
        <v>124.539999999999</v>
      </c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 t="e">
        <f aca="false">0.000001*('Design Worksheet'!B$88)*(B970-B969)/E$232+M969</f>
        <v>#N/A</v>
      </c>
      <c r="N970" s="5" t="n">
        <f aca="false">B970</f>
        <v>124.539999999999</v>
      </c>
    </row>
    <row r="971" customFormat="false" ht="12.8" hidden="false" customHeight="false" outlineLevel="0" collapsed="false">
      <c r="A971" s="5" t="n">
        <v>4.79499999999996</v>
      </c>
      <c r="B971" s="5" t="n">
        <f aca="false">A971*VOFLB</f>
        <v>124.669999999999</v>
      </c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 t="e">
        <f aca="false">0.000001*('Design Worksheet'!B$88)*(B971-B970)/E$232+M970</f>
        <v>#N/A</v>
      </c>
      <c r="N971" s="5" t="n">
        <f aca="false">B971</f>
        <v>124.669999999999</v>
      </c>
    </row>
    <row r="972" customFormat="false" ht="12.8" hidden="false" customHeight="false" outlineLevel="0" collapsed="false">
      <c r="A972" s="5" t="n">
        <v>4.79999999999996</v>
      </c>
      <c r="B972" s="5" t="n">
        <f aca="false">A972*VOFLB</f>
        <v>124.799999999999</v>
      </c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 t="e">
        <f aca="false">0.000001*('Design Worksheet'!B$88)*(B972-B971)/E$232+M971</f>
        <v>#N/A</v>
      </c>
      <c r="N972" s="5" t="n">
        <f aca="false">B972</f>
        <v>124.799999999999</v>
      </c>
    </row>
    <row r="973" customFormat="false" ht="12.8" hidden="false" customHeight="false" outlineLevel="0" collapsed="false">
      <c r="A973" s="5" t="n">
        <v>4.80499999999996</v>
      </c>
      <c r="B973" s="5" t="n">
        <f aca="false">A973*VOFLB</f>
        <v>124.929999999999</v>
      </c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 t="e">
        <f aca="false">0.000001*('Design Worksheet'!B$88)*(B973-B972)/E$232+M972</f>
        <v>#N/A</v>
      </c>
      <c r="N973" s="5" t="n">
        <f aca="false">B973</f>
        <v>124.929999999999</v>
      </c>
    </row>
    <row r="974" customFormat="false" ht="12.8" hidden="false" customHeight="false" outlineLevel="0" collapsed="false">
      <c r="A974" s="5" t="n">
        <v>4.80999999999996</v>
      </c>
      <c r="B974" s="5" t="n">
        <f aca="false">A974*VOFLB</f>
        <v>125.059999999999</v>
      </c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 t="e">
        <f aca="false">0.000001*('Design Worksheet'!B$88)*(B974-B973)/E$232+M973</f>
        <v>#N/A</v>
      </c>
      <c r="N974" s="5" t="n">
        <f aca="false">B974</f>
        <v>125.059999999999</v>
      </c>
    </row>
    <row r="975" customFormat="false" ht="12.8" hidden="false" customHeight="false" outlineLevel="0" collapsed="false">
      <c r="A975" s="5" t="n">
        <v>4.81499999999996</v>
      </c>
      <c r="B975" s="5" t="n">
        <f aca="false">A975*VOFLB</f>
        <v>125.189999999999</v>
      </c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 t="e">
        <f aca="false">0.000001*('Design Worksheet'!B$88)*(B975-B974)/E$232+M974</f>
        <v>#N/A</v>
      </c>
      <c r="N975" s="5" t="n">
        <f aca="false">B975</f>
        <v>125.189999999999</v>
      </c>
    </row>
    <row r="976" customFormat="false" ht="12.8" hidden="false" customHeight="false" outlineLevel="0" collapsed="false">
      <c r="A976" s="5" t="n">
        <v>4.81999999999996</v>
      </c>
      <c r="B976" s="5" t="n">
        <f aca="false">A976*VOFLB</f>
        <v>125.319999999999</v>
      </c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 t="e">
        <f aca="false">0.000001*('Design Worksheet'!B$88)*(B976-B975)/E$232+M975</f>
        <v>#N/A</v>
      </c>
      <c r="N976" s="5" t="n">
        <f aca="false">B976</f>
        <v>125.319999999999</v>
      </c>
    </row>
    <row r="977" customFormat="false" ht="12.8" hidden="false" customHeight="false" outlineLevel="0" collapsed="false">
      <c r="A977" s="5" t="n">
        <v>4.82499999999996</v>
      </c>
      <c r="B977" s="5" t="n">
        <f aca="false">A977*VOFLB</f>
        <v>125.449999999999</v>
      </c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 t="e">
        <f aca="false">0.000001*('Design Worksheet'!B$88)*(B977-B976)/E$232+M976</f>
        <v>#N/A</v>
      </c>
      <c r="N977" s="5" t="n">
        <f aca="false">B977</f>
        <v>125.449999999999</v>
      </c>
    </row>
    <row r="978" customFormat="false" ht="12.8" hidden="false" customHeight="false" outlineLevel="0" collapsed="false">
      <c r="A978" s="5" t="n">
        <v>4.82999999999996</v>
      </c>
      <c r="B978" s="5" t="n">
        <f aca="false">A978*VOFLB</f>
        <v>125.579999999999</v>
      </c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 t="e">
        <f aca="false">0.000001*('Design Worksheet'!B$88)*(B978-B977)/E$232+M977</f>
        <v>#N/A</v>
      </c>
      <c r="N978" s="5" t="n">
        <f aca="false">B978</f>
        <v>125.579999999999</v>
      </c>
    </row>
    <row r="979" customFormat="false" ht="12.8" hidden="false" customHeight="false" outlineLevel="0" collapsed="false">
      <c r="A979" s="5" t="n">
        <v>4.83499999999996</v>
      </c>
      <c r="B979" s="5" t="n">
        <f aca="false">A979*VOFLB</f>
        <v>125.709999999999</v>
      </c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 t="e">
        <f aca="false">0.000001*('Design Worksheet'!B$88)*(B979-B978)/E$232+M978</f>
        <v>#N/A</v>
      </c>
      <c r="N979" s="5" t="n">
        <f aca="false">B979</f>
        <v>125.709999999999</v>
      </c>
    </row>
    <row r="980" customFormat="false" ht="12.8" hidden="false" customHeight="false" outlineLevel="0" collapsed="false">
      <c r="A980" s="5" t="n">
        <v>4.83999999999996</v>
      </c>
      <c r="B980" s="5" t="n">
        <f aca="false">A980*VOFLB</f>
        <v>125.839999999999</v>
      </c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 t="e">
        <f aca="false">0.000001*('Design Worksheet'!B$88)*(B980-B979)/E$232+M979</f>
        <v>#N/A</v>
      </c>
      <c r="N980" s="5" t="n">
        <f aca="false">B980</f>
        <v>125.839999999999</v>
      </c>
    </row>
    <row r="981" customFormat="false" ht="12.8" hidden="false" customHeight="false" outlineLevel="0" collapsed="false">
      <c r="A981" s="5" t="n">
        <v>4.84499999999996</v>
      </c>
      <c r="B981" s="5" t="n">
        <f aca="false">A981*VOFLB</f>
        <v>125.969999999999</v>
      </c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 t="e">
        <f aca="false">0.000001*('Design Worksheet'!B$88)*(B981-B980)/E$232+M980</f>
        <v>#N/A</v>
      </c>
      <c r="N981" s="5" t="n">
        <f aca="false">B981</f>
        <v>125.969999999999</v>
      </c>
    </row>
    <row r="982" customFormat="false" ht="12.8" hidden="false" customHeight="false" outlineLevel="0" collapsed="false">
      <c r="A982" s="5" t="n">
        <v>4.84999999999996</v>
      </c>
      <c r="B982" s="5" t="n">
        <f aca="false">A982*VOFLB</f>
        <v>126.099999999999</v>
      </c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 t="e">
        <f aca="false">0.000001*('Design Worksheet'!B$88)*(B982-B981)/E$232+M981</f>
        <v>#N/A</v>
      </c>
      <c r="N982" s="5" t="n">
        <f aca="false">B982</f>
        <v>126.099999999999</v>
      </c>
    </row>
    <row r="983" customFormat="false" ht="12.8" hidden="false" customHeight="false" outlineLevel="0" collapsed="false">
      <c r="A983" s="5" t="n">
        <v>4.85499999999996</v>
      </c>
      <c r="B983" s="5" t="n">
        <f aca="false">A983*VOFLB</f>
        <v>126.229999999999</v>
      </c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 t="e">
        <f aca="false">0.000001*('Design Worksheet'!B$88)*(B983-B982)/E$232+M982</f>
        <v>#N/A</v>
      </c>
      <c r="N983" s="5" t="n">
        <f aca="false">B983</f>
        <v>126.229999999999</v>
      </c>
    </row>
    <row r="984" customFormat="false" ht="12.8" hidden="false" customHeight="false" outlineLevel="0" collapsed="false">
      <c r="A984" s="5" t="n">
        <v>4.85999999999996</v>
      </c>
      <c r="B984" s="5" t="n">
        <f aca="false">A984*VOFLB</f>
        <v>126.359999999999</v>
      </c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 t="e">
        <f aca="false">0.000001*('Design Worksheet'!B$88)*(B984-B983)/E$232+M983</f>
        <v>#N/A</v>
      </c>
      <c r="N984" s="5" t="n">
        <f aca="false">B984</f>
        <v>126.359999999999</v>
      </c>
    </row>
    <row r="985" customFormat="false" ht="12.8" hidden="false" customHeight="false" outlineLevel="0" collapsed="false">
      <c r="A985" s="5" t="n">
        <v>4.86499999999996</v>
      </c>
      <c r="B985" s="5" t="n">
        <f aca="false">A985*VOFLB</f>
        <v>126.489999999999</v>
      </c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 t="e">
        <f aca="false">0.000001*('Design Worksheet'!B$88)*(B985-B984)/E$232+M984</f>
        <v>#N/A</v>
      </c>
      <c r="N985" s="5" t="n">
        <f aca="false">B985</f>
        <v>126.489999999999</v>
      </c>
    </row>
    <row r="986" customFormat="false" ht="12.8" hidden="false" customHeight="false" outlineLevel="0" collapsed="false">
      <c r="A986" s="5" t="n">
        <v>4.86999999999996</v>
      </c>
      <c r="B986" s="5" t="n">
        <f aca="false">A986*VOFLB</f>
        <v>126.619999999999</v>
      </c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 t="e">
        <f aca="false">0.000001*('Design Worksheet'!B$88)*(B986-B985)/E$232+M985</f>
        <v>#N/A</v>
      </c>
      <c r="N986" s="5" t="n">
        <f aca="false">B986</f>
        <v>126.619999999999</v>
      </c>
    </row>
    <row r="987" customFormat="false" ht="12.8" hidden="false" customHeight="false" outlineLevel="0" collapsed="false">
      <c r="A987" s="5" t="n">
        <v>4.87499999999996</v>
      </c>
      <c r="B987" s="5" t="n">
        <f aca="false">A987*VOFLB</f>
        <v>126.749999999999</v>
      </c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 t="e">
        <f aca="false">0.000001*('Design Worksheet'!B$88)*(B987-B986)/E$232+M986</f>
        <v>#N/A</v>
      </c>
      <c r="N987" s="5" t="n">
        <f aca="false">B987</f>
        <v>126.749999999999</v>
      </c>
    </row>
    <row r="988" customFormat="false" ht="12.8" hidden="false" customHeight="false" outlineLevel="0" collapsed="false">
      <c r="A988" s="5" t="n">
        <v>4.87999999999996</v>
      </c>
      <c r="B988" s="5" t="n">
        <f aca="false">A988*VOFLB</f>
        <v>126.879999999999</v>
      </c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 t="e">
        <f aca="false">0.000001*('Design Worksheet'!B$88)*(B988-B987)/E$232+M987</f>
        <v>#N/A</v>
      </c>
      <c r="N988" s="5" t="n">
        <f aca="false">B988</f>
        <v>126.879999999999</v>
      </c>
    </row>
    <row r="989" customFormat="false" ht="12.8" hidden="false" customHeight="false" outlineLevel="0" collapsed="false">
      <c r="A989" s="5" t="n">
        <v>4.88499999999996</v>
      </c>
      <c r="B989" s="5" t="n">
        <f aca="false">A989*VOFLB</f>
        <v>127.009999999999</v>
      </c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 t="e">
        <f aca="false">0.000001*('Design Worksheet'!B$88)*(B989-B988)/E$232+M988</f>
        <v>#N/A</v>
      </c>
      <c r="N989" s="5" t="n">
        <f aca="false">B989</f>
        <v>127.009999999999</v>
      </c>
    </row>
    <row r="990" customFormat="false" ht="12.8" hidden="false" customHeight="false" outlineLevel="0" collapsed="false">
      <c r="A990" s="5" t="n">
        <v>4.88999999999996</v>
      </c>
      <c r="B990" s="5" t="n">
        <f aca="false">A990*VOFLB</f>
        <v>127.139999999999</v>
      </c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 t="e">
        <f aca="false">0.000001*('Design Worksheet'!B$88)*(B990-B989)/E$232+M989</f>
        <v>#N/A</v>
      </c>
      <c r="N990" s="5" t="n">
        <f aca="false">B990</f>
        <v>127.139999999999</v>
      </c>
    </row>
    <row r="991" customFormat="false" ht="12.8" hidden="false" customHeight="false" outlineLevel="0" collapsed="false">
      <c r="A991" s="5" t="n">
        <v>4.89499999999996</v>
      </c>
      <c r="B991" s="5" t="n">
        <f aca="false">A991*VOFLB</f>
        <v>127.269999999999</v>
      </c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 t="e">
        <f aca="false">0.000001*('Design Worksheet'!B$88)*(B991-B990)/E$232+M990</f>
        <v>#N/A</v>
      </c>
      <c r="N991" s="5" t="n">
        <f aca="false">B991</f>
        <v>127.269999999999</v>
      </c>
    </row>
    <row r="992" customFormat="false" ht="12.8" hidden="false" customHeight="false" outlineLevel="0" collapsed="false">
      <c r="A992" s="5" t="n">
        <v>4.89999999999996</v>
      </c>
      <c r="B992" s="5" t="n">
        <f aca="false">A992*VOFLB</f>
        <v>127.399999999999</v>
      </c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 t="e">
        <f aca="false">0.000001*('Design Worksheet'!B$88)*(B992-B991)/E$232+M991</f>
        <v>#N/A</v>
      </c>
      <c r="N992" s="5" t="n">
        <f aca="false">B992</f>
        <v>127.399999999999</v>
      </c>
    </row>
    <row r="993" customFormat="false" ht="12.8" hidden="false" customHeight="false" outlineLevel="0" collapsed="false">
      <c r="A993" s="5" t="n">
        <v>4.90499999999996</v>
      </c>
      <c r="B993" s="5" t="n">
        <f aca="false">A993*VOFLB</f>
        <v>127.529999999999</v>
      </c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 t="e">
        <f aca="false">0.000001*('Design Worksheet'!B$88)*(B993-B992)/E$232+M992</f>
        <v>#N/A</v>
      </c>
      <c r="N993" s="5" t="n">
        <f aca="false">B993</f>
        <v>127.529999999999</v>
      </c>
    </row>
    <row r="994" customFormat="false" ht="12.8" hidden="false" customHeight="false" outlineLevel="0" collapsed="false">
      <c r="A994" s="5" t="n">
        <v>4.90999999999996</v>
      </c>
      <c r="B994" s="5" t="n">
        <f aca="false">A994*VOFLB</f>
        <v>127.659999999999</v>
      </c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 t="e">
        <f aca="false">0.000001*('Design Worksheet'!B$88)*(B994-B993)/E$232+M993</f>
        <v>#N/A</v>
      </c>
      <c r="N994" s="5" t="n">
        <f aca="false">B994</f>
        <v>127.659999999999</v>
      </c>
    </row>
    <row r="995" customFormat="false" ht="12.8" hidden="false" customHeight="false" outlineLevel="0" collapsed="false">
      <c r="A995" s="5" t="n">
        <v>4.91499999999996</v>
      </c>
      <c r="B995" s="5" t="n">
        <f aca="false">A995*VOFLB</f>
        <v>127.789999999999</v>
      </c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 t="e">
        <f aca="false">0.000001*('Design Worksheet'!B$88)*(B995-B994)/E$232+M994</f>
        <v>#N/A</v>
      </c>
      <c r="N995" s="5" t="n">
        <f aca="false">B995</f>
        <v>127.789999999999</v>
      </c>
    </row>
    <row r="996" customFormat="false" ht="12.8" hidden="false" customHeight="false" outlineLevel="0" collapsed="false">
      <c r="A996" s="5" t="n">
        <v>4.91999999999996</v>
      </c>
      <c r="B996" s="5" t="n">
        <f aca="false">A996*VOFLB</f>
        <v>127.919999999999</v>
      </c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 t="e">
        <f aca="false">0.000001*('Design Worksheet'!B$88)*(B996-B995)/E$232+M995</f>
        <v>#N/A</v>
      </c>
      <c r="N996" s="5" t="n">
        <f aca="false">B996</f>
        <v>127.919999999999</v>
      </c>
    </row>
    <row r="997" customFormat="false" ht="12.8" hidden="false" customHeight="false" outlineLevel="0" collapsed="false">
      <c r="A997" s="5" t="n">
        <v>4.92499999999996</v>
      </c>
      <c r="B997" s="5" t="n">
        <f aca="false">A997*VOFLB</f>
        <v>128.049999999999</v>
      </c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 t="e">
        <f aca="false">0.000001*('Design Worksheet'!B$88)*(B997-B996)/E$232+M996</f>
        <v>#N/A</v>
      </c>
      <c r="N997" s="5" t="n">
        <f aca="false">B997</f>
        <v>128.049999999999</v>
      </c>
    </row>
    <row r="998" customFormat="false" ht="12.8" hidden="false" customHeight="false" outlineLevel="0" collapsed="false">
      <c r="A998" s="5" t="n">
        <v>4.92999999999996</v>
      </c>
      <c r="B998" s="5" t="n">
        <f aca="false">A998*VOFLB</f>
        <v>128.179999999999</v>
      </c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 t="e">
        <f aca="false">0.000001*('Design Worksheet'!B$88)*(B998-B997)/E$232+M997</f>
        <v>#N/A</v>
      </c>
      <c r="N998" s="5" t="n">
        <f aca="false">B998</f>
        <v>128.179999999999</v>
      </c>
    </row>
    <row r="999" customFormat="false" ht="12.8" hidden="false" customHeight="false" outlineLevel="0" collapsed="false">
      <c r="A999" s="5" t="n">
        <v>4.93499999999996</v>
      </c>
      <c r="B999" s="5" t="n">
        <f aca="false">A999*VOFLB</f>
        <v>128.309999999999</v>
      </c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 t="e">
        <f aca="false">0.000001*('Design Worksheet'!B$88)*(B999-B998)/E$232+M998</f>
        <v>#N/A</v>
      </c>
      <c r="N999" s="5" t="n">
        <f aca="false">B999</f>
        <v>128.309999999999</v>
      </c>
    </row>
    <row r="1000" customFormat="false" ht="12.8" hidden="false" customHeight="false" outlineLevel="0" collapsed="false">
      <c r="A1000" s="5" t="n">
        <v>4.93999999999996</v>
      </c>
      <c r="B1000" s="5" t="n">
        <f aca="false">A1000*VOFLB</f>
        <v>128.439999999999</v>
      </c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 t="e">
        <f aca="false">0.000001*('Design Worksheet'!B$88)*(B1000-B999)/E$232+M999</f>
        <v>#N/A</v>
      </c>
      <c r="N1000" s="5" t="n">
        <f aca="false">B1000</f>
        <v>128.439999999999</v>
      </c>
    </row>
    <row r="1001" customFormat="false" ht="12.8" hidden="false" customHeight="false" outlineLevel="0" collapsed="false">
      <c r="A1001" s="5" t="n">
        <v>4.94499999999996</v>
      </c>
      <c r="B1001" s="5" t="n">
        <f aca="false">A1001*VOFLB</f>
        <v>128.569999999999</v>
      </c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 t="e">
        <f aca="false">0.000001*('Design Worksheet'!B$88)*(B1001-B1000)/E$232+M1000</f>
        <v>#N/A</v>
      </c>
      <c r="N1001" s="5" t="n">
        <f aca="false">B1001</f>
        <v>128.569999999999</v>
      </c>
    </row>
    <row r="1002" customFormat="false" ht="12.8" hidden="false" customHeight="false" outlineLevel="0" collapsed="false">
      <c r="A1002" s="5" t="n">
        <v>4.94999999999996</v>
      </c>
      <c r="B1002" s="5" t="n">
        <f aca="false">A1002*VOFLB</f>
        <v>128.699999999999</v>
      </c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 t="e">
        <f aca="false">0.000001*('Design Worksheet'!B$88)*(B1002-B1001)/E$232+M1001</f>
        <v>#N/A</v>
      </c>
      <c r="N1002" s="5" t="n">
        <f aca="false">B1002</f>
        <v>128.699999999999</v>
      </c>
    </row>
    <row r="1003" customFormat="false" ht="12.8" hidden="false" customHeight="false" outlineLevel="0" collapsed="false">
      <c r="A1003" s="5" t="n">
        <v>4.95499999999996</v>
      </c>
      <c r="B1003" s="5" t="n">
        <f aca="false">A1003*VOFLB</f>
        <v>128.829999999999</v>
      </c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 t="e">
        <f aca="false">0.000001*('Design Worksheet'!B$88)*(B1003-B1002)/E$232+M1002</f>
        <v>#N/A</v>
      </c>
      <c r="N1003" s="5" t="n">
        <f aca="false">B1003</f>
        <v>128.829999999999</v>
      </c>
    </row>
    <row r="1004" customFormat="false" ht="12.8" hidden="false" customHeight="false" outlineLevel="0" collapsed="false">
      <c r="A1004" s="5" t="n">
        <v>4.95999999999996</v>
      </c>
      <c r="B1004" s="5" t="n">
        <f aca="false">A1004*VOFLB</f>
        <v>128.959999999999</v>
      </c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 t="e">
        <f aca="false">0.000001*('Design Worksheet'!B$88)*(B1004-B1003)/E$232+M1003</f>
        <v>#N/A</v>
      </c>
      <c r="N1004" s="5" t="n">
        <f aca="false">B1004</f>
        <v>128.959999999999</v>
      </c>
    </row>
    <row r="1005" customFormat="false" ht="12.8" hidden="false" customHeight="false" outlineLevel="0" collapsed="false">
      <c r="A1005" s="5" t="n">
        <v>4.96499999999996</v>
      </c>
      <c r="B1005" s="5" t="n">
        <f aca="false">A1005*VOFLB</f>
        <v>129.089999999999</v>
      </c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 t="e">
        <f aca="false">0.000001*('Design Worksheet'!B$88)*(B1005-B1004)/E$232+M1004</f>
        <v>#N/A</v>
      </c>
      <c r="N1005" s="5" t="n">
        <f aca="false">B1005</f>
        <v>129.089999999999</v>
      </c>
    </row>
    <row r="1006" customFormat="false" ht="12.8" hidden="false" customHeight="false" outlineLevel="0" collapsed="false">
      <c r="A1006" s="5" t="n">
        <v>4.96999999999996</v>
      </c>
      <c r="B1006" s="5" t="n">
        <f aca="false">A1006*VOFLB</f>
        <v>129.219999999999</v>
      </c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 t="e">
        <f aca="false">0.000001*('Design Worksheet'!B$88)*(B1006-B1005)/E$232+M1005</f>
        <v>#N/A</v>
      </c>
      <c r="N1006" s="5" t="n">
        <f aca="false">B1006</f>
        <v>129.219999999999</v>
      </c>
    </row>
    <row r="1007" customFormat="false" ht="12.8" hidden="false" customHeight="false" outlineLevel="0" collapsed="false">
      <c r="A1007" s="5" t="n">
        <v>4.97499999999996</v>
      </c>
      <c r="B1007" s="5" t="n">
        <f aca="false">A1007*VOFLB</f>
        <v>129.349999999999</v>
      </c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 t="e">
        <f aca="false">0.000001*('Design Worksheet'!B$88)*(B1007-B1006)/E$232+M1006</f>
        <v>#N/A</v>
      </c>
      <c r="N1007" s="5" t="n">
        <f aca="false">B1007</f>
        <v>129.349999999999</v>
      </c>
    </row>
    <row r="1008" customFormat="false" ht="12.8" hidden="false" customHeight="false" outlineLevel="0" collapsed="false">
      <c r="A1008" s="5" t="n">
        <v>4.97999999999996</v>
      </c>
      <c r="B1008" s="5" t="n">
        <f aca="false">A1008*VOFLB</f>
        <v>129.479999999999</v>
      </c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 t="e">
        <f aca="false">0.000001*('Design Worksheet'!B$88)*(B1008-B1007)/E$232+M1007</f>
        <v>#N/A</v>
      </c>
      <c r="N1008" s="5" t="n">
        <f aca="false">B1008</f>
        <v>129.479999999999</v>
      </c>
    </row>
    <row r="1009" customFormat="false" ht="12.8" hidden="false" customHeight="false" outlineLevel="0" collapsed="false">
      <c r="A1009" s="5" t="n">
        <v>4.98499999999996</v>
      </c>
      <c r="B1009" s="5" t="n">
        <f aca="false">A1009*VOFLB</f>
        <v>129.609999999999</v>
      </c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 t="e">
        <f aca="false">0.000001*('Design Worksheet'!B$88)*(B1009-B1008)/E$232+M1008</f>
        <v>#N/A</v>
      </c>
      <c r="N1009" s="5" t="n">
        <f aca="false">B1009</f>
        <v>129.609999999999</v>
      </c>
    </row>
    <row r="1010" customFormat="false" ht="12.8" hidden="false" customHeight="false" outlineLevel="0" collapsed="false">
      <c r="A1010" s="5" t="n">
        <v>4.98999999999996</v>
      </c>
      <c r="B1010" s="5" t="n">
        <f aca="false">A1010*VOFLB</f>
        <v>129.739999999999</v>
      </c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 t="e">
        <f aca="false">0.000001*('Design Worksheet'!B$88)*(B1010-B1009)/E$232+M1009</f>
        <v>#N/A</v>
      </c>
      <c r="N1010" s="5" t="n">
        <f aca="false">B1010</f>
        <v>129.739999999999</v>
      </c>
    </row>
    <row r="1011" customFormat="false" ht="12.8" hidden="false" customHeight="false" outlineLevel="0" collapsed="false">
      <c r="A1011" s="5" t="n">
        <v>4.99499999999996</v>
      </c>
      <c r="B1011" s="5" t="n">
        <f aca="false">A1011*VOFLB</f>
        <v>129.869999999999</v>
      </c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 t="e">
        <f aca="false">0.000001*('Design Worksheet'!B$88)*(B1011-B1010)/E$232+M1010</f>
        <v>#N/A</v>
      </c>
      <c r="N1011" s="5" t="n">
        <f aca="false">B1011</f>
        <v>129.869999999999</v>
      </c>
    </row>
    <row r="1012" customFormat="false" ht="12.8" hidden="false" customHeight="false" outlineLevel="0" collapsed="false">
      <c r="A1012" s="5" t="n">
        <v>4.99999999999996</v>
      </c>
      <c r="B1012" s="5" t="n">
        <f aca="false">A1012*VOFLB</f>
        <v>129.999999999999</v>
      </c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 t="e">
        <f aca="false">0.000001*('Design Worksheet'!B$88)*(B1012-B1011)/E$232+M1011</f>
        <v>#N/A</v>
      </c>
      <c r="N1012" s="5" t="n">
        <f aca="false">B1012</f>
        <v>129.999999999999</v>
      </c>
    </row>
    <row r="1013" customFormat="false" ht="12.8" hidden="false" customHeight="false" outlineLevel="0" collapsed="false">
      <c r="A1013" s="5" t="n">
        <v>5.00499999999996</v>
      </c>
      <c r="B1013" s="5" t="n">
        <f aca="false">A1013*VOFLB</f>
        <v>130.129999999999</v>
      </c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 t="e">
        <f aca="false">0.000001*('Design Worksheet'!B$88)*(B1013-B1012)/E$232+M1012</f>
        <v>#N/A</v>
      </c>
      <c r="N1013" s="5" t="n">
        <f aca="false">B1013</f>
        <v>130.129999999999</v>
      </c>
    </row>
    <row r="1014" customFormat="false" ht="12.8" hidden="false" customHeight="false" outlineLevel="0" collapsed="false">
      <c r="A1014" s="5" t="n">
        <v>5.00999999999996</v>
      </c>
      <c r="B1014" s="5" t="n">
        <f aca="false">A1014*VOFLB</f>
        <v>130.259999999999</v>
      </c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 t="e">
        <f aca="false">0.000001*('Design Worksheet'!B$88)*(B1014-B1013)/E$232+M1013</f>
        <v>#N/A</v>
      </c>
      <c r="N1014" s="5" t="n">
        <f aca="false">B1014</f>
        <v>130.259999999999</v>
      </c>
    </row>
    <row r="1015" customFormat="false" ht="12.8" hidden="false" customHeight="false" outlineLevel="0" collapsed="false">
      <c r="A1015" s="5" t="n">
        <v>5.01499999999996</v>
      </c>
      <c r="B1015" s="5" t="n">
        <f aca="false">A1015*VOFLB</f>
        <v>130.389999999999</v>
      </c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 t="e">
        <f aca="false">0.000001*('Design Worksheet'!B$88)*(B1015-B1014)/E$232+M1014</f>
        <v>#N/A</v>
      </c>
      <c r="N1015" s="5" t="n">
        <f aca="false">B1015</f>
        <v>130.389999999999</v>
      </c>
    </row>
    <row r="1016" customFormat="false" ht="12.8" hidden="false" customHeight="false" outlineLevel="0" collapsed="false">
      <c r="A1016" s="5" t="n">
        <v>5.01999999999996</v>
      </c>
      <c r="B1016" s="5" t="n">
        <f aca="false">A1016*VOFLB</f>
        <v>130.519999999999</v>
      </c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 t="e">
        <f aca="false">0.000001*('Design Worksheet'!B$88)*(B1016-B1015)/E$232+M1015</f>
        <v>#N/A</v>
      </c>
      <c r="N1016" s="5" t="n">
        <f aca="false">B1016</f>
        <v>130.519999999999</v>
      </c>
    </row>
    <row r="1017" customFormat="false" ht="12.8" hidden="false" customHeight="false" outlineLevel="0" collapsed="false">
      <c r="A1017" s="5" t="n">
        <v>5.02499999999996</v>
      </c>
      <c r="B1017" s="5" t="n">
        <f aca="false">A1017*VOFLB</f>
        <v>130.649999999999</v>
      </c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 t="e">
        <f aca="false">0.000001*('Design Worksheet'!B$88)*(B1017-B1016)/E$232+M1016</f>
        <v>#N/A</v>
      </c>
      <c r="N1017" s="5" t="n">
        <f aca="false">B1017</f>
        <v>130.649999999999</v>
      </c>
    </row>
    <row r="1018" customFormat="false" ht="12.8" hidden="false" customHeight="false" outlineLevel="0" collapsed="false">
      <c r="A1018" s="5" t="n">
        <v>5.02999999999996</v>
      </c>
      <c r="B1018" s="5" t="n">
        <f aca="false">A1018*VOFLB</f>
        <v>130.779999999999</v>
      </c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 t="e">
        <f aca="false">0.000001*('Design Worksheet'!B$88)*(B1018-B1017)/E$232+M1017</f>
        <v>#N/A</v>
      </c>
      <c r="N1018" s="5" t="n">
        <f aca="false">B1018</f>
        <v>130.779999999999</v>
      </c>
    </row>
    <row r="1019" customFormat="false" ht="12.8" hidden="false" customHeight="false" outlineLevel="0" collapsed="false">
      <c r="A1019" s="5" t="n">
        <v>5.03499999999996</v>
      </c>
      <c r="B1019" s="5" t="n">
        <f aca="false">A1019*VOFLB</f>
        <v>130.909999999999</v>
      </c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 t="e">
        <f aca="false">0.000001*('Design Worksheet'!B$88)*(B1019-B1018)/E$232+M1018</f>
        <v>#N/A</v>
      </c>
      <c r="N1019" s="5" t="n">
        <f aca="false">B1019</f>
        <v>130.909999999999</v>
      </c>
    </row>
    <row r="1020" customFormat="false" ht="12.8" hidden="false" customHeight="false" outlineLevel="0" collapsed="false">
      <c r="A1020" s="5" t="n">
        <v>5.03999999999996</v>
      </c>
      <c r="B1020" s="5" t="n">
        <f aca="false">A1020*VOFLB</f>
        <v>131.039999999999</v>
      </c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 t="e">
        <f aca="false">0.000001*('Design Worksheet'!B$88)*(B1020-B1019)/E$232+M1019</f>
        <v>#N/A</v>
      </c>
      <c r="N1020" s="5" t="n">
        <f aca="false">B1020</f>
        <v>131.039999999999</v>
      </c>
    </row>
    <row r="1021" customFormat="false" ht="12.8" hidden="false" customHeight="false" outlineLevel="0" collapsed="false">
      <c r="A1021" s="5" t="n">
        <v>5.04499999999996</v>
      </c>
      <c r="B1021" s="5" t="n">
        <f aca="false">A1021*VOFLB</f>
        <v>131.169999999999</v>
      </c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 t="e">
        <f aca="false">0.000001*('Design Worksheet'!B$88)*(B1021-B1020)/E$232+M1020</f>
        <v>#N/A</v>
      </c>
      <c r="N1021" s="5" t="n">
        <f aca="false">B1021</f>
        <v>131.169999999999</v>
      </c>
    </row>
    <row r="1022" customFormat="false" ht="12.8" hidden="false" customHeight="false" outlineLevel="0" collapsed="false">
      <c r="A1022" s="5" t="n">
        <v>5.04999999999996</v>
      </c>
      <c r="B1022" s="5" t="n">
        <f aca="false">A1022*VOFLB</f>
        <v>131.299999999999</v>
      </c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 t="e">
        <f aca="false">0.000001*('Design Worksheet'!B$88)*(B1022-B1021)/E$232+M1021</f>
        <v>#N/A</v>
      </c>
      <c r="N1022" s="5" t="n">
        <f aca="false">B1022</f>
        <v>131.299999999999</v>
      </c>
    </row>
    <row r="1023" customFormat="false" ht="12.8" hidden="false" customHeight="false" outlineLevel="0" collapsed="false">
      <c r="A1023" s="5" t="n">
        <v>5.05499999999996</v>
      </c>
      <c r="B1023" s="5" t="n">
        <f aca="false">A1023*VOFLB</f>
        <v>131.429999999999</v>
      </c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 t="e">
        <f aca="false">0.000001*('Design Worksheet'!B$88)*(B1023-B1022)/E$232+M1022</f>
        <v>#N/A</v>
      </c>
      <c r="N1023" s="5" t="n">
        <f aca="false">B1023</f>
        <v>131.429999999999</v>
      </c>
    </row>
    <row r="1024" customFormat="false" ht="12.8" hidden="false" customHeight="false" outlineLevel="0" collapsed="false">
      <c r="A1024" s="5" t="n">
        <v>5.05999999999996</v>
      </c>
      <c r="B1024" s="5" t="n">
        <f aca="false">A1024*VOFLB</f>
        <v>131.559999999999</v>
      </c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 t="e">
        <f aca="false">0.000001*('Design Worksheet'!B$88)*(B1024-B1023)/E$232+M1023</f>
        <v>#N/A</v>
      </c>
      <c r="N1024" s="5" t="n">
        <f aca="false">B1024</f>
        <v>131.559999999999</v>
      </c>
    </row>
    <row r="1025" customFormat="false" ht="12.8" hidden="false" customHeight="false" outlineLevel="0" collapsed="false">
      <c r="A1025" s="5" t="n">
        <v>5.06499999999996</v>
      </c>
      <c r="B1025" s="5" t="n">
        <f aca="false">A1025*VOFLB</f>
        <v>131.689999999999</v>
      </c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 t="e">
        <f aca="false">0.000001*('Design Worksheet'!B$88)*(B1025-B1024)/E$232+M1024</f>
        <v>#N/A</v>
      </c>
      <c r="N1025" s="5" t="n">
        <f aca="false">B1025</f>
        <v>131.689999999999</v>
      </c>
    </row>
    <row r="1026" customFormat="false" ht="12.8" hidden="false" customHeight="false" outlineLevel="0" collapsed="false">
      <c r="A1026" s="5" t="n">
        <v>5.06999999999996</v>
      </c>
      <c r="B1026" s="5" t="n">
        <f aca="false">A1026*VOFLB</f>
        <v>131.819999999999</v>
      </c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 t="e">
        <f aca="false">0.000001*('Design Worksheet'!B$88)*(B1026-B1025)/E$232+M1025</f>
        <v>#N/A</v>
      </c>
      <c r="N1026" s="5" t="n">
        <f aca="false">B1026</f>
        <v>131.819999999999</v>
      </c>
    </row>
    <row r="1027" customFormat="false" ht="12.8" hidden="false" customHeight="false" outlineLevel="0" collapsed="false">
      <c r="A1027" s="5" t="n">
        <v>5.07499999999996</v>
      </c>
      <c r="B1027" s="5" t="n">
        <f aca="false">A1027*VOFLB</f>
        <v>131.949999999999</v>
      </c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 t="e">
        <f aca="false">0.000001*('Design Worksheet'!B$88)*(B1027-B1026)/E$232+M1026</f>
        <v>#N/A</v>
      </c>
      <c r="N1027" s="5" t="n">
        <f aca="false">B1027</f>
        <v>131.949999999999</v>
      </c>
    </row>
    <row r="1028" customFormat="false" ht="12.8" hidden="false" customHeight="false" outlineLevel="0" collapsed="false">
      <c r="A1028" s="5" t="n">
        <v>5.07999999999996</v>
      </c>
      <c r="B1028" s="5" t="n">
        <f aca="false">A1028*VOFLB</f>
        <v>132.079999999999</v>
      </c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 t="e">
        <f aca="false">0.000001*('Design Worksheet'!B$88)*(B1028-B1027)/E$232+M1027</f>
        <v>#N/A</v>
      </c>
      <c r="N1028" s="5" t="n">
        <f aca="false">B1028</f>
        <v>132.079999999999</v>
      </c>
    </row>
    <row r="1029" customFormat="false" ht="12.8" hidden="false" customHeight="false" outlineLevel="0" collapsed="false">
      <c r="A1029" s="5" t="n">
        <v>5.08499999999996</v>
      </c>
      <c r="B1029" s="5" t="n">
        <f aca="false">A1029*VOFLB</f>
        <v>132.209999999999</v>
      </c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 t="e">
        <f aca="false">0.000001*('Design Worksheet'!B$88)*(B1029-B1028)/E$232+M1028</f>
        <v>#N/A</v>
      </c>
      <c r="N1029" s="5" t="n">
        <f aca="false">B1029</f>
        <v>132.209999999999</v>
      </c>
    </row>
    <row r="1030" customFormat="false" ht="12.8" hidden="false" customHeight="false" outlineLevel="0" collapsed="false">
      <c r="A1030" s="5" t="n">
        <v>5.08999999999996</v>
      </c>
      <c r="B1030" s="5" t="n">
        <f aca="false">A1030*VOFLB</f>
        <v>132.339999999999</v>
      </c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 t="e">
        <f aca="false">0.000001*('Design Worksheet'!B$88)*(B1030-B1029)/E$232+M1029</f>
        <v>#N/A</v>
      </c>
      <c r="N1030" s="5" t="n">
        <f aca="false">B1030</f>
        <v>132.339999999999</v>
      </c>
    </row>
    <row r="1031" customFormat="false" ht="12.8" hidden="false" customHeight="false" outlineLevel="0" collapsed="false">
      <c r="A1031" s="5" t="n">
        <v>5.09499999999996</v>
      </c>
      <c r="B1031" s="5" t="n">
        <f aca="false">A1031*VOFLB</f>
        <v>132.469999999999</v>
      </c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 t="e">
        <f aca="false">0.000001*('Design Worksheet'!B$88)*(B1031-B1030)/E$232+M1030</f>
        <v>#N/A</v>
      </c>
      <c r="N1031" s="5" t="n">
        <f aca="false">B1031</f>
        <v>132.469999999999</v>
      </c>
    </row>
    <row r="1032" customFormat="false" ht="12.8" hidden="false" customHeight="false" outlineLevel="0" collapsed="false">
      <c r="A1032" s="5" t="n">
        <v>5.09999999999996</v>
      </c>
      <c r="B1032" s="5" t="n">
        <f aca="false">A1032*VOFLB</f>
        <v>132.599999999999</v>
      </c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 t="e">
        <f aca="false">0.000001*('Design Worksheet'!B$88)*(B1032-B1031)/E$232+M1031</f>
        <v>#N/A</v>
      </c>
      <c r="N1032" s="5" t="n">
        <f aca="false">B1032</f>
        <v>132.599999999999</v>
      </c>
    </row>
    <row r="1033" customFormat="false" ht="12.8" hidden="false" customHeight="false" outlineLevel="0" collapsed="false">
      <c r="A1033" s="5" t="n">
        <v>5.10499999999996</v>
      </c>
      <c r="B1033" s="5" t="n">
        <f aca="false">A1033*VOFLB</f>
        <v>132.729999999999</v>
      </c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 t="e">
        <f aca="false">0.000001*('Design Worksheet'!B$88)*(B1033-B1032)/E$232+M1032</f>
        <v>#N/A</v>
      </c>
      <c r="N1033" s="5" t="n">
        <f aca="false">B1033</f>
        <v>132.729999999999</v>
      </c>
    </row>
    <row r="1034" customFormat="false" ht="12.8" hidden="false" customHeight="false" outlineLevel="0" collapsed="false">
      <c r="A1034" s="5" t="n">
        <v>5.10999999999996</v>
      </c>
      <c r="B1034" s="5" t="n">
        <f aca="false">A1034*VOFLB</f>
        <v>132.859999999999</v>
      </c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 t="e">
        <f aca="false">0.000001*('Design Worksheet'!B$88)*(B1034-B1033)/E$232+M1033</f>
        <v>#N/A</v>
      </c>
      <c r="N1034" s="5" t="n">
        <f aca="false">B1034</f>
        <v>132.859999999999</v>
      </c>
    </row>
    <row r="1035" customFormat="false" ht="12.8" hidden="false" customHeight="false" outlineLevel="0" collapsed="false">
      <c r="A1035" s="5" t="n">
        <v>5.11499999999996</v>
      </c>
      <c r="B1035" s="5" t="n">
        <f aca="false">A1035*VOFLB</f>
        <v>132.989999999999</v>
      </c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 t="e">
        <f aca="false">0.000001*('Design Worksheet'!B$88)*(B1035-B1034)/E$232+M1034</f>
        <v>#N/A</v>
      </c>
      <c r="N1035" s="5" t="n">
        <f aca="false">B1035</f>
        <v>132.989999999999</v>
      </c>
    </row>
    <row r="1036" customFormat="false" ht="12.8" hidden="false" customHeight="false" outlineLevel="0" collapsed="false">
      <c r="A1036" s="5" t="n">
        <v>5.11999999999996</v>
      </c>
      <c r="B1036" s="5" t="n">
        <f aca="false">A1036*VOFLB</f>
        <v>133.119999999999</v>
      </c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 t="e">
        <f aca="false">0.000001*('Design Worksheet'!B$88)*(B1036-B1035)/E$232+M1035</f>
        <v>#N/A</v>
      </c>
      <c r="N1036" s="5" t="n">
        <f aca="false">B1036</f>
        <v>133.119999999999</v>
      </c>
    </row>
    <row r="1037" customFormat="false" ht="12.8" hidden="false" customHeight="false" outlineLevel="0" collapsed="false">
      <c r="A1037" s="5" t="n">
        <v>5.12499999999996</v>
      </c>
      <c r="B1037" s="5" t="n">
        <f aca="false">A1037*VOFLB</f>
        <v>133.249999999999</v>
      </c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 t="e">
        <f aca="false">0.000001*('Design Worksheet'!B$88)*(B1037-B1036)/E$232+M1036</f>
        <v>#N/A</v>
      </c>
      <c r="N1037" s="5" t="n">
        <f aca="false">B1037</f>
        <v>133.249999999999</v>
      </c>
    </row>
    <row r="1038" customFormat="false" ht="12.8" hidden="false" customHeight="false" outlineLevel="0" collapsed="false">
      <c r="A1038" s="5" t="n">
        <v>5.12999999999996</v>
      </c>
      <c r="B1038" s="5" t="n">
        <f aca="false">A1038*VOFLB</f>
        <v>133.379999999999</v>
      </c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 t="e">
        <f aca="false">0.000001*('Design Worksheet'!B$88)*(B1038-B1037)/E$232+M1037</f>
        <v>#N/A</v>
      </c>
      <c r="N1038" s="5" t="n">
        <f aca="false">B1038</f>
        <v>133.379999999999</v>
      </c>
    </row>
    <row r="1039" customFormat="false" ht="12.8" hidden="false" customHeight="false" outlineLevel="0" collapsed="false">
      <c r="A1039" s="5" t="n">
        <v>5.13499999999996</v>
      </c>
      <c r="B1039" s="5" t="n">
        <f aca="false">A1039*VOFLB</f>
        <v>133.509999999999</v>
      </c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 t="e">
        <f aca="false">0.000001*('Design Worksheet'!B$88)*(B1039-B1038)/E$232+M1038</f>
        <v>#N/A</v>
      </c>
      <c r="N1039" s="5" t="n">
        <f aca="false">B1039</f>
        <v>133.509999999999</v>
      </c>
    </row>
    <row r="1040" customFormat="false" ht="12.8" hidden="false" customHeight="false" outlineLevel="0" collapsed="false">
      <c r="A1040" s="5" t="n">
        <v>5.13999999999996</v>
      </c>
      <c r="B1040" s="5" t="n">
        <f aca="false">A1040*VOFLB</f>
        <v>133.639999999999</v>
      </c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 t="e">
        <f aca="false">0.000001*('Design Worksheet'!B$88)*(B1040-B1039)/E$232+M1039</f>
        <v>#N/A</v>
      </c>
      <c r="N1040" s="5" t="n">
        <f aca="false">B1040</f>
        <v>133.639999999999</v>
      </c>
    </row>
    <row r="1041" customFormat="false" ht="12.8" hidden="false" customHeight="false" outlineLevel="0" collapsed="false">
      <c r="A1041" s="5" t="n">
        <v>5.14499999999996</v>
      </c>
      <c r="B1041" s="5" t="n">
        <f aca="false">A1041*VOFLB</f>
        <v>133.769999999999</v>
      </c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 t="e">
        <f aca="false">0.000001*('Design Worksheet'!B$88)*(B1041-B1040)/E$232+M1040</f>
        <v>#N/A</v>
      </c>
      <c r="N1041" s="5" t="n">
        <f aca="false">B1041</f>
        <v>133.769999999999</v>
      </c>
    </row>
    <row r="1042" customFormat="false" ht="12.8" hidden="false" customHeight="false" outlineLevel="0" collapsed="false">
      <c r="A1042" s="5" t="n">
        <v>5.14999999999996</v>
      </c>
      <c r="B1042" s="5" t="n">
        <f aca="false">A1042*VOFLB</f>
        <v>133.899999999999</v>
      </c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 t="e">
        <f aca="false">0.000001*('Design Worksheet'!B$88)*(B1042-B1041)/E$232+M1041</f>
        <v>#N/A</v>
      </c>
      <c r="N1042" s="5" t="n">
        <f aca="false">B1042</f>
        <v>133.899999999999</v>
      </c>
    </row>
    <row r="1043" customFormat="false" ht="12.8" hidden="false" customHeight="false" outlineLevel="0" collapsed="false">
      <c r="A1043" s="5" t="n">
        <v>5.15499999999995</v>
      </c>
      <c r="B1043" s="5" t="n">
        <f aca="false">A1043*VOFLB</f>
        <v>134.029999999999</v>
      </c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 t="e">
        <f aca="false">0.000001*('Design Worksheet'!B$88)*(B1043-B1042)/E$232+M1042</f>
        <v>#N/A</v>
      </c>
      <c r="N1043" s="5" t="n">
        <f aca="false">B1043</f>
        <v>134.029999999999</v>
      </c>
    </row>
    <row r="1044" customFormat="false" ht="12.8" hidden="false" customHeight="false" outlineLevel="0" collapsed="false">
      <c r="A1044" s="5" t="n">
        <v>5.15999999999995</v>
      </c>
      <c r="B1044" s="5" t="n">
        <f aca="false">A1044*VOFLB</f>
        <v>134.159999999999</v>
      </c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 t="e">
        <f aca="false">0.000001*('Design Worksheet'!B$88)*(B1044-B1043)/E$232+M1043</f>
        <v>#N/A</v>
      </c>
      <c r="N1044" s="5" t="n">
        <f aca="false">B1044</f>
        <v>134.159999999999</v>
      </c>
    </row>
    <row r="1045" customFormat="false" ht="12.8" hidden="false" customHeight="false" outlineLevel="0" collapsed="false">
      <c r="A1045" s="5" t="n">
        <v>5.16499999999995</v>
      </c>
      <c r="B1045" s="5" t="n">
        <f aca="false">A1045*VOFLB</f>
        <v>134.289999999999</v>
      </c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 t="e">
        <f aca="false">0.000001*('Design Worksheet'!B$88)*(B1045-B1044)/E$232+M1044</f>
        <v>#N/A</v>
      </c>
      <c r="N1045" s="5" t="n">
        <f aca="false">B1045</f>
        <v>134.289999999999</v>
      </c>
    </row>
    <row r="1046" customFormat="false" ht="12.8" hidden="false" customHeight="false" outlineLevel="0" collapsed="false">
      <c r="A1046" s="5" t="n">
        <v>5.16999999999996</v>
      </c>
      <c r="B1046" s="5" t="n">
        <f aca="false">A1046*VOFLB</f>
        <v>134.419999999999</v>
      </c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 t="e">
        <f aca="false">0.000001*('Design Worksheet'!B$88)*(B1046-B1045)/E$232+M1045</f>
        <v>#N/A</v>
      </c>
      <c r="N1046" s="5" t="n">
        <f aca="false">B1046</f>
        <v>134.419999999999</v>
      </c>
    </row>
    <row r="1047" customFormat="false" ht="12.8" hidden="false" customHeight="false" outlineLevel="0" collapsed="false">
      <c r="A1047" s="5" t="n">
        <v>5.17499999999995</v>
      </c>
      <c r="B1047" s="5" t="n">
        <f aca="false">A1047*VOFLB</f>
        <v>134.549999999999</v>
      </c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 t="e">
        <f aca="false">0.000001*('Design Worksheet'!B$88)*(B1047-B1046)/E$232+M1046</f>
        <v>#N/A</v>
      </c>
      <c r="N1047" s="5" t="n">
        <f aca="false">B1047</f>
        <v>134.549999999999</v>
      </c>
    </row>
    <row r="1048" customFormat="false" ht="12.8" hidden="false" customHeight="false" outlineLevel="0" collapsed="false">
      <c r="A1048" s="5" t="n">
        <v>5.17999999999995</v>
      </c>
      <c r="B1048" s="5" t="n">
        <f aca="false">A1048*VOFLB</f>
        <v>134.679999999999</v>
      </c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 t="e">
        <f aca="false">0.000001*('Design Worksheet'!B$88)*(B1048-B1047)/E$232+M1047</f>
        <v>#N/A</v>
      </c>
      <c r="N1048" s="5" t="n">
        <f aca="false">B1048</f>
        <v>134.679999999999</v>
      </c>
    </row>
    <row r="1049" customFormat="false" ht="12.8" hidden="false" customHeight="false" outlineLevel="0" collapsed="false">
      <c r="A1049" s="5" t="n">
        <v>5.18499999999995</v>
      </c>
      <c r="B1049" s="5" t="n">
        <f aca="false">A1049*VOFLB</f>
        <v>134.809999999999</v>
      </c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 t="e">
        <f aca="false">0.000001*('Design Worksheet'!B$88)*(B1049-B1048)/E$232+M1048</f>
        <v>#N/A</v>
      </c>
      <c r="N1049" s="5" t="n">
        <f aca="false">B1049</f>
        <v>134.809999999999</v>
      </c>
    </row>
    <row r="1050" customFormat="false" ht="12.8" hidden="false" customHeight="false" outlineLevel="0" collapsed="false">
      <c r="A1050" s="5" t="n">
        <v>5.18999999999995</v>
      </c>
      <c r="B1050" s="5" t="n">
        <f aca="false">A1050*VOFLB</f>
        <v>134.939999999999</v>
      </c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 t="e">
        <f aca="false">0.000001*('Design Worksheet'!B$88)*(B1050-B1049)/E$232+M1049</f>
        <v>#N/A</v>
      </c>
      <c r="N1050" s="5" t="n">
        <f aca="false">B1050</f>
        <v>134.939999999999</v>
      </c>
    </row>
    <row r="1051" customFormat="false" ht="12.8" hidden="false" customHeight="false" outlineLevel="0" collapsed="false">
      <c r="A1051" s="5" t="n">
        <v>5.19499999999995</v>
      </c>
      <c r="B1051" s="5" t="n">
        <f aca="false">A1051*VOFLB</f>
        <v>135.069999999999</v>
      </c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 t="e">
        <f aca="false">0.000001*('Design Worksheet'!B$88)*(B1051-B1050)/E$232+M1050</f>
        <v>#N/A</v>
      </c>
      <c r="N1051" s="5" t="n">
        <f aca="false">B1051</f>
        <v>135.069999999999</v>
      </c>
    </row>
    <row r="1052" customFormat="false" ht="12.8" hidden="false" customHeight="false" outlineLevel="0" collapsed="false">
      <c r="A1052" s="5" t="n">
        <v>5.19999999999995</v>
      </c>
      <c r="B1052" s="5" t="n">
        <f aca="false">A1052*VOFLB</f>
        <v>135.199999999999</v>
      </c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 t="e">
        <f aca="false">0.000001*('Design Worksheet'!B$88)*(B1052-B1051)/E$232+M1051</f>
        <v>#N/A</v>
      </c>
      <c r="N1052" s="5" t="n">
        <f aca="false">B1052</f>
        <v>135.199999999999</v>
      </c>
    </row>
    <row r="1053" customFormat="false" ht="12.8" hidden="false" customHeight="false" outlineLevel="0" collapsed="false">
      <c r="A1053" s="5" t="n">
        <v>5.20499999999995</v>
      </c>
      <c r="B1053" s="5" t="n">
        <f aca="false">A1053*VOFLB</f>
        <v>135.329999999999</v>
      </c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 t="e">
        <f aca="false">0.000001*('Design Worksheet'!B$88)*(B1053-B1052)/E$232+M1052</f>
        <v>#N/A</v>
      </c>
      <c r="N1053" s="5" t="n">
        <f aca="false">B1053</f>
        <v>135.329999999999</v>
      </c>
    </row>
    <row r="1054" customFormat="false" ht="12.8" hidden="false" customHeight="false" outlineLevel="0" collapsed="false">
      <c r="A1054" s="5" t="n">
        <v>5.20999999999995</v>
      </c>
      <c r="B1054" s="5" t="n">
        <f aca="false">A1054*VOFLB</f>
        <v>135.459999999999</v>
      </c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 t="e">
        <f aca="false">0.000001*('Design Worksheet'!B$88)*(B1054-B1053)/E$232+M1053</f>
        <v>#N/A</v>
      </c>
      <c r="N1054" s="5" t="n">
        <f aca="false">B1054</f>
        <v>135.459999999999</v>
      </c>
    </row>
    <row r="1055" customFormat="false" ht="12.8" hidden="false" customHeight="false" outlineLevel="0" collapsed="false">
      <c r="A1055" s="5" t="n">
        <v>5.21499999999995</v>
      </c>
      <c r="B1055" s="5" t="n">
        <f aca="false">A1055*VOFLB</f>
        <v>135.589999999999</v>
      </c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 t="e">
        <f aca="false">0.000001*('Design Worksheet'!B$88)*(B1055-B1054)/E$232+M1054</f>
        <v>#N/A</v>
      </c>
      <c r="N1055" s="5" t="n">
        <f aca="false">B1055</f>
        <v>135.589999999999</v>
      </c>
    </row>
    <row r="1056" customFormat="false" ht="12.8" hidden="false" customHeight="false" outlineLevel="0" collapsed="false">
      <c r="A1056" s="5" t="n">
        <v>5.21999999999995</v>
      </c>
      <c r="B1056" s="5" t="n">
        <f aca="false">A1056*VOFLB</f>
        <v>135.719999999999</v>
      </c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 t="e">
        <f aca="false">0.000001*('Design Worksheet'!B$88)*(B1056-B1055)/E$232+M1055</f>
        <v>#N/A</v>
      </c>
      <c r="N1056" s="5" t="n">
        <f aca="false">B1056</f>
        <v>135.719999999999</v>
      </c>
    </row>
    <row r="1057" customFormat="false" ht="12.8" hidden="false" customHeight="false" outlineLevel="0" collapsed="false">
      <c r="A1057" s="5" t="n">
        <v>5.22499999999995</v>
      </c>
      <c r="B1057" s="5" t="n">
        <f aca="false">A1057*VOFLB</f>
        <v>135.849999999999</v>
      </c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 t="e">
        <f aca="false">0.000001*('Design Worksheet'!B$88)*(B1057-B1056)/E$232+M1056</f>
        <v>#N/A</v>
      </c>
      <c r="N1057" s="5" t="n">
        <f aca="false">B1057</f>
        <v>135.849999999999</v>
      </c>
    </row>
    <row r="1058" customFormat="false" ht="12.8" hidden="false" customHeight="false" outlineLevel="0" collapsed="false">
      <c r="A1058" s="5" t="n">
        <v>5.22999999999995</v>
      </c>
      <c r="B1058" s="5" t="n">
        <f aca="false">A1058*VOFLB</f>
        <v>135.979999999999</v>
      </c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 t="e">
        <f aca="false">0.000001*('Design Worksheet'!B$88)*(B1058-B1057)/E$232+M1057</f>
        <v>#N/A</v>
      </c>
      <c r="N1058" s="5" t="n">
        <f aca="false">B1058</f>
        <v>135.979999999999</v>
      </c>
    </row>
    <row r="1059" customFormat="false" ht="12.8" hidden="false" customHeight="false" outlineLevel="0" collapsed="false">
      <c r="A1059" s="5" t="n">
        <v>5.23499999999995</v>
      </c>
      <c r="B1059" s="5" t="n">
        <f aca="false">A1059*VOFLB</f>
        <v>136.109999999999</v>
      </c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 t="e">
        <f aca="false">0.000001*('Design Worksheet'!B$88)*(B1059-B1058)/E$232+M1058</f>
        <v>#N/A</v>
      </c>
      <c r="N1059" s="5" t="n">
        <f aca="false">B1059</f>
        <v>136.109999999999</v>
      </c>
    </row>
    <row r="1060" customFormat="false" ht="12.8" hidden="false" customHeight="false" outlineLevel="0" collapsed="false">
      <c r="A1060" s="5" t="n">
        <v>5.23999999999995</v>
      </c>
      <c r="B1060" s="5" t="n">
        <f aca="false">A1060*VOFLB</f>
        <v>136.239999999999</v>
      </c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 t="e">
        <f aca="false">0.000001*('Design Worksheet'!B$88)*(B1060-B1059)/E$232+M1059</f>
        <v>#N/A</v>
      </c>
      <c r="N1060" s="5" t="n">
        <f aca="false">B1060</f>
        <v>136.239999999999</v>
      </c>
    </row>
    <row r="1061" customFormat="false" ht="12.8" hidden="false" customHeight="false" outlineLevel="0" collapsed="false">
      <c r="A1061" s="5" t="n">
        <v>5.24499999999995</v>
      </c>
      <c r="B1061" s="5" t="n">
        <f aca="false">A1061*VOFLB</f>
        <v>136.369999999999</v>
      </c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 t="e">
        <f aca="false">0.000001*('Design Worksheet'!B$88)*(B1061-B1060)/E$232+M1060</f>
        <v>#N/A</v>
      </c>
      <c r="N1061" s="5" t="n">
        <f aca="false">B1061</f>
        <v>136.369999999999</v>
      </c>
    </row>
    <row r="1062" customFormat="false" ht="12.8" hidden="false" customHeight="false" outlineLevel="0" collapsed="false">
      <c r="A1062" s="5" t="n">
        <v>5.24999999999995</v>
      </c>
      <c r="B1062" s="5" t="n">
        <f aca="false">A1062*VOFLB</f>
        <v>136.499999999999</v>
      </c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 t="e">
        <f aca="false">0.000001*('Design Worksheet'!B$88)*(B1062-B1061)/E$232+M1061</f>
        <v>#N/A</v>
      </c>
      <c r="N1062" s="5" t="n">
        <f aca="false">B1062</f>
        <v>136.499999999999</v>
      </c>
    </row>
    <row r="1063" customFormat="false" ht="12.8" hidden="false" customHeight="false" outlineLevel="0" collapsed="false">
      <c r="A1063" s="5" t="n">
        <v>5.25499999999995</v>
      </c>
      <c r="B1063" s="5" t="n">
        <f aca="false">A1063*VOFLB</f>
        <v>136.629999999999</v>
      </c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 t="e">
        <f aca="false">0.000001*('Design Worksheet'!B$88)*(B1063-B1062)/E$232+M1062</f>
        <v>#N/A</v>
      </c>
      <c r="N1063" s="5" t="n">
        <f aca="false">B1063</f>
        <v>136.629999999999</v>
      </c>
    </row>
    <row r="1064" customFormat="false" ht="12.8" hidden="false" customHeight="false" outlineLevel="0" collapsed="false">
      <c r="A1064" s="5" t="n">
        <v>5.25999999999995</v>
      </c>
      <c r="B1064" s="5" t="n">
        <f aca="false">A1064*VOFLB</f>
        <v>136.759999999999</v>
      </c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 t="e">
        <f aca="false">0.000001*('Design Worksheet'!B$88)*(B1064-B1063)/E$232+M1063</f>
        <v>#N/A</v>
      </c>
      <c r="N1064" s="5" t="n">
        <f aca="false">B1064</f>
        <v>136.759999999999</v>
      </c>
    </row>
    <row r="1065" customFormat="false" ht="12.8" hidden="false" customHeight="false" outlineLevel="0" collapsed="false">
      <c r="A1065" s="5" t="n">
        <v>5.26499999999995</v>
      </c>
      <c r="B1065" s="5" t="n">
        <f aca="false">A1065*VOFLB</f>
        <v>136.889999999999</v>
      </c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 t="e">
        <f aca="false">0.000001*('Design Worksheet'!B$88)*(B1065-B1064)/E$232+M1064</f>
        <v>#N/A</v>
      </c>
      <c r="N1065" s="5" t="n">
        <f aca="false">B1065</f>
        <v>136.889999999999</v>
      </c>
    </row>
    <row r="1066" customFormat="false" ht="12.8" hidden="false" customHeight="false" outlineLevel="0" collapsed="false">
      <c r="A1066" s="5" t="n">
        <v>5.26999999999995</v>
      </c>
      <c r="B1066" s="5" t="n">
        <f aca="false">A1066*VOFLB</f>
        <v>137.019999999999</v>
      </c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 t="e">
        <f aca="false">0.000001*('Design Worksheet'!B$88)*(B1066-B1065)/E$232+M1065</f>
        <v>#N/A</v>
      </c>
      <c r="N1066" s="5" t="n">
        <f aca="false">B1066</f>
        <v>137.019999999999</v>
      </c>
    </row>
    <row r="1067" customFormat="false" ht="12.8" hidden="false" customHeight="false" outlineLevel="0" collapsed="false">
      <c r="A1067" s="5" t="n">
        <v>5.27499999999995</v>
      </c>
      <c r="B1067" s="5" t="n">
        <f aca="false">A1067*VOFLB</f>
        <v>137.149999999999</v>
      </c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 t="e">
        <f aca="false">0.000001*('Design Worksheet'!B$88)*(B1067-B1066)/E$232+M1066</f>
        <v>#N/A</v>
      </c>
      <c r="N1067" s="5" t="n">
        <f aca="false">B1067</f>
        <v>137.149999999999</v>
      </c>
    </row>
    <row r="1068" customFormat="false" ht="12.8" hidden="false" customHeight="false" outlineLevel="0" collapsed="false">
      <c r="A1068" s="5" t="n">
        <v>5.27999999999995</v>
      </c>
      <c r="B1068" s="5" t="n">
        <f aca="false">A1068*VOFLB</f>
        <v>137.279999999999</v>
      </c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 t="e">
        <f aca="false">0.000001*('Design Worksheet'!B$88)*(B1068-B1067)/E$232+M1067</f>
        <v>#N/A</v>
      </c>
      <c r="N1068" s="5" t="n">
        <f aca="false">B1068</f>
        <v>137.279999999999</v>
      </c>
    </row>
    <row r="1069" customFormat="false" ht="12.8" hidden="false" customHeight="false" outlineLevel="0" collapsed="false">
      <c r="A1069" s="5" t="n">
        <v>5.28499999999995</v>
      </c>
      <c r="B1069" s="5" t="n">
        <f aca="false">A1069*VOFLB</f>
        <v>137.409999999999</v>
      </c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 t="e">
        <f aca="false">0.000001*('Design Worksheet'!B$88)*(B1069-B1068)/E$232+M1068</f>
        <v>#N/A</v>
      </c>
      <c r="N1069" s="5" t="n">
        <f aca="false">B1069</f>
        <v>137.409999999999</v>
      </c>
    </row>
    <row r="1070" customFormat="false" ht="12.8" hidden="false" customHeight="false" outlineLevel="0" collapsed="false">
      <c r="A1070" s="5" t="n">
        <v>5.28999999999995</v>
      </c>
      <c r="B1070" s="5" t="n">
        <f aca="false">A1070*VOFLB</f>
        <v>137.539999999999</v>
      </c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 t="e">
        <f aca="false">0.000001*('Design Worksheet'!B$88)*(B1070-B1069)/E$232+M1069</f>
        <v>#N/A</v>
      </c>
      <c r="N1070" s="5" t="n">
        <f aca="false">B1070</f>
        <v>137.539999999999</v>
      </c>
    </row>
    <row r="1071" customFormat="false" ht="12.8" hidden="false" customHeight="false" outlineLevel="0" collapsed="false">
      <c r="A1071" s="5" t="n">
        <v>5.29499999999995</v>
      </c>
      <c r="B1071" s="5" t="n">
        <f aca="false">A1071*VOFLB</f>
        <v>137.669999999999</v>
      </c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 t="e">
        <f aca="false">0.000001*('Design Worksheet'!B$88)*(B1071-B1070)/E$232+M1070</f>
        <v>#N/A</v>
      </c>
      <c r="N1071" s="5" t="n">
        <f aca="false">B1071</f>
        <v>137.669999999999</v>
      </c>
    </row>
    <row r="1072" customFormat="false" ht="12.8" hidden="false" customHeight="false" outlineLevel="0" collapsed="false">
      <c r="A1072" s="5" t="n">
        <v>5.29999999999995</v>
      </c>
      <c r="B1072" s="5" t="n">
        <f aca="false">A1072*VOFLB</f>
        <v>137.799999999999</v>
      </c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 t="e">
        <f aca="false">0.000001*('Design Worksheet'!B$88)*(B1072-B1071)/E$232+M1071</f>
        <v>#N/A</v>
      </c>
      <c r="N1072" s="5" t="n">
        <f aca="false">B1072</f>
        <v>137.799999999999</v>
      </c>
    </row>
    <row r="1073" customFormat="false" ht="12.8" hidden="false" customHeight="false" outlineLevel="0" collapsed="false">
      <c r="A1073" s="5" t="n">
        <v>5.30499999999995</v>
      </c>
      <c r="B1073" s="5" t="n">
        <f aca="false">A1073*VOFLB</f>
        <v>137.929999999999</v>
      </c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 t="e">
        <f aca="false">0.000001*('Design Worksheet'!B$88)*(B1073-B1072)/E$232+M1072</f>
        <v>#N/A</v>
      </c>
      <c r="N1073" s="5" t="n">
        <f aca="false">B1073</f>
        <v>137.929999999999</v>
      </c>
    </row>
    <row r="1074" customFormat="false" ht="12.8" hidden="false" customHeight="false" outlineLevel="0" collapsed="false">
      <c r="A1074" s="5" t="n">
        <v>5.30999999999995</v>
      </c>
      <c r="B1074" s="5" t="n">
        <f aca="false">A1074*VOFLB</f>
        <v>138.059999999999</v>
      </c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 t="e">
        <f aca="false">0.000001*('Design Worksheet'!B$88)*(B1074-B1073)/E$232+M1073</f>
        <v>#N/A</v>
      </c>
      <c r="N1074" s="5" t="n">
        <f aca="false">B1074</f>
        <v>138.059999999999</v>
      </c>
    </row>
    <row r="1075" customFormat="false" ht="12.8" hidden="false" customHeight="false" outlineLevel="0" collapsed="false">
      <c r="A1075" s="5" t="n">
        <v>5.31499999999995</v>
      </c>
      <c r="B1075" s="5" t="n">
        <f aca="false">A1075*VOFLB</f>
        <v>138.189999999999</v>
      </c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 t="e">
        <f aca="false">0.000001*('Design Worksheet'!B$88)*(B1075-B1074)/E$232+M1074</f>
        <v>#N/A</v>
      </c>
      <c r="N1075" s="5" t="n">
        <f aca="false">B1075</f>
        <v>138.189999999999</v>
      </c>
    </row>
    <row r="1076" customFormat="false" ht="12.8" hidden="false" customHeight="false" outlineLevel="0" collapsed="false">
      <c r="A1076" s="5" t="n">
        <v>5.31999999999995</v>
      </c>
      <c r="B1076" s="5" t="n">
        <f aca="false">A1076*VOFLB</f>
        <v>138.319999999999</v>
      </c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 t="e">
        <f aca="false">0.000001*('Design Worksheet'!B$88)*(B1076-B1075)/E$232+M1075</f>
        <v>#N/A</v>
      </c>
      <c r="N1076" s="5" t="n">
        <f aca="false">B1076</f>
        <v>138.319999999999</v>
      </c>
    </row>
    <row r="1077" customFormat="false" ht="12.8" hidden="false" customHeight="false" outlineLevel="0" collapsed="false">
      <c r="A1077" s="5" t="n">
        <v>5.32499999999995</v>
      </c>
      <c r="B1077" s="5" t="n">
        <f aca="false">A1077*VOFLB</f>
        <v>138.449999999999</v>
      </c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 t="e">
        <f aca="false">0.000001*('Design Worksheet'!B$88)*(B1077-B1076)/E$232+M1076</f>
        <v>#N/A</v>
      </c>
      <c r="N1077" s="5" t="n">
        <f aca="false">B1077</f>
        <v>138.449999999999</v>
      </c>
    </row>
    <row r="1078" customFormat="false" ht="12.8" hidden="false" customHeight="false" outlineLevel="0" collapsed="false">
      <c r="A1078" s="5" t="n">
        <v>5.32999999999995</v>
      </c>
      <c r="B1078" s="5" t="n">
        <f aca="false">A1078*VOFLB</f>
        <v>138.579999999999</v>
      </c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 t="e">
        <f aca="false">0.000001*('Design Worksheet'!B$88)*(B1078-B1077)/E$232+M1077</f>
        <v>#N/A</v>
      </c>
      <c r="N1078" s="5" t="n">
        <f aca="false">B1078</f>
        <v>138.579999999999</v>
      </c>
    </row>
    <row r="1079" customFormat="false" ht="12.8" hidden="false" customHeight="false" outlineLevel="0" collapsed="false">
      <c r="A1079" s="5" t="n">
        <v>5.33499999999995</v>
      </c>
      <c r="B1079" s="5" t="n">
        <f aca="false">A1079*VOFLB</f>
        <v>138.709999999999</v>
      </c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 t="e">
        <f aca="false">0.000001*('Design Worksheet'!B$88)*(B1079-B1078)/E$232+M1078</f>
        <v>#N/A</v>
      </c>
      <c r="N1079" s="5" t="n">
        <f aca="false">B1079</f>
        <v>138.709999999999</v>
      </c>
    </row>
    <row r="1080" customFormat="false" ht="12.8" hidden="false" customHeight="false" outlineLevel="0" collapsed="false">
      <c r="A1080" s="5" t="n">
        <v>5.33999999999995</v>
      </c>
      <c r="B1080" s="5" t="n">
        <f aca="false">A1080*VOFLB</f>
        <v>138.839999999999</v>
      </c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 t="e">
        <f aca="false">0.000001*('Design Worksheet'!B$88)*(B1080-B1079)/E$232+M1079</f>
        <v>#N/A</v>
      </c>
      <c r="N1080" s="5" t="n">
        <f aca="false">B1080</f>
        <v>138.839999999999</v>
      </c>
    </row>
    <row r="1081" customFormat="false" ht="12.8" hidden="false" customHeight="false" outlineLevel="0" collapsed="false">
      <c r="A1081" s="5" t="n">
        <v>5.34499999999995</v>
      </c>
      <c r="B1081" s="5" t="n">
        <f aca="false">A1081*VOFLB</f>
        <v>138.969999999999</v>
      </c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 t="e">
        <f aca="false">0.000001*('Design Worksheet'!B$88)*(B1081-B1080)/E$232+M1080</f>
        <v>#N/A</v>
      </c>
      <c r="N1081" s="5" t="n">
        <f aca="false">B1081</f>
        <v>138.969999999999</v>
      </c>
    </row>
    <row r="1082" customFormat="false" ht="12.8" hidden="false" customHeight="false" outlineLevel="0" collapsed="false">
      <c r="A1082" s="5" t="n">
        <v>5.34999999999995</v>
      </c>
      <c r="B1082" s="5" t="n">
        <f aca="false">A1082*VOFLB</f>
        <v>139.099999999999</v>
      </c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 t="e">
        <f aca="false">0.000001*('Design Worksheet'!B$88)*(B1082-B1081)/E$232+M1081</f>
        <v>#N/A</v>
      </c>
      <c r="N1082" s="5" t="n">
        <f aca="false">B1082</f>
        <v>139.099999999999</v>
      </c>
    </row>
    <row r="1083" customFormat="false" ht="12.8" hidden="false" customHeight="false" outlineLevel="0" collapsed="false">
      <c r="A1083" s="5" t="n">
        <v>5.35499999999995</v>
      </c>
      <c r="B1083" s="5" t="n">
        <f aca="false">A1083*VOFLB</f>
        <v>139.229999999999</v>
      </c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 t="e">
        <f aca="false">0.000001*('Design Worksheet'!B$88)*(B1083-B1082)/E$232+M1082</f>
        <v>#N/A</v>
      </c>
      <c r="N1083" s="5" t="n">
        <f aca="false">B1083</f>
        <v>139.229999999999</v>
      </c>
    </row>
    <row r="1084" customFormat="false" ht="12.8" hidden="false" customHeight="false" outlineLevel="0" collapsed="false">
      <c r="A1084" s="5" t="n">
        <v>5.35999999999995</v>
      </c>
      <c r="B1084" s="5" t="n">
        <f aca="false">A1084*VOFLB</f>
        <v>139.359999999999</v>
      </c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 t="e">
        <f aca="false">0.000001*('Design Worksheet'!B$88)*(B1084-B1083)/E$232+M1083</f>
        <v>#N/A</v>
      </c>
      <c r="N1084" s="5" t="n">
        <f aca="false">B1084</f>
        <v>139.359999999999</v>
      </c>
    </row>
    <row r="1085" customFormat="false" ht="12.8" hidden="false" customHeight="false" outlineLevel="0" collapsed="false">
      <c r="A1085" s="5" t="n">
        <v>5.36499999999995</v>
      </c>
      <c r="B1085" s="5" t="n">
        <f aca="false">A1085*VOFLB</f>
        <v>139.489999999999</v>
      </c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 t="e">
        <f aca="false">0.000001*('Design Worksheet'!B$88)*(B1085-B1084)/E$232+M1084</f>
        <v>#N/A</v>
      </c>
      <c r="N1085" s="5" t="n">
        <f aca="false">B1085</f>
        <v>139.489999999999</v>
      </c>
    </row>
    <row r="1086" customFormat="false" ht="12.8" hidden="false" customHeight="false" outlineLevel="0" collapsed="false">
      <c r="A1086" s="5" t="n">
        <v>5.36999999999995</v>
      </c>
      <c r="B1086" s="5" t="n">
        <f aca="false">A1086*VOFLB</f>
        <v>139.619999999999</v>
      </c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 t="e">
        <f aca="false">0.000001*('Design Worksheet'!B$88)*(B1086-B1085)/E$232+M1085</f>
        <v>#N/A</v>
      </c>
      <c r="N1086" s="5" t="n">
        <f aca="false">B1086</f>
        <v>139.619999999999</v>
      </c>
    </row>
    <row r="1087" customFormat="false" ht="12.8" hidden="false" customHeight="false" outlineLevel="0" collapsed="false">
      <c r="A1087" s="5" t="n">
        <v>5.37499999999995</v>
      </c>
      <c r="B1087" s="5" t="n">
        <f aca="false">A1087*VOFLB</f>
        <v>139.749999999999</v>
      </c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 t="e">
        <f aca="false">0.000001*('Design Worksheet'!B$88)*(B1087-B1086)/E$232+M1086</f>
        <v>#N/A</v>
      </c>
      <c r="N1087" s="5" t="n">
        <f aca="false">B1087</f>
        <v>139.749999999999</v>
      </c>
    </row>
    <row r="1088" customFormat="false" ht="12.8" hidden="false" customHeight="false" outlineLevel="0" collapsed="false">
      <c r="A1088" s="5" t="n">
        <v>5.37999999999995</v>
      </c>
      <c r="B1088" s="5" t="n">
        <f aca="false">A1088*VOFLB</f>
        <v>139.879999999999</v>
      </c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 t="e">
        <f aca="false">0.000001*('Design Worksheet'!B$88)*(B1088-B1087)/E$232+M1087</f>
        <v>#N/A</v>
      </c>
      <c r="N1088" s="5" t="n">
        <f aca="false">B1088</f>
        <v>139.879999999999</v>
      </c>
    </row>
    <row r="1089" customFormat="false" ht="12.8" hidden="false" customHeight="false" outlineLevel="0" collapsed="false">
      <c r="A1089" s="5" t="n">
        <v>5.38499999999995</v>
      </c>
      <c r="B1089" s="5" t="n">
        <f aca="false">A1089*VOFLB</f>
        <v>140.009999999999</v>
      </c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 t="e">
        <f aca="false">0.000001*('Design Worksheet'!B$88)*(B1089-B1088)/E$232+M1088</f>
        <v>#N/A</v>
      </c>
      <c r="N1089" s="5" t="n">
        <f aca="false">B1089</f>
        <v>140.009999999999</v>
      </c>
    </row>
    <row r="1090" customFormat="false" ht="12.8" hidden="false" customHeight="false" outlineLevel="0" collapsed="false">
      <c r="A1090" s="5" t="n">
        <v>5.38999999999995</v>
      </c>
      <c r="B1090" s="5" t="n">
        <f aca="false">A1090*VOFLB</f>
        <v>140.139999999999</v>
      </c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 t="e">
        <f aca="false">0.000001*('Design Worksheet'!B$88)*(B1090-B1089)/E$232+M1089</f>
        <v>#N/A</v>
      </c>
      <c r="N1090" s="5" t="n">
        <f aca="false">B1090</f>
        <v>140.139999999999</v>
      </c>
    </row>
    <row r="1091" customFormat="false" ht="12.8" hidden="false" customHeight="false" outlineLevel="0" collapsed="false">
      <c r="A1091" s="5" t="n">
        <v>5.39499999999995</v>
      </c>
      <c r="B1091" s="5" t="n">
        <f aca="false">A1091*VOFLB</f>
        <v>140.269999999999</v>
      </c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 t="e">
        <f aca="false">0.000001*('Design Worksheet'!B$88)*(B1091-B1090)/E$232+M1090</f>
        <v>#N/A</v>
      </c>
      <c r="N1091" s="5" t="n">
        <f aca="false">B1091</f>
        <v>140.269999999999</v>
      </c>
    </row>
    <row r="1092" customFormat="false" ht="12.8" hidden="false" customHeight="false" outlineLevel="0" collapsed="false">
      <c r="A1092" s="5" t="n">
        <v>5.39999999999995</v>
      </c>
      <c r="B1092" s="5" t="n">
        <f aca="false">A1092*VOFLB</f>
        <v>140.399999999999</v>
      </c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 t="e">
        <f aca="false">0.000001*('Design Worksheet'!B$88)*(B1092-B1091)/E$232+M1091</f>
        <v>#N/A</v>
      </c>
      <c r="N1092" s="5" t="n">
        <f aca="false">B1092</f>
        <v>140.399999999999</v>
      </c>
    </row>
    <row r="1093" customFormat="false" ht="12.8" hidden="false" customHeight="false" outlineLevel="0" collapsed="false">
      <c r="A1093" s="5" t="n">
        <v>5.40499999999995</v>
      </c>
      <c r="B1093" s="5" t="n">
        <f aca="false">A1093*VOFLB</f>
        <v>140.529999999999</v>
      </c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 t="e">
        <f aca="false">0.000001*('Design Worksheet'!B$88)*(B1093-B1092)/E$232+M1092</f>
        <v>#N/A</v>
      </c>
      <c r="N1093" s="5" t="n">
        <f aca="false">B1093</f>
        <v>140.529999999999</v>
      </c>
    </row>
    <row r="1094" customFormat="false" ht="12.8" hidden="false" customHeight="false" outlineLevel="0" collapsed="false">
      <c r="A1094" s="5" t="n">
        <v>5.40999999999995</v>
      </c>
      <c r="B1094" s="5" t="n">
        <f aca="false">A1094*VOFLB</f>
        <v>140.659999999999</v>
      </c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 t="e">
        <f aca="false">0.000001*('Design Worksheet'!B$88)*(B1094-B1093)/E$232+M1093</f>
        <v>#N/A</v>
      </c>
      <c r="N1094" s="5" t="n">
        <f aca="false">B1094</f>
        <v>140.659999999999</v>
      </c>
    </row>
    <row r="1095" customFormat="false" ht="12.8" hidden="false" customHeight="false" outlineLevel="0" collapsed="false">
      <c r="A1095" s="5" t="n">
        <v>5.41499999999995</v>
      </c>
      <c r="B1095" s="5" t="n">
        <f aca="false">A1095*VOFLB</f>
        <v>140.789999999999</v>
      </c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 t="e">
        <f aca="false">0.000001*('Design Worksheet'!B$88)*(B1095-B1094)/E$232+M1094</f>
        <v>#N/A</v>
      </c>
      <c r="N1095" s="5" t="n">
        <f aca="false">B1095</f>
        <v>140.789999999999</v>
      </c>
    </row>
    <row r="1096" customFormat="false" ht="12.8" hidden="false" customHeight="false" outlineLevel="0" collapsed="false">
      <c r="A1096" s="5" t="n">
        <v>5.41999999999995</v>
      </c>
      <c r="B1096" s="5" t="n">
        <f aca="false">A1096*VOFLB</f>
        <v>140.919999999999</v>
      </c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 t="e">
        <f aca="false">0.000001*('Design Worksheet'!B$88)*(B1096-B1095)/E$232+M1095</f>
        <v>#N/A</v>
      </c>
      <c r="N1096" s="5" t="n">
        <f aca="false">B1096</f>
        <v>140.919999999999</v>
      </c>
    </row>
    <row r="1097" customFormat="false" ht="12.8" hidden="false" customHeight="false" outlineLevel="0" collapsed="false">
      <c r="A1097" s="5" t="n">
        <v>5.42499999999995</v>
      </c>
      <c r="B1097" s="5" t="n">
        <f aca="false">A1097*VOFLB</f>
        <v>141.049999999999</v>
      </c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 t="e">
        <f aca="false">0.000001*('Design Worksheet'!B$88)*(B1097-B1096)/E$232+M1096</f>
        <v>#N/A</v>
      </c>
      <c r="N1097" s="5" t="n">
        <f aca="false">B1097</f>
        <v>141.049999999999</v>
      </c>
    </row>
    <row r="1098" customFormat="false" ht="12.8" hidden="false" customHeight="false" outlineLevel="0" collapsed="false">
      <c r="A1098" s="5" t="n">
        <v>5.42999999999995</v>
      </c>
      <c r="B1098" s="5" t="n">
        <f aca="false">A1098*VOFLB</f>
        <v>141.179999999999</v>
      </c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 t="e">
        <f aca="false">0.000001*('Design Worksheet'!B$88)*(B1098-B1097)/E$232+M1097</f>
        <v>#N/A</v>
      </c>
      <c r="N1098" s="5" t="n">
        <f aca="false">B1098</f>
        <v>141.179999999999</v>
      </c>
    </row>
    <row r="1099" customFormat="false" ht="12.8" hidden="false" customHeight="false" outlineLevel="0" collapsed="false">
      <c r="A1099" s="5" t="n">
        <v>5.43499999999995</v>
      </c>
      <c r="B1099" s="5" t="n">
        <f aca="false">A1099*VOFLB</f>
        <v>141.309999999999</v>
      </c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 t="e">
        <f aca="false">0.000001*('Design Worksheet'!B$88)*(B1099-B1098)/E$232+M1098</f>
        <v>#N/A</v>
      </c>
      <c r="N1099" s="5" t="n">
        <f aca="false">B1099</f>
        <v>141.309999999999</v>
      </c>
    </row>
    <row r="1100" customFormat="false" ht="12.8" hidden="false" customHeight="false" outlineLevel="0" collapsed="false">
      <c r="A1100" s="5" t="n">
        <v>5.43999999999995</v>
      </c>
      <c r="B1100" s="5" t="n">
        <f aca="false">A1100*VOFLB</f>
        <v>141.439999999999</v>
      </c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 t="e">
        <f aca="false">0.000001*('Design Worksheet'!B$88)*(B1100-B1099)/E$232+M1099</f>
        <v>#N/A</v>
      </c>
      <c r="N1100" s="5" t="n">
        <f aca="false">B1100</f>
        <v>141.439999999999</v>
      </c>
    </row>
    <row r="1101" customFormat="false" ht="12.8" hidden="false" customHeight="false" outlineLevel="0" collapsed="false">
      <c r="A1101" s="5" t="n">
        <v>5.44499999999995</v>
      </c>
      <c r="B1101" s="5" t="n">
        <f aca="false">A1101*VOFLB</f>
        <v>141.569999999999</v>
      </c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 t="e">
        <f aca="false">0.000001*('Design Worksheet'!B$88)*(B1101-B1100)/E$232+M1100</f>
        <v>#N/A</v>
      </c>
      <c r="N1101" s="5" t="n">
        <f aca="false">B1101</f>
        <v>141.569999999999</v>
      </c>
    </row>
    <row r="1102" customFormat="false" ht="12.8" hidden="false" customHeight="false" outlineLevel="0" collapsed="false">
      <c r="A1102" s="5" t="n">
        <v>5.44999999999995</v>
      </c>
      <c r="B1102" s="5" t="n">
        <f aca="false">A1102*VOFLB</f>
        <v>141.699999999999</v>
      </c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 t="e">
        <f aca="false">0.000001*('Design Worksheet'!B$88)*(B1102-B1101)/E$232+M1101</f>
        <v>#N/A</v>
      </c>
      <c r="N1102" s="5" t="n">
        <f aca="false">B1102</f>
        <v>141.699999999999</v>
      </c>
    </row>
    <row r="1103" customFormat="false" ht="12.8" hidden="false" customHeight="false" outlineLevel="0" collapsed="false">
      <c r="A1103" s="5" t="n">
        <v>5.45499999999995</v>
      </c>
      <c r="B1103" s="5" t="n">
        <f aca="false">A1103*VOFLB</f>
        <v>141.829999999999</v>
      </c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 t="e">
        <f aca="false">0.000001*('Design Worksheet'!B$88)*(B1103-B1102)/E$232+M1102</f>
        <v>#N/A</v>
      </c>
      <c r="N1103" s="5" t="n">
        <f aca="false">B1103</f>
        <v>141.829999999999</v>
      </c>
    </row>
    <row r="1104" customFormat="false" ht="12.8" hidden="false" customHeight="false" outlineLevel="0" collapsed="false">
      <c r="A1104" s="5" t="n">
        <v>5.45999999999995</v>
      </c>
      <c r="B1104" s="5" t="n">
        <f aca="false">A1104*VOFLB</f>
        <v>141.959999999999</v>
      </c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 t="e">
        <f aca="false">0.000001*('Design Worksheet'!B$88)*(B1104-B1103)/E$232+M1103</f>
        <v>#N/A</v>
      </c>
      <c r="N1104" s="5" t="n">
        <f aca="false">B1104</f>
        <v>141.959999999999</v>
      </c>
    </row>
    <row r="1105" customFormat="false" ht="12.8" hidden="false" customHeight="false" outlineLevel="0" collapsed="false">
      <c r="A1105" s="5" t="n">
        <v>5.46499999999995</v>
      </c>
      <c r="B1105" s="5" t="n">
        <f aca="false">A1105*VOFLB</f>
        <v>142.089999999999</v>
      </c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 t="e">
        <f aca="false">0.000001*('Design Worksheet'!B$88)*(B1105-B1104)/E$232+M1104</f>
        <v>#N/A</v>
      </c>
      <c r="N1105" s="5" t="n">
        <f aca="false">B1105</f>
        <v>142.089999999999</v>
      </c>
    </row>
    <row r="1106" customFormat="false" ht="12.8" hidden="false" customHeight="false" outlineLevel="0" collapsed="false">
      <c r="A1106" s="5" t="n">
        <v>5.46999999999995</v>
      </c>
      <c r="B1106" s="5" t="n">
        <f aca="false">A1106*VOFLB</f>
        <v>142.219999999999</v>
      </c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 t="e">
        <f aca="false">0.000001*('Design Worksheet'!B$88)*(B1106-B1105)/E$232+M1105</f>
        <v>#N/A</v>
      </c>
      <c r="N1106" s="5" t="n">
        <f aca="false">B1106</f>
        <v>142.219999999999</v>
      </c>
    </row>
    <row r="1107" customFormat="false" ht="12.8" hidden="false" customHeight="false" outlineLevel="0" collapsed="false">
      <c r="A1107" s="5" t="n">
        <v>5.47499999999995</v>
      </c>
      <c r="B1107" s="5" t="n">
        <f aca="false">A1107*VOFLB</f>
        <v>142.349999999999</v>
      </c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 t="e">
        <f aca="false">0.000001*('Design Worksheet'!B$88)*(B1107-B1106)/E$232+M1106</f>
        <v>#N/A</v>
      </c>
      <c r="N1107" s="5" t="n">
        <f aca="false">B1107</f>
        <v>142.349999999999</v>
      </c>
    </row>
    <row r="1108" customFormat="false" ht="12.8" hidden="false" customHeight="false" outlineLevel="0" collapsed="false">
      <c r="A1108" s="5" t="n">
        <v>5.47999999999995</v>
      </c>
      <c r="B1108" s="5" t="n">
        <f aca="false">A1108*VOFLB</f>
        <v>142.479999999999</v>
      </c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 t="e">
        <f aca="false">0.000001*('Design Worksheet'!B$88)*(B1108-B1107)/E$232+M1107</f>
        <v>#N/A</v>
      </c>
      <c r="N1108" s="5" t="n">
        <f aca="false">B1108</f>
        <v>142.479999999999</v>
      </c>
    </row>
    <row r="1109" customFormat="false" ht="12.8" hidden="false" customHeight="false" outlineLevel="0" collapsed="false">
      <c r="A1109" s="5" t="n">
        <v>5.48499999999995</v>
      </c>
      <c r="B1109" s="5" t="n">
        <f aca="false">A1109*VOFLB</f>
        <v>142.609999999999</v>
      </c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 t="e">
        <f aca="false">0.000001*('Design Worksheet'!B$88)*(B1109-B1108)/E$232+M1108</f>
        <v>#N/A</v>
      </c>
      <c r="N1109" s="5" t="n">
        <f aca="false">B1109</f>
        <v>142.609999999999</v>
      </c>
    </row>
    <row r="1110" customFormat="false" ht="12.8" hidden="false" customHeight="false" outlineLevel="0" collapsed="false">
      <c r="A1110" s="5" t="n">
        <v>5.48999999999995</v>
      </c>
      <c r="B1110" s="5" t="n">
        <f aca="false">A1110*VOFLB</f>
        <v>142.739999999999</v>
      </c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 t="e">
        <f aca="false">0.000001*('Design Worksheet'!B$88)*(B1110-B1109)/E$232+M1109</f>
        <v>#N/A</v>
      </c>
      <c r="N1110" s="5" t="n">
        <f aca="false">B1110</f>
        <v>142.739999999999</v>
      </c>
    </row>
    <row r="1111" customFormat="false" ht="12.8" hidden="false" customHeight="false" outlineLevel="0" collapsed="false">
      <c r="A1111" s="5" t="n">
        <v>5.49499999999995</v>
      </c>
      <c r="B1111" s="5" t="n">
        <f aca="false">A1111*VOFLB</f>
        <v>142.869999999999</v>
      </c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 t="e">
        <f aca="false">0.000001*('Design Worksheet'!B$88)*(B1111-B1110)/E$232+M1110</f>
        <v>#N/A</v>
      </c>
      <c r="N1111" s="5" t="n">
        <f aca="false">B1111</f>
        <v>142.869999999999</v>
      </c>
    </row>
    <row r="1112" customFormat="false" ht="12.8" hidden="false" customHeight="false" outlineLevel="0" collapsed="false">
      <c r="A1112" s="5" t="n">
        <v>5.49999999999995</v>
      </c>
      <c r="B1112" s="5" t="n">
        <f aca="false">A1112*VOFLB</f>
        <v>142.999999999999</v>
      </c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 t="e">
        <f aca="false">0.000001*('Design Worksheet'!B$88)*(B1112-B1111)/E$232+M1111</f>
        <v>#N/A</v>
      </c>
      <c r="N1112" s="5" t="n">
        <f aca="false">B1112</f>
        <v>142.999999999999</v>
      </c>
    </row>
    <row r="1113" customFormat="false" ht="12.8" hidden="false" customHeight="false" outlineLevel="0" collapsed="false">
      <c r="A1113" s="5" t="n">
        <v>5.50499999999995</v>
      </c>
      <c r="B1113" s="5" t="n">
        <f aca="false">A1113*VOFLB</f>
        <v>143.129999999999</v>
      </c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 t="e">
        <f aca="false">0.000001*('Design Worksheet'!B$88)*(B1113-B1112)/E$232+M1112</f>
        <v>#N/A</v>
      </c>
      <c r="N1113" s="5" t="n">
        <f aca="false">B1113</f>
        <v>143.129999999999</v>
      </c>
    </row>
    <row r="1114" customFormat="false" ht="12.8" hidden="false" customHeight="false" outlineLevel="0" collapsed="false">
      <c r="A1114" s="5" t="n">
        <v>5.50999999999995</v>
      </c>
      <c r="B1114" s="5" t="n">
        <f aca="false">A1114*VOFLB</f>
        <v>143.259999999999</v>
      </c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 t="e">
        <f aca="false">0.000001*('Design Worksheet'!B$88)*(B1114-B1113)/E$232+M1113</f>
        <v>#N/A</v>
      </c>
      <c r="N1114" s="5" t="n">
        <f aca="false">B1114</f>
        <v>143.259999999999</v>
      </c>
    </row>
    <row r="1115" customFormat="false" ht="12.8" hidden="false" customHeight="false" outlineLevel="0" collapsed="false">
      <c r="A1115" s="5" t="n">
        <v>5.51499999999995</v>
      </c>
      <c r="B1115" s="5" t="n">
        <f aca="false">A1115*VOFLB</f>
        <v>143.389999999999</v>
      </c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 t="e">
        <f aca="false">0.000001*('Design Worksheet'!B$88)*(B1115-B1114)/E$232+M1114</f>
        <v>#N/A</v>
      </c>
      <c r="N1115" s="5" t="n">
        <f aca="false">B1115</f>
        <v>143.389999999999</v>
      </c>
    </row>
    <row r="1116" customFormat="false" ht="12.8" hidden="false" customHeight="false" outlineLevel="0" collapsed="false">
      <c r="A1116" s="5" t="n">
        <v>5.51999999999995</v>
      </c>
      <c r="B1116" s="5" t="n">
        <f aca="false">A1116*VOFLB</f>
        <v>143.519999999999</v>
      </c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 t="e">
        <f aca="false">0.000001*('Design Worksheet'!B$88)*(B1116-B1115)/E$232+M1115</f>
        <v>#N/A</v>
      </c>
      <c r="N1116" s="5" t="n">
        <f aca="false">B1116</f>
        <v>143.519999999999</v>
      </c>
    </row>
    <row r="1117" customFormat="false" ht="12.8" hidden="false" customHeight="false" outlineLevel="0" collapsed="false">
      <c r="A1117" s="5" t="n">
        <v>5.52499999999995</v>
      </c>
      <c r="B1117" s="5" t="n">
        <f aca="false">A1117*VOFLB</f>
        <v>143.649999999999</v>
      </c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 t="e">
        <f aca="false">0.000001*('Design Worksheet'!B$88)*(B1117-B1116)/E$232+M1116</f>
        <v>#N/A</v>
      </c>
      <c r="N1117" s="5" t="n">
        <f aca="false">B1117</f>
        <v>143.649999999999</v>
      </c>
    </row>
    <row r="1118" customFormat="false" ht="12.8" hidden="false" customHeight="false" outlineLevel="0" collapsed="false">
      <c r="A1118" s="5" t="n">
        <v>5.52999999999995</v>
      </c>
      <c r="B1118" s="5" t="n">
        <f aca="false">A1118*VOFLB</f>
        <v>143.779999999999</v>
      </c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 t="e">
        <f aca="false">0.000001*('Design Worksheet'!B$88)*(B1118-B1117)/E$232+M1117</f>
        <v>#N/A</v>
      </c>
      <c r="N1118" s="5" t="n">
        <f aca="false">B1118</f>
        <v>143.779999999999</v>
      </c>
    </row>
    <row r="1119" customFormat="false" ht="12.8" hidden="false" customHeight="false" outlineLevel="0" collapsed="false">
      <c r="A1119" s="5" t="n">
        <v>5.53499999999995</v>
      </c>
      <c r="B1119" s="5" t="n">
        <f aca="false">A1119*VOFLB</f>
        <v>143.909999999999</v>
      </c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 t="e">
        <f aca="false">0.000001*('Design Worksheet'!B$88)*(B1119-B1118)/E$232+M1118</f>
        <v>#N/A</v>
      </c>
      <c r="N1119" s="5" t="n">
        <f aca="false">B1119</f>
        <v>143.909999999999</v>
      </c>
    </row>
    <row r="1120" customFormat="false" ht="12.8" hidden="false" customHeight="false" outlineLevel="0" collapsed="false">
      <c r="A1120" s="5" t="n">
        <v>5.53999999999995</v>
      </c>
      <c r="B1120" s="5" t="n">
        <f aca="false">A1120*VOFLB</f>
        <v>144.039999999999</v>
      </c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 t="e">
        <f aca="false">0.000001*('Design Worksheet'!B$88)*(B1120-B1119)/E$232+M1119</f>
        <v>#N/A</v>
      </c>
      <c r="N1120" s="5" t="n">
        <f aca="false">B1120</f>
        <v>144.039999999999</v>
      </c>
    </row>
    <row r="1121" customFormat="false" ht="12.8" hidden="false" customHeight="false" outlineLevel="0" collapsed="false">
      <c r="A1121" s="5" t="n">
        <v>5.54499999999995</v>
      </c>
      <c r="B1121" s="5" t="n">
        <f aca="false">A1121*VOFLB</f>
        <v>144.169999999999</v>
      </c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 t="e">
        <f aca="false">0.000001*('Design Worksheet'!B$88)*(B1121-B1120)/E$232+M1120</f>
        <v>#N/A</v>
      </c>
      <c r="N1121" s="5" t="n">
        <f aca="false">B1121</f>
        <v>144.169999999999</v>
      </c>
    </row>
    <row r="1122" customFormat="false" ht="12.8" hidden="false" customHeight="false" outlineLevel="0" collapsed="false">
      <c r="A1122" s="5" t="n">
        <v>5.54999999999995</v>
      </c>
      <c r="B1122" s="5" t="n">
        <f aca="false">A1122*VOFLB</f>
        <v>144.299999999999</v>
      </c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 t="e">
        <f aca="false">0.000001*('Design Worksheet'!B$88)*(B1122-B1121)/E$232+M1121</f>
        <v>#N/A</v>
      </c>
      <c r="N1122" s="5" t="n">
        <f aca="false">B1122</f>
        <v>144.299999999999</v>
      </c>
    </row>
    <row r="1123" customFormat="false" ht="12.8" hidden="false" customHeight="false" outlineLevel="0" collapsed="false">
      <c r="A1123" s="5" t="n">
        <v>5.55499999999995</v>
      </c>
      <c r="B1123" s="5" t="n">
        <f aca="false">A1123*VOFLB</f>
        <v>144.429999999999</v>
      </c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 t="e">
        <f aca="false">0.000001*('Design Worksheet'!B$88)*(B1123-B1122)/E$232+M1122</f>
        <v>#N/A</v>
      </c>
      <c r="N1123" s="5" t="n">
        <f aca="false">B1123</f>
        <v>144.429999999999</v>
      </c>
    </row>
    <row r="1124" customFormat="false" ht="12.8" hidden="false" customHeight="false" outlineLevel="0" collapsed="false">
      <c r="A1124" s="5" t="n">
        <v>5.55999999999995</v>
      </c>
      <c r="B1124" s="5" t="n">
        <f aca="false">A1124*VOFLB</f>
        <v>144.559999999999</v>
      </c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 t="e">
        <f aca="false">0.000001*('Design Worksheet'!B$88)*(B1124-B1123)/E$232+M1123</f>
        <v>#N/A</v>
      </c>
      <c r="N1124" s="5" t="n">
        <f aca="false">B1124</f>
        <v>144.559999999999</v>
      </c>
    </row>
    <row r="1125" customFormat="false" ht="12.8" hidden="false" customHeight="false" outlineLevel="0" collapsed="false">
      <c r="A1125" s="5" t="n">
        <v>5.56499999999995</v>
      </c>
      <c r="B1125" s="5" t="n">
        <f aca="false">A1125*VOFLB</f>
        <v>144.689999999999</v>
      </c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 t="e">
        <f aca="false">0.000001*('Design Worksheet'!B$88)*(B1125-B1124)/E$232+M1124</f>
        <v>#N/A</v>
      </c>
      <c r="N1125" s="5" t="n">
        <f aca="false">B1125</f>
        <v>144.689999999999</v>
      </c>
    </row>
    <row r="1126" customFormat="false" ht="12.8" hidden="false" customHeight="false" outlineLevel="0" collapsed="false">
      <c r="A1126" s="5" t="n">
        <v>5.56999999999995</v>
      </c>
      <c r="B1126" s="5" t="n">
        <f aca="false">A1126*VOFLB</f>
        <v>144.819999999999</v>
      </c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 t="e">
        <f aca="false">0.000001*('Design Worksheet'!B$88)*(B1126-B1125)/E$232+M1125</f>
        <v>#N/A</v>
      </c>
      <c r="N1126" s="5" t="n">
        <f aca="false">B1126</f>
        <v>144.819999999999</v>
      </c>
    </row>
    <row r="1127" customFormat="false" ht="12.8" hidden="false" customHeight="false" outlineLevel="0" collapsed="false">
      <c r="A1127" s="5" t="n">
        <v>5.57499999999995</v>
      </c>
      <c r="B1127" s="5" t="n">
        <f aca="false">A1127*VOFLB</f>
        <v>144.949999999999</v>
      </c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 t="e">
        <f aca="false">0.000001*('Design Worksheet'!B$88)*(B1127-B1126)/E$232+M1126</f>
        <v>#N/A</v>
      </c>
      <c r="N1127" s="5" t="n">
        <f aca="false">B1127</f>
        <v>144.949999999999</v>
      </c>
    </row>
    <row r="1128" customFormat="false" ht="12.8" hidden="false" customHeight="false" outlineLevel="0" collapsed="false">
      <c r="A1128" s="5" t="n">
        <v>5.57999999999995</v>
      </c>
      <c r="B1128" s="5" t="n">
        <f aca="false">A1128*VOFLB</f>
        <v>145.079999999999</v>
      </c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 t="e">
        <f aca="false">0.000001*('Design Worksheet'!B$88)*(B1128-B1127)/E$232+M1127</f>
        <v>#N/A</v>
      </c>
      <c r="N1128" s="5" t="n">
        <f aca="false">B1128</f>
        <v>145.079999999999</v>
      </c>
    </row>
    <row r="1129" customFormat="false" ht="12.8" hidden="false" customHeight="false" outlineLevel="0" collapsed="false">
      <c r="A1129" s="5" t="n">
        <v>5.58499999999995</v>
      </c>
      <c r="B1129" s="5" t="n">
        <f aca="false">A1129*VOFLB</f>
        <v>145.209999999999</v>
      </c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 t="e">
        <f aca="false">0.000001*('Design Worksheet'!B$88)*(B1129-B1128)/E$232+M1128</f>
        <v>#N/A</v>
      </c>
      <c r="N1129" s="5" t="n">
        <f aca="false">B1129</f>
        <v>145.209999999999</v>
      </c>
    </row>
    <row r="1130" customFormat="false" ht="12.8" hidden="false" customHeight="false" outlineLevel="0" collapsed="false">
      <c r="A1130" s="5" t="n">
        <v>5.58999999999995</v>
      </c>
      <c r="B1130" s="5" t="n">
        <f aca="false">A1130*VOFLB</f>
        <v>145.339999999999</v>
      </c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 t="e">
        <f aca="false">0.000001*('Design Worksheet'!B$88)*(B1130-B1129)/E$232+M1129</f>
        <v>#N/A</v>
      </c>
      <c r="N1130" s="5" t="n">
        <f aca="false">B1130</f>
        <v>145.339999999999</v>
      </c>
    </row>
    <row r="1131" customFormat="false" ht="12.8" hidden="false" customHeight="false" outlineLevel="0" collapsed="false">
      <c r="A1131" s="5" t="n">
        <v>5.59499999999995</v>
      </c>
      <c r="B1131" s="5" t="n">
        <f aca="false">A1131*VOFLB</f>
        <v>145.469999999999</v>
      </c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 t="e">
        <f aca="false">0.000001*('Design Worksheet'!B$88)*(B1131-B1130)/E$232+M1130</f>
        <v>#N/A</v>
      </c>
      <c r="N1131" s="5" t="n">
        <f aca="false">B1131</f>
        <v>145.469999999999</v>
      </c>
    </row>
    <row r="1132" customFormat="false" ht="12.8" hidden="false" customHeight="false" outlineLevel="0" collapsed="false">
      <c r="A1132" s="5" t="n">
        <v>5.59999999999994</v>
      </c>
      <c r="B1132" s="5" t="n">
        <f aca="false">A1132*VOFLB</f>
        <v>145.599999999998</v>
      </c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 t="e">
        <f aca="false">0.000001*('Design Worksheet'!B$88)*(B1132-B1131)/E$232+M1131</f>
        <v>#N/A</v>
      </c>
      <c r="N1132" s="5" t="n">
        <f aca="false">B1132</f>
        <v>145.599999999998</v>
      </c>
    </row>
    <row r="1133" customFormat="false" ht="12.8" hidden="false" customHeight="false" outlineLevel="0" collapsed="false">
      <c r="A1133" s="5" t="n">
        <v>5.60499999999995</v>
      </c>
      <c r="B1133" s="5" t="n">
        <f aca="false">A1133*VOFLB</f>
        <v>145.729999999999</v>
      </c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 t="e">
        <f aca="false">0.000001*('Design Worksheet'!B$88)*(B1133-B1132)/E$232+M1132</f>
        <v>#N/A</v>
      </c>
      <c r="N1133" s="5" t="n">
        <f aca="false">B1133</f>
        <v>145.729999999999</v>
      </c>
    </row>
    <row r="1134" customFormat="false" ht="12.8" hidden="false" customHeight="false" outlineLevel="0" collapsed="false">
      <c r="A1134" s="5" t="n">
        <v>5.60999999999995</v>
      </c>
      <c r="B1134" s="5" t="n">
        <f aca="false">A1134*VOFLB</f>
        <v>145.859999999999</v>
      </c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 t="e">
        <f aca="false">0.000001*('Design Worksheet'!B$88)*(B1134-B1133)/E$232+M1133</f>
        <v>#N/A</v>
      </c>
      <c r="N1134" s="5" t="n">
        <f aca="false">B1134</f>
        <v>145.859999999999</v>
      </c>
    </row>
    <row r="1135" customFormat="false" ht="12.8" hidden="false" customHeight="false" outlineLevel="0" collapsed="false">
      <c r="A1135" s="5" t="n">
        <v>5.61499999999995</v>
      </c>
      <c r="B1135" s="5" t="n">
        <f aca="false">A1135*VOFLB</f>
        <v>145.989999999999</v>
      </c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 t="e">
        <f aca="false">0.000001*('Design Worksheet'!B$88)*(B1135-B1134)/E$232+M1134</f>
        <v>#N/A</v>
      </c>
      <c r="N1135" s="5" t="n">
        <f aca="false">B1135</f>
        <v>145.989999999999</v>
      </c>
    </row>
    <row r="1136" customFormat="false" ht="12.8" hidden="false" customHeight="false" outlineLevel="0" collapsed="false">
      <c r="A1136" s="5" t="n">
        <v>5.61999999999995</v>
      </c>
      <c r="B1136" s="5" t="n">
        <f aca="false">A1136*VOFLB</f>
        <v>146.119999999999</v>
      </c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 t="e">
        <f aca="false">0.000001*('Design Worksheet'!B$88)*(B1136-B1135)/E$232+M1135</f>
        <v>#N/A</v>
      </c>
      <c r="N1136" s="5" t="n">
        <f aca="false">B1136</f>
        <v>146.119999999999</v>
      </c>
    </row>
    <row r="1137" customFormat="false" ht="12.8" hidden="false" customHeight="false" outlineLevel="0" collapsed="false">
      <c r="A1137" s="5" t="n">
        <v>5.62499999999994</v>
      </c>
      <c r="B1137" s="5" t="n">
        <f aca="false">A1137*VOFLB</f>
        <v>146.249999999998</v>
      </c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 t="e">
        <f aca="false">0.000001*('Design Worksheet'!B$88)*(B1137-B1136)/E$232+M1136</f>
        <v>#N/A</v>
      </c>
      <c r="N1137" s="5" t="n">
        <f aca="false">B1137</f>
        <v>146.249999999998</v>
      </c>
    </row>
    <row r="1138" customFormat="false" ht="12.8" hidden="false" customHeight="false" outlineLevel="0" collapsed="false">
      <c r="A1138" s="5" t="n">
        <v>5.62999999999994</v>
      </c>
      <c r="B1138" s="5" t="n">
        <f aca="false">A1138*VOFLB</f>
        <v>146.379999999998</v>
      </c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 t="e">
        <f aca="false">0.000001*('Design Worksheet'!B$88)*(B1138-B1137)/E$232+M1137</f>
        <v>#N/A</v>
      </c>
      <c r="N1138" s="5" t="n">
        <f aca="false">B1138</f>
        <v>146.379999999998</v>
      </c>
    </row>
    <row r="1139" customFormat="false" ht="12.8" hidden="false" customHeight="false" outlineLevel="0" collapsed="false">
      <c r="A1139" s="5" t="n">
        <v>5.63499999999994</v>
      </c>
      <c r="B1139" s="5" t="n">
        <f aca="false">A1139*VOFLB</f>
        <v>146.509999999998</v>
      </c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 t="e">
        <f aca="false">0.000001*('Design Worksheet'!B$88)*(B1139-B1138)/E$232+M1138</f>
        <v>#N/A</v>
      </c>
      <c r="N1139" s="5" t="n">
        <f aca="false">B1139</f>
        <v>146.509999999998</v>
      </c>
    </row>
    <row r="1140" customFormat="false" ht="12.8" hidden="false" customHeight="false" outlineLevel="0" collapsed="false">
      <c r="A1140" s="5" t="n">
        <v>5.63999999999995</v>
      </c>
      <c r="B1140" s="5" t="n">
        <f aca="false">A1140*VOFLB</f>
        <v>146.639999999999</v>
      </c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 t="e">
        <f aca="false">0.000001*('Design Worksheet'!B$88)*(B1140-B1139)/E$232+M1139</f>
        <v>#N/A</v>
      </c>
      <c r="N1140" s="5" t="n">
        <f aca="false">B1140</f>
        <v>146.639999999999</v>
      </c>
    </row>
    <row r="1141" customFormat="false" ht="12.8" hidden="false" customHeight="false" outlineLevel="0" collapsed="false">
      <c r="A1141" s="5" t="n">
        <v>5.64499999999994</v>
      </c>
      <c r="B1141" s="5" t="n">
        <f aca="false">A1141*VOFLB</f>
        <v>146.769999999998</v>
      </c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 t="e">
        <f aca="false">0.000001*('Design Worksheet'!B$88)*(B1141-B1140)/E$232+M1140</f>
        <v>#N/A</v>
      </c>
      <c r="N1141" s="5" t="n">
        <f aca="false">B1141</f>
        <v>146.769999999998</v>
      </c>
    </row>
    <row r="1142" customFormat="false" ht="12.8" hidden="false" customHeight="false" outlineLevel="0" collapsed="false">
      <c r="A1142" s="5" t="n">
        <v>5.64999999999994</v>
      </c>
      <c r="B1142" s="5" t="n">
        <f aca="false">A1142*VOFLB</f>
        <v>146.899999999998</v>
      </c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 t="e">
        <f aca="false">0.000001*('Design Worksheet'!B$88)*(B1142-B1141)/E$232+M1141</f>
        <v>#N/A</v>
      </c>
      <c r="N1142" s="5" t="n">
        <f aca="false">B1142</f>
        <v>146.899999999998</v>
      </c>
    </row>
    <row r="1143" customFormat="false" ht="12.8" hidden="false" customHeight="false" outlineLevel="0" collapsed="false">
      <c r="A1143" s="5" t="n">
        <v>5.65499999999994</v>
      </c>
      <c r="B1143" s="5" t="n">
        <f aca="false">A1143*VOFLB</f>
        <v>147.029999999998</v>
      </c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 t="e">
        <f aca="false">0.000001*('Design Worksheet'!B$88)*(B1143-B1142)/E$232+M1142</f>
        <v>#N/A</v>
      </c>
      <c r="N1143" s="5" t="n">
        <f aca="false">B1143</f>
        <v>147.029999999998</v>
      </c>
    </row>
    <row r="1144" customFormat="false" ht="12.8" hidden="false" customHeight="false" outlineLevel="0" collapsed="false">
      <c r="A1144" s="5" t="n">
        <v>5.65999999999994</v>
      </c>
      <c r="B1144" s="5" t="n">
        <f aca="false">A1144*VOFLB</f>
        <v>147.159999999998</v>
      </c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 t="e">
        <f aca="false">0.000001*('Design Worksheet'!B$88)*(B1144-B1143)/E$232+M1143</f>
        <v>#N/A</v>
      </c>
      <c r="N1144" s="5" t="n">
        <f aca="false">B1144</f>
        <v>147.159999999998</v>
      </c>
    </row>
    <row r="1145" customFormat="false" ht="12.8" hidden="false" customHeight="false" outlineLevel="0" collapsed="false">
      <c r="A1145" s="5" t="n">
        <v>5.66499999999994</v>
      </c>
      <c r="B1145" s="5" t="n">
        <f aca="false">A1145*VOFLB</f>
        <v>147.289999999998</v>
      </c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 t="e">
        <f aca="false">0.000001*('Design Worksheet'!B$88)*(B1145-B1144)/E$232+M1144</f>
        <v>#N/A</v>
      </c>
      <c r="N1145" s="5" t="n">
        <f aca="false">B1145</f>
        <v>147.289999999998</v>
      </c>
    </row>
    <row r="1146" customFormat="false" ht="12.8" hidden="false" customHeight="false" outlineLevel="0" collapsed="false">
      <c r="A1146" s="5" t="n">
        <v>5.66999999999994</v>
      </c>
      <c r="B1146" s="5" t="n">
        <f aca="false">A1146*VOFLB</f>
        <v>147.419999999998</v>
      </c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 t="e">
        <f aca="false">0.000001*('Design Worksheet'!B$88)*(B1146-B1145)/E$232+M1145</f>
        <v>#N/A</v>
      </c>
      <c r="N1146" s="5" t="n">
        <f aca="false">B1146</f>
        <v>147.419999999998</v>
      </c>
    </row>
    <row r="1147" customFormat="false" ht="12.8" hidden="false" customHeight="false" outlineLevel="0" collapsed="false">
      <c r="A1147" s="5" t="n">
        <v>5.67499999999994</v>
      </c>
      <c r="B1147" s="5" t="n">
        <f aca="false">A1147*VOFLB</f>
        <v>147.549999999998</v>
      </c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 t="e">
        <f aca="false">0.000001*('Design Worksheet'!B$88)*(B1147-B1146)/E$232+M1146</f>
        <v>#N/A</v>
      </c>
      <c r="N1147" s="5" t="n">
        <f aca="false">B1147</f>
        <v>147.549999999998</v>
      </c>
    </row>
    <row r="1148" customFormat="false" ht="12.8" hidden="false" customHeight="false" outlineLevel="0" collapsed="false">
      <c r="A1148" s="5" t="n">
        <v>5.67999999999994</v>
      </c>
      <c r="B1148" s="5" t="n">
        <f aca="false">A1148*VOFLB</f>
        <v>147.679999999998</v>
      </c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 t="e">
        <f aca="false">0.000001*('Design Worksheet'!B$88)*(B1148-B1147)/E$232+M1147</f>
        <v>#N/A</v>
      </c>
      <c r="N1148" s="5" t="n">
        <f aca="false">B1148</f>
        <v>147.679999999998</v>
      </c>
    </row>
    <row r="1149" customFormat="false" ht="12.8" hidden="false" customHeight="false" outlineLevel="0" collapsed="false">
      <c r="A1149" s="5" t="n">
        <v>5.68499999999994</v>
      </c>
      <c r="B1149" s="5" t="n">
        <f aca="false">A1149*VOFLB</f>
        <v>147.809999999998</v>
      </c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 t="e">
        <f aca="false">0.000001*('Design Worksheet'!B$88)*(B1149-B1148)/E$232+M1148</f>
        <v>#N/A</v>
      </c>
      <c r="N1149" s="5" t="n">
        <f aca="false">B1149</f>
        <v>147.809999999998</v>
      </c>
    </row>
    <row r="1150" customFormat="false" ht="12.8" hidden="false" customHeight="false" outlineLevel="0" collapsed="false">
      <c r="A1150" s="5" t="n">
        <v>5.68999999999994</v>
      </c>
      <c r="B1150" s="5" t="n">
        <f aca="false">A1150*VOFLB</f>
        <v>147.939999999998</v>
      </c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 t="e">
        <f aca="false">0.000001*('Design Worksheet'!B$88)*(B1150-B1149)/E$232+M1149</f>
        <v>#N/A</v>
      </c>
      <c r="N1150" s="5" t="n">
        <f aca="false">B1150</f>
        <v>147.939999999998</v>
      </c>
    </row>
    <row r="1151" customFormat="false" ht="12.8" hidden="false" customHeight="false" outlineLevel="0" collapsed="false">
      <c r="A1151" s="5" t="n">
        <v>5.69499999999994</v>
      </c>
      <c r="B1151" s="5" t="n">
        <f aca="false">A1151*VOFLB</f>
        <v>148.069999999998</v>
      </c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 t="e">
        <f aca="false">0.000001*('Design Worksheet'!B$88)*(B1151-B1150)/E$232+M1150</f>
        <v>#N/A</v>
      </c>
      <c r="N1151" s="5" t="n">
        <f aca="false">B1151</f>
        <v>148.069999999998</v>
      </c>
    </row>
    <row r="1152" customFormat="false" ht="12.8" hidden="false" customHeight="false" outlineLevel="0" collapsed="false">
      <c r="A1152" s="5" t="n">
        <v>5.69999999999994</v>
      </c>
      <c r="B1152" s="5" t="n">
        <f aca="false">A1152*VOFLB</f>
        <v>148.199999999998</v>
      </c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 t="e">
        <f aca="false">0.000001*('Design Worksheet'!B$88)*(B1152-B1151)/E$232+M1151</f>
        <v>#N/A</v>
      </c>
      <c r="N1152" s="5" t="n">
        <f aca="false">B1152</f>
        <v>148.199999999998</v>
      </c>
    </row>
    <row r="1153" customFormat="false" ht="12.8" hidden="false" customHeight="false" outlineLevel="0" collapsed="false">
      <c r="A1153" s="5" t="n">
        <v>5.70499999999994</v>
      </c>
      <c r="B1153" s="5" t="n">
        <f aca="false">A1153*VOFLB</f>
        <v>148.329999999998</v>
      </c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 t="e">
        <f aca="false">0.000001*('Design Worksheet'!B$88)*(B1153-B1152)/E$232+M1152</f>
        <v>#N/A</v>
      </c>
      <c r="N1153" s="5" t="n">
        <f aca="false">B1153</f>
        <v>148.329999999998</v>
      </c>
    </row>
    <row r="1154" customFormat="false" ht="12.8" hidden="false" customHeight="false" outlineLevel="0" collapsed="false">
      <c r="A1154" s="5" t="n">
        <v>5.70999999999994</v>
      </c>
      <c r="B1154" s="5" t="n">
        <f aca="false">A1154*VOFLB</f>
        <v>148.459999999998</v>
      </c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 t="e">
        <f aca="false">0.000001*('Design Worksheet'!B$88)*(B1154-B1153)/E$232+M1153</f>
        <v>#N/A</v>
      </c>
      <c r="N1154" s="5" t="n">
        <f aca="false">B1154</f>
        <v>148.459999999998</v>
      </c>
    </row>
    <row r="1155" customFormat="false" ht="12.8" hidden="false" customHeight="false" outlineLevel="0" collapsed="false">
      <c r="A1155" s="5" t="n">
        <v>5.71499999999994</v>
      </c>
      <c r="B1155" s="5" t="n">
        <f aca="false">A1155*VOFLB</f>
        <v>148.589999999998</v>
      </c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 t="e">
        <f aca="false">0.000001*('Design Worksheet'!B$88)*(B1155-B1154)/E$232+M1154</f>
        <v>#N/A</v>
      </c>
      <c r="N1155" s="5" t="n">
        <f aca="false">B1155</f>
        <v>148.589999999998</v>
      </c>
    </row>
    <row r="1156" customFormat="false" ht="12.8" hidden="false" customHeight="false" outlineLevel="0" collapsed="false">
      <c r="A1156" s="5" t="n">
        <v>5.71999999999994</v>
      </c>
      <c r="B1156" s="5" t="n">
        <f aca="false">A1156*VOFLB</f>
        <v>148.719999999998</v>
      </c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 t="e">
        <f aca="false">0.000001*('Design Worksheet'!B$88)*(B1156-B1155)/E$232+M1155</f>
        <v>#N/A</v>
      </c>
      <c r="N1156" s="5" t="n">
        <f aca="false">B1156</f>
        <v>148.719999999998</v>
      </c>
    </row>
    <row r="1157" customFormat="false" ht="12.8" hidden="false" customHeight="false" outlineLevel="0" collapsed="false">
      <c r="A1157" s="5" t="n">
        <v>5.72499999999994</v>
      </c>
      <c r="B1157" s="5" t="n">
        <f aca="false">A1157*VOFLB</f>
        <v>148.849999999998</v>
      </c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 t="e">
        <f aca="false">0.000001*('Design Worksheet'!B$88)*(B1157-B1156)/E$232+M1156</f>
        <v>#N/A</v>
      </c>
      <c r="N1157" s="5" t="n">
        <f aca="false">B1157</f>
        <v>148.849999999998</v>
      </c>
    </row>
    <row r="1158" customFormat="false" ht="12.8" hidden="false" customHeight="false" outlineLevel="0" collapsed="false">
      <c r="A1158" s="5" t="n">
        <v>5.72999999999994</v>
      </c>
      <c r="B1158" s="5" t="n">
        <f aca="false">A1158*VOFLB</f>
        <v>148.979999999998</v>
      </c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 t="e">
        <f aca="false">0.000001*('Design Worksheet'!B$88)*(B1158-B1157)/E$232+M1157</f>
        <v>#N/A</v>
      </c>
      <c r="N1158" s="5" t="n">
        <f aca="false">B1158</f>
        <v>148.979999999998</v>
      </c>
    </row>
    <row r="1159" customFormat="false" ht="12.8" hidden="false" customHeight="false" outlineLevel="0" collapsed="false">
      <c r="A1159" s="5" t="n">
        <v>5.73499999999994</v>
      </c>
      <c r="B1159" s="5" t="n">
        <f aca="false">A1159*VOFLB</f>
        <v>149.109999999998</v>
      </c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 t="e">
        <f aca="false">0.000001*('Design Worksheet'!B$88)*(B1159-B1158)/E$232+M1158</f>
        <v>#N/A</v>
      </c>
      <c r="N1159" s="5" t="n">
        <f aca="false">B1159</f>
        <v>149.109999999998</v>
      </c>
    </row>
    <row r="1160" customFormat="false" ht="12.8" hidden="false" customHeight="false" outlineLevel="0" collapsed="false">
      <c r="A1160" s="5" t="n">
        <v>5.73999999999994</v>
      </c>
      <c r="B1160" s="5" t="n">
        <f aca="false">A1160*VOFLB</f>
        <v>149.239999999998</v>
      </c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 t="e">
        <f aca="false">0.000001*('Design Worksheet'!B$88)*(B1160-B1159)/E$232+M1159</f>
        <v>#N/A</v>
      </c>
      <c r="N1160" s="5" t="n">
        <f aca="false">B1160</f>
        <v>149.239999999998</v>
      </c>
    </row>
    <row r="1161" customFormat="false" ht="12.8" hidden="false" customHeight="false" outlineLevel="0" collapsed="false">
      <c r="A1161" s="5" t="n">
        <v>5.74499999999994</v>
      </c>
      <c r="B1161" s="5" t="n">
        <f aca="false">A1161*VOFLB</f>
        <v>149.369999999998</v>
      </c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 t="e">
        <f aca="false">0.000001*('Design Worksheet'!B$88)*(B1161-B1160)/E$232+M1160</f>
        <v>#N/A</v>
      </c>
      <c r="N1161" s="5" t="n">
        <f aca="false">B1161</f>
        <v>149.369999999998</v>
      </c>
    </row>
    <row r="1162" customFormat="false" ht="12.8" hidden="false" customHeight="false" outlineLevel="0" collapsed="false">
      <c r="A1162" s="5" t="n">
        <v>5.74999999999994</v>
      </c>
      <c r="B1162" s="5" t="n">
        <f aca="false">A1162*VOFLB</f>
        <v>149.499999999998</v>
      </c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 t="e">
        <f aca="false">0.000001*('Design Worksheet'!B$88)*(B1162-B1161)/E$232+M1161</f>
        <v>#N/A</v>
      </c>
      <c r="N1162" s="5" t="n">
        <f aca="false">B1162</f>
        <v>149.499999999998</v>
      </c>
    </row>
    <row r="1163" customFormat="false" ht="12.8" hidden="false" customHeight="false" outlineLevel="0" collapsed="false">
      <c r="A1163" s="5" t="n">
        <v>5.75499999999994</v>
      </c>
      <c r="B1163" s="5" t="n">
        <f aca="false">A1163*VOFLB</f>
        <v>149.629999999998</v>
      </c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 t="e">
        <f aca="false">0.000001*('Design Worksheet'!B$88)*(B1163-B1162)/E$232+M1162</f>
        <v>#N/A</v>
      </c>
      <c r="N1163" s="5" t="n">
        <f aca="false">B1163</f>
        <v>149.629999999998</v>
      </c>
    </row>
    <row r="1164" customFormat="false" ht="12.8" hidden="false" customHeight="false" outlineLevel="0" collapsed="false">
      <c r="A1164" s="5" t="n">
        <v>5.75999999999994</v>
      </c>
      <c r="B1164" s="5" t="n">
        <f aca="false">A1164*VOFLB</f>
        <v>149.759999999998</v>
      </c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 t="e">
        <f aca="false">0.000001*('Design Worksheet'!B$88)*(B1164-B1163)/E$232+M1163</f>
        <v>#N/A</v>
      </c>
      <c r="N1164" s="5" t="n">
        <f aca="false">B1164</f>
        <v>149.759999999998</v>
      </c>
    </row>
    <row r="1165" customFormat="false" ht="12.8" hidden="false" customHeight="false" outlineLevel="0" collapsed="false">
      <c r="A1165" s="5" t="n">
        <v>5.76499999999994</v>
      </c>
      <c r="B1165" s="5" t="n">
        <f aca="false">A1165*VOFLB</f>
        <v>149.889999999998</v>
      </c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 t="e">
        <f aca="false">0.000001*('Design Worksheet'!B$88)*(B1165-B1164)/E$232+M1164</f>
        <v>#N/A</v>
      </c>
      <c r="N1165" s="5" t="n">
        <f aca="false">B1165</f>
        <v>149.889999999998</v>
      </c>
    </row>
    <row r="1166" customFormat="false" ht="12.8" hidden="false" customHeight="false" outlineLevel="0" collapsed="false">
      <c r="A1166" s="5" t="n">
        <v>5.76999999999994</v>
      </c>
      <c r="B1166" s="5" t="n">
        <f aca="false">A1166*VOFLB</f>
        <v>150.019999999998</v>
      </c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 t="e">
        <f aca="false">0.000001*('Design Worksheet'!B$88)*(B1166-B1165)/E$232+M1165</f>
        <v>#N/A</v>
      </c>
      <c r="N1166" s="5" t="n">
        <f aca="false">B1166</f>
        <v>150.019999999998</v>
      </c>
    </row>
    <row r="1167" customFormat="false" ht="12.8" hidden="false" customHeight="false" outlineLevel="0" collapsed="false">
      <c r="A1167" s="5" t="n">
        <v>5.77499999999994</v>
      </c>
      <c r="B1167" s="5" t="n">
        <f aca="false">A1167*VOFLB</f>
        <v>150.149999999998</v>
      </c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 t="e">
        <f aca="false">0.000001*('Design Worksheet'!B$88)*(B1167-B1166)/E$232+M1166</f>
        <v>#N/A</v>
      </c>
      <c r="N1167" s="5" t="n">
        <f aca="false">B1167</f>
        <v>150.149999999998</v>
      </c>
    </row>
    <row r="1168" customFormat="false" ht="12.8" hidden="false" customHeight="false" outlineLevel="0" collapsed="false">
      <c r="A1168" s="5" t="n">
        <v>5.77999999999994</v>
      </c>
      <c r="B1168" s="5" t="n">
        <f aca="false">A1168*VOFLB</f>
        <v>150.279999999998</v>
      </c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 t="e">
        <f aca="false">0.000001*('Design Worksheet'!B$88)*(B1168-B1167)/E$232+M1167</f>
        <v>#N/A</v>
      </c>
      <c r="N1168" s="5" t="n">
        <f aca="false">B1168</f>
        <v>150.279999999998</v>
      </c>
    </row>
    <row r="1169" customFormat="false" ht="12.8" hidden="false" customHeight="false" outlineLevel="0" collapsed="false">
      <c r="A1169" s="5" t="n">
        <v>5.78499999999994</v>
      </c>
      <c r="B1169" s="5" t="n">
        <f aca="false">A1169*VOFLB</f>
        <v>150.409999999998</v>
      </c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 t="e">
        <f aca="false">0.000001*('Design Worksheet'!B$88)*(B1169-B1168)/E$232+M1168</f>
        <v>#N/A</v>
      </c>
      <c r="N1169" s="5" t="n">
        <f aca="false">B1169</f>
        <v>150.409999999998</v>
      </c>
    </row>
    <row r="1170" customFormat="false" ht="12.8" hidden="false" customHeight="false" outlineLevel="0" collapsed="false">
      <c r="A1170" s="5" t="n">
        <v>5.78999999999994</v>
      </c>
      <c r="B1170" s="5" t="n">
        <f aca="false">A1170*VOFLB</f>
        <v>150.539999999998</v>
      </c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 t="e">
        <f aca="false">0.000001*('Design Worksheet'!B$88)*(B1170-B1169)/E$232+M1169</f>
        <v>#N/A</v>
      </c>
      <c r="N1170" s="5" t="n">
        <f aca="false">B1170</f>
        <v>150.539999999998</v>
      </c>
    </row>
    <row r="1171" customFormat="false" ht="12.8" hidden="false" customHeight="false" outlineLevel="0" collapsed="false">
      <c r="A1171" s="5" t="n">
        <v>5.79499999999994</v>
      </c>
      <c r="B1171" s="5" t="n">
        <f aca="false">A1171*VOFLB</f>
        <v>150.669999999998</v>
      </c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 t="e">
        <f aca="false">0.000001*('Design Worksheet'!B$88)*(B1171-B1170)/E$232+M1170</f>
        <v>#N/A</v>
      </c>
      <c r="N1171" s="5" t="n">
        <f aca="false">B1171</f>
        <v>150.669999999998</v>
      </c>
    </row>
    <row r="1172" customFormat="false" ht="12.8" hidden="false" customHeight="false" outlineLevel="0" collapsed="false">
      <c r="A1172" s="5" t="n">
        <v>5.79999999999994</v>
      </c>
      <c r="B1172" s="5" t="n">
        <f aca="false">A1172*VOFLB</f>
        <v>150.799999999998</v>
      </c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 t="e">
        <f aca="false">0.000001*('Design Worksheet'!B$88)*(B1172-B1171)/E$232+M1171</f>
        <v>#N/A</v>
      </c>
      <c r="N1172" s="5" t="n">
        <f aca="false">B1172</f>
        <v>150.799999999998</v>
      </c>
    </row>
    <row r="1173" customFormat="false" ht="12.8" hidden="false" customHeight="false" outlineLevel="0" collapsed="false">
      <c r="A1173" s="5" t="n">
        <v>5.80499999999994</v>
      </c>
      <c r="B1173" s="5" t="n">
        <f aca="false">A1173*VOFLB</f>
        <v>150.929999999998</v>
      </c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 t="e">
        <f aca="false">0.000001*('Design Worksheet'!B$88)*(B1173-B1172)/E$232+M1172</f>
        <v>#N/A</v>
      </c>
      <c r="N1173" s="5" t="n">
        <f aca="false">B1173</f>
        <v>150.929999999998</v>
      </c>
    </row>
    <row r="1174" customFormat="false" ht="12.8" hidden="false" customHeight="false" outlineLevel="0" collapsed="false">
      <c r="A1174" s="5" t="n">
        <v>5.80999999999994</v>
      </c>
      <c r="B1174" s="5" t="n">
        <f aca="false">A1174*VOFLB</f>
        <v>151.059999999998</v>
      </c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 t="e">
        <f aca="false">0.000001*('Design Worksheet'!B$88)*(B1174-B1173)/E$232+M1173</f>
        <v>#N/A</v>
      </c>
      <c r="N1174" s="5" t="n">
        <f aca="false">B1174</f>
        <v>151.059999999998</v>
      </c>
    </row>
    <row r="1175" customFormat="false" ht="12.8" hidden="false" customHeight="false" outlineLevel="0" collapsed="false">
      <c r="A1175" s="5" t="n">
        <v>5.81499999999994</v>
      </c>
      <c r="B1175" s="5" t="n">
        <f aca="false">A1175*VOFLB</f>
        <v>151.189999999998</v>
      </c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 t="e">
        <f aca="false">0.000001*('Design Worksheet'!B$88)*(B1175-B1174)/E$232+M1174</f>
        <v>#N/A</v>
      </c>
      <c r="N1175" s="5" t="n">
        <f aca="false">B1175</f>
        <v>151.189999999998</v>
      </c>
    </row>
    <row r="1176" customFormat="false" ht="12.8" hidden="false" customHeight="false" outlineLevel="0" collapsed="false">
      <c r="A1176" s="5" t="n">
        <v>5.81999999999994</v>
      </c>
      <c r="B1176" s="5" t="n">
        <f aca="false">A1176*VOFLB</f>
        <v>151.319999999998</v>
      </c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 t="e">
        <f aca="false">0.000001*('Design Worksheet'!B$88)*(B1176-B1175)/E$232+M1175</f>
        <v>#N/A</v>
      </c>
      <c r="N1176" s="5" t="n">
        <f aca="false">B1176</f>
        <v>151.319999999998</v>
      </c>
    </row>
    <row r="1177" customFormat="false" ht="12.8" hidden="false" customHeight="false" outlineLevel="0" collapsed="false">
      <c r="A1177" s="5" t="n">
        <v>5.82499999999994</v>
      </c>
      <c r="B1177" s="5" t="n">
        <f aca="false">A1177*VOFLB</f>
        <v>151.449999999998</v>
      </c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 t="e">
        <f aca="false">0.000001*('Design Worksheet'!B$88)*(B1177-B1176)/E$232+M1176</f>
        <v>#N/A</v>
      </c>
      <c r="N1177" s="5" t="n">
        <f aca="false">B1177</f>
        <v>151.449999999998</v>
      </c>
    </row>
    <row r="1178" customFormat="false" ht="12.8" hidden="false" customHeight="false" outlineLevel="0" collapsed="false">
      <c r="A1178" s="5" t="n">
        <v>5.82999999999994</v>
      </c>
      <c r="B1178" s="5" t="n">
        <f aca="false">A1178*VOFLB</f>
        <v>151.579999999998</v>
      </c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 t="e">
        <f aca="false">0.000001*('Design Worksheet'!B$88)*(B1178-B1177)/E$232+M1177</f>
        <v>#N/A</v>
      </c>
      <c r="N1178" s="5" t="n">
        <f aca="false">B1178</f>
        <v>151.579999999998</v>
      </c>
    </row>
    <row r="1179" customFormat="false" ht="12.8" hidden="false" customHeight="false" outlineLevel="0" collapsed="false">
      <c r="A1179" s="5" t="n">
        <v>5.83499999999994</v>
      </c>
      <c r="B1179" s="5" t="n">
        <f aca="false">A1179*VOFLB</f>
        <v>151.709999999998</v>
      </c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 t="e">
        <f aca="false">0.000001*('Design Worksheet'!B$88)*(B1179-B1178)/E$232+M1178</f>
        <v>#N/A</v>
      </c>
      <c r="N1179" s="5" t="n">
        <f aca="false">B1179</f>
        <v>151.709999999998</v>
      </c>
    </row>
    <row r="1180" customFormat="false" ht="12.8" hidden="false" customHeight="false" outlineLevel="0" collapsed="false">
      <c r="A1180" s="5" t="n">
        <v>5.83999999999994</v>
      </c>
      <c r="B1180" s="5" t="n">
        <f aca="false">A1180*VOFLB</f>
        <v>151.839999999998</v>
      </c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 t="e">
        <f aca="false">0.000001*('Design Worksheet'!B$88)*(B1180-B1179)/E$232+M1179</f>
        <v>#N/A</v>
      </c>
      <c r="N1180" s="5" t="n">
        <f aca="false">B1180</f>
        <v>151.839999999998</v>
      </c>
    </row>
    <row r="1181" customFormat="false" ht="12.8" hidden="false" customHeight="false" outlineLevel="0" collapsed="false">
      <c r="A1181" s="5" t="n">
        <v>5.84499999999994</v>
      </c>
      <c r="B1181" s="5" t="n">
        <f aca="false">A1181*VOFLB</f>
        <v>151.969999999998</v>
      </c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 t="e">
        <f aca="false">0.000001*('Design Worksheet'!B$88)*(B1181-B1180)/E$232+M1180</f>
        <v>#N/A</v>
      </c>
      <c r="N1181" s="5" t="n">
        <f aca="false">B1181</f>
        <v>151.969999999998</v>
      </c>
    </row>
    <row r="1182" customFormat="false" ht="12.8" hidden="false" customHeight="false" outlineLevel="0" collapsed="false">
      <c r="A1182" s="5" t="n">
        <v>5.84999999999994</v>
      </c>
      <c r="B1182" s="5" t="n">
        <f aca="false">A1182*VOFLB</f>
        <v>152.099999999998</v>
      </c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 t="e">
        <f aca="false">0.000001*('Design Worksheet'!B$88)*(B1182-B1181)/E$232+M1181</f>
        <v>#N/A</v>
      </c>
      <c r="N1182" s="5" t="n">
        <f aca="false">B1182</f>
        <v>152.099999999998</v>
      </c>
    </row>
    <row r="1183" customFormat="false" ht="12.8" hidden="false" customHeight="false" outlineLevel="0" collapsed="false">
      <c r="A1183" s="5" t="n">
        <v>5.85499999999994</v>
      </c>
      <c r="B1183" s="5" t="n">
        <f aca="false">A1183*VOFLB</f>
        <v>152.229999999998</v>
      </c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 t="e">
        <f aca="false">0.000001*('Design Worksheet'!B$88)*(B1183-B1182)/E$232+M1182</f>
        <v>#N/A</v>
      </c>
      <c r="N1183" s="5" t="n">
        <f aca="false">B1183</f>
        <v>152.229999999998</v>
      </c>
    </row>
    <row r="1184" customFormat="false" ht="12.8" hidden="false" customHeight="false" outlineLevel="0" collapsed="false">
      <c r="A1184" s="5" t="n">
        <v>5.85999999999994</v>
      </c>
      <c r="B1184" s="5" t="n">
        <f aca="false">A1184*VOFLB</f>
        <v>152.359999999998</v>
      </c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 t="e">
        <f aca="false">0.000001*('Design Worksheet'!B$88)*(B1184-B1183)/E$232+M1183</f>
        <v>#N/A</v>
      </c>
      <c r="N1184" s="5" t="n">
        <f aca="false">B1184</f>
        <v>152.359999999998</v>
      </c>
    </row>
    <row r="1185" customFormat="false" ht="12.8" hidden="false" customHeight="false" outlineLevel="0" collapsed="false">
      <c r="A1185" s="5" t="n">
        <v>5.86499999999994</v>
      </c>
      <c r="B1185" s="5" t="n">
        <f aca="false">A1185*VOFLB</f>
        <v>152.489999999998</v>
      </c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 t="e">
        <f aca="false">0.000001*('Design Worksheet'!B$88)*(B1185-B1184)/E$232+M1184</f>
        <v>#N/A</v>
      </c>
      <c r="N1185" s="5" t="n">
        <f aca="false">B1185</f>
        <v>152.489999999998</v>
      </c>
    </row>
    <row r="1186" customFormat="false" ht="12.8" hidden="false" customHeight="false" outlineLevel="0" collapsed="false">
      <c r="A1186" s="5" t="n">
        <v>5.86999999999994</v>
      </c>
      <c r="B1186" s="5" t="n">
        <f aca="false">A1186*VOFLB</f>
        <v>152.619999999998</v>
      </c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 t="e">
        <f aca="false">0.000001*('Design Worksheet'!B$88)*(B1186-B1185)/E$232+M1185</f>
        <v>#N/A</v>
      </c>
      <c r="N1186" s="5" t="n">
        <f aca="false">B1186</f>
        <v>152.619999999998</v>
      </c>
    </row>
    <row r="1187" customFormat="false" ht="12.8" hidden="false" customHeight="false" outlineLevel="0" collapsed="false">
      <c r="A1187" s="5" t="n">
        <v>5.87499999999994</v>
      </c>
      <c r="B1187" s="5" t="n">
        <f aca="false">A1187*VOFLB</f>
        <v>152.749999999998</v>
      </c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 t="e">
        <f aca="false">0.000001*('Design Worksheet'!B$88)*(B1187-B1186)/E$232+M1186</f>
        <v>#N/A</v>
      </c>
      <c r="N1187" s="5" t="n">
        <f aca="false">B1187</f>
        <v>152.749999999998</v>
      </c>
    </row>
    <row r="1188" customFormat="false" ht="12.8" hidden="false" customHeight="false" outlineLevel="0" collapsed="false">
      <c r="A1188" s="5" t="n">
        <v>5.87999999999994</v>
      </c>
      <c r="B1188" s="5" t="n">
        <f aca="false">A1188*VOFLB</f>
        <v>152.879999999998</v>
      </c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 t="e">
        <f aca="false">0.000001*('Design Worksheet'!B$88)*(B1188-B1187)/E$232+M1187</f>
        <v>#N/A</v>
      </c>
      <c r="N1188" s="5" t="n">
        <f aca="false">B1188</f>
        <v>152.879999999998</v>
      </c>
    </row>
    <row r="1189" customFormat="false" ht="12.8" hidden="false" customHeight="false" outlineLevel="0" collapsed="false">
      <c r="A1189" s="5" t="n">
        <v>5.88499999999994</v>
      </c>
      <c r="B1189" s="5" t="n">
        <f aca="false">A1189*VOFLB</f>
        <v>153.009999999998</v>
      </c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 t="e">
        <f aca="false">0.000001*('Design Worksheet'!B$88)*(B1189-B1188)/E$232+M1188</f>
        <v>#N/A</v>
      </c>
      <c r="N1189" s="5" t="n">
        <f aca="false">B1189</f>
        <v>153.009999999998</v>
      </c>
    </row>
    <row r="1190" customFormat="false" ht="12.8" hidden="false" customHeight="false" outlineLevel="0" collapsed="false">
      <c r="A1190" s="5" t="n">
        <v>5.88999999999994</v>
      </c>
      <c r="B1190" s="5" t="n">
        <f aca="false">A1190*VOFLB</f>
        <v>153.139999999998</v>
      </c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 t="e">
        <f aca="false">0.000001*('Design Worksheet'!B$88)*(B1190-B1189)/E$232+M1189</f>
        <v>#N/A</v>
      </c>
      <c r="N1190" s="5" t="n">
        <f aca="false">B1190</f>
        <v>153.139999999998</v>
      </c>
    </row>
    <row r="1191" customFormat="false" ht="12.8" hidden="false" customHeight="false" outlineLevel="0" collapsed="false">
      <c r="A1191" s="5" t="n">
        <v>5.89499999999994</v>
      </c>
      <c r="B1191" s="5" t="n">
        <f aca="false">A1191*VOFLB</f>
        <v>153.269999999998</v>
      </c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 t="e">
        <f aca="false">0.000001*('Design Worksheet'!B$88)*(B1191-B1190)/E$232+M1190</f>
        <v>#N/A</v>
      </c>
      <c r="N1191" s="5" t="n">
        <f aca="false">B1191</f>
        <v>153.269999999998</v>
      </c>
    </row>
    <row r="1192" customFormat="false" ht="12.8" hidden="false" customHeight="false" outlineLevel="0" collapsed="false">
      <c r="A1192" s="5" t="n">
        <v>5.89999999999994</v>
      </c>
      <c r="B1192" s="5" t="n">
        <f aca="false">A1192*VOFLB</f>
        <v>153.399999999998</v>
      </c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 t="e">
        <f aca="false">0.000001*('Design Worksheet'!B$88)*(B1192-B1191)/E$232+M1191</f>
        <v>#N/A</v>
      </c>
      <c r="N1192" s="5" t="n">
        <f aca="false">B1192</f>
        <v>153.399999999998</v>
      </c>
    </row>
    <row r="1193" customFormat="false" ht="12.8" hidden="false" customHeight="false" outlineLevel="0" collapsed="false">
      <c r="A1193" s="5" t="n">
        <v>5.90499999999994</v>
      </c>
      <c r="B1193" s="5" t="n">
        <f aca="false">A1193*VOFLB</f>
        <v>153.529999999998</v>
      </c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 t="e">
        <f aca="false">0.000001*('Design Worksheet'!B$88)*(B1193-B1192)/E$232+M1192</f>
        <v>#N/A</v>
      </c>
      <c r="N1193" s="5" t="n">
        <f aca="false">B1193</f>
        <v>153.529999999998</v>
      </c>
    </row>
    <row r="1194" customFormat="false" ht="12.8" hidden="false" customHeight="false" outlineLevel="0" collapsed="false">
      <c r="A1194" s="5" t="n">
        <v>5.90999999999994</v>
      </c>
      <c r="B1194" s="5" t="n">
        <f aca="false">A1194*VOFLB</f>
        <v>153.659999999998</v>
      </c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 t="e">
        <f aca="false">0.000001*('Design Worksheet'!B$88)*(B1194-B1193)/E$232+M1193</f>
        <v>#N/A</v>
      </c>
      <c r="N1194" s="5" t="n">
        <f aca="false">B1194</f>
        <v>153.659999999998</v>
      </c>
    </row>
    <row r="1195" customFormat="false" ht="12.8" hidden="false" customHeight="false" outlineLevel="0" collapsed="false">
      <c r="A1195" s="5" t="n">
        <v>5.91499999999994</v>
      </c>
      <c r="B1195" s="5" t="n">
        <f aca="false">A1195*VOFLB</f>
        <v>153.789999999998</v>
      </c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 t="e">
        <f aca="false">0.000001*('Design Worksheet'!B$88)*(B1195-B1194)/E$232+M1194</f>
        <v>#N/A</v>
      </c>
      <c r="N1195" s="5" t="n">
        <f aca="false">B1195</f>
        <v>153.789999999998</v>
      </c>
    </row>
    <row r="1196" customFormat="false" ht="12.8" hidden="false" customHeight="false" outlineLevel="0" collapsed="false">
      <c r="A1196" s="5" t="n">
        <v>5.91999999999994</v>
      </c>
      <c r="B1196" s="5" t="n">
        <f aca="false">A1196*VOFLB</f>
        <v>153.919999999998</v>
      </c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 t="e">
        <f aca="false">0.000001*('Design Worksheet'!B$88)*(B1196-B1195)/E$232+M1195</f>
        <v>#N/A</v>
      </c>
      <c r="N1196" s="5" t="n">
        <f aca="false">B1196</f>
        <v>153.919999999998</v>
      </c>
    </row>
    <row r="1197" customFormat="false" ht="12.8" hidden="false" customHeight="false" outlineLevel="0" collapsed="false">
      <c r="A1197" s="5" t="n">
        <v>5.92499999999994</v>
      </c>
      <c r="B1197" s="5" t="n">
        <f aca="false">A1197*VOFLB</f>
        <v>154.049999999998</v>
      </c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 t="e">
        <f aca="false">0.000001*('Design Worksheet'!B$88)*(B1197-B1196)/E$232+M1196</f>
        <v>#N/A</v>
      </c>
      <c r="N1197" s="5" t="n">
        <f aca="false">B1197</f>
        <v>154.049999999998</v>
      </c>
    </row>
    <row r="1198" customFormat="false" ht="12.8" hidden="false" customHeight="false" outlineLevel="0" collapsed="false">
      <c r="A1198" s="5" t="n">
        <v>5.92999999999994</v>
      </c>
      <c r="B1198" s="5" t="n">
        <f aca="false">A1198*VOFLB</f>
        <v>154.179999999998</v>
      </c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 t="e">
        <f aca="false">0.000001*('Design Worksheet'!B$88)*(B1198-B1197)/E$232+M1197</f>
        <v>#N/A</v>
      </c>
      <c r="N1198" s="5" t="n">
        <f aca="false">B1198</f>
        <v>154.179999999998</v>
      </c>
    </row>
    <row r="1199" customFormat="false" ht="12.8" hidden="false" customHeight="false" outlineLevel="0" collapsed="false">
      <c r="A1199" s="5" t="n">
        <v>5.93499999999994</v>
      </c>
      <c r="B1199" s="5" t="n">
        <f aca="false">A1199*VOFLB</f>
        <v>154.309999999998</v>
      </c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 t="e">
        <f aca="false">0.000001*('Design Worksheet'!B$88)*(B1199-B1198)/E$232+M1198</f>
        <v>#N/A</v>
      </c>
      <c r="N1199" s="5" t="n">
        <f aca="false">B1199</f>
        <v>154.309999999998</v>
      </c>
    </row>
    <row r="1200" customFormat="false" ht="12.8" hidden="false" customHeight="false" outlineLevel="0" collapsed="false">
      <c r="A1200" s="5" t="n">
        <v>5.93999999999994</v>
      </c>
      <c r="B1200" s="5" t="n">
        <f aca="false">A1200*VOFLB</f>
        <v>154.439999999998</v>
      </c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 t="e">
        <f aca="false">0.000001*('Design Worksheet'!B$88)*(B1200-B1199)/E$232+M1199</f>
        <v>#N/A</v>
      </c>
      <c r="N1200" s="5" t="n">
        <f aca="false">B1200</f>
        <v>154.439999999998</v>
      </c>
    </row>
    <row r="1201" customFormat="false" ht="12.8" hidden="false" customHeight="false" outlineLevel="0" collapsed="false">
      <c r="A1201" s="5" t="n">
        <v>5.94499999999994</v>
      </c>
      <c r="B1201" s="5" t="n">
        <f aca="false">A1201*VOFLB</f>
        <v>154.569999999998</v>
      </c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 t="e">
        <f aca="false">0.000001*('Design Worksheet'!B$88)*(B1201-B1200)/E$232+M1200</f>
        <v>#N/A</v>
      </c>
      <c r="N1201" s="5" t="n">
        <f aca="false">B1201</f>
        <v>154.569999999998</v>
      </c>
    </row>
    <row r="1202" customFormat="false" ht="12.8" hidden="false" customHeight="false" outlineLevel="0" collapsed="false">
      <c r="A1202" s="5" t="n">
        <v>5.94999999999994</v>
      </c>
      <c r="B1202" s="5" t="n">
        <f aca="false">A1202*VOFLB</f>
        <v>154.699999999998</v>
      </c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 t="e">
        <f aca="false">0.000001*('Design Worksheet'!B$88)*(B1202-B1201)/E$232+M1201</f>
        <v>#N/A</v>
      </c>
      <c r="N1202" s="5" t="n">
        <f aca="false">B1202</f>
        <v>154.699999999998</v>
      </c>
    </row>
    <row r="1203" customFormat="false" ht="12.8" hidden="false" customHeight="false" outlineLevel="0" collapsed="false">
      <c r="A1203" s="5" t="n">
        <v>5.95499999999994</v>
      </c>
      <c r="B1203" s="5" t="n">
        <f aca="false">A1203*VOFLB</f>
        <v>154.829999999998</v>
      </c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 t="e">
        <f aca="false">0.000001*('Design Worksheet'!B$88)*(B1203-B1202)/E$232+M1202</f>
        <v>#N/A</v>
      </c>
      <c r="N1203" s="5" t="n">
        <f aca="false">B1203</f>
        <v>154.829999999998</v>
      </c>
    </row>
    <row r="1204" customFormat="false" ht="12.8" hidden="false" customHeight="false" outlineLevel="0" collapsed="false">
      <c r="A1204" s="5" t="n">
        <v>5.95999999999994</v>
      </c>
      <c r="B1204" s="5" t="n">
        <f aca="false">A1204*VOFLB</f>
        <v>154.959999999998</v>
      </c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 t="e">
        <f aca="false">0.000001*('Design Worksheet'!B$88)*(B1204-B1203)/E$232+M1203</f>
        <v>#N/A</v>
      </c>
      <c r="N1204" s="5" t="n">
        <f aca="false">B1204</f>
        <v>154.959999999998</v>
      </c>
    </row>
    <row r="1205" customFormat="false" ht="12.8" hidden="false" customHeight="false" outlineLevel="0" collapsed="false">
      <c r="A1205" s="5" t="n">
        <v>5.96499999999994</v>
      </c>
      <c r="B1205" s="5" t="n">
        <f aca="false">A1205*VOFLB</f>
        <v>155.089999999998</v>
      </c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 t="e">
        <f aca="false">0.000001*('Design Worksheet'!B$88)*(B1205-B1204)/E$232+M1204</f>
        <v>#N/A</v>
      </c>
      <c r="N1205" s="5" t="n">
        <f aca="false">B1205</f>
        <v>155.089999999998</v>
      </c>
    </row>
    <row r="1206" customFormat="false" ht="12.8" hidden="false" customHeight="false" outlineLevel="0" collapsed="false">
      <c r="A1206" s="5" t="n">
        <v>5.96999999999994</v>
      </c>
      <c r="B1206" s="5" t="n">
        <f aca="false">A1206*VOFLB</f>
        <v>155.219999999998</v>
      </c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 t="e">
        <f aca="false">0.000001*('Design Worksheet'!B$88)*(B1206-B1205)/E$232+M1205</f>
        <v>#N/A</v>
      </c>
      <c r="N1206" s="5" t="n">
        <f aca="false">B1206</f>
        <v>155.219999999998</v>
      </c>
    </row>
    <row r="1207" customFormat="false" ht="12.8" hidden="false" customHeight="false" outlineLevel="0" collapsed="false">
      <c r="A1207" s="5" t="n">
        <v>5.97499999999994</v>
      </c>
      <c r="B1207" s="5" t="n">
        <f aca="false">A1207*VOFLB</f>
        <v>155.349999999998</v>
      </c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 t="e">
        <f aca="false">0.000001*('Design Worksheet'!B$88)*(B1207-B1206)/E$232+M1206</f>
        <v>#N/A</v>
      </c>
      <c r="N1207" s="5" t="n">
        <f aca="false">B1207</f>
        <v>155.349999999998</v>
      </c>
    </row>
    <row r="1208" customFormat="false" ht="12.8" hidden="false" customHeight="false" outlineLevel="0" collapsed="false">
      <c r="A1208" s="5" t="n">
        <v>5.97999999999994</v>
      </c>
      <c r="B1208" s="5" t="n">
        <f aca="false">A1208*VOFLB</f>
        <v>155.479999999998</v>
      </c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 t="e">
        <f aca="false">0.000001*('Design Worksheet'!B$88)*(B1208-B1207)/E$232+M1207</f>
        <v>#N/A</v>
      </c>
      <c r="N1208" s="5" t="n">
        <f aca="false">B1208</f>
        <v>155.479999999998</v>
      </c>
    </row>
    <row r="1209" customFormat="false" ht="12.8" hidden="false" customHeight="false" outlineLevel="0" collapsed="false">
      <c r="A1209" s="5" t="n">
        <v>5.98499999999994</v>
      </c>
      <c r="B1209" s="5" t="n">
        <f aca="false">A1209*VOFLB</f>
        <v>155.609999999998</v>
      </c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 t="e">
        <f aca="false">0.000001*('Design Worksheet'!B$88)*(B1209-B1208)/E$232+M1208</f>
        <v>#N/A</v>
      </c>
      <c r="N1209" s="5" t="n">
        <f aca="false">B1209</f>
        <v>155.609999999998</v>
      </c>
    </row>
    <row r="1210" customFormat="false" ht="12.8" hidden="false" customHeight="false" outlineLevel="0" collapsed="false">
      <c r="A1210" s="5" t="n">
        <v>5.98999999999994</v>
      </c>
      <c r="B1210" s="5" t="n">
        <f aca="false">A1210*VOFLB</f>
        <v>155.739999999998</v>
      </c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 t="e">
        <f aca="false">0.000001*('Design Worksheet'!B$88)*(B1210-B1209)/E$232+M1209</f>
        <v>#N/A</v>
      </c>
      <c r="N1210" s="5" t="n">
        <f aca="false">B1210</f>
        <v>155.739999999998</v>
      </c>
    </row>
    <row r="1211" customFormat="false" ht="12.8" hidden="false" customHeight="false" outlineLevel="0" collapsed="false">
      <c r="A1211" s="5" t="n">
        <v>5.99499999999994</v>
      </c>
      <c r="B1211" s="5" t="n">
        <f aca="false">A1211*VOFLB</f>
        <v>155.869999999998</v>
      </c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 t="e">
        <f aca="false">0.000001*('Design Worksheet'!B$88)*(B1211-B1210)/E$232+M1210</f>
        <v>#N/A</v>
      </c>
      <c r="N1211" s="5" t="n">
        <f aca="false">B1211</f>
        <v>155.869999999998</v>
      </c>
    </row>
    <row r="1212" customFormat="false" ht="12.8" hidden="false" customHeight="false" outlineLevel="0" collapsed="false">
      <c r="A1212" s="5" t="n">
        <v>5.99999999999994</v>
      </c>
      <c r="B1212" s="5" t="n">
        <f aca="false">A1212*VOFLB</f>
        <v>155.999999999998</v>
      </c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 t="e">
        <f aca="false">0.000001*('Design Worksheet'!B$88)*(B1212-B1211)/E$232+M1211</f>
        <v>#N/A</v>
      </c>
      <c r="N1212" s="5" t="n">
        <f aca="false">B1212</f>
        <v>155.999999999998</v>
      </c>
    </row>
    <row r="1213" customFormat="false" ht="12.8" hidden="false" customHeight="false" outlineLevel="0" collapsed="false">
      <c r="A1213" s="5" t="n">
        <v>6.00499999999994</v>
      </c>
      <c r="B1213" s="5" t="n">
        <f aca="false">A1213*VOFLB</f>
        <v>156.129999999998</v>
      </c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 t="e">
        <f aca="false">0.000001*('Design Worksheet'!B$88)*(B1213-B1212)/E$232+M1212</f>
        <v>#N/A</v>
      </c>
      <c r="N1213" s="5" t="n">
        <f aca="false">B1213</f>
        <v>156.129999999998</v>
      </c>
    </row>
    <row r="1214" customFormat="false" ht="12.8" hidden="false" customHeight="false" outlineLevel="0" collapsed="false">
      <c r="A1214" s="5" t="n">
        <v>6.00999999999994</v>
      </c>
      <c r="B1214" s="5" t="n">
        <f aca="false">A1214*VOFLB</f>
        <v>156.259999999998</v>
      </c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 t="e">
        <f aca="false">0.000001*('Design Worksheet'!B$88)*(B1214-B1213)/E$232+M1213</f>
        <v>#N/A</v>
      </c>
      <c r="N1214" s="5" t="n">
        <f aca="false">B1214</f>
        <v>156.259999999998</v>
      </c>
    </row>
    <row r="1215" customFormat="false" ht="12.8" hidden="false" customHeight="false" outlineLevel="0" collapsed="false">
      <c r="A1215" s="5" t="n">
        <v>6.01499999999994</v>
      </c>
      <c r="B1215" s="5" t="n">
        <f aca="false">A1215*VOFLB</f>
        <v>156.389999999998</v>
      </c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 t="e">
        <f aca="false">0.000001*('Design Worksheet'!B$88)*(B1215-B1214)/E$232+M1214</f>
        <v>#N/A</v>
      </c>
      <c r="N1215" s="5" t="n">
        <f aca="false">B1215</f>
        <v>156.389999999998</v>
      </c>
    </row>
    <row r="1216" customFormat="false" ht="12.8" hidden="false" customHeight="false" outlineLevel="0" collapsed="false">
      <c r="A1216" s="5" t="n">
        <v>6.01999999999994</v>
      </c>
      <c r="B1216" s="5" t="n">
        <f aca="false">A1216*VOFLB</f>
        <v>156.519999999998</v>
      </c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 t="e">
        <f aca="false">0.000001*('Design Worksheet'!B$88)*(B1216-B1215)/E$232+M1215</f>
        <v>#N/A</v>
      </c>
      <c r="N1216" s="5" t="n">
        <f aca="false">B1216</f>
        <v>156.519999999998</v>
      </c>
    </row>
    <row r="1217" customFormat="false" ht="12.8" hidden="false" customHeight="false" outlineLevel="0" collapsed="false">
      <c r="A1217" s="5" t="n">
        <v>6.02499999999994</v>
      </c>
      <c r="B1217" s="5" t="n">
        <f aca="false">A1217*VOFLB</f>
        <v>156.649999999998</v>
      </c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 t="e">
        <f aca="false">0.000001*('Design Worksheet'!B$88)*(B1217-B1216)/E$232+M1216</f>
        <v>#N/A</v>
      </c>
      <c r="N1217" s="5" t="n">
        <f aca="false">B1217</f>
        <v>156.649999999998</v>
      </c>
    </row>
    <row r="1218" customFormat="false" ht="12.8" hidden="false" customHeight="false" outlineLevel="0" collapsed="false">
      <c r="A1218" s="5" t="n">
        <v>6.02999999999994</v>
      </c>
      <c r="B1218" s="5" t="n">
        <f aca="false">A1218*VOFLB</f>
        <v>156.779999999998</v>
      </c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 t="e">
        <f aca="false">0.000001*('Design Worksheet'!B$88)*(B1218-B1217)/E$232+M1217</f>
        <v>#N/A</v>
      </c>
      <c r="N1218" s="5" t="n">
        <f aca="false">B1218</f>
        <v>156.779999999998</v>
      </c>
    </row>
    <row r="1219" customFormat="false" ht="12.8" hidden="false" customHeight="false" outlineLevel="0" collapsed="false">
      <c r="A1219" s="5" t="n">
        <v>6.03499999999994</v>
      </c>
      <c r="B1219" s="5" t="n">
        <f aca="false">A1219*VOFLB</f>
        <v>156.909999999998</v>
      </c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 t="e">
        <f aca="false">0.000001*('Design Worksheet'!B$88)*(B1219-B1218)/E$232+M1218</f>
        <v>#N/A</v>
      </c>
      <c r="N1219" s="5" t="n">
        <f aca="false">B1219</f>
        <v>156.909999999998</v>
      </c>
    </row>
    <row r="1220" customFormat="false" ht="12.8" hidden="false" customHeight="false" outlineLevel="0" collapsed="false">
      <c r="A1220" s="5" t="n">
        <v>6.03999999999994</v>
      </c>
      <c r="B1220" s="5" t="n">
        <f aca="false">A1220*VOFLB</f>
        <v>157.039999999998</v>
      </c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 t="e">
        <f aca="false">0.000001*('Design Worksheet'!B$88)*(B1220-B1219)/E$232+M1219</f>
        <v>#N/A</v>
      </c>
      <c r="N1220" s="5" t="n">
        <f aca="false">B1220</f>
        <v>157.039999999998</v>
      </c>
    </row>
    <row r="1221" customFormat="false" ht="12.8" hidden="false" customHeight="false" outlineLevel="0" collapsed="false">
      <c r="A1221" s="5" t="n">
        <v>6.04499999999994</v>
      </c>
      <c r="B1221" s="5" t="n">
        <f aca="false">A1221*VOFLB</f>
        <v>157.169999999998</v>
      </c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 t="e">
        <f aca="false">0.000001*('Design Worksheet'!B$88)*(B1221-B1220)/E$232+M1220</f>
        <v>#N/A</v>
      </c>
      <c r="N1221" s="5" t="n">
        <f aca="false">B1221</f>
        <v>157.169999999998</v>
      </c>
    </row>
    <row r="1222" customFormat="false" ht="12.8" hidden="false" customHeight="false" outlineLevel="0" collapsed="false">
      <c r="A1222" s="5" t="n">
        <v>6.04999999999994</v>
      </c>
      <c r="B1222" s="5" t="n">
        <f aca="false">A1222*VOFLB</f>
        <v>157.299999999998</v>
      </c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 t="e">
        <f aca="false">0.000001*('Design Worksheet'!B$88)*(B1222-B1221)/E$232+M1221</f>
        <v>#N/A</v>
      </c>
      <c r="N1222" s="5" t="n">
        <f aca="false">B1222</f>
        <v>157.299999999998</v>
      </c>
    </row>
    <row r="1223" customFormat="false" ht="12.8" hidden="false" customHeight="false" outlineLevel="0" collapsed="false">
      <c r="A1223" s="5" t="n">
        <v>6.05499999999994</v>
      </c>
      <c r="B1223" s="5" t="n">
        <f aca="false">A1223*VOFLB</f>
        <v>157.429999999998</v>
      </c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 t="e">
        <f aca="false">0.000001*('Design Worksheet'!B$88)*(B1223-B1222)/E$232+M1222</f>
        <v>#N/A</v>
      </c>
      <c r="N1223" s="5" t="n">
        <f aca="false">B1223</f>
        <v>157.429999999998</v>
      </c>
    </row>
    <row r="1224" customFormat="false" ht="12.8" hidden="false" customHeight="false" outlineLevel="0" collapsed="false">
      <c r="A1224" s="5" t="n">
        <v>6.05999999999994</v>
      </c>
      <c r="B1224" s="5" t="n">
        <f aca="false">A1224*VOFLB</f>
        <v>157.559999999998</v>
      </c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 t="e">
        <f aca="false">0.000001*('Design Worksheet'!B$88)*(B1224-B1223)/E$232+M1223</f>
        <v>#N/A</v>
      </c>
      <c r="N1224" s="5" t="n">
        <f aca="false">B1224</f>
        <v>157.559999999998</v>
      </c>
    </row>
    <row r="1225" customFormat="false" ht="12.8" hidden="false" customHeight="false" outlineLevel="0" collapsed="false">
      <c r="A1225" s="5" t="n">
        <v>6.06499999999994</v>
      </c>
      <c r="B1225" s="5" t="n">
        <f aca="false">A1225*VOFLB</f>
        <v>157.689999999998</v>
      </c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 t="e">
        <f aca="false">0.000001*('Design Worksheet'!B$88)*(B1225-B1224)/E$232+M1224</f>
        <v>#N/A</v>
      </c>
      <c r="N1225" s="5" t="n">
        <f aca="false">B1225</f>
        <v>157.689999999998</v>
      </c>
    </row>
    <row r="1226" customFormat="false" ht="12.8" hidden="false" customHeight="false" outlineLevel="0" collapsed="false">
      <c r="A1226" s="5" t="n">
        <v>6.06999999999994</v>
      </c>
      <c r="B1226" s="5" t="n">
        <f aca="false">A1226*VOFLB</f>
        <v>157.819999999998</v>
      </c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 t="e">
        <f aca="false">0.000001*('Design Worksheet'!B$88)*(B1226-B1225)/E$232+M1225</f>
        <v>#N/A</v>
      </c>
      <c r="N1226" s="5" t="n">
        <f aca="false">B1226</f>
        <v>157.819999999998</v>
      </c>
    </row>
    <row r="1227" customFormat="false" ht="12.8" hidden="false" customHeight="false" outlineLevel="0" collapsed="false">
      <c r="A1227" s="5" t="n">
        <v>6.07499999999994</v>
      </c>
      <c r="B1227" s="5" t="n">
        <f aca="false">A1227*VOFLB</f>
        <v>157.949999999998</v>
      </c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 t="e">
        <f aca="false">0.000001*('Design Worksheet'!B$88)*(B1227-B1226)/E$232+M1226</f>
        <v>#N/A</v>
      </c>
      <c r="N1227" s="5" t="n">
        <f aca="false">B1227</f>
        <v>157.949999999998</v>
      </c>
    </row>
    <row r="1228" customFormat="false" ht="12.8" hidden="false" customHeight="false" outlineLevel="0" collapsed="false">
      <c r="A1228" s="5" t="n">
        <v>6.07999999999994</v>
      </c>
      <c r="B1228" s="5" t="n">
        <f aca="false">A1228*VOFLB</f>
        <v>158.079999999998</v>
      </c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 t="e">
        <f aca="false">0.000001*('Design Worksheet'!B$88)*(B1228-B1227)/E$232+M1227</f>
        <v>#N/A</v>
      </c>
      <c r="N1228" s="5" t="n">
        <f aca="false">B1228</f>
        <v>158.079999999998</v>
      </c>
    </row>
    <row r="1229" customFormat="false" ht="12.8" hidden="false" customHeight="false" outlineLevel="0" collapsed="false">
      <c r="A1229" s="5" t="n">
        <v>6.08499999999994</v>
      </c>
      <c r="B1229" s="5" t="n">
        <f aca="false">A1229*VOFLB</f>
        <v>158.209999999998</v>
      </c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 t="e">
        <f aca="false">0.000001*('Design Worksheet'!B$88)*(B1229-B1228)/E$232+M1228</f>
        <v>#N/A</v>
      </c>
      <c r="N1229" s="5" t="n">
        <f aca="false">B1229</f>
        <v>158.209999999998</v>
      </c>
    </row>
    <row r="1230" customFormat="false" ht="12.8" hidden="false" customHeight="false" outlineLevel="0" collapsed="false">
      <c r="A1230" s="5" t="n">
        <v>6.08999999999993</v>
      </c>
      <c r="B1230" s="5" t="n">
        <f aca="false">A1230*VOFLB</f>
        <v>158.339999999998</v>
      </c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 t="e">
        <f aca="false">0.000001*('Design Worksheet'!B$88)*(B1230-B1229)/E$232+M1229</f>
        <v>#N/A</v>
      </c>
      <c r="N1230" s="5" t="n">
        <f aca="false">B1230</f>
        <v>158.339999999998</v>
      </c>
    </row>
    <row r="1231" customFormat="false" ht="12.8" hidden="false" customHeight="false" outlineLevel="0" collapsed="false">
      <c r="A1231" s="5" t="n">
        <v>6.09499999999993</v>
      </c>
      <c r="B1231" s="5" t="n">
        <f aca="false">A1231*VOFLB</f>
        <v>158.469999999998</v>
      </c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 t="e">
        <f aca="false">0.000001*('Design Worksheet'!B$88)*(B1231-B1230)/E$232+M1230</f>
        <v>#N/A</v>
      </c>
      <c r="N1231" s="5" t="n">
        <f aca="false">B1231</f>
        <v>158.469999999998</v>
      </c>
    </row>
    <row r="1232" customFormat="false" ht="12.8" hidden="false" customHeight="false" outlineLevel="0" collapsed="false">
      <c r="A1232" s="5" t="n">
        <v>6.09999999999993</v>
      </c>
      <c r="B1232" s="5" t="n">
        <f aca="false">A1232*VOFLB</f>
        <v>158.599999999998</v>
      </c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 t="e">
        <f aca="false">0.000001*('Design Worksheet'!B$88)*(B1232-B1231)/E$232+M1231</f>
        <v>#N/A</v>
      </c>
      <c r="N1232" s="5" t="n">
        <f aca="false">B1232</f>
        <v>158.599999999998</v>
      </c>
    </row>
    <row r="1233" customFormat="false" ht="12.8" hidden="false" customHeight="false" outlineLevel="0" collapsed="false">
      <c r="A1233" s="5" t="n">
        <v>6.10499999999993</v>
      </c>
      <c r="B1233" s="5" t="n">
        <f aca="false">A1233*VOFLB</f>
        <v>158.729999999998</v>
      </c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 t="e">
        <f aca="false">0.000001*('Design Worksheet'!B$88)*(B1233-B1232)/E$232+M1232</f>
        <v>#N/A</v>
      </c>
      <c r="N1233" s="5" t="n">
        <f aca="false">B1233</f>
        <v>158.729999999998</v>
      </c>
    </row>
    <row r="1234" customFormat="false" ht="12.8" hidden="false" customHeight="false" outlineLevel="0" collapsed="false">
      <c r="A1234" s="5" t="n">
        <v>6.10999999999993</v>
      </c>
      <c r="B1234" s="5" t="n">
        <f aca="false">A1234*VOFLB</f>
        <v>158.859999999998</v>
      </c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 t="e">
        <f aca="false">0.000001*('Design Worksheet'!B$88)*(B1234-B1233)/E$232+M1233</f>
        <v>#N/A</v>
      </c>
      <c r="N1234" s="5" t="n">
        <f aca="false">B1234</f>
        <v>158.859999999998</v>
      </c>
    </row>
    <row r="1235" customFormat="false" ht="12.8" hidden="false" customHeight="false" outlineLevel="0" collapsed="false">
      <c r="A1235" s="5" t="n">
        <v>6.11499999999993</v>
      </c>
      <c r="B1235" s="5" t="n">
        <f aca="false">A1235*VOFLB</f>
        <v>158.989999999998</v>
      </c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 t="e">
        <f aca="false">0.000001*('Design Worksheet'!B$88)*(B1235-B1234)/E$232+M1234</f>
        <v>#N/A</v>
      </c>
      <c r="N1235" s="5" t="n">
        <f aca="false">B1235</f>
        <v>158.989999999998</v>
      </c>
    </row>
    <row r="1236" customFormat="false" ht="12.8" hidden="false" customHeight="false" outlineLevel="0" collapsed="false">
      <c r="A1236" s="5" t="n">
        <v>6.11999999999993</v>
      </c>
      <c r="B1236" s="5" t="n">
        <f aca="false">A1236*VOFLB</f>
        <v>159.119999999998</v>
      </c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 t="e">
        <f aca="false">0.000001*('Design Worksheet'!B$88)*(B1236-B1235)/E$232+M1235</f>
        <v>#N/A</v>
      </c>
      <c r="N1236" s="5" t="n">
        <f aca="false">B1236</f>
        <v>159.119999999998</v>
      </c>
    </row>
    <row r="1237" customFormat="false" ht="12.8" hidden="false" customHeight="false" outlineLevel="0" collapsed="false">
      <c r="A1237" s="5" t="n">
        <v>6.12499999999993</v>
      </c>
      <c r="B1237" s="5" t="n">
        <f aca="false">A1237*VOFLB</f>
        <v>159.249999999998</v>
      </c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 t="e">
        <f aca="false">0.000001*('Design Worksheet'!B$88)*(B1237-B1236)/E$232+M1236</f>
        <v>#N/A</v>
      </c>
      <c r="N1237" s="5" t="n">
        <f aca="false">B1237</f>
        <v>159.249999999998</v>
      </c>
    </row>
    <row r="1238" customFormat="false" ht="12.8" hidden="false" customHeight="false" outlineLevel="0" collapsed="false">
      <c r="A1238" s="5" t="n">
        <v>6.12999999999993</v>
      </c>
      <c r="B1238" s="5" t="n">
        <f aca="false">A1238*VOFLB</f>
        <v>159.379999999998</v>
      </c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 t="e">
        <f aca="false">0.000001*('Design Worksheet'!B$88)*(B1238-B1237)/E$232+M1237</f>
        <v>#N/A</v>
      </c>
      <c r="N1238" s="5" t="n">
        <f aca="false">B1238</f>
        <v>159.379999999998</v>
      </c>
    </row>
    <row r="1239" customFormat="false" ht="12.8" hidden="false" customHeight="false" outlineLevel="0" collapsed="false">
      <c r="A1239" s="5" t="n">
        <v>6.13499999999993</v>
      </c>
      <c r="B1239" s="5" t="n">
        <f aca="false">A1239*VOFLB</f>
        <v>159.509999999998</v>
      </c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 t="e">
        <f aca="false">0.000001*('Design Worksheet'!B$88)*(B1239-B1238)/E$232+M1238</f>
        <v>#N/A</v>
      </c>
      <c r="N1239" s="5" t="n">
        <f aca="false">B1239</f>
        <v>159.509999999998</v>
      </c>
    </row>
    <row r="1240" customFormat="false" ht="12.8" hidden="false" customHeight="false" outlineLevel="0" collapsed="false">
      <c r="A1240" s="5" t="n">
        <v>6.13999999999993</v>
      </c>
      <c r="B1240" s="5" t="n">
        <f aca="false">A1240*VOFLB</f>
        <v>159.639999999998</v>
      </c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 t="e">
        <f aca="false">0.000001*('Design Worksheet'!B$88)*(B1240-B1239)/E$232+M1239</f>
        <v>#N/A</v>
      </c>
      <c r="N1240" s="5" t="n">
        <f aca="false">B1240</f>
        <v>159.639999999998</v>
      </c>
    </row>
    <row r="1241" customFormat="false" ht="12.8" hidden="false" customHeight="false" outlineLevel="0" collapsed="false">
      <c r="A1241" s="5" t="n">
        <v>6.14499999999993</v>
      </c>
      <c r="B1241" s="5" t="n">
        <f aca="false">A1241*VOFLB</f>
        <v>159.769999999998</v>
      </c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 t="e">
        <f aca="false">0.000001*('Design Worksheet'!B$88)*(B1241-B1240)/E$232+M1240</f>
        <v>#N/A</v>
      </c>
      <c r="N1241" s="5" t="n">
        <f aca="false">B1241</f>
        <v>159.769999999998</v>
      </c>
    </row>
    <row r="1242" customFormat="false" ht="12.8" hidden="false" customHeight="false" outlineLevel="0" collapsed="false">
      <c r="A1242" s="5" t="n">
        <v>6.14999999999993</v>
      </c>
      <c r="B1242" s="5" t="n">
        <f aca="false">A1242*VOFLB</f>
        <v>159.899999999998</v>
      </c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 t="e">
        <f aca="false">0.000001*('Design Worksheet'!B$88)*(B1242-B1241)/E$232+M1241</f>
        <v>#N/A</v>
      </c>
      <c r="N1242" s="5" t="n">
        <f aca="false">B1242</f>
        <v>159.899999999998</v>
      </c>
    </row>
    <row r="1243" customFormat="false" ht="12.8" hidden="false" customHeight="false" outlineLevel="0" collapsed="false">
      <c r="A1243" s="5" t="n">
        <v>6.15499999999993</v>
      </c>
      <c r="B1243" s="5" t="n">
        <f aca="false">A1243*VOFLB</f>
        <v>160.029999999998</v>
      </c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 t="e">
        <f aca="false">0.000001*('Design Worksheet'!B$88)*(B1243-B1242)/E$232+M1242</f>
        <v>#N/A</v>
      </c>
      <c r="N1243" s="5" t="n">
        <f aca="false">B1243</f>
        <v>160.029999999998</v>
      </c>
    </row>
    <row r="1244" customFormat="false" ht="12.8" hidden="false" customHeight="false" outlineLevel="0" collapsed="false">
      <c r="A1244" s="5" t="n">
        <v>6.15999999999993</v>
      </c>
      <c r="B1244" s="5" t="n">
        <f aca="false">A1244*VOFLB</f>
        <v>160.159999999998</v>
      </c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 t="e">
        <f aca="false">0.000001*('Design Worksheet'!B$88)*(B1244-B1243)/E$232+M1243</f>
        <v>#N/A</v>
      </c>
      <c r="N1244" s="5" t="n">
        <f aca="false">B1244</f>
        <v>160.159999999998</v>
      </c>
    </row>
    <row r="1245" customFormat="false" ht="12.8" hidden="false" customHeight="false" outlineLevel="0" collapsed="false">
      <c r="A1245" s="5" t="n">
        <v>6.16499999999993</v>
      </c>
      <c r="B1245" s="5" t="n">
        <f aca="false">A1245*VOFLB</f>
        <v>160.289999999998</v>
      </c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 t="e">
        <f aca="false">0.000001*('Design Worksheet'!B$88)*(B1245-B1244)/E$232+M1244</f>
        <v>#N/A</v>
      </c>
      <c r="N1245" s="5" t="n">
        <f aca="false">B1245</f>
        <v>160.289999999998</v>
      </c>
    </row>
    <row r="1246" customFormat="false" ht="12.8" hidden="false" customHeight="false" outlineLevel="0" collapsed="false">
      <c r="A1246" s="5" t="n">
        <v>6.16999999999993</v>
      </c>
      <c r="B1246" s="5" t="n">
        <f aca="false">A1246*VOFLB</f>
        <v>160.419999999998</v>
      </c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 t="e">
        <f aca="false">0.000001*('Design Worksheet'!B$88)*(B1246-B1245)/E$232+M1245</f>
        <v>#N/A</v>
      </c>
      <c r="N1246" s="5" t="n">
        <f aca="false">B1246</f>
        <v>160.419999999998</v>
      </c>
    </row>
    <row r="1247" customFormat="false" ht="12.8" hidden="false" customHeight="false" outlineLevel="0" collapsed="false">
      <c r="A1247" s="5" t="n">
        <v>6.17499999999993</v>
      </c>
      <c r="B1247" s="5" t="n">
        <f aca="false">A1247*VOFLB</f>
        <v>160.549999999998</v>
      </c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 t="e">
        <f aca="false">0.000001*('Design Worksheet'!B$88)*(B1247-B1246)/E$232+M1246</f>
        <v>#N/A</v>
      </c>
      <c r="N1247" s="5" t="n">
        <f aca="false">B1247</f>
        <v>160.549999999998</v>
      </c>
    </row>
    <row r="1248" customFormat="false" ht="12.8" hidden="false" customHeight="false" outlineLevel="0" collapsed="false">
      <c r="A1248" s="5" t="n">
        <v>6.17999999999993</v>
      </c>
      <c r="B1248" s="5" t="n">
        <f aca="false">A1248*VOFLB</f>
        <v>160.679999999998</v>
      </c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 t="e">
        <f aca="false">0.000001*('Design Worksheet'!B$88)*(B1248-B1247)/E$232+M1247</f>
        <v>#N/A</v>
      </c>
      <c r="N1248" s="5" t="n">
        <f aca="false">B1248</f>
        <v>160.679999999998</v>
      </c>
    </row>
    <row r="1249" customFormat="false" ht="12.8" hidden="false" customHeight="false" outlineLevel="0" collapsed="false">
      <c r="A1249" s="5" t="n">
        <v>6.18499999999993</v>
      </c>
      <c r="B1249" s="5" t="n">
        <f aca="false">A1249*VOFLB</f>
        <v>160.809999999998</v>
      </c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 t="e">
        <f aca="false">0.000001*('Design Worksheet'!B$88)*(B1249-B1248)/E$232+M1248</f>
        <v>#N/A</v>
      </c>
      <c r="N1249" s="5" t="n">
        <f aca="false">B1249</f>
        <v>160.809999999998</v>
      </c>
    </row>
    <row r="1250" customFormat="false" ht="12.8" hidden="false" customHeight="false" outlineLevel="0" collapsed="false">
      <c r="A1250" s="5" t="n">
        <v>6.18999999999993</v>
      </c>
      <c r="B1250" s="5" t="n">
        <f aca="false">A1250*VOFLB</f>
        <v>160.939999999998</v>
      </c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 t="e">
        <f aca="false">0.000001*('Design Worksheet'!B$88)*(B1250-B1249)/E$232+M1249</f>
        <v>#N/A</v>
      </c>
      <c r="N1250" s="5" t="n">
        <f aca="false">B1250</f>
        <v>160.939999999998</v>
      </c>
    </row>
    <row r="1251" customFormat="false" ht="12.8" hidden="false" customHeight="false" outlineLevel="0" collapsed="false">
      <c r="A1251" s="5" t="n">
        <v>6.19499999999993</v>
      </c>
      <c r="B1251" s="5" t="n">
        <f aca="false">A1251*VOFLB</f>
        <v>161.069999999998</v>
      </c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 t="e">
        <f aca="false">0.000001*('Design Worksheet'!B$88)*(B1251-B1250)/E$232+M1250</f>
        <v>#N/A</v>
      </c>
      <c r="N1251" s="5" t="n">
        <f aca="false">B1251</f>
        <v>161.069999999998</v>
      </c>
    </row>
    <row r="1252" customFormat="false" ht="12.8" hidden="false" customHeight="false" outlineLevel="0" collapsed="false">
      <c r="A1252" s="5" t="n">
        <v>6.19999999999993</v>
      </c>
      <c r="B1252" s="5" t="n">
        <f aca="false">A1252*VOFLB</f>
        <v>161.199999999998</v>
      </c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 t="e">
        <f aca="false">0.000001*('Design Worksheet'!B$88)*(B1252-B1251)/E$232+M1251</f>
        <v>#N/A</v>
      </c>
      <c r="N1252" s="5" t="n">
        <f aca="false">B1252</f>
        <v>161.199999999998</v>
      </c>
    </row>
    <row r="1253" customFormat="false" ht="12.8" hidden="false" customHeight="false" outlineLevel="0" collapsed="false">
      <c r="A1253" s="5" t="n">
        <v>6.20499999999993</v>
      </c>
      <c r="B1253" s="5" t="n">
        <f aca="false">A1253*VOFLB</f>
        <v>161.329999999998</v>
      </c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 t="e">
        <f aca="false">0.000001*('Design Worksheet'!B$88)*(B1253-B1252)/E$232+M1252</f>
        <v>#N/A</v>
      </c>
      <c r="N1253" s="5" t="n">
        <f aca="false">B1253</f>
        <v>161.329999999998</v>
      </c>
    </row>
    <row r="1254" customFormat="false" ht="12.8" hidden="false" customHeight="false" outlineLevel="0" collapsed="false">
      <c r="A1254" s="5" t="n">
        <v>6.20999999999993</v>
      </c>
      <c r="B1254" s="5" t="n">
        <f aca="false">A1254*VOFLB</f>
        <v>161.459999999998</v>
      </c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 t="e">
        <f aca="false">0.000001*('Design Worksheet'!B$88)*(B1254-B1253)/E$232+M1253</f>
        <v>#N/A</v>
      </c>
      <c r="N1254" s="5" t="n">
        <f aca="false">B1254</f>
        <v>161.459999999998</v>
      </c>
    </row>
    <row r="1255" customFormat="false" ht="12.8" hidden="false" customHeight="false" outlineLevel="0" collapsed="false">
      <c r="A1255" s="5" t="n">
        <v>6.21499999999993</v>
      </c>
      <c r="B1255" s="5" t="n">
        <f aca="false">A1255*VOFLB</f>
        <v>161.589999999998</v>
      </c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 t="e">
        <f aca="false">0.000001*('Design Worksheet'!B$88)*(B1255-B1254)/E$232+M1254</f>
        <v>#N/A</v>
      </c>
      <c r="N1255" s="5" t="n">
        <f aca="false">B1255</f>
        <v>161.589999999998</v>
      </c>
    </row>
    <row r="1256" customFormat="false" ht="12.8" hidden="false" customHeight="false" outlineLevel="0" collapsed="false">
      <c r="A1256" s="5" t="n">
        <v>6.21999999999993</v>
      </c>
      <c r="B1256" s="5" t="n">
        <f aca="false">A1256*VOFLB</f>
        <v>161.719999999998</v>
      </c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 t="e">
        <f aca="false">0.000001*('Design Worksheet'!B$88)*(B1256-B1255)/E$232+M1255</f>
        <v>#N/A</v>
      </c>
      <c r="N1256" s="5" t="n">
        <f aca="false">B1256</f>
        <v>161.719999999998</v>
      </c>
    </row>
    <row r="1257" customFormat="false" ht="12.8" hidden="false" customHeight="false" outlineLevel="0" collapsed="false">
      <c r="A1257" s="5" t="n">
        <v>6.22499999999993</v>
      </c>
      <c r="B1257" s="5" t="n">
        <f aca="false">A1257*VOFLB</f>
        <v>161.849999999998</v>
      </c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 t="e">
        <f aca="false">0.000001*('Design Worksheet'!B$88)*(B1257-B1256)/E$232+M1256</f>
        <v>#N/A</v>
      </c>
      <c r="N1257" s="5" t="n">
        <f aca="false">B1257</f>
        <v>161.849999999998</v>
      </c>
    </row>
    <row r="1258" customFormat="false" ht="12.8" hidden="false" customHeight="false" outlineLevel="0" collapsed="false">
      <c r="A1258" s="5" t="n">
        <v>6.22999999999993</v>
      </c>
      <c r="B1258" s="5" t="n">
        <f aca="false">A1258*VOFLB</f>
        <v>161.979999999998</v>
      </c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 t="e">
        <f aca="false">0.000001*('Design Worksheet'!B$88)*(B1258-B1257)/E$232+M1257</f>
        <v>#N/A</v>
      </c>
      <c r="N1258" s="5" t="n">
        <f aca="false">B1258</f>
        <v>161.979999999998</v>
      </c>
    </row>
    <row r="1259" customFormat="false" ht="12.8" hidden="false" customHeight="false" outlineLevel="0" collapsed="false">
      <c r="A1259" s="5" t="n">
        <v>6.23499999999993</v>
      </c>
      <c r="B1259" s="5" t="n">
        <f aca="false">A1259*VOFLB</f>
        <v>162.109999999998</v>
      </c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 t="e">
        <f aca="false">0.000001*('Design Worksheet'!B$88)*(B1259-B1258)/E$232+M1258</f>
        <v>#N/A</v>
      </c>
      <c r="N1259" s="5" t="n">
        <f aca="false">B1259</f>
        <v>162.109999999998</v>
      </c>
    </row>
    <row r="1260" customFormat="false" ht="12.8" hidden="false" customHeight="false" outlineLevel="0" collapsed="false">
      <c r="A1260" s="5" t="n">
        <v>6.23999999999993</v>
      </c>
      <c r="B1260" s="5" t="n">
        <f aca="false">A1260*VOFLB</f>
        <v>162.239999999998</v>
      </c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 t="e">
        <f aca="false">0.000001*('Design Worksheet'!B$88)*(B1260-B1259)/E$232+M1259</f>
        <v>#N/A</v>
      </c>
      <c r="N1260" s="5" t="n">
        <f aca="false">B1260</f>
        <v>162.239999999998</v>
      </c>
    </row>
    <row r="1261" customFormat="false" ht="12.8" hidden="false" customHeight="false" outlineLevel="0" collapsed="false">
      <c r="A1261" s="5" t="n">
        <v>6.24499999999993</v>
      </c>
      <c r="B1261" s="5" t="n">
        <f aca="false">A1261*VOFLB</f>
        <v>162.369999999998</v>
      </c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 t="e">
        <f aca="false">0.000001*('Design Worksheet'!B$88)*(B1261-B1260)/E$232+M1260</f>
        <v>#N/A</v>
      </c>
      <c r="N1261" s="5" t="n">
        <f aca="false">B1261</f>
        <v>162.369999999998</v>
      </c>
    </row>
    <row r="1262" customFormat="false" ht="12.8" hidden="false" customHeight="false" outlineLevel="0" collapsed="false">
      <c r="A1262" s="5" t="n">
        <v>6.24999999999993</v>
      </c>
      <c r="B1262" s="5" t="n">
        <f aca="false">A1262*VOFLB</f>
        <v>162.499999999998</v>
      </c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 t="e">
        <f aca="false">0.000001*('Design Worksheet'!B$88)*(B1262-B1261)/E$232+M1261</f>
        <v>#N/A</v>
      </c>
      <c r="N1262" s="5" t="n">
        <f aca="false">B1262</f>
        <v>162.499999999998</v>
      </c>
    </row>
    <row r="1263" customFormat="false" ht="12.8" hidden="false" customHeight="false" outlineLevel="0" collapsed="false">
      <c r="A1263" s="5" t="n">
        <v>6.25499999999993</v>
      </c>
      <c r="B1263" s="5" t="n">
        <f aca="false">A1263*VOFLB</f>
        <v>162.629999999998</v>
      </c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 t="e">
        <f aca="false">0.000001*('Design Worksheet'!B$88)*(B1263-B1262)/E$232+M1262</f>
        <v>#N/A</v>
      </c>
      <c r="N1263" s="5" t="n">
        <f aca="false">B1263</f>
        <v>162.629999999998</v>
      </c>
    </row>
    <row r="1264" customFormat="false" ht="12.8" hidden="false" customHeight="false" outlineLevel="0" collapsed="false">
      <c r="A1264" s="5" t="n">
        <v>6.25999999999993</v>
      </c>
      <c r="B1264" s="5" t="n">
        <f aca="false">A1264*VOFLB</f>
        <v>162.759999999998</v>
      </c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 t="e">
        <f aca="false">0.000001*('Design Worksheet'!B$88)*(B1264-B1263)/E$232+M1263</f>
        <v>#N/A</v>
      </c>
      <c r="N1264" s="5" t="n">
        <f aca="false">B1264</f>
        <v>162.759999999998</v>
      </c>
    </row>
    <row r="1265" customFormat="false" ht="12.8" hidden="false" customHeight="false" outlineLevel="0" collapsed="false">
      <c r="A1265" s="5" t="n">
        <v>6.26499999999993</v>
      </c>
      <c r="B1265" s="5" t="n">
        <f aca="false">A1265*VOFLB</f>
        <v>162.889999999998</v>
      </c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 t="e">
        <f aca="false">0.000001*('Design Worksheet'!B$88)*(B1265-B1264)/E$232+M1264</f>
        <v>#N/A</v>
      </c>
      <c r="N1265" s="5" t="n">
        <f aca="false">B1265</f>
        <v>162.889999999998</v>
      </c>
    </row>
    <row r="1266" customFormat="false" ht="12.8" hidden="false" customHeight="false" outlineLevel="0" collapsed="false">
      <c r="A1266" s="5" t="n">
        <v>6.26999999999993</v>
      </c>
      <c r="B1266" s="5" t="n">
        <f aca="false">A1266*VOFLB</f>
        <v>163.019999999998</v>
      </c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 t="e">
        <f aca="false">0.000001*('Design Worksheet'!B$88)*(B1266-B1265)/E$232+M1265</f>
        <v>#N/A</v>
      </c>
      <c r="N1266" s="5" t="n">
        <f aca="false">B1266</f>
        <v>163.019999999998</v>
      </c>
    </row>
    <row r="1267" customFormat="false" ht="12.8" hidden="false" customHeight="false" outlineLevel="0" collapsed="false">
      <c r="A1267" s="5" t="n">
        <v>6.27499999999993</v>
      </c>
      <c r="B1267" s="5" t="n">
        <f aca="false">A1267*VOFLB</f>
        <v>163.149999999998</v>
      </c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 t="e">
        <f aca="false">0.000001*('Design Worksheet'!B$88)*(B1267-B1266)/E$232+M1266</f>
        <v>#N/A</v>
      </c>
      <c r="N1267" s="5" t="n">
        <f aca="false">B1267</f>
        <v>163.149999999998</v>
      </c>
    </row>
    <row r="1268" customFormat="false" ht="12.8" hidden="false" customHeight="false" outlineLevel="0" collapsed="false">
      <c r="A1268" s="5" t="n">
        <v>6.27999999999993</v>
      </c>
      <c r="B1268" s="5" t="n">
        <f aca="false">A1268*VOFLB</f>
        <v>163.279999999998</v>
      </c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 t="e">
        <f aca="false">0.000001*('Design Worksheet'!B$88)*(B1268-B1267)/E$232+M1267</f>
        <v>#N/A</v>
      </c>
      <c r="N1268" s="5" t="n">
        <f aca="false">B1268</f>
        <v>163.279999999998</v>
      </c>
    </row>
    <row r="1269" customFormat="false" ht="12.8" hidden="false" customHeight="false" outlineLevel="0" collapsed="false">
      <c r="A1269" s="5" t="n">
        <v>6.28499999999993</v>
      </c>
      <c r="B1269" s="5" t="n">
        <f aca="false">A1269*VOFLB</f>
        <v>163.409999999998</v>
      </c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 t="e">
        <f aca="false">0.000001*('Design Worksheet'!B$88)*(B1269-B1268)/E$232+M1268</f>
        <v>#N/A</v>
      </c>
      <c r="N1269" s="5" t="n">
        <f aca="false">B1269</f>
        <v>163.409999999998</v>
      </c>
    </row>
    <row r="1270" customFormat="false" ht="12.8" hidden="false" customHeight="false" outlineLevel="0" collapsed="false">
      <c r="A1270" s="5" t="n">
        <v>6.28999999999993</v>
      </c>
      <c r="B1270" s="5" t="n">
        <f aca="false">A1270*VOFLB</f>
        <v>163.539999999998</v>
      </c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 t="e">
        <f aca="false">0.000001*('Design Worksheet'!B$88)*(B1270-B1269)/E$232+M1269</f>
        <v>#N/A</v>
      </c>
      <c r="N1270" s="5" t="n">
        <f aca="false">B1270</f>
        <v>163.539999999998</v>
      </c>
    </row>
    <row r="1271" customFormat="false" ht="12.8" hidden="false" customHeight="false" outlineLevel="0" collapsed="false">
      <c r="A1271" s="5" t="n">
        <v>6.29499999999993</v>
      </c>
      <c r="B1271" s="5" t="n">
        <f aca="false">A1271*VOFLB</f>
        <v>163.669999999998</v>
      </c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 t="e">
        <f aca="false">0.000001*('Design Worksheet'!B$88)*(B1271-B1270)/E$232+M1270</f>
        <v>#N/A</v>
      </c>
      <c r="N1271" s="5" t="n">
        <f aca="false">B1271</f>
        <v>163.669999999998</v>
      </c>
    </row>
    <row r="1272" customFormat="false" ht="12.8" hidden="false" customHeight="false" outlineLevel="0" collapsed="false">
      <c r="A1272" s="5" t="n">
        <v>6.29999999999993</v>
      </c>
      <c r="B1272" s="5" t="n">
        <f aca="false">A1272*VOFLB</f>
        <v>163.799999999998</v>
      </c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 t="e">
        <f aca="false">0.000001*('Design Worksheet'!B$88)*(B1272-B1271)/E$232+M1271</f>
        <v>#N/A</v>
      </c>
      <c r="N1272" s="5" t="n">
        <f aca="false">B1272</f>
        <v>163.799999999998</v>
      </c>
    </row>
    <row r="1273" customFormat="false" ht="12.8" hidden="false" customHeight="false" outlineLevel="0" collapsed="false">
      <c r="A1273" s="5" t="n">
        <v>6.30499999999993</v>
      </c>
      <c r="B1273" s="5" t="n">
        <f aca="false">A1273*VOFLB</f>
        <v>163.929999999998</v>
      </c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 t="e">
        <f aca="false">0.000001*('Design Worksheet'!B$88)*(B1273-B1272)/E$232+M1272</f>
        <v>#N/A</v>
      </c>
      <c r="N1273" s="5" t="n">
        <f aca="false">B1273</f>
        <v>163.929999999998</v>
      </c>
    </row>
    <row r="1274" customFormat="false" ht="12.8" hidden="false" customHeight="false" outlineLevel="0" collapsed="false">
      <c r="A1274" s="5" t="n">
        <v>6.30999999999993</v>
      </c>
      <c r="B1274" s="5" t="n">
        <f aca="false">A1274*VOFLB</f>
        <v>164.059999999998</v>
      </c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 t="e">
        <f aca="false">0.000001*('Design Worksheet'!B$88)*(B1274-B1273)/E$232+M1273</f>
        <v>#N/A</v>
      </c>
      <c r="N1274" s="5" t="n">
        <f aca="false">B1274</f>
        <v>164.059999999998</v>
      </c>
    </row>
    <row r="1275" customFormat="false" ht="12.8" hidden="false" customHeight="false" outlineLevel="0" collapsed="false">
      <c r="A1275" s="5" t="n">
        <v>6.31499999999993</v>
      </c>
      <c r="B1275" s="5" t="n">
        <f aca="false">A1275*VOFLB</f>
        <v>164.189999999998</v>
      </c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 t="e">
        <f aca="false">0.000001*('Design Worksheet'!B$88)*(B1275-B1274)/E$232+M1274</f>
        <v>#N/A</v>
      </c>
      <c r="N1275" s="5" t="n">
        <f aca="false">B1275</f>
        <v>164.189999999998</v>
      </c>
    </row>
    <row r="1276" customFormat="false" ht="12.8" hidden="false" customHeight="false" outlineLevel="0" collapsed="false">
      <c r="A1276" s="5" t="n">
        <v>6.31999999999993</v>
      </c>
      <c r="B1276" s="5" t="n">
        <f aca="false">A1276*VOFLB</f>
        <v>164.319999999998</v>
      </c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 t="e">
        <f aca="false">0.000001*('Design Worksheet'!B$88)*(B1276-B1275)/E$232+M1275</f>
        <v>#N/A</v>
      </c>
      <c r="N1276" s="5" t="n">
        <f aca="false">B1276</f>
        <v>164.319999999998</v>
      </c>
    </row>
    <row r="1277" customFormat="false" ht="12.8" hidden="false" customHeight="false" outlineLevel="0" collapsed="false">
      <c r="A1277" s="5" t="n">
        <v>6.32499999999993</v>
      </c>
      <c r="B1277" s="5" t="n">
        <f aca="false">A1277*VOFLB</f>
        <v>164.449999999998</v>
      </c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 t="e">
        <f aca="false">0.000001*('Design Worksheet'!B$88)*(B1277-B1276)/E$232+M1276</f>
        <v>#N/A</v>
      </c>
      <c r="N1277" s="5" t="n">
        <f aca="false">B1277</f>
        <v>164.449999999998</v>
      </c>
    </row>
    <row r="1278" customFormat="false" ht="12.8" hidden="false" customHeight="false" outlineLevel="0" collapsed="false">
      <c r="A1278" s="5" t="n">
        <v>6.32999999999993</v>
      </c>
      <c r="B1278" s="5" t="n">
        <f aca="false">A1278*VOFLB</f>
        <v>164.579999999998</v>
      </c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 t="e">
        <f aca="false">0.000001*('Design Worksheet'!B$88)*(B1278-B1277)/E$232+M1277</f>
        <v>#N/A</v>
      </c>
      <c r="N1278" s="5" t="n">
        <f aca="false">B1278</f>
        <v>164.579999999998</v>
      </c>
    </row>
    <row r="1279" customFormat="false" ht="12.8" hidden="false" customHeight="false" outlineLevel="0" collapsed="false">
      <c r="A1279" s="5" t="n">
        <v>6.33499999999993</v>
      </c>
      <c r="B1279" s="5" t="n">
        <f aca="false">A1279*VOFLB</f>
        <v>164.709999999998</v>
      </c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 t="e">
        <f aca="false">0.000001*('Design Worksheet'!B$88)*(B1279-B1278)/E$232+M1278</f>
        <v>#N/A</v>
      </c>
      <c r="N1279" s="5" t="n">
        <f aca="false">B1279</f>
        <v>164.709999999998</v>
      </c>
    </row>
    <row r="1280" customFormat="false" ht="12.8" hidden="false" customHeight="false" outlineLevel="0" collapsed="false">
      <c r="A1280" s="5" t="n">
        <v>6.33999999999993</v>
      </c>
      <c r="B1280" s="5" t="n">
        <f aca="false">A1280*VOFLB</f>
        <v>164.839999999998</v>
      </c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 t="e">
        <f aca="false">0.000001*('Design Worksheet'!B$88)*(B1280-B1279)/E$232+M1279</f>
        <v>#N/A</v>
      </c>
      <c r="N1280" s="5" t="n">
        <f aca="false">B1280</f>
        <v>164.839999999998</v>
      </c>
    </row>
    <row r="1281" customFormat="false" ht="12.8" hidden="false" customHeight="false" outlineLevel="0" collapsed="false">
      <c r="A1281" s="5" t="n">
        <v>6.34499999999993</v>
      </c>
      <c r="B1281" s="5" t="n">
        <f aca="false">A1281*VOFLB</f>
        <v>164.969999999998</v>
      </c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 t="e">
        <f aca="false">0.000001*('Design Worksheet'!B$88)*(B1281-B1280)/E$232+M1280</f>
        <v>#N/A</v>
      </c>
      <c r="N1281" s="5" t="n">
        <f aca="false">B1281</f>
        <v>164.969999999998</v>
      </c>
    </row>
    <row r="1282" customFormat="false" ht="12.8" hidden="false" customHeight="false" outlineLevel="0" collapsed="false">
      <c r="A1282" s="5" t="n">
        <v>6.34999999999993</v>
      </c>
      <c r="B1282" s="5" t="n">
        <f aca="false">A1282*VOFLB</f>
        <v>165.099999999998</v>
      </c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 t="e">
        <f aca="false">0.000001*('Design Worksheet'!B$88)*(B1282-B1281)/E$232+M1281</f>
        <v>#N/A</v>
      </c>
      <c r="N1282" s="5" t="n">
        <f aca="false">B1282</f>
        <v>165.099999999998</v>
      </c>
    </row>
    <row r="1283" customFormat="false" ht="12.8" hidden="false" customHeight="false" outlineLevel="0" collapsed="false">
      <c r="A1283" s="5" t="n">
        <v>6.35499999999993</v>
      </c>
      <c r="B1283" s="5" t="n">
        <f aca="false">A1283*VOFLB</f>
        <v>165.229999999998</v>
      </c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 t="e">
        <f aca="false">0.000001*('Design Worksheet'!B$88)*(B1283-B1282)/E$232+M1282</f>
        <v>#N/A</v>
      </c>
      <c r="N1283" s="5" t="n">
        <f aca="false">B1283</f>
        <v>165.229999999998</v>
      </c>
    </row>
    <row r="1284" customFormat="false" ht="12.8" hidden="false" customHeight="false" outlineLevel="0" collapsed="false">
      <c r="A1284" s="5" t="n">
        <v>6.35999999999993</v>
      </c>
      <c r="B1284" s="5" t="n">
        <f aca="false">A1284*VOFLB</f>
        <v>165.359999999998</v>
      </c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 t="e">
        <f aca="false">0.000001*('Design Worksheet'!B$88)*(B1284-B1283)/E$232+M1283</f>
        <v>#N/A</v>
      </c>
      <c r="N1284" s="5" t="n">
        <f aca="false">B1284</f>
        <v>165.359999999998</v>
      </c>
    </row>
    <row r="1285" customFormat="false" ht="12.8" hidden="false" customHeight="false" outlineLevel="0" collapsed="false">
      <c r="A1285" s="5" t="n">
        <v>6.36499999999993</v>
      </c>
      <c r="B1285" s="5" t="n">
        <f aca="false">A1285*VOFLB</f>
        <v>165.489999999998</v>
      </c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 t="e">
        <f aca="false">0.000001*('Design Worksheet'!B$88)*(B1285-B1284)/E$232+M1284</f>
        <v>#N/A</v>
      </c>
      <c r="N1285" s="5" t="n">
        <f aca="false">B1285</f>
        <v>165.489999999998</v>
      </c>
    </row>
    <row r="1286" customFormat="false" ht="12.8" hidden="false" customHeight="false" outlineLevel="0" collapsed="false">
      <c r="A1286" s="5" t="n">
        <v>6.36999999999993</v>
      </c>
      <c r="B1286" s="5" t="n">
        <f aca="false">A1286*VOFLB</f>
        <v>165.619999999998</v>
      </c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 t="e">
        <f aca="false">0.000001*('Design Worksheet'!B$88)*(B1286-B1285)/E$232+M1285</f>
        <v>#N/A</v>
      </c>
      <c r="N1286" s="5" t="n">
        <f aca="false">B1286</f>
        <v>165.619999999998</v>
      </c>
    </row>
    <row r="1287" customFormat="false" ht="12.8" hidden="false" customHeight="false" outlineLevel="0" collapsed="false">
      <c r="A1287" s="5" t="n">
        <v>6.37499999999993</v>
      </c>
      <c r="B1287" s="5" t="n">
        <f aca="false">A1287*VOFLB</f>
        <v>165.749999999998</v>
      </c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 t="e">
        <f aca="false">0.000001*('Design Worksheet'!B$88)*(B1287-B1286)/E$232+M1286</f>
        <v>#N/A</v>
      </c>
      <c r="N1287" s="5" t="n">
        <f aca="false">B1287</f>
        <v>165.749999999998</v>
      </c>
    </row>
    <row r="1288" customFormat="false" ht="12.8" hidden="false" customHeight="false" outlineLevel="0" collapsed="false">
      <c r="A1288" s="5" t="n">
        <v>6.37999999999993</v>
      </c>
      <c r="B1288" s="5" t="n">
        <f aca="false">A1288*VOFLB</f>
        <v>165.879999999998</v>
      </c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 t="e">
        <f aca="false">0.000001*('Design Worksheet'!B$88)*(B1288-B1287)/E$232+M1287</f>
        <v>#N/A</v>
      </c>
      <c r="N1288" s="5" t="n">
        <f aca="false">B1288</f>
        <v>165.879999999998</v>
      </c>
    </row>
    <row r="1289" customFormat="false" ht="12.8" hidden="false" customHeight="false" outlineLevel="0" collapsed="false">
      <c r="A1289" s="5" t="n">
        <v>6.38499999999993</v>
      </c>
      <c r="B1289" s="5" t="n">
        <f aca="false">A1289*VOFLB</f>
        <v>166.009999999998</v>
      </c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 t="e">
        <f aca="false">0.000001*('Design Worksheet'!B$88)*(B1289-B1288)/E$232+M1288</f>
        <v>#N/A</v>
      </c>
      <c r="N1289" s="5" t="n">
        <f aca="false">B1289</f>
        <v>166.009999999998</v>
      </c>
    </row>
    <row r="1290" customFormat="false" ht="12.8" hidden="false" customHeight="false" outlineLevel="0" collapsed="false">
      <c r="A1290" s="5" t="n">
        <v>6.38999999999993</v>
      </c>
      <c r="B1290" s="5" t="n">
        <f aca="false">A1290*VOFLB</f>
        <v>166.139999999998</v>
      </c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 t="e">
        <f aca="false">0.000001*('Design Worksheet'!B$88)*(B1290-B1289)/E$232+M1289</f>
        <v>#N/A</v>
      </c>
      <c r="N1290" s="5" t="n">
        <f aca="false">B1290</f>
        <v>166.139999999998</v>
      </c>
    </row>
    <row r="1291" customFormat="false" ht="12.8" hidden="false" customHeight="false" outlineLevel="0" collapsed="false">
      <c r="A1291" s="5" t="n">
        <v>6.39499999999993</v>
      </c>
      <c r="B1291" s="5" t="n">
        <f aca="false">A1291*VOFLB</f>
        <v>166.269999999998</v>
      </c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 t="e">
        <f aca="false">0.000001*('Design Worksheet'!B$88)*(B1291-B1290)/E$232+M1290</f>
        <v>#N/A</v>
      </c>
      <c r="N1291" s="5" t="n">
        <f aca="false">B1291</f>
        <v>166.269999999998</v>
      </c>
    </row>
    <row r="1292" customFormat="false" ht="12.8" hidden="false" customHeight="false" outlineLevel="0" collapsed="false">
      <c r="A1292" s="5" t="n">
        <v>6.39999999999993</v>
      </c>
      <c r="B1292" s="5" t="n">
        <f aca="false">A1292*VOFLB</f>
        <v>166.399999999998</v>
      </c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 t="e">
        <f aca="false">0.000001*('Design Worksheet'!B$88)*(B1292-B1291)/E$232+M1291</f>
        <v>#N/A</v>
      </c>
      <c r="N1292" s="5" t="n">
        <f aca="false">B1292</f>
        <v>166.399999999998</v>
      </c>
    </row>
    <row r="1293" customFormat="false" ht="12.8" hidden="false" customHeight="false" outlineLevel="0" collapsed="false">
      <c r="A1293" s="5" t="n">
        <v>6.40499999999993</v>
      </c>
      <c r="B1293" s="5" t="n">
        <f aca="false">A1293*VOFLB</f>
        <v>166.529999999998</v>
      </c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 t="e">
        <f aca="false">0.000001*('Design Worksheet'!B$88)*(B1293-B1292)/E$232+M1292</f>
        <v>#N/A</v>
      </c>
      <c r="N1293" s="5" t="n">
        <f aca="false">B1293</f>
        <v>166.529999999998</v>
      </c>
    </row>
    <row r="1294" customFormat="false" ht="12.8" hidden="false" customHeight="false" outlineLevel="0" collapsed="false">
      <c r="A1294" s="5" t="n">
        <v>6.40999999999993</v>
      </c>
      <c r="B1294" s="5" t="n">
        <f aca="false">A1294*VOFLB</f>
        <v>166.659999999998</v>
      </c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 t="e">
        <f aca="false">0.000001*('Design Worksheet'!B$88)*(B1294-B1293)/E$232+M1293</f>
        <v>#N/A</v>
      </c>
      <c r="N1294" s="5" t="n">
        <f aca="false">B1294</f>
        <v>166.659999999998</v>
      </c>
    </row>
    <row r="1295" customFormat="false" ht="12.8" hidden="false" customHeight="false" outlineLevel="0" collapsed="false">
      <c r="A1295" s="5" t="n">
        <v>6.41499999999993</v>
      </c>
      <c r="B1295" s="5" t="n">
        <f aca="false">A1295*VOFLB</f>
        <v>166.789999999998</v>
      </c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 t="e">
        <f aca="false">0.000001*('Design Worksheet'!B$88)*(B1295-B1294)/E$232+M1294</f>
        <v>#N/A</v>
      </c>
      <c r="N1295" s="5" t="n">
        <f aca="false">B1295</f>
        <v>166.789999999998</v>
      </c>
    </row>
    <row r="1296" customFormat="false" ht="12.8" hidden="false" customHeight="false" outlineLevel="0" collapsed="false">
      <c r="A1296" s="5" t="n">
        <v>6.41999999999993</v>
      </c>
      <c r="B1296" s="5" t="n">
        <f aca="false">A1296*VOFLB</f>
        <v>166.919999999998</v>
      </c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 t="e">
        <f aca="false">0.000001*('Design Worksheet'!B$88)*(B1296-B1295)/E$232+M1295</f>
        <v>#N/A</v>
      </c>
      <c r="N1296" s="5" t="n">
        <f aca="false">B1296</f>
        <v>166.919999999998</v>
      </c>
    </row>
    <row r="1297" customFormat="false" ht="12.8" hidden="false" customHeight="false" outlineLevel="0" collapsed="false">
      <c r="A1297" s="5" t="n">
        <v>6.42499999999993</v>
      </c>
      <c r="B1297" s="5" t="n">
        <f aca="false">A1297*VOFLB</f>
        <v>167.049999999998</v>
      </c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 t="e">
        <f aca="false">0.000001*('Design Worksheet'!B$88)*(B1297-B1296)/E$232+M1296</f>
        <v>#N/A</v>
      </c>
      <c r="N1297" s="5" t="n">
        <f aca="false">B1297</f>
        <v>167.049999999998</v>
      </c>
    </row>
    <row r="1298" customFormat="false" ht="12.8" hidden="false" customHeight="false" outlineLevel="0" collapsed="false">
      <c r="A1298" s="5" t="n">
        <v>6.42999999999993</v>
      </c>
      <c r="B1298" s="5" t="n">
        <f aca="false">A1298*VOFLB</f>
        <v>167.179999999998</v>
      </c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 t="e">
        <f aca="false">0.000001*('Design Worksheet'!B$88)*(B1298-B1297)/E$232+M1297</f>
        <v>#N/A</v>
      </c>
      <c r="N1298" s="5" t="n">
        <f aca="false">B1298</f>
        <v>167.179999999998</v>
      </c>
    </row>
    <row r="1299" customFormat="false" ht="12.8" hidden="false" customHeight="false" outlineLevel="0" collapsed="false">
      <c r="A1299" s="5" t="n">
        <v>6.43499999999993</v>
      </c>
      <c r="B1299" s="5" t="n">
        <f aca="false">A1299*VOFLB</f>
        <v>167.309999999998</v>
      </c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 t="e">
        <f aca="false">0.000001*('Design Worksheet'!B$88)*(B1299-B1298)/E$232+M1298</f>
        <v>#N/A</v>
      </c>
      <c r="N1299" s="5" t="n">
        <f aca="false">B1299</f>
        <v>167.309999999998</v>
      </c>
    </row>
    <row r="1300" customFormat="false" ht="12.8" hidden="false" customHeight="false" outlineLevel="0" collapsed="false">
      <c r="A1300" s="5" t="n">
        <v>6.43999999999993</v>
      </c>
      <c r="B1300" s="5" t="n">
        <f aca="false">A1300*VOFLB</f>
        <v>167.439999999998</v>
      </c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 t="e">
        <f aca="false">0.000001*('Design Worksheet'!B$88)*(B1300-B1299)/E$232+M1299</f>
        <v>#N/A</v>
      </c>
      <c r="N1300" s="5" t="n">
        <f aca="false">B1300</f>
        <v>167.439999999998</v>
      </c>
    </row>
    <row r="1301" customFormat="false" ht="12.8" hidden="false" customHeight="false" outlineLevel="0" collapsed="false">
      <c r="A1301" s="5" t="n">
        <v>6.44499999999993</v>
      </c>
      <c r="B1301" s="5" t="n">
        <f aca="false">A1301*VOFLB</f>
        <v>167.569999999998</v>
      </c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 t="e">
        <f aca="false">0.000001*('Design Worksheet'!B$88)*(B1301-B1300)/E$232+M1300</f>
        <v>#N/A</v>
      </c>
      <c r="N1301" s="5" t="n">
        <f aca="false">B1301</f>
        <v>167.569999999998</v>
      </c>
    </row>
    <row r="1302" customFormat="false" ht="12.8" hidden="false" customHeight="false" outlineLevel="0" collapsed="false">
      <c r="A1302" s="5" t="n">
        <v>6.44999999999993</v>
      </c>
      <c r="B1302" s="5" t="n">
        <f aca="false">A1302*VOFLB</f>
        <v>167.699999999998</v>
      </c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 t="e">
        <f aca="false">0.000001*('Design Worksheet'!B$88)*(B1302-B1301)/E$232+M1301</f>
        <v>#N/A</v>
      </c>
      <c r="N1302" s="5" t="n">
        <f aca="false">B1302</f>
        <v>167.699999999998</v>
      </c>
    </row>
    <row r="1303" customFormat="false" ht="12.8" hidden="false" customHeight="false" outlineLevel="0" collapsed="false">
      <c r="A1303" s="5" t="n">
        <v>6.45499999999993</v>
      </c>
      <c r="B1303" s="5" t="n">
        <f aca="false">A1303*VOFLB</f>
        <v>167.829999999998</v>
      </c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 t="e">
        <f aca="false">0.000001*('Design Worksheet'!B$88)*(B1303-B1302)/E$232+M1302</f>
        <v>#N/A</v>
      </c>
      <c r="N1303" s="5" t="n">
        <f aca="false">B1303</f>
        <v>167.829999999998</v>
      </c>
    </row>
    <row r="1304" customFormat="false" ht="12.8" hidden="false" customHeight="false" outlineLevel="0" collapsed="false">
      <c r="A1304" s="5" t="n">
        <v>6.45999999999993</v>
      </c>
      <c r="B1304" s="5" t="n">
        <f aca="false">A1304*VOFLB</f>
        <v>167.959999999998</v>
      </c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 t="e">
        <f aca="false">0.000001*('Design Worksheet'!B$88)*(B1304-B1303)/E$232+M1303</f>
        <v>#N/A</v>
      </c>
      <c r="N1304" s="5" t="n">
        <f aca="false">B1304</f>
        <v>167.959999999998</v>
      </c>
    </row>
    <row r="1305" customFormat="false" ht="12.8" hidden="false" customHeight="false" outlineLevel="0" collapsed="false">
      <c r="A1305" s="5" t="n">
        <v>6.46499999999993</v>
      </c>
      <c r="B1305" s="5" t="n">
        <f aca="false">A1305*VOFLB</f>
        <v>168.089999999998</v>
      </c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 t="e">
        <f aca="false">0.000001*('Design Worksheet'!B$88)*(B1305-B1304)/E$232+M1304</f>
        <v>#N/A</v>
      </c>
      <c r="N1305" s="5" t="n">
        <f aca="false">B1305</f>
        <v>168.089999999998</v>
      </c>
    </row>
    <row r="1306" customFormat="false" ht="12.8" hidden="false" customHeight="false" outlineLevel="0" collapsed="false">
      <c r="A1306" s="5" t="n">
        <v>6.46999999999993</v>
      </c>
      <c r="B1306" s="5" t="n">
        <f aca="false">A1306*VOFLB</f>
        <v>168.219999999998</v>
      </c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 t="e">
        <f aca="false">0.000001*('Design Worksheet'!B$88)*(B1306-B1305)/E$232+M1305</f>
        <v>#N/A</v>
      </c>
      <c r="N1306" s="5" t="n">
        <f aca="false">B1306</f>
        <v>168.219999999998</v>
      </c>
    </row>
    <row r="1307" customFormat="false" ht="12.8" hidden="false" customHeight="false" outlineLevel="0" collapsed="false">
      <c r="A1307" s="5" t="n">
        <v>6.47499999999993</v>
      </c>
      <c r="B1307" s="5" t="n">
        <f aca="false">A1307*VOFLB</f>
        <v>168.349999999998</v>
      </c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 t="e">
        <f aca="false">0.000001*('Design Worksheet'!B$88)*(B1307-B1306)/E$232+M1306</f>
        <v>#N/A</v>
      </c>
      <c r="N1307" s="5" t="n">
        <f aca="false">B1307</f>
        <v>168.349999999998</v>
      </c>
    </row>
    <row r="1308" customFormat="false" ht="12.8" hidden="false" customHeight="false" outlineLevel="0" collapsed="false">
      <c r="A1308" s="5" t="n">
        <v>6.47999999999993</v>
      </c>
      <c r="B1308" s="5" t="n">
        <f aca="false">A1308*VOFLB</f>
        <v>168.479999999998</v>
      </c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 t="e">
        <f aca="false">0.000001*('Design Worksheet'!B$88)*(B1308-B1307)/E$232+M1307</f>
        <v>#N/A</v>
      </c>
      <c r="N1308" s="5" t="n">
        <f aca="false">B1308</f>
        <v>168.479999999998</v>
      </c>
    </row>
    <row r="1309" customFormat="false" ht="12.8" hidden="false" customHeight="false" outlineLevel="0" collapsed="false">
      <c r="A1309" s="5" t="n">
        <v>6.48499999999993</v>
      </c>
      <c r="B1309" s="5" t="n">
        <f aca="false">A1309*VOFLB</f>
        <v>168.609999999998</v>
      </c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 t="e">
        <f aca="false">0.000001*('Design Worksheet'!B$88)*(B1309-B1308)/E$232+M1308</f>
        <v>#N/A</v>
      </c>
      <c r="N1309" s="5" t="n">
        <f aca="false">B1309</f>
        <v>168.609999999998</v>
      </c>
    </row>
    <row r="1310" customFormat="false" ht="12.8" hidden="false" customHeight="false" outlineLevel="0" collapsed="false">
      <c r="A1310" s="5" t="n">
        <v>6.48999999999993</v>
      </c>
      <c r="B1310" s="5" t="n">
        <f aca="false">A1310*VOFLB</f>
        <v>168.739999999998</v>
      </c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 t="e">
        <f aca="false">0.000001*('Design Worksheet'!B$88)*(B1310-B1309)/E$232+M1309</f>
        <v>#N/A</v>
      </c>
      <c r="N1310" s="5" t="n">
        <f aca="false">B1310</f>
        <v>168.739999999998</v>
      </c>
    </row>
    <row r="1311" customFormat="false" ht="12.8" hidden="false" customHeight="false" outlineLevel="0" collapsed="false">
      <c r="A1311" s="5" t="n">
        <v>6.49499999999993</v>
      </c>
      <c r="B1311" s="5" t="n">
        <f aca="false">A1311*VOFLB</f>
        <v>168.869999999998</v>
      </c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 t="e">
        <f aca="false">0.000001*('Design Worksheet'!B$88)*(B1311-B1310)/E$232+M1310</f>
        <v>#N/A</v>
      </c>
      <c r="N1311" s="5" t="n">
        <f aca="false">B1311</f>
        <v>168.869999999998</v>
      </c>
    </row>
    <row r="1312" customFormat="false" ht="12.8" hidden="false" customHeight="false" outlineLevel="0" collapsed="false">
      <c r="A1312" s="5" t="n">
        <v>6.49999999999993</v>
      </c>
      <c r="B1312" s="5" t="n">
        <f aca="false">A1312*VOFLB</f>
        <v>168.999999999998</v>
      </c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 t="e">
        <f aca="false">0.000001*('Design Worksheet'!B$88)*(B1312-B1311)/E$232+M1311</f>
        <v>#N/A</v>
      </c>
      <c r="N1312" s="5" t="n">
        <f aca="false">B1312</f>
        <v>168.999999999998</v>
      </c>
    </row>
    <row r="1313" customFormat="false" ht="12.8" hidden="false" customHeight="false" outlineLevel="0" collapsed="false">
      <c r="A1313" s="5" t="n">
        <v>6.50499999999993</v>
      </c>
      <c r="B1313" s="5" t="n">
        <f aca="false">A1313*VOFLB</f>
        <v>169.129999999998</v>
      </c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 t="e">
        <f aca="false">0.000001*('Design Worksheet'!B$88)*(B1313-B1312)/E$232+M1312</f>
        <v>#N/A</v>
      </c>
      <c r="N1313" s="5" t="n">
        <f aca="false">B1313</f>
        <v>169.129999999998</v>
      </c>
    </row>
    <row r="1314" customFormat="false" ht="12.8" hidden="false" customHeight="false" outlineLevel="0" collapsed="false">
      <c r="A1314" s="5" t="n">
        <v>6.50999999999993</v>
      </c>
      <c r="B1314" s="5" t="n">
        <f aca="false">A1314*VOFLB</f>
        <v>169.259999999998</v>
      </c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 t="e">
        <f aca="false">0.000001*('Design Worksheet'!B$88)*(B1314-B1313)/E$232+M1313</f>
        <v>#N/A</v>
      </c>
      <c r="N1314" s="5" t="n">
        <f aca="false">B1314</f>
        <v>169.259999999998</v>
      </c>
    </row>
    <row r="1315" customFormat="false" ht="12.8" hidden="false" customHeight="false" outlineLevel="0" collapsed="false">
      <c r="A1315" s="5" t="n">
        <v>6.51499999999993</v>
      </c>
      <c r="B1315" s="5" t="n">
        <f aca="false">A1315*VOFLB</f>
        <v>169.389999999998</v>
      </c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 t="e">
        <f aca="false">0.000001*('Design Worksheet'!B$88)*(B1315-B1314)/E$232+M1314</f>
        <v>#N/A</v>
      </c>
      <c r="N1315" s="5" t="n">
        <f aca="false">B1315</f>
        <v>169.389999999998</v>
      </c>
    </row>
    <row r="1316" customFormat="false" ht="12.8" hidden="false" customHeight="false" outlineLevel="0" collapsed="false">
      <c r="A1316" s="5" t="n">
        <v>6.51999999999993</v>
      </c>
      <c r="B1316" s="5" t="n">
        <f aca="false">A1316*VOFLB</f>
        <v>169.519999999998</v>
      </c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 t="e">
        <f aca="false">0.000001*('Design Worksheet'!B$88)*(B1316-B1315)/E$232+M1315</f>
        <v>#N/A</v>
      </c>
      <c r="N1316" s="5" t="n">
        <f aca="false">B1316</f>
        <v>169.519999999998</v>
      </c>
    </row>
    <row r="1317" customFormat="false" ht="12.8" hidden="false" customHeight="false" outlineLevel="0" collapsed="false">
      <c r="A1317" s="5" t="n">
        <v>6.52499999999993</v>
      </c>
      <c r="B1317" s="5" t="n">
        <f aca="false">A1317*VOFLB</f>
        <v>169.649999999998</v>
      </c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 t="e">
        <f aca="false">0.000001*('Design Worksheet'!B$88)*(B1317-B1316)/E$232+M1316</f>
        <v>#N/A</v>
      </c>
      <c r="N1317" s="5" t="n">
        <f aca="false">B1317</f>
        <v>169.649999999998</v>
      </c>
    </row>
    <row r="1318" customFormat="false" ht="12.8" hidden="false" customHeight="false" outlineLevel="0" collapsed="false">
      <c r="A1318" s="5" t="n">
        <v>6.52999999999993</v>
      </c>
      <c r="B1318" s="5" t="n">
        <f aca="false">A1318*VOFLB</f>
        <v>169.779999999998</v>
      </c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 t="e">
        <f aca="false">0.000001*('Design Worksheet'!B$88)*(B1318-B1317)/E$232+M1317</f>
        <v>#N/A</v>
      </c>
      <c r="N1318" s="5" t="n">
        <f aca="false">B1318</f>
        <v>169.779999999998</v>
      </c>
    </row>
    <row r="1319" customFormat="false" ht="12.8" hidden="false" customHeight="false" outlineLevel="0" collapsed="false">
      <c r="A1319" s="5" t="n">
        <v>6.53499999999993</v>
      </c>
      <c r="B1319" s="5" t="n">
        <f aca="false">A1319*VOFLB</f>
        <v>169.909999999998</v>
      </c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 t="e">
        <f aca="false">0.000001*('Design Worksheet'!B$88)*(B1319-B1318)/E$232+M1318</f>
        <v>#N/A</v>
      </c>
      <c r="N1319" s="5" t="n">
        <f aca="false">B1319</f>
        <v>169.909999999998</v>
      </c>
    </row>
    <row r="1320" customFormat="false" ht="12.8" hidden="false" customHeight="false" outlineLevel="0" collapsed="false">
      <c r="A1320" s="5" t="n">
        <v>6.53999999999993</v>
      </c>
      <c r="B1320" s="5" t="n">
        <f aca="false">A1320*VOFLB</f>
        <v>170.039999999998</v>
      </c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 t="e">
        <f aca="false">0.000001*('Design Worksheet'!B$88)*(B1320-B1319)/E$232+M1319</f>
        <v>#N/A</v>
      </c>
      <c r="N1320" s="5" t="n">
        <f aca="false">B1320</f>
        <v>170.039999999998</v>
      </c>
    </row>
    <row r="1321" customFormat="false" ht="12.8" hidden="false" customHeight="false" outlineLevel="0" collapsed="false">
      <c r="A1321" s="5" t="n">
        <v>6.54499999999993</v>
      </c>
      <c r="B1321" s="5" t="n">
        <f aca="false">A1321*VOFLB</f>
        <v>170.169999999998</v>
      </c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 t="e">
        <f aca="false">0.000001*('Design Worksheet'!B$88)*(B1321-B1320)/E$232+M1320</f>
        <v>#N/A</v>
      </c>
      <c r="N1321" s="5" t="n">
        <f aca="false">B1321</f>
        <v>170.169999999998</v>
      </c>
    </row>
    <row r="1322" customFormat="false" ht="12.8" hidden="false" customHeight="false" outlineLevel="0" collapsed="false">
      <c r="A1322" s="5" t="n">
        <v>6.54999999999993</v>
      </c>
      <c r="B1322" s="5" t="n">
        <f aca="false">A1322*VOFLB</f>
        <v>170.299999999998</v>
      </c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 t="e">
        <f aca="false">0.000001*('Design Worksheet'!B$88)*(B1322-B1321)/E$232+M1321</f>
        <v>#N/A</v>
      </c>
      <c r="N1322" s="5" t="n">
        <f aca="false">B1322</f>
        <v>170.299999999998</v>
      </c>
    </row>
    <row r="1323" customFormat="false" ht="12.8" hidden="false" customHeight="false" outlineLevel="0" collapsed="false">
      <c r="A1323" s="5" t="n">
        <v>6.55499999999993</v>
      </c>
      <c r="B1323" s="5" t="n">
        <f aca="false">A1323*VOFLB</f>
        <v>170.429999999998</v>
      </c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 t="e">
        <f aca="false">0.000001*('Design Worksheet'!B$88)*(B1323-B1322)/E$232+M1322</f>
        <v>#N/A</v>
      </c>
      <c r="N1323" s="5" t="n">
        <f aca="false">B1323</f>
        <v>170.429999999998</v>
      </c>
    </row>
    <row r="1324" customFormat="false" ht="12.8" hidden="false" customHeight="false" outlineLevel="0" collapsed="false">
      <c r="A1324" s="5" t="n">
        <v>6.55999999999992</v>
      </c>
      <c r="B1324" s="5" t="n">
        <f aca="false">A1324*VOFLB</f>
        <v>170.559999999998</v>
      </c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 t="e">
        <f aca="false">0.000001*('Design Worksheet'!B$88)*(B1324-B1323)/E$232+M1323</f>
        <v>#N/A</v>
      </c>
      <c r="N1324" s="5" t="n">
        <f aca="false">B1324</f>
        <v>170.559999999998</v>
      </c>
    </row>
    <row r="1325" customFormat="false" ht="12.8" hidden="false" customHeight="false" outlineLevel="0" collapsed="false">
      <c r="A1325" s="5" t="n">
        <v>6.56499999999992</v>
      </c>
      <c r="B1325" s="5" t="n">
        <f aca="false">A1325*VOFLB</f>
        <v>170.689999999998</v>
      </c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 t="e">
        <f aca="false">0.000001*('Design Worksheet'!B$88)*(B1325-B1324)/E$232+M1324</f>
        <v>#N/A</v>
      </c>
      <c r="N1325" s="5" t="n">
        <f aca="false">B1325</f>
        <v>170.689999999998</v>
      </c>
    </row>
    <row r="1326" customFormat="false" ht="12.8" hidden="false" customHeight="false" outlineLevel="0" collapsed="false">
      <c r="A1326" s="5" t="n">
        <v>6.56999999999992</v>
      </c>
      <c r="B1326" s="5" t="n">
        <f aca="false">A1326*VOFLB</f>
        <v>170.819999999998</v>
      </c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 t="e">
        <f aca="false">0.000001*('Design Worksheet'!B$88)*(B1326-B1325)/E$232+M1325</f>
        <v>#N/A</v>
      </c>
      <c r="N1326" s="5" t="n">
        <f aca="false">B1326</f>
        <v>170.819999999998</v>
      </c>
    </row>
    <row r="1327" customFormat="false" ht="12.8" hidden="false" customHeight="false" outlineLevel="0" collapsed="false">
      <c r="A1327" s="5" t="n">
        <v>6.57499999999992</v>
      </c>
      <c r="B1327" s="5" t="n">
        <f aca="false">A1327*VOFLB</f>
        <v>170.949999999998</v>
      </c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 t="e">
        <f aca="false">0.000001*('Design Worksheet'!B$88)*(B1327-B1326)/E$232+M1326</f>
        <v>#N/A</v>
      </c>
      <c r="N1327" s="5" t="n">
        <f aca="false">B1327</f>
        <v>170.949999999998</v>
      </c>
    </row>
    <row r="1328" customFormat="false" ht="12.8" hidden="false" customHeight="false" outlineLevel="0" collapsed="false">
      <c r="A1328" s="5" t="n">
        <v>6.57999999999992</v>
      </c>
      <c r="B1328" s="5" t="n">
        <f aca="false">A1328*VOFLB</f>
        <v>171.079999999998</v>
      </c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 t="e">
        <f aca="false">0.000001*('Design Worksheet'!B$88)*(B1328-B1327)/E$232+M1327</f>
        <v>#N/A</v>
      </c>
      <c r="N1328" s="5" t="n">
        <f aca="false">B1328</f>
        <v>171.079999999998</v>
      </c>
    </row>
    <row r="1329" customFormat="false" ht="12.8" hidden="false" customHeight="false" outlineLevel="0" collapsed="false">
      <c r="A1329" s="5" t="n">
        <v>6.58499999999992</v>
      </c>
      <c r="B1329" s="5" t="n">
        <f aca="false">A1329*VOFLB</f>
        <v>171.209999999998</v>
      </c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 t="e">
        <f aca="false">0.000001*('Design Worksheet'!B$88)*(B1329-B1328)/E$232+M1328</f>
        <v>#N/A</v>
      </c>
      <c r="N1329" s="5" t="n">
        <f aca="false">B1329</f>
        <v>171.209999999998</v>
      </c>
    </row>
    <row r="1330" customFormat="false" ht="12.8" hidden="false" customHeight="false" outlineLevel="0" collapsed="false">
      <c r="A1330" s="5" t="n">
        <v>6.58999999999992</v>
      </c>
      <c r="B1330" s="5" t="n">
        <f aca="false">A1330*VOFLB</f>
        <v>171.339999999998</v>
      </c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 t="e">
        <f aca="false">0.000001*('Design Worksheet'!B$88)*(B1330-B1329)/E$232+M1329</f>
        <v>#N/A</v>
      </c>
      <c r="N1330" s="5" t="n">
        <f aca="false">B1330</f>
        <v>171.339999999998</v>
      </c>
    </row>
    <row r="1331" customFormat="false" ht="12.8" hidden="false" customHeight="false" outlineLevel="0" collapsed="false">
      <c r="A1331" s="5" t="n">
        <v>6.59499999999992</v>
      </c>
      <c r="B1331" s="5" t="n">
        <f aca="false">A1331*VOFLB</f>
        <v>171.469999999998</v>
      </c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 t="e">
        <f aca="false">0.000001*('Design Worksheet'!B$88)*(B1331-B1330)/E$232+M1330</f>
        <v>#N/A</v>
      </c>
      <c r="N1331" s="5" t="n">
        <f aca="false">B1331</f>
        <v>171.469999999998</v>
      </c>
    </row>
    <row r="1332" customFormat="false" ht="12.8" hidden="false" customHeight="false" outlineLevel="0" collapsed="false">
      <c r="A1332" s="5" t="n">
        <v>6.59999999999992</v>
      </c>
      <c r="B1332" s="5" t="n">
        <f aca="false">A1332*VOFLB</f>
        <v>171.599999999998</v>
      </c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 t="e">
        <f aca="false">0.000001*('Design Worksheet'!B$88)*(B1332-B1331)/E$232+M1331</f>
        <v>#N/A</v>
      </c>
      <c r="N1332" s="5" t="n">
        <f aca="false">B1332</f>
        <v>171.599999999998</v>
      </c>
    </row>
    <row r="1333" customFormat="false" ht="12.8" hidden="false" customHeight="false" outlineLevel="0" collapsed="false">
      <c r="A1333" s="5" t="n">
        <v>6.60499999999992</v>
      </c>
      <c r="B1333" s="5" t="n">
        <f aca="false">A1333*VOFLB</f>
        <v>171.729999999998</v>
      </c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 t="e">
        <f aca="false">0.000001*('Design Worksheet'!B$88)*(B1333-B1332)/E$232+M1332</f>
        <v>#N/A</v>
      </c>
      <c r="N1333" s="5" t="n">
        <f aca="false">B1333</f>
        <v>171.729999999998</v>
      </c>
    </row>
    <row r="1334" customFormat="false" ht="12.8" hidden="false" customHeight="false" outlineLevel="0" collapsed="false">
      <c r="A1334" s="5" t="n">
        <v>6.60999999999992</v>
      </c>
      <c r="B1334" s="5" t="n">
        <f aca="false">A1334*VOFLB</f>
        <v>171.859999999998</v>
      </c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 t="e">
        <f aca="false">0.000001*('Design Worksheet'!B$88)*(B1334-B1333)/E$232+M1333</f>
        <v>#N/A</v>
      </c>
      <c r="N1334" s="5" t="n">
        <f aca="false">B1334</f>
        <v>171.859999999998</v>
      </c>
    </row>
    <row r="1335" customFormat="false" ht="12.8" hidden="false" customHeight="false" outlineLevel="0" collapsed="false">
      <c r="A1335" s="5" t="n">
        <v>6.61499999999992</v>
      </c>
      <c r="B1335" s="5" t="n">
        <f aca="false">A1335*VOFLB</f>
        <v>171.989999999998</v>
      </c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 t="e">
        <f aca="false">0.000001*('Design Worksheet'!B$88)*(B1335-B1334)/E$232+M1334</f>
        <v>#N/A</v>
      </c>
      <c r="N1335" s="5" t="n">
        <f aca="false">B1335</f>
        <v>171.989999999998</v>
      </c>
    </row>
    <row r="1336" customFormat="false" ht="12.8" hidden="false" customHeight="false" outlineLevel="0" collapsed="false">
      <c r="A1336" s="5" t="n">
        <v>6.61999999999992</v>
      </c>
      <c r="B1336" s="5" t="n">
        <f aca="false">A1336*VOFLB</f>
        <v>172.119999999998</v>
      </c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 t="e">
        <f aca="false">0.000001*('Design Worksheet'!B$88)*(B1336-B1335)/E$232+M1335</f>
        <v>#N/A</v>
      </c>
      <c r="N1336" s="5" t="n">
        <f aca="false">B1336</f>
        <v>172.119999999998</v>
      </c>
    </row>
    <row r="1337" customFormat="false" ht="12.8" hidden="false" customHeight="false" outlineLevel="0" collapsed="false">
      <c r="A1337" s="5" t="n">
        <v>6.62499999999992</v>
      </c>
      <c r="B1337" s="5" t="n">
        <f aca="false">A1337*VOFLB</f>
        <v>172.249999999998</v>
      </c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 t="e">
        <f aca="false">0.000001*('Design Worksheet'!B$88)*(B1337-B1336)/E$232+M1336</f>
        <v>#N/A</v>
      </c>
      <c r="N1337" s="5" t="n">
        <f aca="false">B1337</f>
        <v>172.249999999998</v>
      </c>
    </row>
    <row r="1338" customFormat="false" ht="12.8" hidden="false" customHeight="false" outlineLevel="0" collapsed="false">
      <c r="A1338" s="5" t="n">
        <v>6.62999999999992</v>
      </c>
      <c r="B1338" s="5" t="n">
        <f aca="false">A1338*VOFLB</f>
        <v>172.379999999998</v>
      </c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 t="e">
        <f aca="false">0.000001*('Design Worksheet'!B$88)*(B1338-B1337)/E$232+M1337</f>
        <v>#N/A</v>
      </c>
      <c r="N1338" s="5" t="n">
        <f aca="false">B1338</f>
        <v>172.379999999998</v>
      </c>
    </row>
    <row r="1339" customFormat="false" ht="12.8" hidden="false" customHeight="false" outlineLevel="0" collapsed="false">
      <c r="A1339" s="5" t="n">
        <v>6.63499999999992</v>
      </c>
      <c r="B1339" s="5" t="n">
        <f aca="false">A1339*VOFLB</f>
        <v>172.509999999998</v>
      </c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 t="e">
        <f aca="false">0.000001*('Design Worksheet'!B$88)*(B1339-B1338)/E$232+M1338</f>
        <v>#N/A</v>
      </c>
      <c r="N1339" s="5" t="n">
        <f aca="false">B1339</f>
        <v>172.509999999998</v>
      </c>
    </row>
    <row r="1340" customFormat="false" ht="12.8" hidden="false" customHeight="false" outlineLevel="0" collapsed="false">
      <c r="A1340" s="5" t="n">
        <v>6.63999999999992</v>
      </c>
      <c r="B1340" s="5" t="n">
        <f aca="false">A1340*VOFLB</f>
        <v>172.639999999998</v>
      </c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 t="e">
        <f aca="false">0.000001*('Design Worksheet'!B$88)*(B1340-B1339)/E$232+M1339</f>
        <v>#N/A</v>
      </c>
      <c r="N1340" s="5" t="n">
        <f aca="false">B1340</f>
        <v>172.639999999998</v>
      </c>
    </row>
    <row r="1341" customFormat="false" ht="12.8" hidden="false" customHeight="false" outlineLevel="0" collapsed="false">
      <c r="A1341" s="5" t="n">
        <v>6.64499999999992</v>
      </c>
      <c r="B1341" s="5" t="n">
        <f aca="false">A1341*VOFLB</f>
        <v>172.769999999998</v>
      </c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 t="e">
        <f aca="false">0.000001*('Design Worksheet'!B$88)*(B1341-B1340)/E$232+M1340</f>
        <v>#N/A</v>
      </c>
      <c r="N1341" s="5" t="n">
        <f aca="false">B1341</f>
        <v>172.769999999998</v>
      </c>
    </row>
    <row r="1342" customFormat="false" ht="12.8" hidden="false" customHeight="false" outlineLevel="0" collapsed="false">
      <c r="A1342" s="5" t="n">
        <v>6.64999999999992</v>
      </c>
      <c r="B1342" s="5" t="n">
        <f aca="false">A1342*VOFLB</f>
        <v>172.899999999998</v>
      </c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 t="e">
        <f aca="false">0.000001*('Design Worksheet'!B$88)*(B1342-B1341)/E$232+M1341</f>
        <v>#N/A</v>
      </c>
      <c r="N1342" s="5" t="n">
        <f aca="false">B1342</f>
        <v>172.899999999998</v>
      </c>
    </row>
    <row r="1343" customFormat="false" ht="12.8" hidden="false" customHeight="false" outlineLevel="0" collapsed="false">
      <c r="A1343" s="5" t="n">
        <v>6.65499999999992</v>
      </c>
      <c r="B1343" s="5" t="n">
        <f aca="false">A1343*VOFLB</f>
        <v>173.029999999998</v>
      </c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 t="e">
        <f aca="false">0.000001*('Design Worksheet'!B$88)*(B1343-B1342)/E$232+M1342</f>
        <v>#N/A</v>
      </c>
      <c r="N1343" s="5" t="n">
        <f aca="false">B1343</f>
        <v>173.029999999998</v>
      </c>
    </row>
    <row r="1344" customFormat="false" ht="12.8" hidden="false" customHeight="false" outlineLevel="0" collapsed="false">
      <c r="A1344" s="5" t="n">
        <v>6.65999999999992</v>
      </c>
      <c r="B1344" s="5" t="n">
        <f aca="false">A1344*VOFLB</f>
        <v>173.159999999998</v>
      </c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 t="e">
        <f aca="false">0.000001*('Design Worksheet'!B$88)*(B1344-B1343)/E$232+M1343</f>
        <v>#N/A</v>
      </c>
      <c r="N1344" s="5" t="n">
        <f aca="false">B1344</f>
        <v>173.159999999998</v>
      </c>
    </row>
    <row r="1345" customFormat="false" ht="12.8" hidden="false" customHeight="false" outlineLevel="0" collapsed="false">
      <c r="A1345" s="5" t="n">
        <v>6.66499999999992</v>
      </c>
      <c r="B1345" s="5" t="n">
        <f aca="false">A1345*VOFLB</f>
        <v>173.289999999998</v>
      </c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 t="e">
        <f aca="false">0.000001*('Design Worksheet'!B$88)*(B1345-B1344)/E$232+M1344</f>
        <v>#N/A</v>
      </c>
      <c r="N1345" s="5" t="n">
        <f aca="false">B1345</f>
        <v>173.289999999998</v>
      </c>
    </row>
    <row r="1346" customFormat="false" ht="12.8" hidden="false" customHeight="false" outlineLevel="0" collapsed="false">
      <c r="A1346" s="5" t="n">
        <v>6.66999999999992</v>
      </c>
      <c r="B1346" s="5" t="n">
        <f aca="false">A1346*VOFLB</f>
        <v>173.419999999998</v>
      </c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 t="e">
        <f aca="false">0.000001*('Design Worksheet'!B$88)*(B1346-B1345)/E$232+M1345</f>
        <v>#N/A</v>
      </c>
      <c r="N1346" s="5" t="n">
        <f aca="false">B1346</f>
        <v>173.419999999998</v>
      </c>
    </row>
    <row r="1347" customFormat="false" ht="12.8" hidden="false" customHeight="false" outlineLevel="0" collapsed="false">
      <c r="A1347" s="5" t="n">
        <v>6.67499999999992</v>
      </c>
      <c r="B1347" s="5" t="n">
        <f aca="false">A1347*VOFLB</f>
        <v>173.549999999998</v>
      </c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 t="e">
        <f aca="false">0.000001*('Design Worksheet'!B$88)*(B1347-B1346)/E$232+M1346</f>
        <v>#N/A</v>
      </c>
      <c r="N1347" s="5" t="n">
        <f aca="false">B1347</f>
        <v>173.549999999998</v>
      </c>
    </row>
    <row r="1348" customFormat="false" ht="12.8" hidden="false" customHeight="false" outlineLevel="0" collapsed="false">
      <c r="A1348" s="5" t="n">
        <v>6.67999999999992</v>
      </c>
      <c r="B1348" s="5" t="n">
        <f aca="false">A1348*VOFLB</f>
        <v>173.679999999998</v>
      </c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 t="e">
        <f aca="false">0.000001*('Design Worksheet'!B$88)*(B1348-B1347)/E$232+M1347</f>
        <v>#N/A</v>
      </c>
      <c r="N1348" s="5" t="n">
        <f aca="false">B1348</f>
        <v>173.679999999998</v>
      </c>
    </row>
    <row r="1349" customFormat="false" ht="12.8" hidden="false" customHeight="false" outlineLevel="0" collapsed="false">
      <c r="A1349" s="5" t="n">
        <v>6.68499999999992</v>
      </c>
      <c r="B1349" s="5" t="n">
        <f aca="false">A1349*VOFLB</f>
        <v>173.809999999998</v>
      </c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 t="e">
        <f aca="false">0.000001*('Design Worksheet'!B$88)*(B1349-B1348)/E$232+M1348</f>
        <v>#N/A</v>
      </c>
      <c r="N1349" s="5" t="n">
        <f aca="false">B1349</f>
        <v>173.809999999998</v>
      </c>
    </row>
    <row r="1350" customFormat="false" ht="12.8" hidden="false" customHeight="false" outlineLevel="0" collapsed="false">
      <c r="A1350" s="5" t="n">
        <v>6.68999999999992</v>
      </c>
      <c r="B1350" s="5" t="n">
        <f aca="false">A1350*VOFLB</f>
        <v>173.939999999998</v>
      </c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 t="e">
        <f aca="false">0.000001*('Design Worksheet'!B$88)*(B1350-B1349)/E$232+M1349</f>
        <v>#N/A</v>
      </c>
      <c r="N1350" s="5" t="n">
        <f aca="false">B1350</f>
        <v>173.939999999998</v>
      </c>
    </row>
    <row r="1351" customFormat="false" ht="12.8" hidden="false" customHeight="false" outlineLevel="0" collapsed="false">
      <c r="A1351" s="5" t="n">
        <v>6.69499999999992</v>
      </c>
      <c r="B1351" s="5" t="n">
        <f aca="false">A1351*VOFLB</f>
        <v>174.069999999998</v>
      </c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 t="e">
        <f aca="false">0.000001*('Design Worksheet'!B$88)*(B1351-B1350)/E$232+M1350</f>
        <v>#N/A</v>
      </c>
      <c r="N1351" s="5" t="n">
        <f aca="false">B1351</f>
        <v>174.069999999998</v>
      </c>
    </row>
    <row r="1352" customFormat="false" ht="12.8" hidden="false" customHeight="false" outlineLevel="0" collapsed="false">
      <c r="A1352" s="5" t="n">
        <v>6.69999999999992</v>
      </c>
      <c r="B1352" s="5" t="n">
        <f aca="false">A1352*VOFLB</f>
        <v>174.199999999998</v>
      </c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 t="e">
        <f aca="false">0.000001*('Design Worksheet'!B$88)*(B1352-B1351)/E$232+M1351</f>
        <v>#N/A</v>
      </c>
      <c r="N1352" s="5" t="n">
        <f aca="false">B1352</f>
        <v>174.199999999998</v>
      </c>
    </row>
    <row r="1353" customFormat="false" ht="12.8" hidden="false" customHeight="false" outlineLevel="0" collapsed="false">
      <c r="A1353" s="5" t="n">
        <v>6.70499999999992</v>
      </c>
      <c r="B1353" s="5" t="n">
        <f aca="false">A1353*VOFLB</f>
        <v>174.329999999998</v>
      </c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 t="e">
        <f aca="false">0.000001*('Design Worksheet'!B$88)*(B1353-B1352)/E$232+M1352</f>
        <v>#N/A</v>
      </c>
      <c r="N1353" s="5" t="n">
        <f aca="false">B1353</f>
        <v>174.329999999998</v>
      </c>
    </row>
    <row r="1354" customFormat="false" ht="12.8" hidden="false" customHeight="false" outlineLevel="0" collapsed="false">
      <c r="A1354" s="5" t="n">
        <v>6.70999999999992</v>
      </c>
      <c r="B1354" s="5" t="n">
        <f aca="false">A1354*VOFLB</f>
        <v>174.459999999998</v>
      </c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 t="e">
        <f aca="false">0.000001*('Design Worksheet'!B$88)*(B1354-B1353)/E$232+M1353</f>
        <v>#N/A</v>
      </c>
      <c r="N1354" s="5" t="n">
        <f aca="false">B1354</f>
        <v>174.459999999998</v>
      </c>
    </row>
    <row r="1355" customFormat="false" ht="12.8" hidden="false" customHeight="false" outlineLevel="0" collapsed="false">
      <c r="A1355" s="5" t="n">
        <v>6.71499999999992</v>
      </c>
      <c r="B1355" s="5" t="n">
        <f aca="false">A1355*VOFLB</f>
        <v>174.589999999998</v>
      </c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 t="e">
        <f aca="false">0.000001*('Design Worksheet'!B$88)*(B1355-B1354)/E$232+M1354</f>
        <v>#N/A</v>
      </c>
      <c r="N1355" s="5" t="n">
        <f aca="false">B1355</f>
        <v>174.589999999998</v>
      </c>
    </row>
    <row r="1356" customFormat="false" ht="12.8" hidden="false" customHeight="false" outlineLevel="0" collapsed="false">
      <c r="A1356" s="5" t="n">
        <v>6.71999999999992</v>
      </c>
      <c r="B1356" s="5" t="n">
        <f aca="false">A1356*VOFLB</f>
        <v>174.719999999998</v>
      </c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 t="e">
        <f aca="false">0.000001*('Design Worksheet'!B$88)*(B1356-B1355)/E$232+M1355</f>
        <v>#N/A</v>
      </c>
      <c r="N1356" s="5" t="n">
        <f aca="false">B1356</f>
        <v>174.719999999998</v>
      </c>
    </row>
    <row r="1357" customFormat="false" ht="12.8" hidden="false" customHeight="false" outlineLevel="0" collapsed="false">
      <c r="A1357" s="5" t="n">
        <v>6.72499999999992</v>
      </c>
      <c r="B1357" s="5" t="n">
        <f aca="false">A1357*VOFLB</f>
        <v>174.849999999998</v>
      </c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 t="e">
        <f aca="false">0.000001*('Design Worksheet'!B$88)*(B1357-B1356)/E$232+M1356</f>
        <v>#N/A</v>
      </c>
      <c r="N1357" s="5" t="n">
        <f aca="false">B1357</f>
        <v>174.849999999998</v>
      </c>
    </row>
    <row r="1358" customFormat="false" ht="12.8" hidden="false" customHeight="false" outlineLevel="0" collapsed="false">
      <c r="A1358" s="5" t="n">
        <v>6.72999999999992</v>
      </c>
      <c r="B1358" s="5" t="n">
        <f aca="false">A1358*VOFLB</f>
        <v>174.979999999998</v>
      </c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 t="e">
        <f aca="false">0.000001*('Design Worksheet'!B$88)*(B1358-B1357)/E$232+M1357</f>
        <v>#N/A</v>
      </c>
      <c r="N1358" s="5" t="n">
        <f aca="false">B1358</f>
        <v>174.979999999998</v>
      </c>
    </row>
    <row r="1359" customFormat="false" ht="12.8" hidden="false" customHeight="false" outlineLevel="0" collapsed="false">
      <c r="A1359" s="5" t="n">
        <v>6.73499999999992</v>
      </c>
      <c r="B1359" s="5" t="n">
        <f aca="false">A1359*VOFLB</f>
        <v>175.109999999998</v>
      </c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 t="e">
        <f aca="false">0.000001*('Design Worksheet'!B$88)*(B1359-B1358)/E$232+M1358</f>
        <v>#N/A</v>
      </c>
      <c r="N1359" s="5" t="n">
        <f aca="false">B1359</f>
        <v>175.109999999998</v>
      </c>
    </row>
    <row r="1360" customFormat="false" ht="12.8" hidden="false" customHeight="false" outlineLevel="0" collapsed="false">
      <c r="A1360" s="5" t="n">
        <v>6.73999999999992</v>
      </c>
      <c r="B1360" s="5" t="n">
        <f aca="false">A1360*VOFLB</f>
        <v>175.239999999998</v>
      </c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 t="e">
        <f aca="false">0.000001*('Design Worksheet'!B$88)*(B1360-B1359)/E$232+M1359</f>
        <v>#N/A</v>
      </c>
      <c r="N1360" s="5" t="n">
        <f aca="false">B1360</f>
        <v>175.239999999998</v>
      </c>
    </row>
    <row r="1361" customFormat="false" ht="12.8" hidden="false" customHeight="false" outlineLevel="0" collapsed="false">
      <c r="A1361" s="5" t="n">
        <v>6.74499999999992</v>
      </c>
      <c r="B1361" s="5" t="n">
        <f aca="false">A1361*VOFLB</f>
        <v>175.369999999998</v>
      </c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 t="e">
        <f aca="false">0.000001*('Design Worksheet'!B$88)*(B1361-B1360)/E$232+M1360</f>
        <v>#N/A</v>
      </c>
      <c r="N1361" s="5" t="n">
        <f aca="false">B1361</f>
        <v>175.369999999998</v>
      </c>
    </row>
    <row r="1362" customFormat="false" ht="12.8" hidden="false" customHeight="false" outlineLevel="0" collapsed="false">
      <c r="A1362" s="5" t="n">
        <v>6.74999999999992</v>
      </c>
      <c r="B1362" s="5" t="n">
        <f aca="false">A1362*VOFLB</f>
        <v>175.499999999998</v>
      </c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 t="e">
        <f aca="false">0.000001*('Design Worksheet'!B$88)*(B1362-B1361)/E$232+M1361</f>
        <v>#N/A</v>
      </c>
      <c r="N1362" s="5" t="n">
        <f aca="false">B1362</f>
        <v>175.499999999998</v>
      </c>
    </row>
    <row r="1363" customFormat="false" ht="12.8" hidden="false" customHeight="false" outlineLevel="0" collapsed="false">
      <c r="A1363" s="5" t="n">
        <v>6.75499999999992</v>
      </c>
      <c r="B1363" s="5" t="n">
        <f aca="false">A1363*VOFLB</f>
        <v>175.629999999998</v>
      </c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 t="e">
        <f aca="false">0.000001*('Design Worksheet'!B$88)*(B1363-B1362)/E$232+M1362</f>
        <v>#N/A</v>
      </c>
      <c r="N1363" s="5" t="n">
        <f aca="false">B1363</f>
        <v>175.629999999998</v>
      </c>
    </row>
    <row r="1364" customFormat="false" ht="12.8" hidden="false" customHeight="false" outlineLevel="0" collapsed="false">
      <c r="A1364" s="5" t="n">
        <v>6.75999999999992</v>
      </c>
      <c r="B1364" s="5" t="n">
        <f aca="false">A1364*VOFLB</f>
        <v>175.759999999998</v>
      </c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 t="e">
        <f aca="false">0.000001*('Design Worksheet'!B$88)*(B1364-B1363)/E$232+M1363</f>
        <v>#N/A</v>
      </c>
      <c r="N1364" s="5" t="n">
        <f aca="false">B1364</f>
        <v>175.759999999998</v>
      </c>
    </row>
    <row r="1365" customFormat="false" ht="12.8" hidden="false" customHeight="false" outlineLevel="0" collapsed="false">
      <c r="A1365" s="5" t="n">
        <v>6.76499999999992</v>
      </c>
      <c r="B1365" s="5" t="n">
        <f aca="false">A1365*VOFLB</f>
        <v>175.889999999998</v>
      </c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 t="e">
        <f aca="false">0.000001*('Design Worksheet'!B$88)*(B1365-B1364)/E$232+M1364</f>
        <v>#N/A</v>
      </c>
      <c r="N1365" s="5" t="n">
        <f aca="false">B1365</f>
        <v>175.889999999998</v>
      </c>
    </row>
    <row r="1366" customFormat="false" ht="12.8" hidden="false" customHeight="false" outlineLevel="0" collapsed="false">
      <c r="A1366" s="5" t="n">
        <v>6.76999999999992</v>
      </c>
      <c r="B1366" s="5" t="n">
        <f aca="false">A1366*VOFLB</f>
        <v>176.019999999998</v>
      </c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 t="e">
        <f aca="false">0.000001*('Design Worksheet'!B$88)*(B1366-B1365)/E$232+M1365</f>
        <v>#N/A</v>
      </c>
      <c r="N1366" s="5" t="n">
        <f aca="false">B1366</f>
        <v>176.019999999998</v>
      </c>
    </row>
    <row r="1367" customFormat="false" ht="12.8" hidden="false" customHeight="false" outlineLevel="0" collapsed="false">
      <c r="A1367" s="5" t="n">
        <v>6.77499999999992</v>
      </c>
      <c r="B1367" s="5" t="n">
        <f aca="false">A1367*VOFLB</f>
        <v>176.149999999998</v>
      </c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 t="e">
        <f aca="false">0.000001*('Design Worksheet'!B$88)*(B1367-B1366)/E$232+M1366</f>
        <v>#N/A</v>
      </c>
      <c r="N1367" s="5" t="n">
        <f aca="false">B1367</f>
        <v>176.149999999998</v>
      </c>
    </row>
    <row r="1368" customFormat="false" ht="12.8" hidden="false" customHeight="false" outlineLevel="0" collapsed="false">
      <c r="A1368" s="5" t="n">
        <v>6.77999999999992</v>
      </c>
      <c r="B1368" s="5" t="n">
        <f aca="false">A1368*VOFLB</f>
        <v>176.279999999998</v>
      </c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 t="e">
        <f aca="false">0.000001*('Design Worksheet'!B$88)*(B1368-B1367)/E$232+M1367</f>
        <v>#N/A</v>
      </c>
      <c r="N1368" s="5" t="n">
        <f aca="false">B1368</f>
        <v>176.279999999998</v>
      </c>
    </row>
    <row r="1369" customFormat="false" ht="12.8" hidden="false" customHeight="false" outlineLevel="0" collapsed="false">
      <c r="A1369" s="5" t="n">
        <v>6.78499999999992</v>
      </c>
      <c r="B1369" s="5" t="n">
        <f aca="false">A1369*VOFLB</f>
        <v>176.409999999998</v>
      </c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 t="e">
        <f aca="false">0.000001*('Design Worksheet'!B$88)*(B1369-B1368)/E$232+M1368</f>
        <v>#N/A</v>
      </c>
      <c r="N1369" s="5" t="n">
        <f aca="false">B1369</f>
        <v>176.409999999998</v>
      </c>
    </row>
    <row r="1370" customFormat="false" ht="12.8" hidden="false" customHeight="false" outlineLevel="0" collapsed="false">
      <c r="A1370" s="5" t="n">
        <v>6.78999999999992</v>
      </c>
      <c r="B1370" s="5" t="n">
        <f aca="false">A1370*VOFLB</f>
        <v>176.539999999998</v>
      </c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 t="e">
        <f aca="false">0.000001*('Design Worksheet'!B$88)*(B1370-B1369)/E$232+M1369</f>
        <v>#N/A</v>
      </c>
      <c r="N1370" s="5" t="n">
        <f aca="false">B1370</f>
        <v>176.539999999998</v>
      </c>
    </row>
    <row r="1371" customFormat="false" ht="12.8" hidden="false" customHeight="false" outlineLevel="0" collapsed="false">
      <c r="A1371" s="5" t="n">
        <v>6.79499999999992</v>
      </c>
      <c r="B1371" s="5" t="n">
        <f aca="false">A1371*VOFLB</f>
        <v>176.669999999998</v>
      </c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 t="e">
        <f aca="false">0.000001*('Design Worksheet'!B$88)*(B1371-B1370)/E$232+M1370</f>
        <v>#N/A</v>
      </c>
      <c r="N1371" s="5" t="n">
        <f aca="false">B1371</f>
        <v>176.669999999998</v>
      </c>
    </row>
    <row r="1372" customFormat="false" ht="12.8" hidden="false" customHeight="false" outlineLevel="0" collapsed="false">
      <c r="A1372" s="5" t="n">
        <v>6.79999999999992</v>
      </c>
      <c r="B1372" s="5" t="n">
        <f aca="false">A1372*VOFLB</f>
        <v>176.799999999998</v>
      </c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 t="e">
        <f aca="false">0.000001*('Design Worksheet'!B$88)*(B1372-B1371)/E$232+M1371</f>
        <v>#N/A</v>
      </c>
      <c r="N1372" s="5" t="n">
        <f aca="false">B1372</f>
        <v>176.799999999998</v>
      </c>
    </row>
    <row r="1373" customFormat="false" ht="12.8" hidden="false" customHeight="false" outlineLevel="0" collapsed="false">
      <c r="A1373" s="5" t="n">
        <v>6.80499999999992</v>
      </c>
      <c r="B1373" s="5" t="n">
        <f aca="false">A1373*VOFLB</f>
        <v>176.929999999998</v>
      </c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 t="e">
        <f aca="false">0.000001*('Design Worksheet'!B$88)*(B1373-B1372)/E$232+M1372</f>
        <v>#N/A</v>
      </c>
      <c r="N1373" s="5" t="n">
        <f aca="false">B1373</f>
        <v>176.929999999998</v>
      </c>
    </row>
    <row r="1374" customFormat="false" ht="12.8" hidden="false" customHeight="false" outlineLevel="0" collapsed="false">
      <c r="A1374" s="5" t="n">
        <v>6.80999999999992</v>
      </c>
      <c r="B1374" s="5" t="n">
        <f aca="false">A1374*VOFLB</f>
        <v>177.059999999998</v>
      </c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 t="e">
        <f aca="false">0.000001*('Design Worksheet'!B$88)*(B1374-B1373)/E$232+M1373</f>
        <v>#N/A</v>
      </c>
      <c r="N1374" s="5" t="n">
        <f aca="false">B1374</f>
        <v>177.059999999998</v>
      </c>
    </row>
    <row r="1375" customFormat="false" ht="12.8" hidden="false" customHeight="false" outlineLevel="0" collapsed="false">
      <c r="A1375" s="5" t="n">
        <v>6.81499999999992</v>
      </c>
      <c r="B1375" s="5" t="n">
        <f aca="false">A1375*VOFLB</f>
        <v>177.189999999998</v>
      </c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 t="e">
        <f aca="false">0.000001*('Design Worksheet'!B$88)*(B1375-B1374)/E$232+M1374</f>
        <v>#N/A</v>
      </c>
      <c r="N1375" s="5" t="n">
        <f aca="false">B1375</f>
        <v>177.189999999998</v>
      </c>
    </row>
    <row r="1376" customFormat="false" ht="12.8" hidden="false" customHeight="false" outlineLevel="0" collapsed="false">
      <c r="A1376" s="5" t="n">
        <v>6.81999999999992</v>
      </c>
      <c r="B1376" s="5" t="n">
        <f aca="false">A1376*VOFLB</f>
        <v>177.319999999998</v>
      </c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 t="e">
        <f aca="false">0.000001*('Design Worksheet'!B$88)*(B1376-B1375)/E$232+M1375</f>
        <v>#N/A</v>
      </c>
      <c r="N1376" s="5" t="n">
        <f aca="false">B1376</f>
        <v>177.319999999998</v>
      </c>
    </row>
    <row r="1377" customFormat="false" ht="12.8" hidden="false" customHeight="false" outlineLevel="0" collapsed="false">
      <c r="A1377" s="5" t="n">
        <v>6.82499999999992</v>
      </c>
      <c r="B1377" s="5" t="n">
        <f aca="false">A1377*VOFLB</f>
        <v>177.449999999998</v>
      </c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 t="e">
        <f aca="false">0.000001*('Design Worksheet'!B$88)*(B1377-B1376)/E$232+M1376</f>
        <v>#N/A</v>
      </c>
      <c r="N1377" s="5" t="n">
        <f aca="false">B1377</f>
        <v>177.449999999998</v>
      </c>
    </row>
    <row r="1378" customFormat="false" ht="12.8" hidden="false" customHeight="false" outlineLevel="0" collapsed="false">
      <c r="A1378" s="5" t="n">
        <v>6.82999999999992</v>
      </c>
      <c r="B1378" s="5" t="n">
        <f aca="false">A1378*VOFLB</f>
        <v>177.579999999998</v>
      </c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 t="e">
        <f aca="false">0.000001*('Design Worksheet'!B$88)*(B1378-B1377)/E$232+M1377</f>
        <v>#N/A</v>
      </c>
      <c r="N1378" s="5" t="n">
        <f aca="false">B1378</f>
        <v>177.579999999998</v>
      </c>
    </row>
    <row r="1379" customFormat="false" ht="12.8" hidden="false" customHeight="false" outlineLevel="0" collapsed="false">
      <c r="A1379" s="5" t="n">
        <v>6.83499999999992</v>
      </c>
      <c r="B1379" s="5" t="n">
        <f aca="false">A1379*VOFLB</f>
        <v>177.709999999998</v>
      </c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 t="e">
        <f aca="false">0.000001*('Design Worksheet'!B$88)*(B1379-B1378)/E$232+M1378</f>
        <v>#N/A</v>
      </c>
      <c r="N1379" s="5" t="n">
        <f aca="false">B1379</f>
        <v>177.709999999998</v>
      </c>
    </row>
    <row r="1380" customFormat="false" ht="12.8" hidden="false" customHeight="false" outlineLevel="0" collapsed="false">
      <c r="A1380" s="5" t="n">
        <v>6.83999999999992</v>
      </c>
      <c r="B1380" s="5" t="n">
        <f aca="false">A1380*VOFLB</f>
        <v>177.839999999998</v>
      </c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 t="e">
        <f aca="false">0.000001*('Design Worksheet'!B$88)*(B1380-B1379)/E$232+M1379</f>
        <v>#N/A</v>
      </c>
      <c r="N1380" s="5" t="n">
        <f aca="false">B1380</f>
        <v>177.839999999998</v>
      </c>
    </row>
    <row r="1381" customFormat="false" ht="12.8" hidden="false" customHeight="false" outlineLevel="0" collapsed="false">
      <c r="A1381" s="5" t="n">
        <v>6.84499999999992</v>
      </c>
      <c r="B1381" s="5" t="n">
        <f aca="false">A1381*VOFLB</f>
        <v>177.969999999998</v>
      </c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 t="e">
        <f aca="false">0.000001*('Design Worksheet'!B$88)*(B1381-B1380)/E$232+M1380</f>
        <v>#N/A</v>
      </c>
      <c r="N1381" s="5" t="n">
        <f aca="false">B1381</f>
        <v>177.969999999998</v>
      </c>
    </row>
    <row r="1382" customFormat="false" ht="12.8" hidden="false" customHeight="false" outlineLevel="0" collapsed="false">
      <c r="A1382" s="5" t="n">
        <v>6.84999999999992</v>
      </c>
      <c r="B1382" s="5" t="n">
        <f aca="false">A1382*VOFLB</f>
        <v>178.099999999998</v>
      </c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 t="e">
        <f aca="false">0.000001*('Design Worksheet'!B$88)*(B1382-B1381)/E$232+M1381</f>
        <v>#N/A</v>
      </c>
      <c r="N1382" s="5" t="n">
        <f aca="false">B1382</f>
        <v>178.099999999998</v>
      </c>
    </row>
    <row r="1383" customFormat="false" ht="12.8" hidden="false" customHeight="false" outlineLevel="0" collapsed="false">
      <c r="A1383" s="5" t="n">
        <v>6.85499999999992</v>
      </c>
      <c r="B1383" s="5" t="n">
        <f aca="false">A1383*VOFLB</f>
        <v>178.229999999998</v>
      </c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 t="e">
        <f aca="false">0.000001*('Design Worksheet'!B$88)*(B1383-B1382)/E$232+M1382</f>
        <v>#N/A</v>
      </c>
      <c r="N1383" s="5" t="n">
        <f aca="false">B1383</f>
        <v>178.229999999998</v>
      </c>
    </row>
    <row r="1384" customFormat="false" ht="12.8" hidden="false" customHeight="false" outlineLevel="0" collapsed="false">
      <c r="A1384" s="5" t="n">
        <v>6.85999999999992</v>
      </c>
      <c r="B1384" s="5" t="n">
        <f aca="false">A1384*VOFLB</f>
        <v>178.359999999998</v>
      </c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 t="e">
        <f aca="false">0.000001*('Design Worksheet'!B$88)*(B1384-B1383)/E$232+M1383</f>
        <v>#N/A</v>
      </c>
      <c r="N1384" s="5" t="n">
        <f aca="false">B1384</f>
        <v>178.359999999998</v>
      </c>
    </row>
    <row r="1385" customFormat="false" ht="12.8" hidden="false" customHeight="false" outlineLevel="0" collapsed="false">
      <c r="A1385" s="5" t="n">
        <v>6.86499999999992</v>
      </c>
      <c r="B1385" s="5" t="n">
        <f aca="false">A1385*VOFLB</f>
        <v>178.489999999998</v>
      </c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 t="e">
        <f aca="false">0.000001*('Design Worksheet'!B$88)*(B1385-B1384)/E$232+M1384</f>
        <v>#N/A</v>
      </c>
      <c r="N1385" s="5" t="n">
        <f aca="false">B1385</f>
        <v>178.489999999998</v>
      </c>
    </row>
    <row r="1386" customFormat="false" ht="12.8" hidden="false" customHeight="false" outlineLevel="0" collapsed="false">
      <c r="A1386" s="5" t="n">
        <v>6.86999999999992</v>
      </c>
      <c r="B1386" s="5" t="n">
        <f aca="false">A1386*VOFLB</f>
        <v>178.619999999998</v>
      </c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 t="e">
        <f aca="false">0.000001*('Design Worksheet'!B$88)*(B1386-B1385)/E$232+M1385</f>
        <v>#N/A</v>
      </c>
      <c r="N1386" s="5" t="n">
        <f aca="false">B1386</f>
        <v>178.619999999998</v>
      </c>
    </row>
    <row r="1387" customFormat="false" ht="12.8" hidden="false" customHeight="false" outlineLevel="0" collapsed="false">
      <c r="A1387" s="5" t="n">
        <v>6.87499999999992</v>
      </c>
      <c r="B1387" s="5" t="n">
        <f aca="false">A1387*VOFLB</f>
        <v>178.749999999998</v>
      </c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 t="e">
        <f aca="false">0.000001*('Design Worksheet'!B$88)*(B1387-B1386)/E$232+M1386</f>
        <v>#N/A</v>
      </c>
      <c r="N1387" s="5" t="n">
        <f aca="false">B1387</f>
        <v>178.749999999998</v>
      </c>
    </row>
    <row r="1388" customFormat="false" ht="12.8" hidden="false" customHeight="false" outlineLevel="0" collapsed="false">
      <c r="A1388" s="5" t="n">
        <v>6.87999999999992</v>
      </c>
      <c r="B1388" s="5" t="n">
        <f aca="false">A1388*VOFLB</f>
        <v>178.879999999998</v>
      </c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 t="e">
        <f aca="false">0.000001*('Design Worksheet'!B$88)*(B1388-B1387)/E$232+M1387</f>
        <v>#N/A</v>
      </c>
      <c r="N1388" s="5" t="n">
        <f aca="false">B1388</f>
        <v>178.879999999998</v>
      </c>
    </row>
    <row r="1389" customFormat="false" ht="12.8" hidden="false" customHeight="false" outlineLevel="0" collapsed="false">
      <c r="A1389" s="5" t="n">
        <v>6.88499999999992</v>
      </c>
      <c r="B1389" s="5" t="n">
        <f aca="false">A1389*VOFLB</f>
        <v>179.009999999998</v>
      </c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 t="e">
        <f aca="false">0.000001*('Design Worksheet'!B$88)*(B1389-B1388)/E$232+M1388</f>
        <v>#N/A</v>
      </c>
      <c r="N1389" s="5" t="n">
        <f aca="false">B1389</f>
        <v>179.009999999998</v>
      </c>
    </row>
    <row r="1390" customFormat="false" ht="12.8" hidden="false" customHeight="false" outlineLevel="0" collapsed="false">
      <c r="A1390" s="5" t="n">
        <v>6.88999999999992</v>
      </c>
      <c r="B1390" s="5" t="n">
        <f aca="false">A1390*VOFLB</f>
        <v>179.139999999998</v>
      </c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 t="e">
        <f aca="false">0.000001*('Design Worksheet'!B$88)*(B1390-B1389)/E$232+M1389</f>
        <v>#N/A</v>
      </c>
      <c r="N1390" s="5" t="n">
        <f aca="false">B1390</f>
        <v>179.139999999998</v>
      </c>
    </row>
    <row r="1391" customFormat="false" ht="12.8" hidden="false" customHeight="false" outlineLevel="0" collapsed="false">
      <c r="A1391" s="5" t="n">
        <v>6.89499999999992</v>
      </c>
      <c r="B1391" s="5" t="n">
        <f aca="false">A1391*VOFLB</f>
        <v>179.269999999998</v>
      </c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 t="e">
        <f aca="false">0.000001*('Design Worksheet'!B$88)*(B1391-B1390)/E$232+M1390</f>
        <v>#N/A</v>
      </c>
      <c r="N1391" s="5" t="n">
        <f aca="false">B1391</f>
        <v>179.269999999998</v>
      </c>
    </row>
    <row r="1392" customFormat="false" ht="12.8" hidden="false" customHeight="false" outlineLevel="0" collapsed="false">
      <c r="A1392" s="5" t="n">
        <v>6.89999999999992</v>
      </c>
      <c r="B1392" s="5" t="n">
        <f aca="false">A1392*VOFLB</f>
        <v>179.399999999998</v>
      </c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 t="e">
        <f aca="false">0.000001*('Design Worksheet'!B$88)*(B1392-B1391)/E$232+M1391</f>
        <v>#N/A</v>
      </c>
      <c r="N1392" s="5" t="n">
        <f aca="false">B1392</f>
        <v>179.399999999998</v>
      </c>
    </row>
    <row r="1393" customFormat="false" ht="12.8" hidden="false" customHeight="false" outlineLevel="0" collapsed="false">
      <c r="A1393" s="5" t="n">
        <v>6.90499999999992</v>
      </c>
      <c r="B1393" s="5" t="n">
        <f aca="false">A1393*VOFLB</f>
        <v>179.529999999998</v>
      </c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 t="e">
        <f aca="false">0.000001*('Design Worksheet'!B$88)*(B1393-B1392)/E$232+M1392</f>
        <v>#N/A</v>
      </c>
      <c r="N1393" s="5" t="n">
        <f aca="false">B1393</f>
        <v>179.529999999998</v>
      </c>
    </row>
    <row r="1394" customFormat="false" ht="12.8" hidden="false" customHeight="false" outlineLevel="0" collapsed="false">
      <c r="A1394" s="5" t="n">
        <v>6.90999999999992</v>
      </c>
      <c r="B1394" s="5" t="n">
        <f aca="false">A1394*VOFLB</f>
        <v>179.659999999998</v>
      </c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 t="e">
        <f aca="false">0.000001*('Design Worksheet'!B$88)*(B1394-B1393)/E$232+M1393</f>
        <v>#N/A</v>
      </c>
      <c r="N1394" s="5" t="n">
        <f aca="false">B1394</f>
        <v>179.659999999998</v>
      </c>
    </row>
    <row r="1395" customFormat="false" ht="12.8" hidden="false" customHeight="false" outlineLevel="0" collapsed="false">
      <c r="A1395" s="5" t="n">
        <v>6.91499999999992</v>
      </c>
      <c r="B1395" s="5" t="n">
        <f aca="false">A1395*VOFLB</f>
        <v>179.789999999998</v>
      </c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 t="e">
        <f aca="false">0.000001*('Design Worksheet'!B$88)*(B1395-B1394)/E$232+M1394</f>
        <v>#N/A</v>
      </c>
      <c r="N1395" s="5" t="n">
        <f aca="false">B1395</f>
        <v>179.789999999998</v>
      </c>
    </row>
    <row r="1396" customFormat="false" ht="12.8" hidden="false" customHeight="false" outlineLevel="0" collapsed="false">
      <c r="A1396" s="5" t="n">
        <v>6.91999999999992</v>
      </c>
      <c r="B1396" s="5" t="n">
        <f aca="false">A1396*VOFLB</f>
        <v>179.919999999998</v>
      </c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 t="e">
        <f aca="false">0.000001*('Design Worksheet'!B$88)*(B1396-B1395)/E$232+M1395</f>
        <v>#N/A</v>
      </c>
      <c r="N1396" s="5" t="n">
        <f aca="false">B1396</f>
        <v>179.919999999998</v>
      </c>
    </row>
    <row r="1397" customFormat="false" ht="12.8" hidden="false" customHeight="false" outlineLevel="0" collapsed="false">
      <c r="A1397" s="5" t="n">
        <v>6.92499999999992</v>
      </c>
      <c r="B1397" s="5" t="n">
        <f aca="false">A1397*VOFLB</f>
        <v>180.049999999998</v>
      </c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 t="e">
        <f aca="false">0.000001*('Design Worksheet'!B$88)*(B1397-B1396)/E$232+M1396</f>
        <v>#N/A</v>
      </c>
      <c r="N1397" s="5" t="n">
        <f aca="false">B1397</f>
        <v>180.049999999998</v>
      </c>
    </row>
    <row r="1398" customFormat="false" ht="12.8" hidden="false" customHeight="false" outlineLevel="0" collapsed="false">
      <c r="A1398" s="5" t="n">
        <v>6.92999999999992</v>
      </c>
      <c r="B1398" s="5" t="n">
        <f aca="false">A1398*VOFLB</f>
        <v>180.179999999998</v>
      </c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 t="e">
        <f aca="false">0.000001*('Design Worksheet'!B$88)*(B1398-B1397)/E$232+M1397</f>
        <v>#N/A</v>
      </c>
      <c r="N1398" s="5" t="n">
        <f aca="false">B1398</f>
        <v>180.179999999998</v>
      </c>
    </row>
    <row r="1399" customFormat="false" ht="12.8" hidden="false" customHeight="false" outlineLevel="0" collapsed="false">
      <c r="A1399" s="5" t="n">
        <v>6.93499999999992</v>
      </c>
      <c r="B1399" s="5" t="n">
        <f aca="false">A1399*VOFLB</f>
        <v>180.309999999998</v>
      </c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 t="e">
        <f aca="false">0.000001*('Design Worksheet'!B$88)*(B1399-B1398)/E$232+M1398</f>
        <v>#N/A</v>
      </c>
      <c r="N1399" s="5" t="n">
        <f aca="false">B1399</f>
        <v>180.309999999998</v>
      </c>
    </row>
    <row r="1400" customFormat="false" ht="12.8" hidden="false" customHeight="false" outlineLevel="0" collapsed="false">
      <c r="A1400" s="5" t="n">
        <v>6.93999999999992</v>
      </c>
      <c r="B1400" s="5" t="n">
        <f aca="false">A1400*VOFLB</f>
        <v>180.439999999998</v>
      </c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 t="e">
        <f aca="false">0.000001*('Design Worksheet'!B$88)*(B1400-B1399)/E$232+M1399</f>
        <v>#N/A</v>
      </c>
      <c r="N1400" s="5" t="n">
        <f aca="false">B1400</f>
        <v>180.439999999998</v>
      </c>
    </row>
    <row r="1401" customFormat="false" ht="12.8" hidden="false" customHeight="false" outlineLevel="0" collapsed="false">
      <c r="A1401" s="5" t="n">
        <v>6.94499999999992</v>
      </c>
      <c r="B1401" s="5" t="n">
        <f aca="false">A1401*VOFLB</f>
        <v>180.569999999998</v>
      </c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 t="e">
        <f aca="false">0.000001*('Design Worksheet'!B$88)*(B1401-B1400)/E$232+M1400</f>
        <v>#N/A</v>
      </c>
      <c r="N1401" s="5" t="n">
        <f aca="false">B1401</f>
        <v>180.569999999998</v>
      </c>
    </row>
    <row r="1402" customFormat="false" ht="12.8" hidden="false" customHeight="false" outlineLevel="0" collapsed="false">
      <c r="A1402" s="5" t="n">
        <v>6.94999999999992</v>
      </c>
      <c r="B1402" s="5" t="n">
        <f aca="false">A1402*VOFLB</f>
        <v>180.699999999998</v>
      </c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 t="e">
        <f aca="false">0.000001*('Design Worksheet'!B$88)*(B1402-B1401)/E$232+M1401</f>
        <v>#N/A</v>
      </c>
      <c r="N1402" s="5" t="n">
        <f aca="false">B1402</f>
        <v>180.699999999998</v>
      </c>
    </row>
    <row r="1403" customFormat="false" ht="12.8" hidden="false" customHeight="false" outlineLevel="0" collapsed="false">
      <c r="A1403" s="5" t="n">
        <v>6.95499999999992</v>
      </c>
      <c r="B1403" s="5" t="n">
        <f aca="false">A1403*VOFLB</f>
        <v>180.829999999998</v>
      </c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 t="e">
        <f aca="false">0.000001*('Design Worksheet'!B$88)*(B1403-B1402)/E$232+M1402</f>
        <v>#N/A</v>
      </c>
      <c r="N1403" s="5" t="n">
        <f aca="false">B1403</f>
        <v>180.829999999998</v>
      </c>
    </row>
    <row r="1404" customFormat="false" ht="12.8" hidden="false" customHeight="false" outlineLevel="0" collapsed="false">
      <c r="A1404" s="5" t="n">
        <v>6.95999999999992</v>
      </c>
      <c r="B1404" s="5" t="n">
        <f aca="false">A1404*VOFLB</f>
        <v>180.959999999998</v>
      </c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 t="e">
        <f aca="false">0.000001*('Design Worksheet'!B$88)*(B1404-B1403)/E$232+M1403</f>
        <v>#N/A</v>
      </c>
      <c r="N1404" s="5" t="n">
        <f aca="false">B1404</f>
        <v>180.959999999998</v>
      </c>
    </row>
    <row r="1405" customFormat="false" ht="12.8" hidden="false" customHeight="false" outlineLevel="0" collapsed="false">
      <c r="A1405" s="5" t="n">
        <v>6.96499999999992</v>
      </c>
      <c r="B1405" s="5" t="n">
        <f aca="false">A1405*VOFLB</f>
        <v>181.089999999998</v>
      </c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 t="e">
        <f aca="false">0.000001*('Design Worksheet'!B$88)*(B1405-B1404)/E$232+M1404</f>
        <v>#N/A</v>
      </c>
      <c r="N1405" s="5" t="n">
        <f aca="false">B1405</f>
        <v>181.089999999998</v>
      </c>
    </row>
    <row r="1406" customFormat="false" ht="12.8" hidden="false" customHeight="false" outlineLevel="0" collapsed="false">
      <c r="A1406" s="5" t="n">
        <v>6.96999999999992</v>
      </c>
      <c r="B1406" s="5" t="n">
        <f aca="false">A1406*VOFLB</f>
        <v>181.219999999998</v>
      </c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 t="e">
        <f aca="false">0.000001*('Design Worksheet'!B$88)*(B1406-B1405)/E$232+M1405</f>
        <v>#N/A</v>
      </c>
      <c r="N1406" s="5" t="n">
        <f aca="false">B1406</f>
        <v>181.219999999998</v>
      </c>
    </row>
    <row r="1407" customFormat="false" ht="12.8" hidden="false" customHeight="false" outlineLevel="0" collapsed="false">
      <c r="A1407" s="5" t="n">
        <v>6.97499999999992</v>
      </c>
      <c r="B1407" s="5" t="n">
        <f aca="false">A1407*VOFLB</f>
        <v>181.349999999998</v>
      </c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 t="e">
        <f aca="false">0.000001*('Design Worksheet'!B$88)*(B1407-B1406)/E$232+M1406</f>
        <v>#N/A</v>
      </c>
      <c r="N1407" s="5" t="n">
        <f aca="false">B1407</f>
        <v>181.349999999998</v>
      </c>
    </row>
    <row r="1408" customFormat="false" ht="12.8" hidden="false" customHeight="false" outlineLevel="0" collapsed="false">
      <c r="A1408" s="5" t="n">
        <v>6.97999999999992</v>
      </c>
      <c r="B1408" s="5" t="n">
        <f aca="false">A1408*VOFLB</f>
        <v>181.479999999998</v>
      </c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 t="e">
        <f aca="false">0.000001*('Design Worksheet'!B$88)*(B1408-B1407)/E$232+M1407</f>
        <v>#N/A</v>
      </c>
      <c r="N1408" s="5" t="n">
        <f aca="false">B1408</f>
        <v>181.479999999998</v>
      </c>
    </row>
    <row r="1409" customFormat="false" ht="12.8" hidden="false" customHeight="false" outlineLevel="0" collapsed="false">
      <c r="A1409" s="5" t="n">
        <v>6.98499999999992</v>
      </c>
      <c r="B1409" s="5" t="n">
        <f aca="false">A1409*VOFLB</f>
        <v>181.609999999998</v>
      </c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 t="e">
        <f aca="false">0.000001*('Design Worksheet'!B$88)*(B1409-B1408)/E$232+M1408</f>
        <v>#N/A</v>
      </c>
      <c r="N1409" s="5" t="n">
        <f aca="false">B1409</f>
        <v>181.609999999998</v>
      </c>
    </row>
    <row r="1410" customFormat="false" ht="12.8" hidden="false" customHeight="false" outlineLevel="0" collapsed="false">
      <c r="A1410" s="5" t="n">
        <v>6.98999999999992</v>
      </c>
      <c r="B1410" s="5" t="n">
        <f aca="false">A1410*VOFLB</f>
        <v>181.739999999998</v>
      </c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 t="e">
        <f aca="false">0.000001*('Design Worksheet'!B$88)*(B1410-B1409)/E$232+M1409</f>
        <v>#N/A</v>
      </c>
      <c r="N1410" s="5" t="n">
        <f aca="false">B1410</f>
        <v>181.739999999998</v>
      </c>
    </row>
    <row r="1411" customFormat="false" ht="12.8" hidden="false" customHeight="false" outlineLevel="0" collapsed="false">
      <c r="A1411" s="5" t="n">
        <v>6.99499999999992</v>
      </c>
      <c r="B1411" s="5" t="n">
        <f aca="false">A1411*VOFLB</f>
        <v>181.869999999998</v>
      </c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 t="e">
        <f aca="false">0.000001*('Design Worksheet'!B$88)*(B1411-B1410)/E$232+M1410</f>
        <v>#N/A</v>
      </c>
      <c r="N1411" s="5" t="n">
        <f aca="false">B1411</f>
        <v>181.869999999998</v>
      </c>
    </row>
    <row r="1412" customFormat="false" ht="12.8" hidden="false" customHeight="false" outlineLevel="0" collapsed="false">
      <c r="A1412" s="5" t="n">
        <v>6.99999999999992</v>
      </c>
      <c r="B1412" s="5" t="n">
        <f aca="false">A1412*VOFLB</f>
        <v>181.999999999998</v>
      </c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 t="e">
        <f aca="false">0.000001*('Design Worksheet'!B$88)*(B1412-B1411)/E$232+M1411</f>
        <v>#N/A</v>
      </c>
      <c r="N1412" s="5" t="n">
        <f aca="false">B1412</f>
        <v>181.999999999998</v>
      </c>
    </row>
    <row r="1413" customFormat="false" ht="12.8" hidden="false" customHeight="false" outlineLevel="0" collapsed="false">
      <c r="A1413" s="5" t="n">
        <v>7.00499999999992</v>
      </c>
      <c r="B1413" s="5" t="n">
        <f aca="false">A1413*VOFLB</f>
        <v>182.129999999998</v>
      </c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 t="e">
        <f aca="false">0.000001*('Design Worksheet'!B$88)*(B1413-B1412)/E$232+M1412</f>
        <v>#N/A</v>
      </c>
      <c r="N1413" s="5" t="n">
        <f aca="false">B1413</f>
        <v>182.129999999998</v>
      </c>
    </row>
    <row r="1414" customFormat="false" ht="12.8" hidden="false" customHeight="false" outlineLevel="0" collapsed="false">
      <c r="A1414" s="5" t="n">
        <v>7.00999999999992</v>
      </c>
      <c r="B1414" s="5" t="n">
        <f aca="false">A1414*VOFLB</f>
        <v>182.259999999998</v>
      </c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 t="e">
        <f aca="false">0.000001*('Design Worksheet'!B$88)*(B1414-B1413)/E$232+M1413</f>
        <v>#N/A</v>
      </c>
      <c r="N1414" s="5" t="n">
        <f aca="false">B1414</f>
        <v>182.259999999998</v>
      </c>
    </row>
    <row r="1415" customFormat="false" ht="12.8" hidden="false" customHeight="false" outlineLevel="0" collapsed="false">
      <c r="A1415" s="5" t="n">
        <v>7.01499999999992</v>
      </c>
      <c r="B1415" s="5" t="n">
        <f aca="false">A1415*VOFLB</f>
        <v>182.389999999998</v>
      </c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 t="e">
        <f aca="false">0.000001*('Design Worksheet'!B$88)*(B1415-B1414)/E$232+M1414</f>
        <v>#N/A</v>
      </c>
      <c r="N1415" s="5" t="n">
        <f aca="false">B1415</f>
        <v>182.389999999998</v>
      </c>
    </row>
    <row r="1416" customFormat="false" ht="12.8" hidden="false" customHeight="false" outlineLevel="0" collapsed="false">
      <c r="A1416" s="5" t="n">
        <v>7.01999999999992</v>
      </c>
      <c r="B1416" s="5" t="n">
        <f aca="false">A1416*VOFLB</f>
        <v>182.519999999998</v>
      </c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 t="e">
        <f aca="false">0.000001*('Design Worksheet'!B$88)*(B1416-B1415)/E$232+M1415</f>
        <v>#N/A</v>
      </c>
      <c r="N1416" s="5" t="n">
        <f aca="false">B1416</f>
        <v>182.519999999998</v>
      </c>
    </row>
    <row r="1417" customFormat="false" ht="12.8" hidden="false" customHeight="false" outlineLevel="0" collapsed="false">
      <c r="A1417" s="5" t="n">
        <v>7.02499999999992</v>
      </c>
      <c r="B1417" s="5" t="n">
        <f aca="false">A1417*VOFLB</f>
        <v>182.649999999998</v>
      </c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 t="e">
        <f aca="false">0.000001*('Design Worksheet'!B$88)*(B1417-B1416)/E$232+M1416</f>
        <v>#N/A</v>
      </c>
      <c r="N1417" s="5" t="n">
        <f aca="false">B1417</f>
        <v>182.649999999998</v>
      </c>
    </row>
    <row r="1418" customFormat="false" ht="12.8" hidden="false" customHeight="false" outlineLevel="0" collapsed="false">
      <c r="A1418" s="5" t="n">
        <v>7.02999999999991</v>
      </c>
      <c r="B1418" s="5" t="n">
        <f aca="false">A1418*VOFLB</f>
        <v>182.779999999998</v>
      </c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 t="e">
        <f aca="false">0.000001*('Design Worksheet'!B$88)*(B1418-B1417)/E$232+M1417</f>
        <v>#N/A</v>
      </c>
      <c r="N1418" s="5" t="n">
        <f aca="false">B1418</f>
        <v>182.779999999998</v>
      </c>
    </row>
    <row r="1419" customFormat="false" ht="12.8" hidden="false" customHeight="false" outlineLevel="0" collapsed="false">
      <c r="A1419" s="5" t="n">
        <v>7.03499999999991</v>
      </c>
      <c r="B1419" s="5" t="n">
        <f aca="false">A1419*VOFLB</f>
        <v>182.909999999998</v>
      </c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 t="e">
        <f aca="false">0.000001*('Design Worksheet'!B$88)*(B1419-B1418)/E$232+M1418</f>
        <v>#N/A</v>
      </c>
      <c r="N1419" s="5" t="n">
        <f aca="false">B1419</f>
        <v>182.909999999998</v>
      </c>
    </row>
    <row r="1420" customFormat="false" ht="12.8" hidden="false" customHeight="false" outlineLevel="0" collapsed="false">
      <c r="A1420" s="5" t="n">
        <v>7.03999999999991</v>
      </c>
      <c r="B1420" s="5" t="n">
        <f aca="false">A1420*VOFLB</f>
        <v>183.039999999998</v>
      </c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 t="e">
        <f aca="false">0.000001*('Design Worksheet'!B$88)*(B1420-B1419)/E$232+M1419</f>
        <v>#N/A</v>
      </c>
      <c r="N1420" s="5" t="n">
        <f aca="false">B1420</f>
        <v>183.039999999998</v>
      </c>
    </row>
    <row r="1421" customFormat="false" ht="12.8" hidden="false" customHeight="false" outlineLevel="0" collapsed="false">
      <c r="A1421" s="5" t="n">
        <v>7.04499999999991</v>
      </c>
      <c r="B1421" s="5" t="n">
        <f aca="false">A1421*VOFLB</f>
        <v>183.169999999998</v>
      </c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 t="e">
        <f aca="false">0.000001*('Design Worksheet'!B$88)*(B1421-B1420)/E$232+M1420</f>
        <v>#N/A</v>
      </c>
      <c r="N1421" s="5" t="n">
        <f aca="false">B1421</f>
        <v>183.169999999998</v>
      </c>
    </row>
    <row r="1422" customFormat="false" ht="12.8" hidden="false" customHeight="false" outlineLevel="0" collapsed="false">
      <c r="A1422" s="5" t="n">
        <v>7.04999999999991</v>
      </c>
      <c r="B1422" s="5" t="n">
        <f aca="false">A1422*VOFLB</f>
        <v>183.299999999998</v>
      </c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 t="e">
        <f aca="false">0.000001*('Design Worksheet'!B$88)*(B1422-B1421)/E$232+M1421</f>
        <v>#N/A</v>
      </c>
      <c r="N1422" s="5" t="n">
        <f aca="false">B1422</f>
        <v>183.299999999998</v>
      </c>
    </row>
    <row r="1423" customFormat="false" ht="12.8" hidden="false" customHeight="false" outlineLevel="0" collapsed="false">
      <c r="A1423" s="5" t="n">
        <v>7.05499999999991</v>
      </c>
      <c r="B1423" s="5" t="n">
        <f aca="false">A1423*VOFLB</f>
        <v>183.429999999998</v>
      </c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 t="e">
        <f aca="false">0.000001*('Design Worksheet'!B$88)*(B1423-B1422)/E$232+M1422</f>
        <v>#N/A</v>
      </c>
      <c r="N1423" s="5" t="n">
        <f aca="false">B1423</f>
        <v>183.429999999998</v>
      </c>
    </row>
    <row r="1424" customFormat="false" ht="12.8" hidden="false" customHeight="false" outlineLevel="0" collapsed="false">
      <c r="A1424" s="5" t="n">
        <v>7.05999999999991</v>
      </c>
      <c r="B1424" s="5" t="n">
        <f aca="false">A1424*VOFLB</f>
        <v>183.559999999998</v>
      </c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 t="e">
        <f aca="false">0.000001*('Design Worksheet'!B$88)*(B1424-B1423)/E$232+M1423</f>
        <v>#N/A</v>
      </c>
      <c r="N1424" s="5" t="n">
        <f aca="false">B1424</f>
        <v>183.559999999998</v>
      </c>
    </row>
    <row r="1425" customFormat="false" ht="12.8" hidden="false" customHeight="false" outlineLevel="0" collapsed="false">
      <c r="A1425" s="5" t="n">
        <v>7.06499999999991</v>
      </c>
      <c r="B1425" s="5" t="n">
        <f aca="false">A1425*VOFLB</f>
        <v>183.689999999998</v>
      </c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 t="e">
        <f aca="false">0.000001*('Design Worksheet'!B$88)*(B1425-B1424)/E$232+M1424</f>
        <v>#N/A</v>
      </c>
      <c r="N1425" s="5" t="n">
        <f aca="false">B1425</f>
        <v>183.689999999998</v>
      </c>
    </row>
    <row r="1426" customFormat="false" ht="12.8" hidden="false" customHeight="false" outlineLevel="0" collapsed="false">
      <c r="A1426" s="5" t="n">
        <v>7.06999999999991</v>
      </c>
      <c r="B1426" s="5" t="n">
        <f aca="false">A1426*VOFLB</f>
        <v>183.819999999998</v>
      </c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 t="e">
        <f aca="false">0.000001*('Design Worksheet'!B$88)*(B1426-B1425)/E$232+M1425</f>
        <v>#N/A</v>
      </c>
      <c r="N1426" s="5" t="n">
        <f aca="false">B1426</f>
        <v>183.819999999998</v>
      </c>
    </row>
    <row r="1427" customFormat="false" ht="12.8" hidden="false" customHeight="false" outlineLevel="0" collapsed="false">
      <c r="A1427" s="5" t="n">
        <v>7.07499999999991</v>
      </c>
      <c r="B1427" s="5" t="n">
        <f aca="false">A1427*VOFLB</f>
        <v>183.949999999998</v>
      </c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 t="e">
        <f aca="false">0.000001*('Design Worksheet'!B$88)*(B1427-B1426)/E$232+M1426</f>
        <v>#N/A</v>
      </c>
      <c r="N1427" s="5" t="n">
        <f aca="false">B1427</f>
        <v>183.949999999998</v>
      </c>
    </row>
    <row r="1428" customFormat="false" ht="12.8" hidden="false" customHeight="false" outlineLevel="0" collapsed="false">
      <c r="A1428" s="5" t="n">
        <v>7.07999999999991</v>
      </c>
      <c r="B1428" s="5" t="n">
        <f aca="false">A1428*VOFLB</f>
        <v>184.079999999998</v>
      </c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 t="e">
        <f aca="false">0.000001*('Design Worksheet'!B$88)*(B1428-B1427)/E$232+M1427</f>
        <v>#N/A</v>
      </c>
      <c r="N1428" s="5" t="n">
        <f aca="false">B1428</f>
        <v>184.079999999998</v>
      </c>
    </row>
    <row r="1429" customFormat="false" ht="12.8" hidden="false" customHeight="false" outlineLevel="0" collapsed="false">
      <c r="A1429" s="5" t="n">
        <v>7.08499999999991</v>
      </c>
      <c r="B1429" s="5" t="n">
        <f aca="false">A1429*VOFLB</f>
        <v>184.209999999998</v>
      </c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 t="e">
        <f aca="false">0.000001*('Design Worksheet'!B$88)*(B1429-B1428)/E$232+M1428</f>
        <v>#N/A</v>
      </c>
      <c r="N1429" s="5" t="n">
        <f aca="false">B1429</f>
        <v>184.209999999998</v>
      </c>
    </row>
    <row r="1430" customFormat="false" ht="12.8" hidden="false" customHeight="false" outlineLevel="0" collapsed="false">
      <c r="A1430" s="5" t="n">
        <v>7.08999999999991</v>
      </c>
      <c r="B1430" s="5" t="n">
        <f aca="false">A1430*VOFLB</f>
        <v>184.339999999998</v>
      </c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 t="e">
        <f aca="false">0.000001*('Design Worksheet'!B$88)*(B1430-B1429)/E$232+M1429</f>
        <v>#N/A</v>
      </c>
      <c r="N1430" s="5" t="n">
        <f aca="false">B1430</f>
        <v>184.339999999998</v>
      </c>
    </row>
    <row r="1431" customFormat="false" ht="12.8" hidden="false" customHeight="false" outlineLevel="0" collapsed="false">
      <c r="A1431" s="5" t="n">
        <v>7.09499999999991</v>
      </c>
      <c r="B1431" s="5" t="n">
        <f aca="false">A1431*VOFLB</f>
        <v>184.469999999998</v>
      </c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 t="e">
        <f aca="false">0.000001*('Design Worksheet'!B$88)*(B1431-B1430)/E$232+M1430</f>
        <v>#N/A</v>
      </c>
      <c r="N1431" s="5" t="n">
        <f aca="false">B1431</f>
        <v>184.469999999998</v>
      </c>
    </row>
    <row r="1432" customFormat="false" ht="12.8" hidden="false" customHeight="false" outlineLevel="0" collapsed="false">
      <c r="A1432" s="5" t="n">
        <v>7.09999999999991</v>
      </c>
      <c r="B1432" s="5" t="n">
        <f aca="false">A1432*VOFLB</f>
        <v>184.599999999998</v>
      </c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 t="e">
        <f aca="false">0.000001*('Design Worksheet'!B$88)*(B1432-B1431)/E$232+M1431</f>
        <v>#N/A</v>
      </c>
      <c r="N1432" s="5" t="n">
        <f aca="false">B1432</f>
        <v>184.599999999998</v>
      </c>
    </row>
    <row r="1433" customFormat="false" ht="12.8" hidden="false" customHeight="false" outlineLevel="0" collapsed="false">
      <c r="A1433" s="5" t="n">
        <v>7.10499999999991</v>
      </c>
      <c r="B1433" s="5" t="n">
        <f aca="false">A1433*VOFLB</f>
        <v>184.729999999998</v>
      </c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 t="e">
        <f aca="false">0.000001*('Design Worksheet'!B$88)*(B1433-B1432)/E$232+M1432</f>
        <v>#N/A</v>
      </c>
      <c r="N1433" s="5" t="n">
        <f aca="false">B1433</f>
        <v>184.729999999998</v>
      </c>
    </row>
    <row r="1434" customFormat="false" ht="12.8" hidden="false" customHeight="false" outlineLevel="0" collapsed="false">
      <c r="A1434" s="5" t="n">
        <v>7.10999999999991</v>
      </c>
      <c r="B1434" s="5" t="n">
        <f aca="false">A1434*VOFLB</f>
        <v>184.859999999998</v>
      </c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 t="e">
        <f aca="false">0.000001*('Design Worksheet'!B$88)*(B1434-B1433)/E$232+M1433</f>
        <v>#N/A</v>
      </c>
      <c r="N1434" s="5" t="n">
        <f aca="false">B1434</f>
        <v>184.859999999998</v>
      </c>
    </row>
    <row r="1435" customFormat="false" ht="12.8" hidden="false" customHeight="false" outlineLevel="0" collapsed="false">
      <c r="A1435" s="5" t="n">
        <v>7.11499999999991</v>
      </c>
      <c r="B1435" s="5" t="n">
        <f aca="false">A1435*VOFLB</f>
        <v>184.989999999998</v>
      </c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 t="e">
        <f aca="false">0.000001*('Design Worksheet'!B$88)*(B1435-B1434)/E$232+M1434</f>
        <v>#N/A</v>
      </c>
      <c r="N1435" s="5" t="n">
        <f aca="false">B1435</f>
        <v>184.989999999998</v>
      </c>
    </row>
    <row r="1436" customFormat="false" ht="12.8" hidden="false" customHeight="false" outlineLevel="0" collapsed="false">
      <c r="A1436" s="5" t="n">
        <v>7.11999999999991</v>
      </c>
      <c r="B1436" s="5" t="n">
        <f aca="false">A1436*VOFLB</f>
        <v>185.119999999998</v>
      </c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 t="e">
        <f aca="false">0.000001*('Design Worksheet'!B$88)*(B1436-B1435)/E$232+M1435</f>
        <v>#N/A</v>
      </c>
      <c r="N1436" s="5" t="n">
        <f aca="false">B1436</f>
        <v>185.119999999998</v>
      </c>
    </row>
    <row r="1437" customFormat="false" ht="12.8" hidden="false" customHeight="false" outlineLevel="0" collapsed="false">
      <c r="A1437" s="5" t="n">
        <v>7.12499999999991</v>
      </c>
      <c r="B1437" s="5" t="n">
        <f aca="false">A1437*VOFLB</f>
        <v>185.249999999998</v>
      </c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 t="e">
        <f aca="false">0.000001*('Design Worksheet'!B$88)*(B1437-B1436)/E$232+M1436</f>
        <v>#N/A</v>
      </c>
      <c r="N1437" s="5" t="n">
        <f aca="false">B1437</f>
        <v>185.249999999998</v>
      </c>
    </row>
    <row r="1438" customFormat="false" ht="12.8" hidden="false" customHeight="false" outlineLevel="0" collapsed="false">
      <c r="A1438" s="5" t="n">
        <v>7.12999999999991</v>
      </c>
      <c r="B1438" s="5" t="n">
        <f aca="false">A1438*VOFLB</f>
        <v>185.379999999998</v>
      </c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 t="e">
        <f aca="false">0.000001*('Design Worksheet'!B$88)*(B1438-B1437)/E$232+M1437</f>
        <v>#N/A</v>
      </c>
      <c r="N1438" s="5" t="n">
        <f aca="false">B1438</f>
        <v>185.379999999998</v>
      </c>
    </row>
    <row r="1439" customFormat="false" ht="12.8" hidden="false" customHeight="false" outlineLevel="0" collapsed="false">
      <c r="A1439" s="5" t="n">
        <v>7.13499999999991</v>
      </c>
      <c r="B1439" s="5" t="n">
        <f aca="false">A1439*VOFLB</f>
        <v>185.509999999998</v>
      </c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 t="e">
        <f aca="false">0.000001*('Design Worksheet'!B$88)*(B1439-B1438)/E$232+M1438</f>
        <v>#N/A</v>
      </c>
      <c r="N1439" s="5" t="n">
        <f aca="false">B1439</f>
        <v>185.509999999998</v>
      </c>
    </row>
    <row r="1440" customFormat="false" ht="12.8" hidden="false" customHeight="false" outlineLevel="0" collapsed="false">
      <c r="A1440" s="5" t="n">
        <v>7.13999999999991</v>
      </c>
      <c r="B1440" s="5" t="n">
        <f aca="false">A1440*VOFLB</f>
        <v>185.639999999998</v>
      </c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 t="e">
        <f aca="false">0.000001*('Design Worksheet'!B$88)*(B1440-B1439)/E$232+M1439</f>
        <v>#N/A</v>
      </c>
      <c r="N1440" s="5" t="n">
        <f aca="false">B1440</f>
        <v>185.639999999998</v>
      </c>
    </row>
    <row r="1441" customFormat="false" ht="12.8" hidden="false" customHeight="false" outlineLevel="0" collapsed="false">
      <c r="A1441" s="5" t="n">
        <v>7.14499999999991</v>
      </c>
      <c r="B1441" s="5" t="n">
        <f aca="false">A1441*VOFLB</f>
        <v>185.769999999998</v>
      </c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 t="e">
        <f aca="false">0.000001*('Design Worksheet'!B$88)*(B1441-B1440)/E$232+M1440</f>
        <v>#N/A</v>
      </c>
      <c r="N1441" s="5" t="n">
        <f aca="false">B1441</f>
        <v>185.769999999998</v>
      </c>
    </row>
    <row r="1442" customFormat="false" ht="12.8" hidden="false" customHeight="false" outlineLevel="0" collapsed="false">
      <c r="A1442" s="5" t="n">
        <v>7.14999999999991</v>
      </c>
      <c r="B1442" s="5" t="n">
        <f aca="false">A1442*VOFLB</f>
        <v>185.899999999998</v>
      </c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 t="e">
        <f aca="false">0.000001*('Design Worksheet'!B$88)*(B1442-B1441)/E$232+M1441</f>
        <v>#N/A</v>
      </c>
      <c r="N1442" s="5" t="n">
        <f aca="false">B1442</f>
        <v>185.899999999998</v>
      </c>
    </row>
    <row r="1443" customFormat="false" ht="12.8" hidden="false" customHeight="false" outlineLevel="0" collapsed="false">
      <c r="A1443" s="5" t="n">
        <v>7.15499999999991</v>
      </c>
      <c r="B1443" s="5" t="n">
        <f aca="false">A1443*VOFLB</f>
        <v>186.029999999998</v>
      </c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 t="e">
        <f aca="false">0.000001*('Design Worksheet'!B$88)*(B1443-B1442)/E$232+M1442</f>
        <v>#N/A</v>
      </c>
      <c r="N1443" s="5" t="n">
        <f aca="false">B1443</f>
        <v>186.029999999998</v>
      </c>
    </row>
    <row r="1444" customFormat="false" ht="12.8" hidden="false" customHeight="false" outlineLevel="0" collapsed="false">
      <c r="A1444" s="5" t="n">
        <v>7.15999999999991</v>
      </c>
      <c r="B1444" s="5" t="n">
        <f aca="false">A1444*VOFLB</f>
        <v>186.159999999998</v>
      </c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 t="e">
        <f aca="false">0.000001*('Design Worksheet'!B$88)*(B1444-B1443)/E$232+M1443</f>
        <v>#N/A</v>
      </c>
      <c r="N1444" s="5" t="n">
        <f aca="false">B1444</f>
        <v>186.159999999998</v>
      </c>
    </row>
    <row r="1445" customFormat="false" ht="12.8" hidden="false" customHeight="false" outlineLevel="0" collapsed="false">
      <c r="A1445" s="5" t="n">
        <v>7.16499999999991</v>
      </c>
      <c r="B1445" s="5" t="n">
        <f aca="false">A1445*VOFLB</f>
        <v>186.289999999998</v>
      </c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 t="e">
        <f aca="false">0.000001*('Design Worksheet'!B$88)*(B1445-B1444)/E$232+M1444</f>
        <v>#N/A</v>
      </c>
      <c r="N1445" s="5" t="n">
        <f aca="false">B1445</f>
        <v>186.289999999998</v>
      </c>
    </row>
    <row r="1446" customFormat="false" ht="12.8" hidden="false" customHeight="false" outlineLevel="0" collapsed="false">
      <c r="A1446" s="5" t="n">
        <v>7.16999999999991</v>
      </c>
      <c r="B1446" s="5" t="n">
        <f aca="false">A1446*VOFLB</f>
        <v>186.419999999998</v>
      </c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 t="e">
        <f aca="false">0.000001*('Design Worksheet'!B$88)*(B1446-B1445)/E$232+M1445</f>
        <v>#N/A</v>
      </c>
      <c r="N1446" s="5" t="n">
        <f aca="false">B1446</f>
        <v>186.419999999998</v>
      </c>
    </row>
    <row r="1447" customFormat="false" ht="12.8" hidden="false" customHeight="false" outlineLevel="0" collapsed="false">
      <c r="A1447" s="5" t="n">
        <v>7.17499999999991</v>
      </c>
      <c r="B1447" s="5" t="n">
        <f aca="false">A1447*VOFLB</f>
        <v>186.549999999998</v>
      </c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 t="e">
        <f aca="false">0.000001*('Design Worksheet'!B$88)*(B1447-B1446)/E$232+M1446</f>
        <v>#N/A</v>
      </c>
      <c r="N1447" s="5" t="n">
        <f aca="false">B1447</f>
        <v>186.549999999998</v>
      </c>
    </row>
    <row r="1448" customFormat="false" ht="12.8" hidden="false" customHeight="false" outlineLevel="0" collapsed="false">
      <c r="A1448" s="5" t="n">
        <v>7.17999999999991</v>
      </c>
      <c r="B1448" s="5" t="n">
        <f aca="false">A1448*VOFLB</f>
        <v>186.679999999998</v>
      </c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 t="e">
        <f aca="false">0.000001*('Design Worksheet'!B$88)*(B1448-B1447)/E$232+M1447</f>
        <v>#N/A</v>
      </c>
      <c r="N1448" s="5" t="n">
        <f aca="false">B1448</f>
        <v>186.679999999998</v>
      </c>
    </row>
    <row r="1449" customFormat="false" ht="12.8" hidden="false" customHeight="false" outlineLevel="0" collapsed="false">
      <c r="A1449" s="5" t="n">
        <v>7.18499999999991</v>
      </c>
      <c r="B1449" s="5" t="n">
        <f aca="false">A1449*VOFLB</f>
        <v>186.809999999998</v>
      </c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 t="e">
        <f aca="false">0.000001*('Design Worksheet'!B$88)*(B1449-B1448)/E$232+M1448</f>
        <v>#N/A</v>
      </c>
      <c r="N1449" s="5" t="n">
        <f aca="false">B1449</f>
        <v>186.809999999998</v>
      </c>
    </row>
    <row r="1450" customFormat="false" ht="12.8" hidden="false" customHeight="false" outlineLevel="0" collapsed="false">
      <c r="A1450" s="5" t="n">
        <v>7.18999999999991</v>
      </c>
      <c r="B1450" s="5" t="n">
        <f aca="false">A1450*VOFLB</f>
        <v>186.939999999998</v>
      </c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 t="e">
        <f aca="false">0.000001*('Design Worksheet'!B$88)*(B1450-B1449)/E$232+M1449</f>
        <v>#N/A</v>
      </c>
      <c r="N1450" s="5" t="n">
        <f aca="false">B1450</f>
        <v>186.939999999998</v>
      </c>
    </row>
    <row r="1451" customFormat="false" ht="12.8" hidden="false" customHeight="false" outlineLevel="0" collapsed="false">
      <c r="A1451" s="5" t="n">
        <v>7.19499999999991</v>
      </c>
      <c r="B1451" s="5" t="n">
        <f aca="false">A1451*VOFLB</f>
        <v>187.069999999998</v>
      </c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 t="e">
        <f aca="false">0.000001*('Design Worksheet'!B$88)*(B1451-B1450)/E$232+M1450</f>
        <v>#N/A</v>
      </c>
      <c r="N1451" s="5" t="n">
        <f aca="false">B1451</f>
        <v>187.069999999998</v>
      </c>
    </row>
    <row r="1452" customFormat="false" ht="12.8" hidden="false" customHeight="false" outlineLevel="0" collapsed="false">
      <c r="A1452" s="5" t="n">
        <v>7.19999999999991</v>
      </c>
      <c r="B1452" s="5" t="n">
        <f aca="false">A1452*VOFLB</f>
        <v>187.199999999998</v>
      </c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 t="e">
        <f aca="false">0.000001*('Design Worksheet'!B$88)*(B1452-B1451)/E$232+M1451</f>
        <v>#N/A</v>
      </c>
      <c r="N1452" s="5" t="n">
        <f aca="false">B1452</f>
        <v>187.199999999998</v>
      </c>
    </row>
    <row r="1453" customFormat="false" ht="12.8" hidden="false" customHeight="false" outlineLevel="0" collapsed="false">
      <c r="A1453" s="5" t="n">
        <v>7.20499999999991</v>
      </c>
      <c r="B1453" s="5" t="n">
        <f aca="false">A1453*VOFLB</f>
        <v>187.329999999998</v>
      </c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 t="e">
        <f aca="false">0.000001*('Design Worksheet'!B$88)*(B1453-B1452)/E$232+M1452</f>
        <v>#N/A</v>
      </c>
      <c r="N1453" s="5" t="n">
        <f aca="false">B1453</f>
        <v>187.329999999998</v>
      </c>
    </row>
    <row r="1454" customFormat="false" ht="12.8" hidden="false" customHeight="false" outlineLevel="0" collapsed="false">
      <c r="A1454" s="5" t="n">
        <v>7.20999999999991</v>
      </c>
      <c r="B1454" s="5" t="n">
        <f aca="false">A1454*VOFLB</f>
        <v>187.459999999998</v>
      </c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 t="e">
        <f aca="false">0.000001*('Design Worksheet'!B$88)*(B1454-B1453)/E$232+M1453</f>
        <v>#N/A</v>
      </c>
      <c r="N1454" s="5" t="n">
        <f aca="false">B1454</f>
        <v>187.459999999998</v>
      </c>
    </row>
    <row r="1455" customFormat="false" ht="12.8" hidden="false" customHeight="false" outlineLevel="0" collapsed="false">
      <c r="A1455" s="5" t="n">
        <v>7.21499999999991</v>
      </c>
      <c r="B1455" s="5" t="n">
        <f aca="false">A1455*VOFLB</f>
        <v>187.589999999998</v>
      </c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 t="e">
        <f aca="false">0.000001*('Design Worksheet'!B$88)*(B1455-B1454)/E$232+M1454</f>
        <v>#N/A</v>
      </c>
      <c r="N1455" s="5" t="n">
        <f aca="false">B1455</f>
        <v>187.589999999998</v>
      </c>
    </row>
    <row r="1456" customFormat="false" ht="12.8" hidden="false" customHeight="false" outlineLevel="0" collapsed="false">
      <c r="A1456" s="5" t="n">
        <v>7.21999999999991</v>
      </c>
      <c r="B1456" s="5" t="n">
        <f aca="false">A1456*VOFLB</f>
        <v>187.719999999998</v>
      </c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 t="e">
        <f aca="false">0.000001*('Design Worksheet'!B$88)*(B1456-B1455)/E$232+M1455</f>
        <v>#N/A</v>
      </c>
      <c r="N1456" s="5" t="n">
        <f aca="false">B1456</f>
        <v>187.719999999998</v>
      </c>
    </row>
    <row r="1457" customFormat="false" ht="12.8" hidden="false" customHeight="false" outlineLevel="0" collapsed="false">
      <c r="A1457" s="5" t="n">
        <v>7.22499999999991</v>
      </c>
      <c r="B1457" s="5" t="n">
        <f aca="false">A1457*VOFLB</f>
        <v>187.849999999998</v>
      </c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 t="e">
        <f aca="false">0.000001*('Design Worksheet'!B$88)*(B1457-B1456)/E$232+M1456</f>
        <v>#N/A</v>
      </c>
      <c r="N1457" s="5" t="n">
        <f aca="false">B1457</f>
        <v>187.849999999998</v>
      </c>
    </row>
    <row r="1458" customFormat="false" ht="12.8" hidden="false" customHeight="false" outlineLevel="0" collapsed="false">
      <c r="A1458" s="5" t="n">
        <v>7.22999999999991</v>
      </c>
      <c r="B1458" s="5" t="n">
        <f aca="false">A1458*VOFLB</f>
        <v>187.979999999998</v>
      </c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 t="e">
        <f aca="false">0.000001*('Design Worksheet'!B$88)*(B1458-B1457)/E$232+M1457</f>
        <v>#N/A</v>
      </c>
      <c r="N1458" s="5" t="n">
        <f aca="false">B1458</f>
        <v>187.979999999998</v>
      </c>
    </row>
    <row r="1459" customFormat="false" ht="12.8" hidden="false" customHeight="false" outlineLevel="0" collapsed="false">
      <c r="A1459" s="5" t="n">
        <v>7.23499999999991</v>
      </c>
      <c r="B1459" s="5" t="n">
        <f aca="false">A1459*VOFLB</f>
        <v>188.109999999998</v>
      </c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 t="e">
        <f aca="false">0.000001*('Design Worksheet'!B$88)*(B1459-B1458)/E$232+M1458</f>
        <v>#N/A</v>
      </c>
      <c r="N1459" s="5" t="n">
        <f aca="false">B1459</f>
        <v>188.109999999998</v>
      </c>
    </row>
    <row r="1460" customFormat="false" ht="12.8" hidden="false" customHeight="false" outlineLevel="0" collapsed="false">
      <c r="A1460" s="5" t="n">
        <v>7.23999999999991</v>
      </c>
      <c r="B1460" s="5" t="n">
        <f aca="false">A1460*VOFLB</f>
        <v>188.239999999998</v>
      </c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 t="e">
        <f aca="false">0.000001*('Design Worksheet'!B$88)*(B1460-B1459)/E$232+M1459</f>
        <v>#N/A</v>
      </c>
      <c r="N1460" s="5" t="n">
        <f aca="false">B1460</f>
        <v>188.239999999998</v>
      </c>
    </row>
    <row r="1461" customFormat="false" ht="12.8" hidden="false" customHeight="false" outlineLevel="0" collapsed="false">
      <c r="A1461" s="5" t="n">
        <v>7.24499999999991</v>
      </c>
      <c r="B1461" s="5" t="n">
        <f aca="false">A1461*VOFLB</f>
        <v>188.369999999998</v>
      </c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 t="e">
        <f aca="false">0.000001*('Design Worksheet'!B$88)*(B1461-B1460)/E$232+M1460</f>
        <v>#N/A</v>
      </c>
      <c r="N1461" s="5" t="n">
        <f aca="false">B1461</f>
        <v>188.369999999998</v>
      </c>
    </row>
    <row r="1462" customFormat="false" ht="12.8" hidden="false" customHeight="false" outlineLevel="0" collapsed="false">
      <c r="A1462" s="5" t="n">
        <v>7.24999999999991</v>
      </c>
      <c r="B1462" s="5" t="n">
        <f aca="false">A1462*VOFLB</f>
        <v>188.499999999998</v>
      </c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 t="e">
        <f aca="false">0.000001*('Design Worksheet'!B$88)*(B1462-B1461)/E$232+M1461</f>
        <v>#N/A</v>
      </c>
      <c r="N1462" s="5" t="n">
        <f aca="false">B1462</f>
        <v>188.499999999998</v>
      </c>
    </row>
    <row r="1463" customFormat="false" ht="12.8" hidden="false" customHeight="false" outlineLevel="0" collapsed="false">
      <c r="A1463" s="5" t="n">
        <v>7.25499999999991</v>
      </c>
      <c r="B1463" s="5" t="n">
        <f aca="false">A1463*VOFLB</f>
        <v>188.629999999998</v>
      </c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 t="e">
        <f aca="false">0.000001*('Design Worksheet'!B$88)*(B1463-B1462)/E$232+M1462</f>
        <v>#N/A</v>
      </c>
      <c r="N1463" s="5" t="n">
        <f aca="false">B1463</f>
        <v>188.629999999998</v>
      </c>
    </row>
    <row r="1464" customFormat="false" ht="12.8" hidden="false" customHeight="false" outlineLevel="0" collapsed="false">
      <c r="A1464" s="5" t="n">
        <v>7.25999999999991</v>
      </c>
      <c r="B1464" s="5" t="n">
        <f aca="false">A1464*VOFLB</f>
        <v>188.759999999998</v>
      </c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 t="e">
        <f aca="false">0.000001*('Design Worksheet'!B$88)*(B1464-B1463)/E$232+M1463</f>
        <v>#N/A</v>
      </c>
      <c r="N1464" s="5" t="n">
        <f aca="false">B1464</f>
        <v>188.759999999998</v>
      </c>
    </row>
    <row r="1465" customFormat="false" ht="12.8" hidden="false" customHeight="false" outlineLevel="0" collapsed="false">
      <c r="A1465" s="5" t="n">
        <v>7.26499999999991</v>
      </c>
      <c r="B1465" s="5" t="n">
        <f aca="false">A1465*VOFLB</f>
        <v>188.889999999998</v>
      </c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 t="e">
        <f aca="false">0.000001*('Design Worksheet'!B$88)*(B1465-B1464)/E$232+M1464</f>
        <v>#N/A</v>
      </c>
      <c r="N1465" s="5" t="n">
        <f aca="false">B1465</f>
        <v>188.889999999998</v>
      </c>
    </row>
    <row r="1466" customFormat="false" ht="12.8" hidden="false" customHeight="false" outlineLevel="0" collapsed="false">
      <c r="A1466" s="5" t="n">
        <v>7.26999999999991</v>
      </c>
      <c r="B1466" s="5" t="n">
        <f aca="false">A1466*VOFLB</f>
        <v>189.019999999998</v>
      </c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 t="e">
        <f aca="false">0.000001*('Design Worksheet'!B$88)*(B1466-B1465)/E$232+M1465</f>
        <v>#N/A</v>
      </c>
      <c r="N1466" s="5" t="n">
        <f aca="false">B1466</f>
        <v>189.019999999998</v>
      </c>
    </row>
    <row r="1467" customFormat="false" ht="12.8" hidden="false" customHeight="false" outlineLevel="0" collapsed="false">
      <c r="A1467" s="5" t="n">
        <v>7.27499999999991</v>
      </c>
      <c r="B1467" s="5" t="n">
        <f aca="false">A1467*VOFLB</f>
        <v>189.149999999998</v>
      </c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 t="e">
        <f aca="false">0.000001*('Design Worksheet'!B$88)*(B1467-B1466)/E$232+M1466</f>
        <v>#N/A</v>
      </c>
      <c r="N1467" s="5" t="n">
        <f aca="false">B1467</f>
        <v>189.149999999998</v>
      </c>
    </row>
    <row r="1468" customFormat="false" ht="12.8" hidden="false" customHeight="false" outlineLevel="0" collapsed="false">
      <c r="A1468" s="5" t="n">
        <v>7.27999999999991</v>
      </c>
      <c r="B1468" s="5" t="n">
        <f aca="false">A1468*VOFLB</f>
        <v>189.279999999998</v>
      </c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 t="e">
        <f aca="false">0.000001*('Design Worksheet'!B$88)*(B1468-B1467)/E$232+M1467</f>
        <v>#N/A</v>
      </c>
      <c r="N1468" s="5" t="n">
        <f aca="false">B1468</f>
        <v>189.279999999998</v>
      </c>
    </row>
    <row r="1469" customFormat="false" ht="12.8" hidden="false" customHeight="false" outlineLevel="0" collapsed="false">
      <c r="A1469" s="5" t="n">
        <v>7.28499999999991</v>
      </c>
      <c r="B1469" s="5" t="n">
        <f aca="false">A1469*VOFLB</f>
        <v>189.409999999998</v>
      </c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 t="e">
        <f aca="false">0.000001*('Design Worksheet'!B$88)*(B1469-B1468)/E$232+M1468</f>
        <v>#N/A</v>
      </c>
      <c r="N1469" s="5" t="n">
        <f aca="false">B1469</f>
        <v>189.409999999998</v>
      </c>
    </row>
    <row r="1470" customFormat="false" ht="12.8" hidden="false" customHeight="false" outlineLevel="0" collapsed="false">
      <c r="A1470" s="5" t="n">
        <v>7.28999999999991</v>
      </c>
      <c r="B1470" s="5" t="n">
        <f aca="false">A1470*VOFLB</f>
        <v>189.539999999998</v>
      </c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 t="e">
        <f aca="false">0.000001*('Design Worksheet'!B$88)*(B1470-B1469)/E$232+M1469</f>
        <v>#N/A</v>
      </c>
      <c r="N1470" s="5" t="n">
        <f aca="false">B1470</f>
        <v>189.539999999998</v>
      </c>
    </row>
    <row r="1471" customFormat="false" ht="12.8" hidden="false" customHeight="false" outlineLevel="0" collapsed="false">
      <c r="A1471" s="5" t="n">
        <v>7.29499999999991</v>
      </c>
      <c r="B1471" s="5" t="n">
        <f aca="false">A1471*VOFLB</f>
        <v>189.669999999998</v>
      </c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 t="e">
        <f aca="false">0.000001*('Design Worksheet'!B$88)*(B1471-B1470)/E$232+M1470</f>
        <v>#N/A</v>
      </c>
      <c r="N1471" s="5" t="n">
        <f aca="false">B1471</f>
        <v>189.669999999998</v>
      </c>
    </row>
    <row r="1472" customFormat="false" ht="12.8" hidden="false" customHeight="false" outlineLevel="0" collapsed="false">
      <c r="A1472" s="5" t="n">
        <v>7.29999999999991</v>
      </c>
      <c r="B1472" s="5" t="n">
        <f aca="false">A1472*VOFLB</f>
        <v>189.799999999998</v>
      </c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 t="e">
        <f aca="false">0.000001*('Design Worksheet'!B$88)*(B1472-B1471)/E$232+M1471</f>
        <v>#N/A</v>
      </c>
      <c r="N1472" s="5" t="n">
        <f aca="false">B1472</f>
        <v>189.799999999998</v>
      </c>
    </row>
    <row r="1473" customFormat="false" ht="12.8" hidden="false" customHeight="false" outlineLevel="0" collapsed="false">
      <c r="A1473" s="5" t="n">
        <v>7.30499999999991</v>
      </c>
      <c r="B1473" s="5" t="n">
        <f aca="false">A1473*VOFLB</f>
        <v>189.929999999998</v>
      </c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 t="e">
        <f aca="false">0.000001*('Design Worksheet'!B$88)*(B1473-B1472)/E$232+M1472</f>
        <v>#N/A</v>
      </c>
      <c r="N1473" s="5" t="n">
        <f aca="false">B1473</f>
        <v>189.929999999998</v>
      </c>
    </row>
    <row r="1474" customFormat="false" ht="12.8" hidden="false" customHeight="false" outlineLevel="0" collapsed="false">
      <c r="A1474" s="5" t="n">
        <v>7.30999999999991</v>
      </c>
      <c r="B1474" s="5" t="n">
        <f aca="false">A1474*VOFLB</f>
        <v>190.059999999998</v>
      </c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 t="e">
        <f aca="false">0.000001*('Design Worksheet'!B$88)*(B1474-B1473)/E$232+M1473</f>
        <v>#N/A</v>
      </c>
      <c r="N1474" s="5" t="n">
        <f aca="false">B1474</f>
        <v>190.059999999998</v>
      </c>
    </row>
    <row r="1475" customFormat="false" ht="12.8" hidden="false" customHeight="false" outlineLevel="0" collapsed="false">
      <c r="A1475" s="5" t="n">
        <v>7.31499999999991</v>
      </c>
      <c r="B1475" s="5" t="n">
        <f aca="false">A1475*VOFLB</f>
        <v>190.189999999998</v>
      </c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 t="e">
        <f aca="false">0.000001*('Design Worksheet'!B$88)*(B1475-B1474)/E$232+M1474</f>
        <v>#N/A</v>
      </c>
      <c r="N1475" s="5" t="n">
        <f aca="false">B1475</f>
        <v>190.189999999998</v>
      </c>
    </row>
    <row r="1476" customFormat="false" ht="12.8" hidden="false" customHeight="false" outlineLevel="0" collapsed="false">
      <c r="A1476" s="5" t="n">
        <v>7.31999999999991</v>
      </c>
      <c r="B1476" s="5" t="n">
        <f aca="false">A1476*VOFLB</f>
        <v>190.319999999998</v>
      </c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 t="e">
        <f aca="false">0.000001*('Design Worksheet'!B$88)*(B1476-B1475)/E$232+M1475</f>
        <v>#N/A</v>
      </c>
      <c r="N1476" s="5" t="n">
        <f aca="false">B1476</f>
        <v>190.319999999998</v>
      </c>
    </row>
    <row r="1477" customFormat="false" ht="12.8" hidden="false" customHeight="false" outlineLevel="0" collapsed="false">
      <c r="A1477" s="5" t="n">
        <v>7.32499999999991</v>
      </c>
      <c r="B1477" s="5" t="n">
        <f aca="false">A1477*VOFLB</f>
        <v>190.449999999998</v>
      </c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 t="e">
        <f aca="false">0.000001*('Design Worksheet'!B$88)*(B1477-B1476)/E$232+M1476</f>
        <v>#N/A</v>
      </c>
      <c r="N1477" s="5" t="n">
        <f aca="false">B1477</f>
        <v>190.449999999998</v>
      </c>
    </row>
    <row r="1478" customFormat="false" ht="12.8" hidden="false" customHeight="false" outlineLevel="0" collapsed="false">
      <c r="A1478" s="5" t="n">
        <v>7.32999999999991</v>
      </c>
      <c r="B1478" s="5" t="n">
        <f aca="false">A1478*VOFLB</f>
        <v>190.579999999998</v>
      </c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 t="e">
        <f aca="false">0.000001*('Design Worksheet'!B$88)*(B1478-B1477)/E$232+M1477</f>
        <v>#N/A</v>
      </c>
      <c r="N1478" s="5" t="n">
        <f aca="false">B1478</f>
        <v>190.579999999998</v>
      </c>
    </row>
    <row r="1479" customFormat="false" ht="12.8" hidden="false" customHeight="false" outlineLevel="0" collapsed="false">
      <c r="A1479" s="5" t="n">
        <v>7.33499999999991</v>
      </c>
      <c r="B1479" s="5" t="n">
        <f aca="false">A1479*VOFLB</f>
        <v>190.709999999998</v>
      </c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 t="e">
        <f aca="false">0.000001*('Design Worksheet'!B$88)*(B1479-B1478)/E$232+M1478</f>
        <v>#N/A</v>
      </c>
      <c r="N1479" s="5" t="n">
        <f aca="false">B1479</f>
        <v>190.709999999998</v>
      </c>
    </row>
    <row r="1480" customFormat="false" ht="12.8" hidden="false" customHeight="false" outlineLevel="0" collapsed="false">
      <c r="A1480" s="5" t="n">
        <v>7.33999999999991</v>
      </c>
      <c r="B1480" s="5" t="n">
        <f aca="false">A1480*VOFLB</f>
        <v>190.839999999998</v>
      </c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 t="e">
        <f aca="false">0.000001*('Design Worksheet'!B$88)*(B1480-B1479)/E$232+M1479</f>
        <v>#N/A</v>
      </c>
      <c r="N1480" s="5" t="n">
        <f aca="false">B1480</f>
        <v>190.839999999998</v>
      </c>
    </row>
    <row r="1481" customFormat="false" ht="12.8" hidden="false" customHeight="false" outlineLevel="0" collapsed="false">
      <c r="A1481" s="5" t="n">
        <v>7.34499999999991</v>
      </c>
      <c r="B1481" s="5" t="n">
        <f aca="false">A1481*VOFLB</f>
        <v>190.969999999998</v>
      </c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 t="e">
        <f aca="false">0.000001*('Design Worksheet'!B$88)*(B1481-B1480)/E$232+M1480</f>
        <v>#N/A</v>
      </c>
      <c r="N1481" s="5" t="n">
        <f aca="false">B1481</f>
        <v>190.969999999998</v>
      </c>
    </row>
    <row r="1482" customFormat="false" ht="12.8" hidden="false" customHeight="false" outlineLevel="0" collapsed="false">
      <c r="A1482" s="5" t="n">
        <v>7.34999999999991</v>
      </c>
      <c r="B1482" s="5" t="n">
        <f aca="false">A1482*VOFLB</f>
        <v>191.099999999998</v>
      </c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 t="e">
        <f aca="false">0.000001*('Design Worksheet'!B$88)*(B1482-B1481)/E$232+M1481</f>
        <v>#N/A</v>
      </c>
      <c r="N1482" s="5" t="n">
        <f aca="false">B1482</f>
        <v>191.099999999998</v>
      </c>
    </row>
    <row r="1483" customFormat="false" ht="12.8" hidden="false" customHeight="false" outlineLevel="0" collapsed="false">
      <c r="A1483" s="5" t="n">
        <v>7.35499999999991</v>
      </c>
      <c r="B1483" s="5" t="n">
        <f aca="false">A1483*VOFLB</f>
        <v>191.229999999998</v>
      </c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 t="e">
        <f aca="false">0.000001*('Design Worksheet'!B$88)*(B1483-B1482)/E$232+M1482</f>
        <v>#N/A</v>
      </c>
      <c r="N1483" s="5" t="n">
        <f aca="false">B1483</f>
        <v>191.229999999998</v>
      </c>
    </row>
    <row r="1484" customFormat="false" ht="12.8" hidden="false" customHeight="false" outlineLevel="0" collapsed="false">
      <c r="A1484" s="5" t="n">
        <v>7.35999999999991</v>
      </c>
      <c r="B1484" s="5" t="n">
        <f aca="false">A1484*VOFLB</f>
        <v>191.359999999998</v>
      </c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 t="e">
        <f aca="false">0.000001*('Design Worksheet'!B$88)*(B1484-B1483)/E$232+M1483</f>
        <v>#N/A</v>
      </c>
      <c r="N1484" s="5" t="n">
        <f aca="false">B1484</f>
        <v>191.359999999998</v>
      </c>
    </row>
    <row r="1485" customFormat="false" ht="12.8" hidden="false" customHeight="false" outlineLevel="0" collapsed="false">
      <c r="A1485" s="5" t="n">
        <v>7.36499999999991</v>
      </c>
      <c r="B1485" s="5" t="n">
        <f aca="false">A1485*VOFLB</f>
        <v>191.489999999998</v>
      </c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 t="e">
        <f aca="false">0.000001*('Design Worksheet'!B$88)*(B1485-B1484)/E$232+M1484</f>
        <v>#N/A</v>
      </c>
      <c r="N1485" s="5" t="n">
        <f aca="false">B1485</f>
        <v>191.489999999998</v>
      </c>
    </row>
    <row r="1486" customFormat="false" ht="12.8" hidden="false" customHeight="false" outlineLevel="0" collapsed="false">
      <c r="A1486" s="5" t="n">
        <v>7.36999999999991</v>
      </c>
      <c r="B1486" s="5" t="n">
        <f aca="false">A1486*VOFLB</f>
        <v>191.619999999998</v>
      </c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 t="e">
        <f aca="false">0.000001*('Design Worksheet'!B$88)*(B1486-B1485)/E$232+M1485</f>
        <v>#N/A</v>
      </c>
      <c r="N1486" s="5" t="n">
        <f aca="false">B1486</f>
        <v>191.619999999998</v>
      </c>
    </row>
    <row r="1487" customFormat="false" ht="12.8" hidden="false" customHeight="false" outlineLevel="0" collapsed="false">
      <c r="A1487" s="5" t="n">
        <v>7.37499999999991</v>
      </c>
      <c r="B1487" s="5" t="n">
        <f aca="false">A1487*VOFLB</f>
        <v>191.749999999998</v>
      </c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 t="e">
        <f aca="false">0.000001*('Design Worksheet'!B$88)*(B1487-B1486)/E$232+M1486</f>
        <v>#N/A</v>
      </c>
      <c r="N1487" s="5" t="n">
        <f aca="false">B1487</f>
        <v>191.749999999998</v>
      </c>
    </row>
    <row r="1488" customFormat="false" ht="12.8" hidden="false" customHeight="false" outlineLevel="0" collapsed="false">
      <c r="A1488" s="5" t="n">
        <v>7.37999999999991</v>
      </c>
      <c r="B1488" s="5" t="n">
        <f aca="false">A1488*VOFLB</f>
        <v>191.879999999998</v>
      </c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 t="e">
        <f aca="false">0.000001*('Design Worksheet'!B$88)*(B1488-B1487)/E$232+M1487</f>
        <v>#N/A</v>
      </c>
      <c r="N1488" s="5" t="n">
        <f aca="false">B1488</f>
        <v>191.879999999998</v>
      </c>
    </row>
    <row r="1489" customFormat="false" ht="12.8" hidden="false" customHeight="false" outlineLevel="0" collapsed="false">
      <c r="A1489" s="5" t="n">
        <v>7.38499999999991</v>
      </c>
      <c r="B1489" s="5" t="n">
        <f aca="false">A1489*VOFLB</f>
        <v>192.009999999998</v>
      </c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 t="e">
        <f aca="false">0.000001*('Design Worksheet'!B$88)*(B1489-B1488)/E$232+M1488</f>
        <v>#N/A</v>
      </c>
      <c r="N1489" s="5" t="n">
        <f aca="false">B1489</f>
        <v>192.009999999998</v>
      </c>
    </row>
    <row r="1490" customFormat="false" ht="12.8" hidden="false" customHeight="false" outlineLevel="0" collapsed="false">
      <c r="A1490" s="5" t="n">
        <v>7.38999999999991</v>
      </c>
      <c r="B1490" s="5" t="n">
        <f aca="false">A1490*VOFLB</f>
        <v>192.139999999998</v>
      </c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 t="e">
        <f aca="false">0.000001*('Design Worksheet'!B$88)*(B1490-B1489)/E$232+M1489</f>
        <v>#N/A</v>
      </c>
      <c r="N1490" s="5" t="n">
        <f aca="false">B1490</f>
        <v>192.139999999998</v>
      </c>
    </row>
    <row r="1491" customFormat="false" ht="12.8" hidden="false" customHeight="false" outlineLevel="0" collapsed="false">
      <c r="A1491" s="5" t="n">
        <v>7.39499999999991</v>
      </c>
      <c r="B1491" s="5" t="n">
        <f aca="false">A1491*VOFLB</f>
        <v>192.269999999998</v>
      </c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 t="e">
        <f aca="false">0.000001*('Design Worksheet'!B$88)*(B1491-B1490)/E$232+M1490</f>
        <v>#N/A</v>
      </c>
      <c r="N1491" s="5" t="n">
        <f aca="false">B1491</f>
        <v>192.269999999998</v>
      </c>
    </row>
    <row r="1492" customFormat="false" ht="12.8" hidden="false" customHeight="false" outlineLevel="0" collapsed="false">
      <c r="A1492" s="5" t="n">
        <v>7.39999999999991</v>
      </c>
      <c r="B1492" s="5" t="n">
        <f aca="false">A1492*VOFLB</f>
        <v>192.399999999998</v>
      </c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 t="e">
        <f aca="false">0.000001*('Design Worksheet'!B$88)*(B1492-B1491)/E$232+M1491</f>
        <v>#N/A</v>
      </c>
      <c r="N1492" s="5" t="n">
        <f aca="false">B1492</f>
        <v>192.399999999998</v>
      </c>
    </row>
    <row r="1493" customFormat="false" ht="12.8" hidden="false" customHeight="false" outlineLevel="0" collapsed="false">
      <c r="A1493" s="5" t="n">
        <v>7.40499999999991</v>
      </c>
      <c r="B1493" s="5" t="n">
        <f aca="false">A1493*VOFLB</f>
        <v>192.529999999998</v>
      </c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 t="e">
        <f aca="false">0.000001*('Design Worksheet'!B$88)*(B1493-B1492)/E$232+M1492</f>
        <v>#N/A</v>
      </c>
      <c r="N1493" s="5" t="n">
        <f aca="false">B1493</f>
        <v>192.529999999998</v>
      </c>
    </row>
    <row r="1494" customFormat="false" ht="12.8" hidden="false" customHeight="false" outlineLevel="0" collapsed="false">
      <c r="A1494" s="5" t="n">
        <v>7.40999999999991</v>
      </c>
      <c r="B1494" s="5" t="n">
        <f aca="false">A1494*VOFLB</f>
        <v>192.659999999998</v>
      </c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 t="e">
        <f aca="false">0.000001*('Design Worksheet'!B$88)*(B1494-B1493)/E$232+M1493</f>
        <v>#N/A</v>
      </c>
      <c r="N1494" s="5" t="n">
        <f aca="false">B1494</f>
        <v>192.659999999998</v>
      </c>
    </row>
    <row r="1495" customFormat="false" ht="12.8" hidden="false" customHeight="false" outlineLevel="0" collapsed="false">
      <c r="A1495" s="5" t="n">
        <v>7.41499999999991</v>
      </c>
      <c r="B1495" s="5" t="n">
        <f aca="false">A1495*VOFLB</f>
        <v>192.789999999998</v>
      </c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 t="e">
        <f aca="false">0.000001*('Design Worksheet'!B$88)*(B1495-B1494)/E$232+M1494</f>
        <v>#N/A</v>
      </c>
      <c r="N1495" s="5" t="n">
        <f aca="false">B1495</f>
        <v>192.789999999998</v>
      </c>
    </row>
    <row r="1496" customFormat="false" ht="12.8" hidden="false" customHeight="false" outlineLevel="0" collapsed="false">
      <c r="A1496" s="5" t="n">
        <v>7.41999999999991</v>
      </c>
      <c r="B1496" s="5" t="n">
        <f aca="false">A1496*VOFLB</f>
        <v>192.919999999998</v>
      </c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 t="e">
        <f aca="false">0.000001*('Design Worksheet'!B$88)*(B1496-B1495)/E$232+M1495</f>
        <v>#N/A</v>
      </c>
      <c r="N1496" s="5" t="n">
        <f aca="false">B1496</f>
        <v>192.919999999998</v>
      </c>
    </row>
    <row r="1497" customFormat="false" ht="12.8" hidden="false" customHeight="false" outlineLevel="0" collapsed="false">
      <c r="A1497" s="5" t="n">
        <v>7.42499999999991</v>
      </c>
      <c r="B1497" s="5" t="n">
        <f aca="false">A1497*VOFLB</f>
        <v>193.049999999998</v>
      </c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 t="e">
        <f aca="false">0.000001*('Design Worksheet'!B$88)*(B1497-B1496)/E$232+M1496</f>
        <v>#N/A</v>
      </c>
      <c r="N1497" s="5" t="n">
        <f aca="false">B1497</f>
        <v>193.049999999998</v>
      </c>
    </row>
    <row r="1498" customFormat="false" ht="12.8" hidden="false" customHeight="false" outlineLevel="0" collapsed="false">
      <c r="A1498" s="5" t="n">
        <v>7.42999999999991</v>
      </c>
      <c r="B1498" s="5" t="n">
        <f aca="false">A1498*VOFLB</f>
        <v>193.179999999998</v>
      </c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 t="e">
        <f aca="false">0.000001*('Design Worksheet'!B$88)*(B1498-B1497)/E$232+M1497</f>
        <v>#N/A</v>
      </c>
      <c r="N1498" s="5" t="n">
        <f aca="false">B1498</f>
        <v>193.179999999998</v>
      </c>
    </row>
    <row r="1499" customFormat="false" ht="12.8" hidden="false" customHeight="false" outlineLevel="0" collapsed="false">
      <c r="A1499" s="5" t="n">
        <v>7.43499999999991</v>
      </c>
      <c r="B1499" s="5" t="n">
        <f aca="false">A1499*VOFLB</f>
        <v>193.309999999998</v>
      </c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 t="e">
        <f aca="false">0.000001*('Design Worksheet'!B$88)*(B1499-B1498)/E$232+M1498</f>
        <v>#N/A</v>
      </c>
      <c r="N1499" s="5" t="n">
        <f aca="false">B1499</f>
        <v>193.309999999998</v>
      </c>
    </row>
    <row r="1500" customFormat="false" ht="12.8" hidden="false" customHeight="false" outlineLevel="0" collapsed="false">
      <c r="A1500" s="5" t="n">
        <v>7.43999999999991</v>
      </c>
      <c r="B1500" s="5" t="n">
        <f aca="false">A1500*VOFLB</f>
        <v>193.439999999998</v>
      </c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 t="e">
        <f aca="false">0.000001*('Design Worksheet'!B$88)*(B1500-B1499)/E$232+M1499</f>
        <v>#N/A</v>
      </c>
      <c r="N1500" s="5" t="n">
        <f aca="false">B1500</f>
        <v>193.439999999998</v>
      </c>
    </row>
    <row r="1501" customFormat="false" ht="12.8" hidden="false" customHeight="false" outlineLevel="0" collapsed="false">
      <c r="A1501" s="5" t="n">
        <v>7.44499999999991</v>
      </c>
      <c r="B1501" s="5" t="n">
        <f aca="false">A1501*VOFLB</f>
        <v>193.569999999998</v>
      </c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 t="e">
        <f aca="false">0.000001*('Design Worksheet'!B$88)*(B1501-B1500)/E$232+M1500</f>
        <v>#N/A</v>
      </c>
      <c r="N1501" s="5" t="n">
        <f aca="false">B1501</f>
        <v>193.569999999998</v>
      </c>
    </row>
    <row r="1502" customFormat="false" ht="12.8" hidden="false" customHeight="false" outlineLevel="0" collapsed="false">
      <c r="A1502" s="5" t="n">
        <v>7.44999999999991</v>
      </c>
      <c r="B1502" s="5" t="n">
        <f aca="false">A1502*VOFLB</f>
        <v>193.699999999998</v>
      </c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 t="e">
        <f aca="false">0.000001*('Design Worksheet'!B$88)*(B1502-B1501)/E$232+M1501</f>
        <v>#N/A</v>
      </c>
      <c r="N1502" s="5" t="n">
        <f aca="false">B1502</f>
        <v>193.699999999998</v>
      </c>
    </row>
    <row r="1503" customFormat="false" ht="12.8" hidden="false" customHeight="false" outlineLevel="0" collapsed="false">
      <c r="A1503" s="5" t="n">
        <v>7.45499999999991</v>
      </c>
      <c r="B1503" s="5" t="n">
        <f aca="false">A1503*VOFLB</f>
        <v>193.829999999998</v>
      </c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 t="e">
        <f aca="false">0.000001*('Design Worksheet'!B$88)*(B1503-B1502)/E$232+M1502</f>
        <v>#N/A</v>
      </c>
      <c r="N1503" s="5" t="n">
        <f aca="false">B1503</f>
        <v>193.829999999998</v>
      </c>
    </row>
    <row r="1504" customFormat="false" ht="12.8" hidden="false" customHeight="false" outlineLevel="0" collapsed="false">
      <c r="A1504" s="5" t="n">
        <v>7.45999999999991</v>
      </c>
      <c r="B1504" s="5" t="n">
        <f aca="false">A1504*VOFLB</f>
        <v>193.959999999998</v>
      </c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 t="e">
        <f aca="false">0.000001*('Design Worksheet'!B$88)*(B1504-B1503)/E$232+M1503</f>
        <v>#N/A</v>
      </c>
      <c r="N1504" s="5" t="n">
        <f aca="false">B1504</f>
        <v>193.959999999998</v>
      </c>
    </row>
    <row r="1505" customFormat="false" ht="12.8" hidden="false" customHeight="false" outlineLevel="0" collapsed="false">
      <c r="A1505" s="5" t="n">
        <v>7.46499999999991</v>
      </c>
      <c r="B1505" s="5" t="n">
        <f aca="false">A1505*VOFLB</f>
        <v>194.089999999998</v>
      </c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 t="e">
        <f aca="false">0.000001*('Design Worksheet'!B$88)*(B1505-B1504)/E$232+M1504</f>
        <v>#N/A</v>
      </c>
      <c r="N1505" s="5" t="n">
        <f aca="false">B1505</f>
        <v>194.089999999998</v>
      </c>
    </row>
    <row r="1506" customFormat="false" ht="12.8" hidden="false" customHeight="false" outlineLevel="0" collapsed="false">
      <c r="A1506" s="5" t="n">
        <v>7.46999999999991</v>
      </c>
      <c r="B1506" s="5" t="n">
        <f aca="false">A1506*VOFLB</f>
        <v>194.219999999998</v>
      </c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 t="e">
        <f aca="false">0.000001*('Design Worksheet'!B$88)*(B1506-B1505)/E$232+M1505</f>
        <v>#N/A</v>
      </c>
      <c r="N1506" s="5" t="n">
        <f aca="false">B1506</f>
        <v>194.219999999998</v>
      </c>
    </row>
    <row r="1507" customFormat="false" ht="12.8" hidden="false" customHeight="false" outlineLevel="0" collapsed="false">
      <c r="A1507" s="5" t="n">
        <v>7.47499999999991</v>
      </c>
      <c r="B1507" s="5" t="n">
        <f aca="false">A1507*VOFLB</f>
        <v>194.349999999998</v>
      </c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 t="e">
        <f aca="false">0.000001*('Design Worksheet'!B$88)*(B1507-B1506)/E$232+M1506</f>
        <v>#N/A</v>
      </c>
      <c r="N1507" s="5" t="n">
        <f aca="false">B1507</f>
        <v>194.349999999998</v>
      </c>
    </row>
    <row r="1508" customFormat="false" ht="12.8" hidden="false" customHeight="false" outlineLevel="0" collapsed="false">
      <c r="A1508" s="5" t="n">
        <v>7.47999999999991</v>
      </c>
      <c r="B1508" s="5" t="n">
        <f aca="false">A1508*VOFLB</f>
        <v>194.479999999998</v>
      </c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 t="e">
        <f aca="false">0.000001*('Design Worksheet'!B$88)*(B1508-B1507)/E$232+M1507</f>
        <v>#N/A</v>
      </c>
      <c r="N1508" s="5" t="n">
        <f aca="false">B1508</f>
        <v>194.479999999998</v>
      </c>
    </row>
    <row r="1509" customFormat="false" ht="12.8" hidden="false" customHeight="false" outlineLevel="0" collapsed="false">
      <c r="A1509" s="5" t="n">
        <v>7.48499999999991</v>
      </c>
      <c r="B1509" s="5" t="n">
        <f aca="false">A1509*VOFLB</f>
        <v>194.609999999998</v>
      </c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 t="e">
        <f aca="false">0.000001*('Design Worksheet'!B$88)*(B1509-B1508)/E$232+M1508</f>
        <v>#N/A</v>
      </c>
      <c r="N1509" s="5" t="n">
        <f aca="false">B1509</f>
        <v>194.609999999998</v>
      </c>
    </row>
    <row r="1510" customFormat="false" ht="12.8" hidden="false" customHeight="false" outlineLevel="0" collapsed="false">
      <c r="A1510" s="5" t="n">
        <v>7.48999999999991</v>
      </c>
      <c r="B1510" s="5" t="n">
        <f aca="false">A1510*VOFLB</f>
        <v>194.739999999998</v>
      </c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 t="e">
        <f aca="false">0.000001*('Design Worksheet'!B$88)*(B1510-B1509)/E$232+M1509</f>
        <v>#N/A</v>
      </c>
      <c r="N1510" s="5" t="n">
        <f aca="false">B1510</f>
        <v>194.739999999998</v>
      </c>
    </row>
    <row r="1511" customFormat="false" ht="12.8" hidden="false" customHeight="false" outlineLevel="0" collapsed="false">
      <c r="A1511" s="5" t="n">
        <v>7.49499999999991</v>
      </c>
      <c r="B1511" s="5" t="n">
        <f aca="false">A1511*VOFLB</f>
        <v>194.869999999998</v>
      </c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 t="e">
        <f aca="false">0.000001*('Design Worksheet'!B$88)*(B1511-B1510)/E$232+M1510</f>
        <v>#N/A</v>
      </c>
      <c r="N1511" s="5" t="n">
        <f aca="false">B1511</f>
        <v>194.869999999998</v>
      </c>
    </row>
    <row r="1512" customFormat="false" ht="12.8" hidden="false" customHeight="false" outlineLevel="0" collapsed="false">
      <c r="A1512" s="5" t="n">
        <v>7.4999999999999</v>
      </c>
      <c r="B1512" s="5" t="n">
        <f aca="false">A1512*VOFLB</f>
        <v>194.999999999997</v>
      </c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 t="e">
        <f aca="false">0.000001*('Design Worksheet'!B$88)*(B1512-B1511)/E$232+M1511</f>
        <v>#N/A</v>
      </c>
      <c r="N1512" s="5" t="n">
        <f aca="false">B1512</f>
        <v>194.999999999997</v>
      </c>
    </row>
    <row r="1513" customFormat="false" ht="12.8" hidden="false" customHeight="false" outlineLevel="0" collapsed="false">
      <c r="A1513" s="5" t="n">
        <v>7.5049999999999</v>
      </c>
      <c r="B1513" s="5" t="n">
        <f aca="false">A1513*VOFLB</f>
        <v>195.129999999997</v>
      </c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 t="e">
        <f aca="false">0.000001*('Design Worksheet'!B$88)*(B1513-B1512)/E$232+M1512</f>
        <v>#N/A</v>
      </c>
      <c r="N1513" s="5" t="n">
        <f aca="false">B1513</f>
        <v>195.129999999997</v>
      </c>
    </row>
    <row r="1514" customFormat="false" ht="12.8" hidden="false" customHeight="false" outlineLevel="0" collapsed="false">
      <c r="A1514" s="5" t="n">
        <v>7.5099999999999</v>
      </c>
      <c r="B1514" s="5" t="n">
        <f aca="false">A1514*VOFLB</f>
        <v>195.259999999997</v>
      </c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 t="e">
        <f aca="false">0.000001*('Design Worksheet'!B$88)*(B1514-B1513)/E$232+M1513</f>
        <v>#N/A</v>
      </c>
      <c r="N1514" s="5" t="n">
        <f aca="false">B1514</f>
        <v>195.259999999997</v>
      </c>
    </row>
    <row r="1515" customFormat="false" ht="12.8" hidden="false" customHeight="false" outlineLevel="0" collapsed="false">
      <c r="A1515" s="5" t="n">
        <v>7.5149999999999</v>
      </c>
      <c r="B1515" s="5" t="n">
        <f aca="false">A1515*VOFLB</f>
        <v>195.389999999997</v>
      </c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 t="e">
        <f aca="false">0.000001*('Design Worksheet'!B$88)*(B1515-B1514)/E$232+M1514</f>
        <v>#N/A</v>
      </c>
      <c r="N1515" s="5" t="n">
        <f aca="false">B1515</f>
        <v>195.389999999997</v>
      </c>
    </row>
    <row r="1516" customFormat="false" ht="12.8" hidden="false" customHeight="false" outlineLevel="0" collapsed="false">
      <c r="A1516" s="5" t="n">
        <v>7.5199999999999</v>
      </c>
      <c r="B1516" s="5" t="n">
        <f aca="false">A1516*VOFLB</f>
        <v>195.519999999997</v>
      </c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 t="e">
        <f aca="false">0.000001*('Design Worksheet'!B$88)*(B1516-B1515)/E$232+M1515</f>
        <v>#N/A</v>
      </c>
      <c r="N1516" s="5" t="n">
        <f aca="false">B1516</f>
        <v>195.519999999997</v>
      </c>
    </row>
    <row r="1517" customFormat="false" ht="12.8" hidden="false" customHeight="false" outlineLevel="0" collapsed="false">
      <c r="A1517" s="5" t="n">
        <v>7.5249999999999</v>
      </c>
      <c r="B1517" s="5" t="n">
        <f aca="false">A1517*VOFLB</f>
        <v>195.649999999997</v>
      </c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 t="e">
        <f aca="false">0.000001*('Design Worksheet'!B$88)*(B1517-B1516)/E$232+M1516</f>
        <v>#N/A</v>
      </c>
      <c r="N1517" s="5" t="n">
        <f aca="false">B1517</f>
        <v>195.649999999997</v>
      </c>
    </row>
    <row r="1518" customFormat="false" ht="12.8" hidden="false" customHeight="false" outlineLevel="0" collapsed="false">
      <c r="A1518" s="5" t="n">
        <v>7.5299999999999</v>
      </c>
      <c r="B1518" s="5" t="n">
        <f aca="false">A1518*VOFLB</f>
        <v>195.779999999997</v>
      </c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 t="e">
        <f aca="false">0.000001*('Design Worksheet'!B$88)*(B1518-B1517)/E$232+M1517</f>
        <v>#N/A</v>
      </c>
      <c r="N1518" s="5" t="n">
        <f aca="false">B1518</f>
        <v>195.779999999997</v>
      </c>
    </row>
    <row r="1519" customFormat="false" ht="12.8" hidden="false" customHeight="false" outlineLevel="0" collapsed="false">
      <c r="A1519" s="5" t="n">
        <v>7.5349999999999</v>
      </c>
      <c r="B1519" s="5" t="n">
        <f aca="false">A1519*VOFLB</f>
        <v>195.909999999997</v>
      </c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 t="e">
        <f aca="false">0.000001*('Design Worksheet'!B$88)*(B1519-B1518)/E$232+M1518</f>
        <v>#N/A</v>
      </c>
      <c r="N1519" s="5" t="n">
        <f aca="false">B1519</f>
        <v>195.909999999997</v>
      </c>
    </row>
    <row r="1520" customFormat="false" ht="12.8" hidden="false" customHeight="false" outlineLevel="0" collapsed="false">
      <c r="A1520" s="5" t="n">
        <v>7.5399999999999</v>
      </c>
      <c r="B1520" s="5" t="n">
        <f aca="false">A1520*VOFLB</f>
        <v>196.039999999997</v>
      </c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 t="e">
        <f aca="false">0.000001*('Design Worksheet'!B$88)*(B1520-B1519)/E$232+M1519</f>
        <v>#N/A</v>
      </c>
      <c r="N1520" s="5" t="n">
        <f aca="false">B1520</f>
        <v>196.039999999997</v>
      </c>
    </row>
    <row r="1521" customFormat="false" ht="12.8" hidden="false" customHeight="false" outlineLevel="0" collapsed="false">
      <c r="A1521" s="5" t="n">
        <v>7.5449999999999</v>
      </c>
      <c r="B1521" s="5" t="n">
        <f aca="false">A1521*VOFLB</f>
        <v>196.169999999997</v>
      </c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 t="e">
        <f aca="false">0.000001*('Design Worksheet'!B$88)*(B1521-B1520)/E$232+M1520</f>
        <v>#N/A</v>
      </c>
      <c r="N1521" s="5" t="n">
        <f aca="false">B1521</f>
        <v>196.169999999997</v>
      </c>
    </row>
    <row r="1522" customFormat="false" ht="12.8" hidden="false" customHeight="false" outlineLevel="0" collapsed="false">
      <c r="A1522" s="5" t="n">
        <v>7.5499999999999</v>
      </c>
      <c r="B1522" s="5" t="n">
        <f aca="false">A1522*VOFLB</f>
        <v>196.299999999997</v>
      </c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 t="e">
        <f aca="false">0.000001*('Design Worksheet'!B$88)*(B1522-B1521)/E$232+M1521</f>
        <v>#N/A</v>
      </c>
      <c r="N1522" s="5" t="n">
        <f aca="false">B1522</f>
        <v>196.299999999997</v>
      </c>
    </row>
    <row r="1523" customFormat="false" ht="12.8" hidden="false" customHeight="false" outlineLevel="0" collapsed="false">
      <c r="A1523" s="5" t="n">
        <v>7.5549999999999</v>
      </c>
      <c r="B1523" s="5" t="n">
        <f aca="false">A1523*VOFLB</f>
        <v>196.429999999997</v>
      </c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 t="e">
        <f aca="false">0.000001*('Design Worksheet'!B$88)*(B1523-B1522)/E$232+M1522</f>
        <v>#N/A</v>
      </c>
      <c r="N1523" s="5" t="n">
        <f aca="false">B1523</f>
        <v>196.429999999997</v>
      </c>
    </row>
    <row r="1524" customFormat="false" ht="12.8" hidden="false" customHeight="false" outlineLevel="0" collapsed="false">
      <c r="A1524" s="5" t="n">
        <v>7.5599999999999</v>
      </c>
      <c r="B1524" s="5" t="n">
        <f aca="false">A1524*VOFLB</f>
        <v>196.559999999997</v>
      </c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 t="e">
        <f aca="false">0.000001*('Design Worksheet'!B$88)*(B1524-B1523)/E$232+M1523</f>
        <v>#N/A</v>
      </c>
      <c r="N1524" s="5" t="n">
        <f aca="false">B1524</f>
        <v>196.559999999997</v>
      </c>
    </row>
    <row r="1525" customFormat="false" ht="12.8" hidden="false" customHeight="false" outlineLevel="0" collapsed="false">
      <c r="A1525" s="5" t="n">
        <v>7.5649999999999</v>
      </c>
      <c r="B1525" s="5" t="n">
        <f aca="false">A1525*VOFLB</f>
        <v>196.689999999997</v>
      </c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 t="e">
        <f aca="false">0.000001*('Design Worksheet'!B$88)*(B1525-B1524)/E$232+M1524</f>
        <v>#N/A</v>
      </c>
      <c r="N1525" s="5" t="n">
        <f aca="false">B1525</f>
        <v>196.689999999997</v>
      </c>
    </row>
    <row r="1526" customFormat="false" ht="12.8" hidden="false" customHeight="false" outlineLevel="0" collapsed="false">
      <c r="A1526" s="5" t="n">
        <v>7.5699999999999</v>
      </c>
      <c r="B1526" s="5" t="n">
        <f aca="false">A1526*VOFLB</f>
        <v>196.819999999997</v>
      </c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 t="e">
        <f aca="false">0.000001*('Design Worksheet'!B$88)*(B1526-B1525)/E$232+M1525</f>
        <v>#N/A</v>
      </c>
      <c r="N1526" s="5" t="n">
        <f aca="false">B1526</f>
        <v>196.819999999997</v>
      </c>
    </row>
    <row r="1527" customFormat="false" ht="12.8" hidden="false" customHeight="false" outlineLevel="0" collapsed="false">
      <c r="A1527" s="5" t="n">
        <v>7.5749999999999</v>
      </c>
      <c r="B1527" s="5" t="n">
        <f aca="false">A1527*VOFLB</f>
        <v>196.949999999997</v>
      </c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 t="e">
        <f aca="false">0.000001*('Design Worksheet'!B$88)*(B1527-B1526)/E$232+M1526</f>
        <v>#N/A</v>
      </c>
      <c r="N1527" s="5" t="n">
        <f aca="false">B1527</f>
        <v>196.949999999997</v>
      </c>
    </row>
    <row r="1528" customFormat="false" ht="12.8" hidden="false" customHeight="false" outlineLevel="0" collapsed="false">
      <c r="A1528" s="5" t="n">
        <v>7.5799999999999</v>
      </c>
      <c r="B1528" s="5" t="n">
        <f aca="false">A1528*VOFLB</f>
        <v>197.079999999997</v>
      </c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 t="e">
        <f aca="false">0.000001*('Design Worksheet'!B$88)*(B1528-B1527)/E$232+M1527</f>
        <v>#N/A</v>
      </c>
      <c r="N1528" s="5" t="n">
        <f aca="false">B1528</f>
        <v>197.079999999997</v>
      </c>
    </row>
    <row r="1529" customFormat="false" ht="12.8" hidden="false" customHeight="false" outlineLevel="0" collapsed="false">
      <c r="A1529" s="5" t="n">
        <v>7.5849999999999</v>
      </c>
      <c r="B1529" s="5" t="n">
        <f aca="false">A1529*VOFLB</f>
        <v>197.209999999997</v>
      </c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 t="e">
        <f aca="false">0.000001*('Design Worksheet'!B$88)*(B1529-B1528)/E$232+M1528</f>
        <v>#N/A</v>
      </c>
      <c r="N1529" s="5" t="n">
        <f aca="false">B1529</f>
        <v>197.209999999997</v>
      </c>
    </row>
    <row r="1530" customFormat="false" ht="12.8" hidden="false" customHeight="false" outlineLevel="0" collapsed="false">
      <c r="A1530" s="5" t="n">
        <v>7.5899999999999</v>
      </c>
      <c r="B1530" s="5" t="n">
        <f aca="false">A1530*VOFLB</f>
        <v>197.339999999997</v>
      </c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 t="e">
        <f aca="false">0.000001*('Design Worksheet'!B$88)*(B1530-B1529)/E$232+M1529</f>
        <v>#N/A</v>
      </c>
      <c r="N1530" s="5" t="n">
        <f aca="false">B1530</f>
        <v>197.339999999997</v>
      </c>
    </row>
    <row r="1531" customFormat="false" ht="12.8" hidden="false" customHeight="false" outlineLevel="0" collapsed="false">
      <c r="A1531" s="5" t="n">
        <v>7.5949999999999</v>
      </c>
      <c r="B1531" s="5" t="n">
        <f aca="false">A1531*VOFLB</f>
        <v>197.469999999997</v>
      </c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 t="e">
        <f aca="false">0.000001*('Design Worksheet'!B$88)*(B1531-B1530)/E$232+M1530</f>
        <v>#N/A</v>
      </c>
      <c r="N1531" s="5" t="n">
        <f aca="false">B1531</f>
        <v>197.469999999997</v>
      </c>
    </row>
    <row r="1532" customFormat="false" ht="12.8" hidden="false" customHeight="false" outlineLevel="0" collapsed="false">
      <c r="A1532" s="5" t="n">
        <v>7.5999999999999</v>
      </c>
      <c r="B1532" s="5" t="n">
        <f aca="false">A1532*VOFLB</f>
        <v>197.599999999997</v>
      </c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 t="e">
        <f aca="false">0.000001*('Design Worksheet'!B$88)*(B1532-B1531)/E$232+M1531</f>
        <v>#N/A</v>
      </c>
      <c r="N1532" s="5" t="n">
        <f aca="false">B1532</f>
        <v>197.599999999997</v>
      </c>
    </row>
    <row r="1533" customFormat="false" ht="12.8" hidden="false" customHeight="false" outlineLevel="0" collapsed="false">
      <c r="A1533" s="5" t="n">
        <v>7.6049999999999</v>
      </c>
      <c r="B1533" s="5" t="n">
        <f aca="false">A1533*VOFLB</f>
        <v>197.729999999997</v>
      </c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 t="e">
        <f aca="false">0.000001*('Design Worksheet'!B$88)*(B1533-B1532)/E$232+M1532</f>
        <v>#N/A</v>
      </c>
      <c r="N1533" s="5" t="n">
        <f aca="false">B1533</f>
        <v>197.729999999997</v>
      </c>
    </row>
    <row r="1534" customFormat="false" ht="12.8" hidden="false" customHeight="false" outlineLevel="0" collapsed="false">
      <c r="A1534" s="5" t="n">
        <v>7.6099999999999</v>
      </c>
      <c r="B1534" s="5" t="n">
        <f aca="false">A1534*VOFLB</f>
        <v>197.859999999997</v>
      </c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 t="e">
        <f aca="false">0.000001*('Design Worksheet'!B$88)*(B1534-B1533)/E$232+M1533</f>
        <v>#N/A</v>
      </c>
      <c r="N1534" s="5" t="n">
        <f aca="false">B1534</f>
        <v>197.859999999997</v>
      </c>
    </row>
    <row r="1535" customFormat="false" ht="12.8" hidden="false" customHeight="false" outlineLevel="0" collapsed="false">
      <c r="A1535" s="5" t="n">
        <v>7.6149999999999</v>
      </c>
      <c r="B1535" s="5" t="n">
        <f aca="false">A1535*VOFLB</f>
        <v>197.989999999997</v>
      </c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 t="e">
        <f aca="false">0.000001*('Design Worksheet'!B$88)*(B1535-B1534)/E$232+M1534</f>
        <v>#N/A</v>
      </c>
      <c r="N1535" s="5" t="n">
        <f aca="false">B1535</f>
        <v>197.989999999997</v>
      </c>
    </row>
    <row r="1536" customFormat="false" ht="12.8" hidden="false" customHeight="false" outlineLevel="0" collapsed="false">
      <c r="A1536" s="5" t="n">
        <v>7.6199999999999</v>
      </c>
      <c r="B1536" s="5" t="n">
        <f aca="false">A1536*VOFLB</f>
        <v>198.119999999997</v>
      </c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 t="e">
        <f aca="false">0.000001*('Design Worksheet'!B$88)*(B1536-B1535)/E$232+M1535</f>
        <v>#N/A</v>
      </c>
      <c r="N1536" s="5" t="n">
        <f aca="false">B1536</f>
        <v>198.119999999997</v>
      </c>
    </row>
    <row r="1537" customFormat="false" ht="12.8" hidden="false" customHeight="false" outlineLevel="0" collapsed="false">
      <c r="A1537" s="5" t="n">
        <v>7.6249999999999</v>
      </c>
      <c r="B1537" s="5" t="n">
        <f aca="false">A1537*VOFLB</f>
        <v>198.249999999997</v>
      </c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 t="e">
        <f aca="false">0.000001*('Design Worksheet'!B$88)*(B1537-B1536)/E$232+M1536</f>
        <v>#N/A</v>
      </c>
      <c r="N1537" s="5" t="n">
        <f aca="false">B1537</f>
        <v>198.249999999997</v>
      </c>
    </row>
    <row r="1538" customFormat="false" ht="12.8" hidden="false" customHeight="false" outlineLevel="0" collapsed="false">
      <c r="A1538" s="5" t="n">
        <v>7.6299999999999</v>
      </c>
      <c r="B1538" s="5" t="n">
        <f aca="false">A1538*VOFLB</f>
        <v>198.379999999997</v>
      </c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 t="e">
        <f aca="false">0.000001*('Design Worksheet'!B$88)*(B1538-B1537)/E$232+M1537</f>
        <v>#N/A</v>
      </c>
      <c r="N1538" s="5" t="n">
        <f aca="false">B1538</f>
        <v>198.379999999997</v>
      </c>
    </row>
    <row r="1539" customFormat="false" ht="12.8" hidden="false" customHeight="false" outlineLevel="0" collapsed="false">
      <c r="A1539" s="5" t="n">
        <v>7.6349999999999</v>
      </c>
      <c r="B1539" s="5" t="n">
        <f aca="false">A1539*VOFLB</f>
        <v>198.509999999997</v>
      </c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 t="e">
        <f aca="false">0.000001*('Design Worksheet'!B$88)*(B1539-B1538)/E$232+M1538</f>
        <v>#N/A</v>
      </c>
      <c r="N1539" s="5" t="n">
        <f aca="false">B1539</f>
        <v>198.509999999997</v>
      </c>
    </row>
    <row r="1540" customFormat="false" ht="12.8" hidden="false" customHeight="false" outlineLevel="0" collapsed="false">
      <c r="A1540" s="5" t="n">
        <v>7.6399999999999</v>
      </c>
      <c r="B1540" s="5" t="n">
        <f aca="false">A1540*VOFLB</f>
        <v>198.639999999997</v>
      </c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 t="e">
        <f aca="false">0.000001*('Design Worksheet'!B$88)*(B1540-B1539)/E$232+M1539</f>
        <v>#N/A</v>
      </c>
      <c r="N1540" s="5" t="n">
        <f aca="false">B1540</f>
        <v>198.639999999997</v>
      </c>
    </row>
    <row r="1541" customFormat="false" ht="12.8" hidden="false" customHeight="false" outlineLevel="0" collapsed="false">
      <c r="A1541" s="5" t="n">
        <v>7.6449999999999</v>
      </c>
      <c r="B1541" s="5" t="n">
        <f aca="false">A1541*VOFLB</f>
        <v>198.769999999997</v>
      </c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 t="e">
        <f aca="false">0.000001*('Design Worksheet'!B$88)*(B1541-B1540)/E$232+M1540</f>
        <v>#N/A</v>
      </c>
      <c r="N1541" s="5" t="n">
        <f aca="false">B1541</f>
        <v>198.769999999997</v>
      </c>
    </row>
    <row r="1542" customFormat="false" ht="12.8" hidden="false" customHeight="false" outlineLevel="0" collapsed="false">
      <c r="A1542" s="5" t="n">
        <v>7.6499999999999</v>
      </c>
      <c r="B1542" s="5" t="n">
        <f aca="false">A1542*VOFLB</f>
        <v>198.899999999997</v>
      </c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 t="e">
        <f aca="false">0.000001*('Design Worksheet'!B$88)*(B1542-B1541)/E$232+M1541</f>
        <v>#N/A</v>
      </c>
      <c r="N1542" s="5" t="n">
        <f aca="false">B1542</f>
        <v>198.899999999997</v>
      </c>
    </row>
    <row r="1543" customFormat="false" ht="12.8" hidden="false" customHeight="false" outlineLevel="0" collapsed="false">
      <c r="A1543" s="5" t="n">
        <v>7.6549999999999</v>
      </c>
      <c r="B1543" s="5" t="n">
        <f aca="false">A1543*VOFLB</f>
        <v>199.029999999997</v>
      </c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 t="e">
        <f aca="false">0.000001*('Design Worksheet'!B$88)*(B1543-B1542)/E$232+M1542</f>
        <v>#N/A</v>
      </c>
      <c r="N1543" s="5" t="n">
        <f aca="false">B1543</f>
        <v>199.029999999997</v>
      </c>
    </row>
    <row r="1544" customFormat="false" ht="12.8" hidden="false" customHeight="false" outlineLevel="0" collapsed="false">
      <c r="A1544" s="5" t="n">
        <v>7.6599999999999</v>
      </c>
      <c r="B1544" s="5" t="n">
        <f aca="false">A1544*VOFLB</f>
        <v>199.159999999997</v>
      </c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 t="e">
        <f aca="false">0.000001*('Design Worksheet'!B$88)*(B1544-B1543)/E$232+M1543</f>
        <v>#N/A</v>
      </c>
      <c r="N1544" s="5" t="n">
        <f aca="false">B1544</f>
        <v>199.159999999997</v>
      </c>
    </row>
    <row r="1545" customFormat="false" ht="12.8" hidden="false" customHeight="false" outlineLevel="0" collapsed="false">
      <c r="A1545" s="5" t="n">
        <v>7.6649999999999</v>
      </c>
      <c r="B1545" s="5" t="n">
        <f aca="false">A1545*VOFLB</f>
        <v>199.289999999997</v>
      </c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 t="e">
        <f aca="false">0.000001*('Design Worksheet'!B$88)*(B1545-B1544)/E$232+M1544</f>
        <v>#N/A</v>
      </c>
      <c r="N1545" s="5" t="n">
        <f aca="false">B1545</f>
        <v>199.289999999997</v>
      </c>
    </row>
    <row r="1546" customFormat="false" ht="12.8" hidden="false" customHeight="false" outlineLevel="0" collapsed="false">
      <c r="A1546" s="5" t="n">
        <v>7.6699999999999</v>
      </c>
      <c r="B1546" s="5" t="n">
        <f aca="false">A1546*VOFLB</f>
        <v>199.419999999997</v>
      </c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 t="e">
        <f aca="false">0.000001*('Design Worksheet'!B$88)*(B1546-B1545)/E$232+M1545</f>
        <v>#N/A</v>
      </c>
      <c r="N1546" s="5" t="n">
        <f aca="false">B1546</f>
        <v>199.419999999997</v>
      </c>
    </row>
    <row r="1547" customFormat="false" ht="12.8" hidden="false" customHeight="false" outlineLevel="0" collapsed="false">
      <c r="A1547" s="5" t="n">
        <v>7.6749999999999</v>
      </c>
      <c r="B1547" s="5" t="n">
        <f aca="false">A1547*VOFLB</f>
        <v>199.549999999997</v>
      </c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 t="e">
        <f aca="false">0.000001*('Design Worksheet'!B$88)*(B1547-B1546)/E$232+M1546</f>
        <v>#N/A</v>
      </c>
      <c r="N1547" s="5" t="n">
        <f aca="false">B1547</f>
        <v>199.549999999997</v>
      </c>
    </row>
    <row r="1548" customFormat="false" ht="12.8" hidden="false" customHeight="false" outlineLevel="0" collapsed="false">
      <c r="A1548" s="5" t="n">
        <v>7.6799999999999</v>
      </c>
      <c r="B1548" s="5" t="n">
        <f aca="false">A1548*VOFLB</f>
        <v>199.679999999997</v>
      </c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 t="e">
        <f aca="false">0.000001*('Design Worksheet'!B$88)*(B1548-B1547)/E$232+M1547</f>
        <v>#N/A</v>
      </c>
      <c r="N1548" s="5" t="n">
        <f aca="false">B1548</f>
        <v>199.679999999997</v>
      </c>
    </row>
    <row r="1549" customFormat="false" ht="12.8" hidden="false" customHeight="false" outlineLevel="0" collapsed="false">
      <c r="A1549" s="5" t="n">
        <v>7.6849999999999</v>
      </c>
      <c r="B1549" s="5" t="n">
        <f aca="false">A1549*VOFLB</f>
        <v>199.809999999997</v>
      </c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 t="e">
        <f aca="false">0.000001*('Design Worksheet'!B$88)*(B1549-B1548)/E$232+M1548</f>
        <v>#N/A</v>
      </c>
      <c r="N1549" s="5" t="n">
        <f aca="false">B1549</f>
        <v>199.809999999997</v>
      </c>
    </row>
    <row r="1550" customFormat="false" ht="12.8" hidden="false" customHeight="false" outlineLevel="0" collapsed="false">
      <c r="A1550" s="5" t="n">
        <v>7.6899999999999</v>
      </c>
      <c r="B1550" s="5" t="n">
        <f aca="false">A1550*VOFLB</f>
        <v>199.939999999997</v>
      </c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 t="e">
        <f aca="false">0.000001*('Design Worksheet'!B$88)*(B1550-B1549)/E$232+M1549</f>
        <v>#N/A</v>
      </c>
      <c r="N1550" s="5" t="n">
        <f aca="false">B1550</f>
        <v>199.939999999997</v>
      </c>
    </row>
    <row r="1551" customFormat="false" ht="12.8" hidden="false" customHeight="false" outlineLevel="0" collapsed="false">
      <c r="A1551" s="5" t="n">
        <v>7.6949999999999</v>
      </c>
      <c r="B1551" s="5" t="n">
        <f aca="false">A1551*VOFLB</f>
        <v>200.069999999997</v>
      </c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 t="e">
        <f aca="false">0.000001*('Design Worksheet'!B$88)*(B1551-B1550)/E$232+M1550</f>
        <v>#N/A</v>
      </c>
      <c r="N1551" s="5" t="n">
        <f aca="false">B1551</f>
        <v>200.069999999997</v>
      </c>
    </row>
    <row r="1552" customFormat="false" ht="12.8" hidden="false" customHeight="false" outlineLevel="0" collapsed="false">
      <c r="A1552" s="5" t="n">
        <v>7.6999999999999</v>
      </c>
      <c r="B1552" s="5" t="n">
        <f aca="false">A1552*VOFLB</f>
        <v>200.199999999997</v>
      </c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 t="e">
        <f aca="false">0.000001*('Design Worksheet'!B$88)*(B1552-B1551)/E$232+M1551</f>
        <v>#N/A</v>
      </c>
      <c r="N1552" s="5" t="n">
        <f aca="false">B1552</f>
        <v>200.199999999997</v>
      </c>
    </row>
    <row r="1553" customFormat="false" ht="12.8" hidden="false" customHeight="false" outlineLevel="0" collapsed="false">
      <c r="A1553" s="5" t="n">
        <v>7.7049999999999</v>
      </c>
      <c r="B1553" s="5" t="n">
        <f aca="false">A1553*VOFLB</f>
        <v>200.329999999997</v>
      </c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 t="e">
        <f aca="false">0.000001*('Design Worksheet'!B$88)*(B1553-B1552)/E$232+M1552</f>
        <v>#N/A</v>
      </c>
      <c r="N1553" s="5" t="n">
        <f aca="false">B1553</f>
        <v>200.329999999997</v>
      </c>
    </row>
    <row r="1554" customFormat="false" ht="12.8" hidden="false" customHeight="false" outlineLevel="0" collapsed="false">
      <c r="A1554" s="5" t="n">
        <v>7.7099999999999</v>
      </c>
      <c r="B1554" s="5" t="n">
        <f aca="false">A1554*VOFLB</f>
        <v>200.459999999997</v>
      </c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 t="e">
        <f aca="false">0.000001*('Design Worksheet'!B$88)*(B1554-B1553)/E$232+M1553</f>
        <v>#N/A</v>
      </c>
      <c r="N1554" s="5" t="n">
        <f aca="false">B1554</f>
        <v>200.459999999997</v>
      </c>
    </row>
    <row r="1555" customFormat="false" ht="12.8" hidden="false" customHeight="false" outlineLevel="0" collapsed="false">
      <c r="A1555" s="5" t="n">
        <v>7.7149999999999</v>
      </c>
      <c r="B1555" s="5" t="n">
        <f aca="false">A1555*VOFLB</f>
        <v>200.589999999997</v>
      </c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 t="e">
        <f aca="false">0.000001*('Design Worksheet'!B$88)*(B1555-B1554)/E$232+M1554</f>
        <v>#N/A</v>
      </c>
      <c r="N1555" s="5" t="n">
        <f aca="false">B1555</f>
        <v>200.589999999997</v>
      </c>
    </row>
    <row r="1556" customFormat="false" ht="12.8" hidden="false" customHeight="false" outlineLevel="0" collapsed="false">
      <c r="A1556" s="5" t="n">
        <v>7.7199999999999</v>
      </c>
      <c r="B1556" s="5" t="n">
        <f aca="false">A1556*VOFLB</f>
        <v>200.719999999997</v>
      </c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 t="e">
        <f aca="false">0.000001*('Design Worksheet'!B$88)*(B1556-B1555)/E$232+M1555</f>
        <v>#N/A</v>
      </c>
      <c r="N1556" s="5" t="n">
        <f aca="false">B1556</f>
        <v>200.719999999997</v>
      </c>
    </row>
    <row r="1557" customFormat="false" ht="12.8" hidden="false" customHeight="false" outlineLevel="0" collapsed="false">
      <c r="A1557" s="5" t="n">
        <v>7.7249999999999</v>
      </c>
      <c r="B1557" s="5" t="n">
        <f aca="false">A1557*VOFLB</f>
        <v>200.849999999997</v>
      </c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 t="e">
        <f aca="false">0.000001*('Design Worksheet'!B$88)*(B1557-B1556)/E$232+M1556</f>
        <v>#N/A</v>
      </c>
      <c r="N1557" s="5" t="n">
        <f aca="false">B1557</f>
        <v>200.849999999997</v>
      </c>
    </row>
    <row r="1558" customFormat="false" ht="12.8" hidden="false" customHeight="false" outlineLevel="0" collapsed="false">
      <c r="A1558" s="5" t="n">
        <v>7.7299999999999</v>
      </c>
      <c r="B1558" s="5" t="n">
        <f aca="false">A1558*VOFLB</f>
        <v>200.979999999997</v>
      </c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 t="e">
        <f aca="false">0.000001*('Design Worksheet'!B$88)*(B1558-B1557)/E$232+M1557</f>
        <v>#N/A</v>
      </c>
      <c r="N1558" s="5" t="n">
        <f aca="false">B1558</f>
        <v>200.979999999997</v>
      </c>
    </row>
    <row r="1559" customFormat="false" ht="12.8" hidden="false" customHeight="false" outlineLevel="0" collapsed="false">
      <c r="A1559" s="5" t="n">
        <v>7.7349999999999</v>
      </c>
      <c r="B1559" s="5" t="n">
        <f aca="false">A1559*VOFLB</f>
        <v>201.109999999997</v>
      </c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 t="e">
        <f aca="false">0.000001*('Design Worksheet'!B$88)*(B1559-B1558)/E$232+M1558</f>
        <v>#N/A</v>
      </c>
      <c r="N1559" s="5" t="n">
        <f aca="false">B1559</f>
        <v>201.109999999997</v>
      </c>
    </row>
    <row r="1560" customFormat="false" ht="12.8" hidden="false" customHeight="false" outlineLevel="0" collapsed="false">
      <c r="A1560" s="5" t="n">
        <v>7.7399999999999</v>
      </c>
      <c r="B1560" s="5" t="n">
        <f aca="false">A1560*VOFLB</f>
        <v>201.239999999997</v>
      </c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 t="e">
        <f aca="false">0.000001*('Design Worksheet'!B$88)*(B1560-B1559)/E$232+M1559</f>
        <v>#N/A</v>
      </c>
      <c r="N1560" s="5" t="n">
        <f aca="false">B1560</f>
        <v>201.239999999997</v>
      </c>
    </row>
    <row r="1561" customFormat="false" ht="12.8" hidden="false" customHeight="false" outlineLevel="0" collapsed="false">
      <c r="A1561" s="5" t="n">
        <v>7.7449999999999</v>
      </c>
      <c r="B1561" s="5" t="n">
        <f aca="false">A1561*VOFLB</f>
        <v>201.369999999997</v>
      </c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 t="e">
        <f aca="false">0.000001*('Design Worksheet'!B$88)*(B1561-B1560)/E$232+M1560</f>
        <v>#N/A</v>
      </c>
      <c r="N1561" s="5" t="n">
        <f aca="false">B1561</f>
        <v>201.369999999997</v>
      </c>
    </row>
    <row r="1562" customFormat="false" ht="12.8" hidden="false" customHeight="false" outlineLevel="0" collapsed="false">
      <c r="A1562" s="5" t="n">
        <v>7.7499999999999</v>
      </c>
      <c r="B1562" s="5" t="n">
        <f aca="false">A1562*VOFLB</f>
        <v>201.499999999997</v>
      </c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 t="e">
        <f aca="false">0.000001*('Design Worksheet'!B$88)*(B1562-B1561)/E$232+M1561</f>
        <v>#N/A</v>
      </c>
      <c r="N1562" s="5" t="n">
        <f aca="false">B1562</f>
        <v>201.499999999997</v>
      </c>
    </row>
    <row r="1563" customFormat="false" ht="12.8" hidden="false" customHeight="false" outlineLevel="0" collapsed="false">
      <c r="A1563" s="5" t="n">
        <v>7.7549999999999</v>
      </c>
      <c r="B1563" s="5" t="n">
        <f aca="false">A1563*VOFLB</f>
        <v>201.629999999997</v>
      </c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 t="e">
        <f aca="false">0.000001*('Design Worksheet'!B$88)*(B1563-B1562)/E$232+M1562</f>
        <v>#N/A</v>
      </c>
      <c r="N1563" s="5" t="n">
        <f aca="false">B1563</f>
        <v>201.629999999997</v>
      </c>
    </row>
    <row r="1564" customFormat="false" ht="12.8" hidden="false" customHeight="false" outlineLevel="0" collapsed="false">
      <c r="A1564" s="5" t="n">
        <v>7.7599999999999</v>
      </c>
      <c r="B1564" s="5" t="n">
        <f aca="false">A1564*VOFLB</f>
        <v>201.759999999997</v>
      </c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 t="e">
        <f aca="false">0.000001*('Design Worksheet'!B$88)*(B1564-B1563)/E$232+M1563</f>
        <v>#N/A</v>
      </c>
      <c r="N1564" s="5" t="n">
        <f aca="false">B1564</f>
        <v>201.759999999997</v>
      </c>
    </row>
    <row r="1565" customFormat="false" ht="12.8" hidden="false" customHeight="false" outlineLevel="0" collapsed="false">
      <c r="A1565" s="5" t="n">
        <v>7.7649999999999</v>
      </c>
      <c r="B1565" s="5" t="n">
        <f aca="false">A1565*VOFLB</f>
        <v>201.889999999997</v>
      </c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 t="e">
        <f aca="false">0.000001*('Design Worksheet'!B$88)*(B1565-B1564)/E$232+M1564</f>
        <v>#N/A</v>
      </c>
      <c r="N1565" s="5" t="n">
        <f aca="false">B1565</f>
        <v>201.889999999997</v>
      </c>
    </row>
    <row r="1566" customFormat="false" ht="12.8" hidden="false" customHeight="false" outlineLevel="0" collapsed="false">
      <c r="A1566" s="5" t="n">
        <v>7.7699999999999</v>
      </c>
      <c r="B1566" s="5" t="n">
        <f aca="false">A1566*VOFLB</f>
        <v>202.019999999997</v>
      </c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 t="e">
        <f aca="false">0.000001*('Design Worksheet'!B$88)*(B1566-B1565)/E$232+M1565</f>
        <v>#N/A</v>
      </c>
      <c r="N1566" s="5" t="n">
        <f aca="false">B1566</f>
        <v>202.019999999997</v>
      </c>
    </row>
    <row r="1567" customFormat="false" ht="12.8" hidden="false" customHeight="false" outlineLevel="0" collapsed="false">
      <c r="A1567" s="5" t="n">
        <v>7.7749999999999</v>
      </c>
      <c r="B1567" s="5" t="n">
        <f aca="false">A1567*VOFLB</f>
        <v>202.149999999997</v>
      </c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 t="e">
        <f aca="false">0.000001*('Design Worksheet'!B$88)*(B1567-B1566)/E$232+M1566</f>
        <v>#N/A</v>
      </c>
      <c r="N1567" s="5" t="n">
        <f aca="false">B1567</f>
        <v>202.149999999997</v>
      </c>
    </row>
    <row r="1568" customFormat="false" ht="12.8" hidden="false" customHeight="false" outlineLevel="0" collapsed="false">
      <c r="A1568" s="5" t="n">
        <v>7.7799999999999</v>
      </c>
      <c r="B1568" s="5" t="n">
        <f aca="false">A1568*VOFLB</f>
        <v>202.279999999997</v>
      </c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 t="e">
        <f aca="false">0.000001*('Design Worksheet'!B$88)*(B1568-B1567)/E$232+M1567</f>
        <v>#N/A</v>
      </c>
      <c r="N1568" s="5" t="n">
        <f aca="false">B1568</f>
        <v>202.279999999997</v>
      </c>
    </row>
    <row r="1569" customFormat="false" ht="12.8" hidden="false" customHeight="false" outlineLevel="0" collapsed="false">
      <c r="A1569" s="5" t="n">
        <v>7.7849999999999</v>
      </c>
      <c r="B1569" s="5" t="n">
        <f aca="false">A1569*VOFLB</f>
        <v>202.409999999997</v>
      </c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 t="e">
        <f aca="false">0.000001*('Design Worksheet'!B$88)*(B1569-B1568)/E$232+M1568</f>
        <v>#N/A</v>
      </c>
      <c r="N1569" s="5" t="n">
        <f aca="false">B1569</f>
        <v>202.409999999997</v>
      </c>
    </row>
    <row r="1570" customFormat="false" ht="12.8" hidden="false" customHeight="false" outlineLevel="0" collapsed="false">
      <c r="A1570" s="5" t="n">
        <v>7.7899999999999</v>
      </c>
      <c r="B1570" s="5" t="n">
        <f aca="false">A1570*VOFLB</f>
        <v>202.539999999997</v>
      </c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 t="e">
        <f aca="false">0.000001*('Design Worksheet'!B$88)*(B1570-B1569)/E$232+M1569</f>
        <v>#N/A</v>
      </c>
      <c r="N1570" s="5" t="n">
        <f aca="false">B1570</f>
        <v>202.539999999997</v>
      </c>
    </row>
    <row r="1571" customFormat="false" ht="12.8" hidden="false" customHeight="false" outlineLevel="0" collapsed="false">
      <c r="A1571" s="5" t="n">
        <v>7.7949999999999</v>
      </c>
      <c r="B1571" s="5" t="n">
        <f aca="false">A1571*VOFLB</f>
        <v>202.669999999997</v>
      </c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 t="e">
        <f aca="false">0.000001*('Design Worksheet'!B$88)*(B1571-B1570)/E$232+M1570</f>
        <v>#N/A</v>
      </c>
      <c r="N1571" s="5" t="n">
        <f aca="false">B1571</f>
        <v>202.669999999997</v>
      </c>
    </row>
    <row r="1572" customFormat="false" ht="12.8" hidden="false" customHeight="false" outlineLevel="0" collapsed="false">
      <c r="A1572" s="5" t="n">
        <v>7.7999999999999</v>
      </c>
      <c r="B1572" s="5" t="n">
        <f aca="false">A1572*VOFLB</f>
        <v>202.799999999997</v>
      </c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 t="e">
        <f aca="false">0.000001*('Design Worksheet'!B$88)*(B1572-B1571)/E$232+M1571</f>
        <v>#N/A</v>
      </c>
      <c r="N1572" s="5" t="n">
        <f aca="false">B1572</f>
        <v>202.799999999997</v>
      </c>
    </row>
    <row r="1573" customFormat="false" ht="12.8" hidden="false" customHeight="false" outlineLevel="0" collapsed="false">
      <c r="A1573" s="5" t="n">
        <v>7.8049999999999</v>
      </c>
      <c r="B1573" s="5" t="n">
        <f aca="false">A1573*VOFLB</f>
        <v>202.929999999997</v>
      </c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 t="e">
        <f aca="false">0.000001*('Design Worksheet'!B$88)*(B1573-B1572)/E$232+M1572</f>
        <v>#N/A</v>
      </c>
      <c r="N1573" s="5" t="n">
        <f aca="false">B1573</f>
        <v>202.929999999997</v>
      </c>
    </row>
    <row r="1574" customFormat="false" ht="12.8" hidden="false" customHeight="false" outlineLevel="0" collapsed="false">
      <c r="A1574" s="5" t="n">
        <v>7.8099999999999</v>
      </c>
      <c r="B1574" s="5" t="n">
        <f aca="false">A1574*VOFLB</f>
        <v>203.059999999997</v>
      </c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 t="e">
        <f aca="false">0.000001*('Design Worksheet'!B$88)*(B1574-B1573)/E$232+M1573</f>
        <v>#N/A</v>
      </c>
      <c r="N1574" s="5" t="n">
        <f aca="false">B1574</f>
        <v>203.059999999997</v>
      </c>
    </row>
    <row r="1575" customFormat="false" ht="12.8" hidden="false" customHeight="false" outlineLevel="0" collapsed="false">
      <c r="A1575" s="5" t="n">
        <v>7.8149999999999</v>
      </c>
      <c r="B1575" s="5" t="n">
        <f aca="false">A1575*VOFLB</f>
        <v>203.189999999997</v>
      </c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 t="e">
        <f aca="false">0.000001*('Design Worksheet'!B$88)*(B1575-B1574)/E$232+M1574</f>
        <v>#N/A</v>
      </c>
      <c r="N1575" s="5" t="n">
        <f aca="false">B1575</f>
        <v>203.189999999997</v>
      </c>
    </row>
    <row r="1576" customFormat="false" ht="12.8" hidden="false" customHeight="false" outlineLevel="0" collapsed="false">
      <c r="A1576" s="5" t="n">
        <v>7.8199999999999</v>
      </c>
      <c r="B1576" s="5" t="n">
        <f aca="false">A1576*VOFLB</f>
        <v>203.319999999997</v>
      </c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 t="e">
        <f aca="false">0.000001*('Design Worksheet'!B$88)*(B1576-B1575)/E$232+M1575</f>
        <v>#N/A</v>
      </c>
      <c r="N1576" s="5" t="n">
        <f aca="false">B1576</f>
        <v>203.319999999997</v>
      </c>
    </row>
    <row r="1577" customFormat="false" ht="12.8" hidden="false" customHeight="false" outlineLevel="0" collapsed="false">
      <c r="A1577" s="5" t="n">
        <v>7.8249999999999</v>
      </c>
      <c r="B1577" s="5" t="n">
        <f aca="false">A1577*VOFLB</f>
        <v>203.449999999997</v>
      </c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 t="e">
        <f aca="false">0.000001*('Design Worksheet'!B$88)*(B1577-B1576)/E$232+M1576</f>
        <v>#N/A</v>
      </c>
      <c r="N1577" s="5" t="n">
        <f aca="false">B1577</f>
        <v>203.449999999997</v>
      </c>
    </row>
    <row r="1578" customFormat="false" ht="12.8" hidden="false" customHeight="false" outlineLevel="0" collapsed="false">
      <c r="A1578" s="5" t="n">
        <v>7.8299999999999</v>
      </c>
      <c r="B1578" s="5" t="n">
        <f aca="false">A1578*VOFLB</f>
        <v>203.579999999997</v>
      </c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 t="e">
        <f aca="false">0.000001*('Design Worksheet'!B$88)*(B1578-B1577)/E$232+M1577</f>
        <v>#N/A</v>
      </c>
      <c r="N1578" s="5" t="n">
        <f aca="false">B1578</f>
        <v>203.579999999997</v>
      </c>
    </row>
    <row r="1579" customFormat="false" ht="12.8" hidden="false" customHeight="false" outlineLevel="0" collapsed="false">
      <c r="A1579" s="5" t="n">
        <v>7.8349999999999</v>
      </c>
      <c r="B1579" s="5" t="n">
        <f aca="false">A1579*VOFLB</f>
        <v>203.709999999997</v>
      </c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 t="e">
        <f aca="false">0.000001*('Design Worksheet'!B$88)*(B1579-B1578)/E$232+M1578</f>
        <v>#N/A</v>
      </c>
      <c r="N1579" s="5" t="n">
        <f aca="false">B1579</f>
        <v>203.709999999997</v>
      </c>
    </row>
    <row r="1580" customFormat="false" ht="12.8" hidden="false" customHeight="false" outlineLevel="0" collapsed="false">
      <c r="A1580" s="5" t="n">
        <v>7.8399999999999</v>
      </c>
      <c r="B1580" s="5" t="n">
        <f aca="false">A1580*VOFLB</f>
        <v>203.839999999997</v>
      </c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 t="e">
        <f aca="false">0.000001*('Design Worksheet'!B$88)*(B1580-B1579)/E$232+M1579</f>
        <v>#N/A</v>
      </c>
      <c r="N1580" s="5" t="n">
        <f aca="false">B1580</f>
        <v>203.839999999997</v>
      </c>
    </row>
    <row r="1581" customFormat="false" ht="12.8" hidden="false" customHeight="false" outlineLevel="0" collapsed="false">
      <c r="A1581" s="5" t="n">
        <v>7.8449999999999</v>
      </c>
      <c r="B1581" s="5" t="n">
        <f aca="false">A1581*VOFLB</f>
        <v>203.969999999997</v>
      </c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 t="e">
        <f aca="false">0.000001*('Design Worksheet'!B$88)*(B1581-B1580)/E$232+M1580</f>
        <v>#N/A</v>
      </c>
      <c r="N1581" s="5" t="n">
        <f aca="false">B1581</f>
        <v>203.969999999997</v>
      </c>
    </row>
    <row r="1582" customFormat="false" ht="12.8" hidden="false" customHeight="false" outlineLevel="0" collapsed="false">
      <c r="A1582" s="5" t="n">
        <v>7.8499999999999</v>
      </c>
      <c r="B1582" s="5" t="n">
        <f aca="false">A1582*VOFLB</f>
        <v>204.099999999997</v>
      </c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 t="e">
        <f aca="false">0.000001*('Design Worksheet'!B$88)*(B1582-B1581)/E$232+M1581</f>
        <v>#N/A</v>
      </c>
      <c r="N1582" s="5" t="n">
        <f aca="false">B1582</f>
        <v>204.099999999997</v>
      </c>
    </row>
    <row r="1583" customFormat="false" ht="12.8" hidden="false" customHeight="false" outlineLevel="0" collapsed="false">
      <c r="A1583" s="5" t="n">
        <v>7.8549999999999</v>
      </c>
      <c r="B1583" s="5" t="n">
        <f aca="false">A1583*VOFLB</f>
        <v>204.229999999997</v>
      </c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 t="e">
        <f aca="false">0.000001*('Design Worksheet'!B$88)*(B1583-B1582)/E$232+M1582</f>
        <v>#N/A</v>
      </c>
      <c r="N1583" s="5" t="n">
        <f aca="false">B1583</f>
        <v>204.229999999997</v>
      </c>
    </row>
    <row r="1584" customFormat="false" ht="12.8" hidden="false" customHeight="false" outlineLevel="0" collapsed="false">
      <c r="A1584" s="5" t="n">
        <v>7.8599999999999</v>
      </c>
      <c r="B1584" s="5" t="n">
        <f aca="false">A1584*VOFLB</f>
        <v>204.359999999997</v>
      </c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 t="e">
        <f aca="false">0.000001*('Design Worksheet'!B$88)*(B1584-B1583)/E$232+M1583</f>
        <v>#N/A</v>
      </c>
      <c r="N1584" s="5" t="n">
        <f aca="false">B1584</f>
        <v>204.359999999997</v>
      </c>
    </row>
    <row r="1585" customFormat="false" ht="12.8" hidden="false" customHeight="false" outlineLevel="0" collapsed="false">
      <c r="A1585" s="5" t="n">
        <v>7.8649999999999</v>
      </c>
      <c r="B1585" s="5" t="n">
        <f aca="false">A1585*VOFLB</f>
        <v>204.489999999997</v>
      </c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 t="e">
        <f aca="false">0.000001*('Design Worksheet'!B$88)*(B1585-B1584)/E$232+M1584</f>
        <v>#N/A</v>
      </c>
      <c r="N1585" s="5" t="n">
        <f aca="false">B1585</f>
        <v>204.489999999997</v>
      </c>
    </row>
    <row r="1586" customFormat="false" ht="12.8" hidden="false" customHeight="false" outlineLevel="0" collapsed="false">
      <c r="A1586" s="5" t="n">
        <v>7.8699999999999</v>
      </c>
      <c r="B1586" s="5" t="n">
        <f aca="false">A1586*VOFLB</f>
        <v>204.619999999997</v>
      </c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 t="e">
        <f aca="false">0.000001*('Design Worksheet'!B$88)*(B1586-B1585)/E$232+M1585</f>
        <v>#N/A</v>
      </c>
      <c r="N1586" s="5" t="n">
        <f aca="false">B1586</f>
        <v>204.619999999997</v>
      </c>
    </row>
    <row r="1587" customFormat="false" ht="12.8" hidden="false" customHeight="false" outlineLevel="0" collapsed="false">
      <c r="A1587" s="5" t="n">
        <v>7.8749999999999</v>
      </c>
      <c r="B1587" s="5" t="n">
        <f aca="false">A1587*VOFLB</f>
        <v>204.749999999997</v>
      </c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 t="e">
        <f aca="false">0.000001*('Design Worksheet'!B$88)*(B1587-B1586)/E$232+M1586</f>
        <v>#N/A</v>
      </c>
      <c r="N1587" s="5" t="n">
        <f aca="false">B1587</f>
        <v>204.749999999997</v>
      </c>
    </row>
    <row r="1588" customFormat="false" ht="12.8" hidden="false" customHeight="false" outlineLevel="0" collapsed="false">
      <c r="A1588" s="5" t="n">
        <v>7.8799999999999</v>
      </c>
      <c r="B1588" s="5" t="n">
        <f aca="false">A1588*VOFLB</f>
        <v>204.879999999997</v>
      </c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 t="e">
        <f aca="false">0.000001*('Design Worksheet'!B$88)*(B1588-B1587)/E$232+M1587</f>
        <v>#N/A</v>
      </c>
      <c r="N1588" s="5" t="n">
        <f aca="false">B1588</f>
        <v>204.879999999997</v>
      </c>
    </row>
    <row r="1589" customFormat="false" ht="12.8" hidden="false" customHeight="false" outlineLevel="0" collapsed="false">
      <c r="A1589" s="5" t="n">
        <v>7.8849999999999</v>
      </c>
      <c r="B1589" s="5" t="n">
        <f aca="false">A1589*VOFLB</f>
        <v>205.009999999997</v>
      </c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 t="e">
        <f aca="false">0.000001*('Design Worksheet'!B$88)*(B1589-B1588)/E$232+M1588</f>
        <v>#N/A</v>
      </c>
      <c r="N1589" s="5" t="n">
        <f aca="false">B1589</f>
        <v>205.009999999997</v>
      </c>
    </row>
    <row r="1590" customFormat="false" ht="12.8" hidden="false" customHeight="false" outlineLevel="0" collapsed="false">
      <c r="A1590" s="5" t="n">
        <v>7.8899999999999</v>
      </c>
      <c r="B1590" s="5" t="n">
        <f aca="false">A1590*VOFLB</f>
        <v>205.139999999997</v>
      </c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 t="e">
        <f aca="false">0.000001*('Design Worksheet'!B$88)*(B1590-B1589)/E$232+M1589</f>
        <v>#N/A</v>
      </c>
      <c r="N1590" s="5" t="n">
        <f aca="false">B1590</f>
        <v>205.139999999997</v>
      </c>
    </row>
    <row r="1591" customFormat="false" ht="12.8" hidden="false" customHeight="false" outlineLevel="0" collapsed="false">
      <c r="A1591" s="5" t="n">
        <v>7.8949999999999</v>
      </c>
      <c r="B1591" s="5" t="n">
        <f aca="false">A1591*VOFLB</f>
        <v>205.269999999997</v>
      </c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 t="e">
        <f aca="false">0.000001*('Design Worksheet'!B$88)*(B1591-B1590)/E$232+M1590</f>
        <v>#N/A</v>
      </c>
      <c r="N1591" s="5" t="n">
        <f aca="false">B1591</f>
        <v>205.269999999997</v>
      </c>
    </row>
    <row r="1592" customFormat="false" ht="12.8" hidden="false" customHeight="false" outlineLevel="0" collapsed="false">
      <c r="A1592" s="5" t="n">
        <v>7.8999999999999</v>
      </c>
      <c r="B1592" s="5" t="n">
        <f aca="false">A1592*VOFLB</f>
        <v>205.399999999997</v>
      </c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 t="e">
        <f aca="false">0.000001*('Design Worksheet'!B$88)*(B1592-B1591)/E$232+M1591</f>
        <v>#N/A</v>
      </c>
      <c r="N1592" s="5" t="n">
        <f aca="false">B1592</f>
        <v>205.399999999997</v>
      </c>
    </row>
    <row r="1593" customFormat="false" ht="12.8" hidden="false" customHeight="false" outlineLevel="0" collapsed="false">
      <c r="A1593" s="5" t="n">
        <v>7.9049999999999</v>
      </c>
      <c r="B1593" s="5" t="n">
        <f aca="false">A1593*VOFLB</f>
        <v>205.529999999997</v>
      </c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 t="e">
        <f aca="false">0.000001*('Design Worksheet'!B$88)*(B1593-B1592)/E$232+M1592</f>
        <v>#N/A</v>
      </c>
      <c r="N1593" s="5" t="n">
        <f aca="false">B1593</f>
        <v>205.529999999997</v>
      </c>
    </row>
    <row r="1594" customFormat="false" ht="12.8" hidden="false" customHeight="false" outlineLevel="0" collapsed="false">
      <c r="A1594" s="5" t="n">
        <v>7.9099999999999</v>
      </c>
      <c r="B1594" s="5" t="n">
        <f aca="false">A1594*VOFLB</f>
        <v>205.659999999997</v>
      </c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 t="e">
        <f aca="false">0.000001*('Design Worksheet'!B$88)*(B1594-B1593)/E$232+M1593</f>
        <v>#N/A</v>
      </c>
      <c r="N1594" s="5" t="n">
        <f aca="false">B1594</f>
        <v>205.659999999997</v>
      </c>
    </row>
    <row r="1595" customFormat="false" ht="12.8" hidden="false" customHeight="false" outlineLevel="0" collapsed="false">
      <c r="A1595" s="5" t="n">
        <v>7.9149999999999</v>
      </c>
      <c r="B1595" s="5" t="n">
        <f aca="false">A1595*VOFLB</f>
        <v>205.789999999997</v>
      </c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 t="e">
        <f aca="false">0.000001*('Design Worksheet'!B$88)*(B1595-B1594)/E$232+M1594</f>
        <v>#N/A</v>
      </c>
      <c r="N1595" s="5" t="n">
        <f aca="false">B1595</f>
        <v>205.789999999997</v>
      </c>
    </row>
    <row r="1596" customFormat="false" ht="12.8" hidden="false" customHeight="false" outlineLevel="0" collapsed="false">
      <c r="A1596" s="5" t="n">
        <v>7.9199999999999</v>
      </c>
      <c r="B1596" s="5" t="n">
        <f aca="false">A1596*VOFLB</f>
        <v>205.919999999997</v>
      </c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 t="e">
        <f aca="false">0.000001*('Design Worksheet'!B$88)*(B1596-B1595)/E$232+M1595</f>
        <v>#N/A</v>
      </c>
      <c r="N1596" s="5" t="n">
        <f aca="false">B1596</f>
        <v>205.919999999997</v>
      </c>
    </row>
    <row r="1597" customFormat="false" ht="12.8" hidden="false" customHeight="false" outlineLevel="0" collapsed="false">
      <c r="A1597" s="5" t="n">
        <v>7.9249999999999</v>
      </c>
      <c r="B1597" s="5" t="n">
        <f aca="false">A1597*VOFLB</f>
        <v>206.049999999997</v>
      </c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 t="e">
        <f aca="false">0.000001*('Design Worksheet'!B$88)*(B1597-B1596)/E$232+M1596</f>
        <v>#N/A</v>
      </c>
      <c r="N1597" s="5" t="n">
        <f aca="false">B1597</f>
        <v>206.049999999997</v>
      </c>
    </row>
    <row r="1598" customFormat="false" ht="12.8" hidden="false" customHeight="false" outlineLevel="0" collapsed="false">
      <c r="A1598" s="5" t="n">
        <v>7.9299999999999</v>
      </c>
      <c r="B1598" s="5" t="n">
        <f aca="false">A1598*VOFLB</f>
        <v>206.179999999997</v>
      </c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 t="e">
        <f aca="false">0.000001*('Design Worksheet'!B$88)*(B1598-B1597)/E$232+M1597</f>
        <v>#N/A</v>
      </c>
      <c r="N1598" s="5" t="n">
        <f aca="false">B1598</f>
        <v>206.179999999997</v>
      </c>
    </row>
    <row r="1599" customFormat="false" ht="12.8" hidden="false" customHeight="false" outlineLevel="0" collapsed="false">
      <c r="A1599" s="5" t="n">
        <v>7.9349999999999</v>
      </c>
      <c r="B1599" s="5" t="n">
        <f aca="false">A1599*VOFLB</f>
        <v>206.309999999997</v>
      </c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 t="e">
        <f aca="false">0.000001*('Design Worksheet'!B$88)*(B1599-B1598)/E$232+M1598</f>
        <v>#N/A</v>
      </c>
      <c r="N1599" s="5" t="n">
        <f aca="false">B1599</f>
        <v>206.309999999997</v>
      </c>
    </row>
    <row r="1600" customFormat="false" ht="12.8" hidden="false" customHeight="false" outlineLevel="0" collapsed="false">
      <c r="A1600" s="5" t="n">
        <v>7.9399999999999</v>
      </c>
      <c r="B1600" s="5" t="n">
        <f aca="false">A1600*VOFLB</f>
        <v>206.439999999997</v>
      </c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 t="e">
        <f aca="false">0.000001*('Design Worksheet'!B$88)*(B1600-B1599)/E$232+M1599</f>
        <v>#N/A</v>
      </c>
      <c r="N1600" s="5" t="n">
        <f aca="false">B1600</f>
        <v>206.439999999997</v>
      </c>
    </row>
    <row r="1601" customFormat="false" ht="12.8" hidden="false" customHeight="false" outlineLevel="0" collapsed="false">
      <c r="A1601" s="5" t="n">
        <v>7.9449999999999</v>
      </c>
      <c r="B1601" s="5" t="n">
        <f aca="false">A1601*VOFLB</f>
        <v>206.569999999997</v>
      </c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 t="e">
        <f aca="false">0.000001*('Design Worksheet'!B$88)*(B1601-B1600)/E$232+M1600</f>
        <v>#N/A</v>
      </c>
      <c r="N1601" s="5" t="n">
        <f aca="false">B1601</f>
        <v>206.569999999997</v>
      </c>
    </row>
    <row r="1602" customFormat="false" ht="12.8" hidden="false" customHeight="false" outlineLevel="0" collapsed="false">
      <c r="A1602" s="5" t="n">
        <v>7.9499999999999</v>
      </c>
      <c r="B1602" s="5" t="n">
        <f aca="false">A1602*VOFLB</f>
        <v>206.699999999997</v>
      </c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 t="e">
        <f aca="false">0.000001*('Design Worksheet'!B$88)*(B1602-B1601)/E$232+M1601</f>
        <v>#N/A</v>
      </c>
      <c r="N1602" s="5" t="n">
        <f aca="false">B1602</f>
        <v>206.699999999997</v>
      </c>
    </row>
    <row r="1603" customFormat="false" ht="12.8" hidden="false" customHeight="false" outlineLevel="0" collapsed="false">
      <c r="A1603" s="5" t="n">
        <v>7.9549999999999</v>
      </c>
      <c r="B1603" s="5" t="n">
        <f aca="false">A1603*VOFLB</f>
        <v>206.829999999997</v>
      </c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 t="e">
        <f aca="false">0.000001*('Design Worksheet'!B$88)*(B1603-B1602)/E$232+M1602</f>
        <v>#N/A</v>
      </c>
      <c r="N1603" s="5" t="n">
        <f aca="false">B1603</f>
        <v>206.829999999997</v>
      </c>
    </row>
    <row r="1604" customFormat="false" ht="12.8" hidden="false" customHeight="false" outlineLevel="0" collapsed="false">
      <c r="A1604" s="5" t="n">
        <v>7.9599999999999</v>
      </c>
      <c r="B1604" s="5" t="n">
        <f aca="false">A1604*VOFLB</f>
        <v>206.959999999997</v>
      </c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 t="e">
        <f aca="false">0.000001*('Design Worksheet'!B$88)*(B1604-B1603)/E$232+M1603</f>
        <v>#N/A</v>
      </c>
      <c r="N1604" s="5" t="n">
        <f aca="false">B1604</f>
        <v>206.959999999997</v>
      </c>
    </row>
    <row r="1605" customFormat="false" ht="12.8" hidden="false" customHeight="false" outlineLevel="0" collapsed="false">
      <c r="A1605" s="5" t="n">
        <v>7.96499999999989</v>
      </c>
      <c r="B1605" s="5" t="n">
        <f aca="false">A1605*VOFLB</f>
        <v>207.089999999997</v>
      </c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 t="e">
        <f aca="false">0.000001*('Design Worksheet'!B$88)*(B1605-B1604)/E$232+M1604</f>
        <v>#N/A</v>
      </c>
      <c r="N1605" s="5" t="n">
        <f aca="false">B1605</f>
        <v>207.089999999997</v>
      </c>
    </row>
    <row r="1606" customFormat="false" ht="12.8" hidden="false" customHeight="false" outlineLevel="0" collapsed="false">
      <c r="A1606" s="5" t="n">
        <v>7.96999999999989</v>
      </c>
      <c r="B1606" s="5" t="n">
        <f aca="false">A1606*VOFLB</f>
        <v>207.219999999997</v>
      </c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 t="e">
        <f aca="false">0.000001*('Design Worksheet'!B$88)*(B1606-B1605)/E$232+M1605</f>
        <v>#N/A</v>
      </c>
      <c r="N1606" s="5" t="n">
        <f aca="false">B1606</f>
        <v>207.219999999997</v>
      </c>
    </row>
    <row r="1607" customFormat="false" ht="12.8" hidden="false" customHeight="false" outlineLevel="0" collapsed="false">
      <c r="A1607" s="5" t="n">
        <v>7.97499999999989</v>
      </c>
      <c r="B1607" s="5" t="n">
        <f aca="false">A1607*VOFLB</f>
        <v>207.349999999997</v>
      </c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 t="e">
        <f aca="false">0.000001*('Design Worksheet'!B$88)*(B1607-B1606)/E$232+M1606</f>
        <v>#N/A</v>
      </c>
      <c r="N1607" s="5" t="n">
        <f aca="false">B1607</f>
        <v>207.349999999997</v>
      </c>
    </row>
    <row r="1608" customFormat="false" ht="12.8" hidden="false" customHeight="false" outlineLevel="0" collapsed="false">
      <c r="A1608" s="5" t="n">
        <v>7.97999999999989</v>
      </c>
      <c r="B1608" s="5" t="n">
        <f aca="false">A1608*VOFLB</f>
        <v>207.479999999997</v>
      </c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 t="e">
        <f aca="false">0.000001*('Design Worksheet'!B$88)*(B1608-B1607)/E$232+M1607</f>
        <v>#N/A</v>
      </c>
      <c r="N1608" s="5" t="n">
        <f aca="false">B1608</f>
        <v>207.479999999997</v>
      </c>
    </row>
    <row r="1609" customFormat="false" ht="12.8" hidden="false" customHeight="false" outlineLevel="0" collapsed="false">
      <c r="A1609" s="5" t="n">
        <v>7.98499999999989</v>
      </c>
      <c r="B1609" s="5" t="n">
        <f aca="false">A1609*VOFLB</f>
        <v>207.609999999997</v>
      </c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 t="e">
        <f aca="false">0.000001*('Design Worksheet'!B$88)*(B1609-B1608)/E$232+M1608</f>
        <v>#N/A</v>
      </c>
      <c r="N1609" s="5" t="n">
        <f aca="false">B1609</f>
        <v>207.609999999997</v>
      </c>
    </row>
    <row r="1610" customFormat="false" ht="12.8" hidden="false" customHeight="false" outlineLevel="0" collapsed="false">
      <c r="A1610" s="5" t="n">
        <v>7.98999999999989</v>
      </c>
      <c r="B1610" s="5" t="n">
        <f aca="false">A1610*VOFLB</f>
        <v>207.739999999997</v>
      </c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 t="e">
        <f aca="false">0.000001*('Design Worksheet'!B$88)*(B1610-B1609)/E$232+M1609</f>
        <v>#N/A</v>
      </c>
      <c r="N1610" s="5" t="n">
        <f aca="false">B1610</f>
        <v>207.739999999997</v>
      </c>
    </row>
    <row r="1611" customFormat="false" ht="12.8" hidden="false" customHeight="false" outlineLevel="0" collapsed="false">
      <c r="A1611" s="5" t="n">
        <v>7.99499999999989</v>
      </c>
      <c r="B1611" s="5" t="n">
        <f aca="false">A1611*VOFLB</f>
        <v>207.869999999997</v>
      </c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 t="e">
        <f aca="false">0.000001*('Design Worksheet'!B$88)*(B1611-B1610)/E$232+M1610</f>
        <v>#N/A</v>
      </c>
      <c r="N1611" s="5" t="n">
        <f aca="false">B1611</f>
        <v>207.869999999997</v>
      </c>
    </row>
    <row r="1612" customFormat="false" ht="12.8" hidden="false" customHeight="false" outlineLevel="0" collapsed="false">
      <c r="A1612" s="5" t="n">
        <v>7.99999999999989</v>
      </c>
      <c r="B1612" s="5" t="n">
        <f aca="false">A1612*VOFLB</f>
        <v>207.999999999997</v>
      </c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 t="e">
        <f aca="false">0.000001*('Design Worksheet'!B$88)*(B1612-B1611)/E$232+M1611</f>
        <v>#N/A</v>
      </c>
      <c r="N1612" s="5" t="n">
        <f aca="false">B1612</f>
        <v>207.999999999997</v>
      </c>
    </row>
    <row r="1613" customFormat="false" ht="12.8" hidden="false" customHeight="false" outlineLevel="0" collapsed="false">
      <c r="A1613" s="5" t="n">
        <v>8.00499999999989</v>
      </c>
      <c r="B1613" s="5" t="n">
        <f aca="false">A1613*VOFLB</f>
        <v>208.129999999997</v>
      </c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 t="e">
        <f aca="false">0.000001*('Design Worksheet'!B$88)*(B1613-B1612)/E$232+M1612</f>
        <v>#N/A</v>
      </c>
      <c r="N1613" s="5" t="n">
        <f aca="false">B1613</f>
        <v>208.129999999997</v>
      </c>
    </row>
    <row r="1614" customFormat="false" ht="12.8" hidden="false" customHeight="false" outlineLevel="0" collapsed="false">
      <c r="A1614" s="5" t="n">
        <v>8.00999999999989</v>
      </c>
      <c r="B1614" s="5" t="n">
        <f aca="false">A1614*VOFLB</f>
        <v>208.259999999997</v>
      </c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 t="e">
        <f aca="false">0.000001*('Design Worksheet'!B$88)*(B1614-B1613)/E$232+M1613</f>
        <v>#N/A</v>
      </c>
      <c r="N1614" s="5" t="n">
        <f aca="false">B1614</f>
        <v>208.259999999997</v>
      </c>
    </row>
    <row r="1615" customFormat="false" ht="12.8" hidden="false" customHeight="false" outlineLevel="0" collapsed="false">
      <c r="A1615" s="5" t="n">
        <v>8.01499999999989</v>
      </c>
      <c r="B1615" s="5" t="n">
        <f aca="false">A1615*VOFLB</f>
        <v>208.389999999997</v>
      </c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 t="e">
        <f aca="false">0.000001*('Design Worksheet'!B$88)*(B1615-B1614)/E$232+M1614</f>
        <v>#N/A</v>
      </c>
      <c r="N1615" s="5" t="n">
        <f aca="false">B1615</f>
        <v>208.389999999997</v>
      </c>
    </row>
    <row r="1616" customFormat="false" ht="12.8" hidden="false" customHeight="false" outlineLevel="0" collapsed="false">
      <c r="A1616" s="5" t="n">
        <v>8.01999999999989</v>
      </c>
      <c r="B1616" s="5" t="n">
        <f aca="false">A1616*VOFLB</f>
        <v>208.519999999997</v>
      </c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 t="e">
        <f aca="false">0.000001*('Design Worksheet'!B$88)*(B1616-B1615)/E$232+M1615</f>
        <v>#N/A</v>
      </c>
      <c r="N1616" s="5" t="n">
        <f aca="false">B1616</f>
        <v>208.519999999997</v>
      </c>
    </row>
    <row r="1617" customFormat="false" ht="12.8" hidden="false" customHeight="false" outlineLevel="0" collapsed="false">
      <c r="A1617" s="5" t="n">
        <v>8.02499999999989</v>
      </c>
      <c r="B1617" s="5" t="n">
        <f aca="false">A1617*VOFLB</f>
        <v>208.649999999997</v>
      </c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 t="e">
        <f aca="false">0.000001*('Design Worksheet'!B$88)*(B1617-B1616)/E$232+M1616</f>
        <v>#N/A</v>
      </c>
      <c r="N1617" s="5" t="n">
        <f aca="false">B1617</f>
        <v>208.649999999997</v>
      </c>
    </row>
    <row r="1618" customFormat="false" ht="12.8" hidden="false" customHeight="false" outlineLevel="0" collapsed="false">
      <c r="A1618" s="5" t="n">
        <v>8.02999999999989</v>
      </c>
      <c r="B1618" s="5" t="n">
        <f aca="false">A1618*VOFLB</f>
        <v>208.779999999997</v>
      </c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 t="e">
        <f aca="false">0.000001*('Design Worksheet'!B$88)*(B1618-B1617)/E$232+M1617</f>
        <v>#N/A</v>
      </c>
      <c r="N1618" s="5" t="n">
        <f aca="false">B1618</f>
        <v>208.779999999997</v>
      </c>
    </row>
    <row r="1619" customFormat="false" ht="12.8" hidden="false" customHeight="false" outlineLevel="0" collapsed="false">
      <c r="A1619" s="5" t="n">
        <v>8.03499999999989</v>
      </c>
      <c r="B1619" s="5" t="n">
        <f aca="false">A1619*VOFLB</f>
        <v>208.909999999997</v>
      </c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 t="e">
        <f aca="false">0.000001*('Design Worksheet'!B$88)*(B1619-B1618)/E$232+M1618</f>
        <v>#N/A</v>
      </c>
      <c r="N1619" s="5" t="n">
        <f aca="false">B1619</f>
        <v>208.909999999997</v>
      </c>
    </row>
    <row r="1620" customFormat="false" ht="12.8" hidden="false" customHeight="false" outlineLevel="0" collapsed="false">
      <c r="A1620" s="5" t="n">
        <v>8.03999999999989</v>
      </c>
      <c r="B1620" s="5" t="n">
        <f aca="false">A1620*VOFLB</f>
        <v>209.039999999997</v>
      </c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 t="e">
        <f aca="false">0.000001*('Design Worksheet'!B$88)*(B1620-B1619)/E$232+M1619</f>
        <v>#N/A</v>
      </c>
      <c r="N1620" s="5" t="n">
        <f aca="false">B1620</f>
        <v>209.039999999997</v>
      </c>
    </row>
    <row r="1621" customFormat="false" ht="12.8" hidden="false" customHeight="false" outlineLevel="0" collapsed="false">
      <c r="A1621" s="5" t="n">
        <v>8.04499999999989</v>
      </c>
      <c r="B1621" s="5" t="n">
        <f aca="false">A1621*VOFLB</f>
        <v>209.169999999997</v>
      </c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 t="e">
        <f aca="false">0.000001*('Design Worksheet'!B$88)*(B1621-B1620)/E$232+M1620</f>
        <v>#N/A</v>
      </c>
      <c r="N1621" s="5" t="n">
        <f aca="false">B1621</f>
        <v>209.169999999997</v>
      </c>
    </row>
    <row r="1622" customFormat="false" ht="12.8" hidden="false" customHeight="false" outlineLevel="0" collapsed="false">
      <c r="A1622" s="5" t="n">
        <v>8.04999999999989</v>
      </c>
      <c r="B1622" s="5" t="n">
        <f aca="false">A1622*VOFLB</f>
        <v>209.299999999997</v>
      </c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 t="e">
        <f aca="false">0.000001*('Design Worksheet'!B$88)*(B1622-B1621)/E$232+M1621</f>
        <v>#N/A</v>
      </c>
      <c r="N1622" s="5" t="n">
        <f aca="false">B1622</f>
        <v>209.299999999997</v>
      </c>
    </row>
    <row r="1623" customFormat="false" ht="12.8" hidden="false" customHeight="false" outlineLevel="0" collapsed="false">
      <c r="A1623" s="5" t="n">
        <v>8.05499999999989</v>
      </c>
      <c r="B1623" s="5" t="n">
        <f aca="false">A1623*VOFLB</f>
        <v>209.429999999997</v>
      </c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 t="e">
        <f aca="false">0.000001*('Design Worksheet'!B$88)*(B1623-B1622)/E$232+M1622</f>
        <v>#N/A</v>
      </c>
      <c r="N1623" s="5" t="n">
        <f aca="false">B1623</f>
        <v>209.429999999997</v>
      </c>
    </row>
    <row r="1624" customFormat="false" ht="12.8" hidden="false" customHeight="false" outlineLevel="0" collapsed="false">
      <c r="A1624" s="5" t="n">
        <v>8.05999999999989</v>
      </c>
      <c r="B1624" s="5" t="n">
        <f aca="false">A1624*VOFLB</f>
        <v>209.559999999997</v>
      </c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 t="e">
        <f aca="false">0.000001*('Design Worksheet'!B$88)*(B1624-B1623)/E$232+M1623</f>
        <v>#N/A</v>
      </c>
      <c r="N1624" s="5" t="n">
        <f aca="false">B1624</f>
        <v>209.559999999997</v>
      </c>
    </row>
    <row r="1625" customFormat="false" ht="12.8" hidden="false" customHeight="false" outlineLevel="0" collapsed="false">
      <c r="A1625" s="5" t="n">
        <v>8.06499999999989</v>
      </c>
      <c r="B1625" s="5" t="n">
        <f aca="false">A1625*VOFLB</f>
        <v>209.689999999997</v>
      </c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 t="e">
        <f aca="false">0.000001*('Design Worksheet'!B$88)*(B1625-B1624)/E$232+M1624</f>
        <v>#N/A</v>
      </c>
      <c r="N1625" s="5" t="n">
        <f aca="false">B1625</f>
        <v>209.689999999997</v>
      </c>
    </row>
    <row r="1626" customFormat="false" ht="12.8" hidden="false" customHeight="false" outlineLevel="0" collapsed="false">
      <c r="A1626" s="5" t="n">
        <v>8.06999999999989</v>
      </c>
      <c r="B1626" s="5" t="n">
        <f aca="false">A1626*VOFLB</f>
        <v>209.819999999997</v>
      </c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 t="e">
        <f aca="false">0.000001*('Design Worksheet'!B$88)*(B1626-B1625)/E$232+M1625</f>
        <v>#N/A</v>
      </c>
      <c r="N1626" s="5" t="n">
        <f aca="false">B1626</f>
        <v>209.819999999997</v>
      </c>
    </row>
    <row r="1627" customFormat="false" ht="12.8" hidden="false" customHeight="false" outlineLevel="0" collapsed="false">
      <c r="A1627" s="5" t="n">
        <v>8.07499999999989</v>
      </c>
      <c r="B1627" s="5" t="n">
        <f aca="false">A1627*VOFLB</f>
        <v>209.949999999997</v>
      </c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 t="e">
        <f aca="false">0.000001*('Design Worksheet'!B$88)*(B1627-B1626)/E$232+M1626</f>
        <v>#N/A</v>
      </c>
      <c r="N1627" s="5" t="n">
        <f aca="false">B1627</f>
        <v>209.949999999997</v>
      </c>
    </row>
    <row r="1628" customFormat="false" ht="12.8" hidden="false" customHeight="false" outlineLevel="0" collapsed="false">
      <c r="A1628" s="5" t="n">
        <v>8.07999999999989</v>
      </c>
      <c r="B1628" s="5" t="n">
        <f aca="false">A1628*VOFLB</f>
        <v>210.079999999997</v>
      </c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 t="e">
        <f aca="false">0.000001*('Design Worksheet'!B$88)*(B1628-B1627)/E$232+M1627</f>
        <v>#N/A</v>
      </c>
      <c r="N1628" s="5" t="n">
        <f aca="false">B1628</f>
        <v>210.079999999997</v>
      </c>
    </row>
    <row r="1629" customFormat="false" ht="12.8" hidden="false" customHeight="false" outlineLevel="0" collapsed="false">
      <c r="A1629" s="5" t="n">
        <v>8.08499999999989</v>
      </c>
      <c r="B1629" s="5" t="n">
        <f aca="false">A1629*VOFLB</f>
        <v>210.209999999997</v>
      </c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 t="e">
        <f aca="false">0.000001*('Design Worksheet'!B$88)*(B1629-B1628)/E$232+M1628</f>
        <v>#N/A</v>
      </c>
      <c r="N1629" s="5" t="n">
        <f aca="false">B1629</f>
        <v>210.209999999997</v>
      </c>
    </row>
    <row r="1630" customFormat="false" ht="12.8" hidden="false" customHeight="false" outlineLevel="0" collapsed="false">
      <c r="A1630" s="5" t="n">
        <v>8.08999999999989</v>
      </c>
      <c r="B1630" s="5" t="n">
        <f aca="false">A1630*VOFLB</f>
        <v>210.339999999997</v>
      </c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 t="e">
        <f aca="false">0.000001*('Design Worksheet'!B$88)*(B1630-B1629)/E$232+M1629</f>
        <v>#N/A</v>
      </c>
      <c r="N1630" s="5" t="n">
        <f aca="false">B1630</f>
        <v>210.339999999997</v>
      </c>
    </row>
    <row r="1631" customFormat="false" ht="12.8" hidden="false" customHeight="false" outlineLevel="0" collapsed="false">
      <c r="A1631" s="5" t="n">
        <v>8.09499999999989</v>
      </c>
      <c r="B1631" s="5" t="n">
        <f aca="false">A1631*VOFLB</f>
        <v>210.469999999997</v>
      </c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 t="e">
        <f aca="false">0.000001*('Design Worksheet'!B$88)*(B1631-B1630)/E$232+M1630</f>
        <v>#N/A</v>
      </c>
      <c r="N1631" s="5" t="n">
        <f aca="false">B1631</f>
        <v>210.469999999997</v>
      </c>
    </row>
    <row r="1632" customFormat="false" ht="12.8" hidden="false" customHeight="false" outlineLevel="0" collapsed="false">
      <c r="A1632" s="5" t="n">
        <v>8.09999999999989</v>
      </c>
      <c r="B1632" s="5" t="n">
        <f aca="false">A1632*VOFLB</f>
        <v>210.599999999997</v>
      </c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 t="e">
        <f aca="false">0.000001*('Design Worksheet'!B$88)*(B1632-B1631)/E$232+M1631</f>
        <v>#N/A</v>
      </c>
      <c r="N1632" s="5" t="n">
        <f aca="false">B1632</f>
        <v>210.599999999997</v>
      </c>
    </row>
    <row r="1633" customFormat="false" ht="12.8" hidden="false" customHeight="false" outlineLevel="0" collapsed="false">
      <c r="A1633" s="5" t="n">
        <v>8.10499999999989</v>
      </c>
      <c r="B1633" s="5" t="n">
        <f aca="false">A1633*VOFLB</f>
        <v>210.729999999997</v>
      </c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 t="e">
        <f aca="false">0.000001*('Design Worksheet'!B$88)*(B1633-B1632)/E$232+M1632</f>
        <v>#N/A</v>
      </c>
      <c r="N1633" s="5" t="n">
        <f aca="false">B1633</f>
        <v>210.729999999997</v>
      </c>
    </row>
    <row r="1634" customFormat="false" ht="12.8" hidden="false" customHeight="false" outlineLevel="0" collapsed="false">
      <c r="A1634" s="5" t="n">
        <v>8.10999999999989</v>
      </c>
      <c r="B1634" s="5" t="n">
        <f aca="false">A1634*VOFLB</f>
        <v>210.859999999997</v>
      </c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 t="e">
        <f aca="false">0.000001*('Design Worksheet'!B$88)*(B1634-B1633)/E$232+M1633</f>
        <v>#N/A</v>
      </c>
      <c r="N1634" s="5" t="n">
        <f aca="false">B1634</f>
        <v>210.859999999997</v>
      </c>
    </row>
    <row r="1635" customFormat="false" ht="12.8" hidden="false" customHeight="false" outlineLevel="0" collapsed="false">
      <c r="A1635" s="5" t="n">
        <v>8.11499999999989</v>
      </c>
      <c r="B1635" s="5" t="n">
        <f aca="false">A1635*VOFLB</f>
        <v>210.989999999997</v>
      </c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 t="e">
        <f aca="false">0.000001*('Design Worksheet'!B$88)*(B1635-B1634)/E$232+M1634</f>
        <v>#N/A</v>
      </c>
      <c r="N1635" s="5" t="n">
        <f aca="false">B1635</f>
        <v>210.989999999997</v>
      </c>
    </row>
    <row r="1636" customFormat="false" ht="12.8" hidden="false" customHeight="false" outlineLevel="0" collapsed="false">
      <c r="A1636" s="5" t="n">
        <v>8.11999999999989</v>
      </c>
      <c r="B1636" s="5" t="n">
        <f aca="false">A1636*VOFLB</f>
        <v>211.119999999997</v>
      </c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 t="e">
        <f aca="false">0.000001*('Design Worksheet'!B$88)*(B1636-B1635)/E$232+M1635</f>
        <v>#N/A</v>
      </c>
      <c r="N1636" s="5" t="n">
        <f aca="false">B1636</f>
        <v>211.119999999997</v>
      </c>
    </row>
    <row r="1637" customFormat="false" ht="12.8" hidden="false" customHeight="false" outlineLevel="0" collapsed="false">
      <c r="A1637" s="5" t="n">
        <v>8.12499999999989</v>
      </c>
      <c r="B1637" s="5" t="n">
        <f aca="false">A1637*VOFLB</f>
        <v>211.249999999997</v>
      </c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 t="e">
        <f aca="false">0.000001*('Design Worksheet'!B$88)*(B1637-B1636)/E$232+M1636</f>
        <v>#N/A</v>
      </c>
      <c r="N1637" s="5" t="n">
        <f aca="false">B1637</f>
        <v>211.249999999997</v>
      </c>
    </row>
    <row r="1638" customFormat="false" ht="12.8" hidden="false" customHeight="false" outlineLevel="0" collapsed="false">
      <c r="A1638" s="5" t="n">
        <v>8.12999999999989</v>
      </c>
      <c r="B1638" s="5" t="n">
        <f aca="false">A1638*VOFLB</f>
        <v>211.379999999997</v>
      </c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 t="e">
        <f aca="false">0.000001*('Design Worksheet'!B$88)*(B1638-B1637)/E$232+M1637</f>
        <v>#N/A</v>
      </c>
      <c r="N1638" s="5" t="n">
        <f aca="false">B1638</f>
        <v>211.379999999997</v>
      </c>
    </row>
    <row r="1639" customFormat="false" ht="12.8" hidden="false" customHeight="false" outlineLevel="0" collapsed="false">
      <c r="A1639" s="5" t="n">
        <v>8.13499999999989</v>
      </c>
      <c r="B1639" s="5" t="n">
        <f aca="false">A1639*VOFLB</f>
        <v>211.509999999997</v>
      </c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 t="e">
        <f aca="false">0.000001*('Design Worksheet'!B$88)*(B1639-B1638)/E$232+M1638</f>
        <v>#N/A</v>
      </c>
      <c r="N1639" s="5" t="n">
        <f aca="false">B1639</f>
        <v>211.509999999997</v>
      </c>
    </row>
    <row r="1640" customFormat="false" ht="12.8" hidden="false" customHeight="false" outlineLevel="0" collapsed="false">
      <c r="A1640" s="5" t="n">
        <v>8.13999999999989</v>
      </c>
      <c r="B1640" s="5" t="n">
        <f aca="false">A1640*VOFLB</f>
        <v>211.639999999997</v>
      </c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 t="e">
        <f aca="false">0.000001*('Design Worksheet'!B$88)*(B1640-B1639)/E$232+M1639</f>
        <v>#N/A</v>
      </c>
      <c r="N1640" s="5" t="n">
        <f aca="false">B1640</f>
        <v>211.639999999997</v>
      </c>
    </row>
    <row r="1641" customFormat="false" ht="12.8" hidden="false" customHeight="false" outlineLevel="0" collapsed="false">
      <c r="A1641" s="5" t="n">
        <v>8.14499999999989</v>
      </c>
      <c r="B1641" s="5" t="n">
        <f aca="false">A1641*VOFLB</f>
        <v>211.769999999997</v>
      </c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 t="e">
        <f aca="false">0.000001*('Design Worksheet'!B$88)*(B1641-B1640)/E$232+M1640</f>
        <v>#N/A</v>
      </c>
      <c r="N1641" s="5" t="n">
        <f aca="false">B1641</f>
        <v>211.769999999997</v>
      </c>
    </row>
    <row r="1642" customFormat="false" ht="12.8" hidden="false" customHeight="false" outlineLevel="0" collapsed="false">
      <c r="A1642" s="5" t="n">
        <v>8.14999999999989</v>
      </c>
      <c r="B1642" s="5" t="n">
        <f aca="false">A1642*VOFLB</f>
        <v>211.899999999997</v>
      </c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 t="e">
        <f aca="false">0.000001*('Design Worksheet'!B$88)*(B1642-B1641)/E$232+M1641</f>
        <v>#N/A</v>
      </c>
      <c r="N1642" s="5" t="n">
        <f aca="false">B1642</f>
        <v>211.899999999997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426</TotalTime>
  <Application>LibreOffice/25.2.3.2$Linux_X86_64 LibreOffice_project/bbb074479178df812d175f709636b368952c2ce3</Application>
  <AppVersion>15.0000</AppVersion>
  <Company>home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2013-10-01T16:08:54Z</dcterms:created>
  <dc:creator/>
  <dc:description/>
  <dc:language>en-US</dc:language>
  <cp:lastModifiedBy/>
  <dcterms:modified xsi:type="dcterms:W3CDTF">2026-07-27T23:38:24Z</dcterms:modified>
  <cp:revision>25</cp:revision>
  <dc:subject/>
  <dc:title>ADM1270 Design Spreadsheet tool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0x0101004B0AEBCAAAF75C4FA9774A32EB8F6C27</vt:lpwstr>
  </property>
</Properties>
</file>