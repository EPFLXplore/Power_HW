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LUT &quot;TSD vs PD start-up&quot;" sheetId="2" state="hidden" r:id="rId4"/>
    <sheet name="Res EIA Tables" sheetId="3" state="hidden" r:id="rId5"/>
    <sheet name="Cap Tables" sheetId="4" state="hidden" r:id="rId6"/>
    <sheet name="Nretry" sheetId="5" state="hidden" r:id="rId7"/>
  </sheets>
  <definedNames>
    <definedName function="false" hidden="false" name="Cdvdt_ext" vbProcedure="false">'Calculation Sheet'!$D$62</definedName>
    <definedName function="false" hidden="false" name="Cdvdt_ext_cal1" vbProcedure="false">'Calculation Sheet'!$D$59</definedName>
    <definedName function="false" hidden="false" name="Cext_dvdt_cal2" vbProcedure="false">'Calculation Sheet'!$D$60</definedName>
    <definedName function="false" hidden="false" name="Cout" vbProcedure="false">'Calculation Sheet'!$D$10</definedName>
    <definedName function="false" hidden="false" name="GainIMON" vbProcedure="false">'Calculation Sheet'!$D$129</definedName>
    <definedName function="false" hidden="false" name="Icharge" vbProcedure="false">'Calculation Sheet'!$D$63</definedName>
    <definedName function="false" hidden="false" name="Icharge_req" vbProcedure="false">'Calculation Sheet'!$D$58</definedName>
    <definedName function="false" hidden="false" name="Ilimit" vbProcedure="false">'Calculation Sheet'!$D$13</definedName>
    <definedName function="false" hidden="false" name="Ilimit_final" vbProcedure="false">'Calculation Sheet'!$D$45</definedName>
    <definedName function="false" hidden="false" name="Imax" vbProcedure="false">'Calculation Sheet'!$D$12</definedName>
    <definedName function="false" hidden="false" name="Max_Citimer" vbProcedure="false">'Calculation Sheet'!$G$82</definedName>
    <definedName function="false" hidden="false" name="Min_Ilim" vbProcedure="false">'Calculation Sheet'!$G$45</definedName>
    <definedName function="false" hidden="false" name="Ncalc" vbProcedure="false">'Calculation Sheet'!$H$89</definedName>
    <definedName function="false" hidden="false" name="NRETRY" vbProcedure="false">'Calculation Sheet'!$D$19</definedName>
    <definedName function="false" hidden="false" name="Nretry_cal" vbProcedure="false">'Calculation Sheet'!$G$90</definedName>
    <definedName function="false" hidden="false" name="OVref" vbProcedure="false">'Calculation Sheet'!$D$127</definedName>
    <definedName function="false" hidden="false" name="OVset" vbProcedure="false">'Calculation Sheet'!$D$14</definedName>
    <definedName function="false" hidden="false" name="Rdson_125deg" vbProcedure="false">'Calculation Sheet'!$D$119</definedName>
    <definedName function="false" hidden="false" name="Rdson_25deg" vbProcedure="false">'Calculation Sheet'!$D$118</definedName>
    <definedName function="false" hidden="false" name="Rec_VIMONMax" vbProcedure="false">'Calculation Sheet'!$D$20</definedName>
    <definedName function="false" hidden="false" name="RILIM" vbProcedure="false">'Calculation Sheet'!$D$44</definedName>
    <definedName function="false" hidden="false" name="RILIM_max" vbProcedure="false">'calculation sheet'!#ref!</definedName>
    <definedName function="false" hidden="false" name="Rlimit" vbProcedure="false">'Calculation Sheet'!$D$44</definedName>
    <definedName function="false" hidden="false" name="Rlstart" vbProcedure="false">'Calculation Sheet'!$D$11</definedName>
    <definedName function="false" hidden="false" name="RMON_sel" vbProcedure="false">'Calculation Sheet'!$D$49</definedName>
    <definedName function="false" hidden="false" name="RpUVLO" vbProcedure="false">'Calculation Sheet'!$D$24</definedName>
    <definedName function="false" hidden="false" name="Tchg_dvdt" vbProcedure="false">'Calculation Sheet'!$D$65</definedName>
    <definedName function="false" hidden="false" name="Tchg_fastest" vbProcedure="false">'Calculation Sheet'!$D$55</definedName>
    <definedName function="false" hidden="false" name="Tchg_req" vbProcedure="false">'Calculation Sheet'!$D$57</definedName>
    <definedName function="false" hidden="false" name="tITIMER" vbProcedure="false">'Calculation Sheet'!$D$16</definedName>
    <definedName function="false" hidden="false" name="tLDSTRT" vbProcedure="false">'calculation sheet'!#ref!</definedName>
    <definedName function="false" hidden="false" name="tRETRY_DLY" vbProcedure="false">'Calculation Sheet'!$D$18</definedName>
    <definedName function="false" hidden="false" name="UVref" vbProcedure="false">1.1</definedName>
    <definedName function="false" hidden="false" name="Uvref_fall" vbProcedure="false">'Calculation Sheet'!$D$128</definedName>
    <definedName function="false" hidden="false" name="Uvref_rise" vbProcedure="false">'Calculation Sheet'!$D$127</definedName>
    <definedName function="false" hidden="false" name="UVset" vbProcedure="false">'Calculation Sheet'!$D$8</definedName>
    <definedName function="false" hidden="false" name="Vcc_max" vbProcedure="false">'Calculation Sheet'!$D$6</definedName>
    <definedName function="false" hidden="false" name="Vcc_nom" vbProcedure="false">'Calculation Sheet'!$D$5</definedName>
    <definedName function="false" hidden="false" name="Vimon_max" vbProcedure="false">'Calculation Sheet'!$D$21</definedName>
    <definedName function="false" hidden="false" name="VUVP" vbProcedure="false">'Calculation Sheet'!$D$9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Vishal Gupta</author>
    <author>Windows User</author>
    <author>a0176617</author>
    <author>kunalgoel</author>
  </authors>
  <commentList>
    <comment ref="C7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8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9" authorId="0">
      <text>
        <r>
          <rPr>
            <sz val="10"/>
            <rFont val="Arial"/>
            <family val="2"/>
          </rPr>
          <t xml:space="preserve">For Vin ≤ 6V, Use RVL1=1M and RVL2=OPEN to set the default internal UVP
</t>
        </r>
      </text>
    </comment>
    <comment ref="C15" authorId="1">
      <text>
        <r>
          <rPr>
            <sz val="10"/>
            <rFont val="Arial"/>
            <family val="2"/>
          </rPr>
          <t xml:space="preserve">If YES, Select alteast  tITIMER &gt; 100us
</t>
        </r>
      </text>
    </comment>
    <comment ref="C16" authorId="1">
      <text>
        <r>
          <rPr>
            <sz val="10"/>
            <rFont val="Arial"/>
            <family val="2"/>
          </rPr>
          <t xml:space="preserve">Enter the duration for which load transients between Ilimit and 2.1xIlimit to be allowed
</t>
        </r>
      </text>
    </comment>
    <comment ref="C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Higher value will limit the leakage current draw from supply</t>
        </r>
      </text>
    </comment>
    <comment ref="C125" authorId="2">
      <text>
        <r>
          <rPr>
            <sz val="10"/>
            <rFont val="Arial"/>
            <family val="2"/>
          </rPr>
          <t xml:space="preserve">Assumption:
</t>
        </r>
        <r>
          <rPr>
            <sz val="8"/>
            <color rgb="FF000000"/>
            <rFont val="Tahoma"/>
            <family val="2"/>
            <charset val="1"/>
          </rPr>
          <t xml:space="preserve">Depends on application PCB</t>
        </r>
      </text>
    </comment>
    <comment ref="D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For supply voltages greater than 5V or systems which can
be exposed to reverse polarity on input supply, it is recommended to use a pull-up resistor with a minimum value of 350 kΩ.</t>
        </r>
      </text>
    </comment>
    <comment ref="E108" authorId="1">
      <text>
        <r>
          <rPr>
            <sz val="10"/>
            <rFont val="Arial"/>
            <family val="2"/>
          </rPr>
          <t xml:space="preserve">TI recomends the SMCJxx TVS, which are used on the EVM. 
Pick the proper value based on the input voltage. </t>
        </r>
      </text>
    </comment>
    <comment ref="E109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E111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G11" authorId="0">
      <text>
        <r>
          <rPr>
            <sz val="10"/>
            <rFont val="Arial"/>
            <family val="2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<sst xmlns="http://schemas.openxmlformats.org/spreadsheetml/2006/main" count="348" uniqueCount="248">
  <si>
    <t xml:space="preserve">TPS25983 Design Calculation Tool</t>
  </si>
  <si>
    <t xml:space="preserve">Yes</t>
  </si>
  <si>
    <t xml:space="preserve">Constants Cells</t>
  </si>
  <si>
    <t xml:space="preserve">Input/SelectCells</t>
  </si>
  <si>
    <t xml:space="preserve">Calculation Cells</t>
  </si>
  <si>
    <t xml:space="preserve">Recommended</t>
  </si>
  <si>
    <t xml:space="preserve">No</t>
  </si>
  <si>
    <t xml:space="preserve">Error Cells, Must be Fixed</t>
  </si>
  <si>
    <t xml:space="preserve">Calculated, but can be over-ridden by user</t>
  </si>
  <si>
    <t xml:space="preserve">Value</t>
  </si>
  <si>
    <t xml:space="preserve">Auto-Retry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</si>
  <si>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</si>
  <si>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</si>
  <si>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</si>
  <si>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</si>
  <si>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</si>
  <si>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Latch-off</t>
  </si>
  <si>
    <t xml:space="preserve">VIN (nom)</t>
  </si>
  <si>
    <t xml:space="preserve">Nominal operating input voltage</t>
  </si>
  <si>
    <t xml:space="preserve">V</t>
  </si>
  <si>
    <t xml:space="preserve">Infinite</t>
  </si>
  <si>
    <t xml:space="preserve">VIN (max)</t>
  </si>
  <si>
    <t xml:space="preserve">Maximum Operating input voltage (magnitude)</t>
  </si>
  <si>
    <t xml:space="preserve">OVLOset</t>
  </si>
  <si>
    <t xml:space="preserve">Overvoltage Threshold (VIN Rising)</t>
  </si>
  <si>
    <t xml:space="preserve">UVLOset</t>
  </si>
  <si>
    <t xml:space="preserve">Undervoltage Threshold (VIN Rising)</t>
  </si>
  <si>
    <r>
      <rPr>
        <sz val="11"/>
        <color theme="1"/>
        <rFont val="Calibri"/>
        <family val="2"/>
        <charset val="1"/>
      </rPr>
      <t xml:space="preserve">V</t>
    </r>
    <r>
      <rPr>
        <vertAlign val="subscript"/>
        <sz val="11"/>
        <color theme="1"/>
        <rFont val="Calibri"/>
        <family val="2"/>
        <charset val="1"/>
      </rPr>
      <t xml:space="preserve">UVP</t>
    </r>
  </si>
  <si>
    <t xml:space="preserve">Internal IN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</si>
  <si>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</si>
  <si>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</si>
  <si>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</si>
  <si>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</si>
  <si>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9.2.2.5.2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</si>
  <si>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</si>
  <si>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</si>
  <si>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</si>
  <si>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</si>
  <si>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</si>
  <si>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Set current Limit 20% (typical) higher than maximum continuous load current</t>
  </si>
  <si>
    <t xml:space="preserve">TA(max)</t>
  </si>
  <si>
    <t xml:space="preserve">Max Ambient Temperature </t>
  </si>
  <si>
    <t xml:space="preserve">degC</t>
  </si>
  <si>
    <t xml:space="preserve">Do you need to be immue to line transient due to adjacent card “hot-swap events”</t>
  </si>
  <si>
    <t xml:space="preserve">tITIMER</t>
  </si>
  <si>
    <t xml:space="preserve">Enter the time interval to support load transient currents</t>
  </si>
  <si>
    <t xml:space="preserve">us</t>
  </si>
  <si>
    <t xml:space="preserve">Fault Response</t>
  </si>
  <si>
    <t xml:space="preserve">tRETRY_DLY</t>
  </si>
  <si>
    <t xml:space="preserve">Time delay between retries</t>
  </si>
  <si>
    <t xml:space="preserve">ms</t>
  </si>
  <si>
    <t xml:space="preserve">NRETRY</t>
  </si>
  <si>
    <t xml:space="preserve">Number of retries</t>
  </si>
  <si>
    <t xml:space="preserve">Rec_VIMONMax</t>
  </si>
  <si>
    <t xml:space="preserve">Recommended maximum IMON voltage</t>
  </si>
  <si>
    <t xml:space="preserve">VIMON-Max</t>
  </si>
  <si>
    <t xml:space="preserve">Enter current monitor (IMON) full-scale voltage range</t>
  </si>
  <si>
    <t xml:space="preserve">UVLO, OVLO set point calculations </t>
  </si>
  <si>
    <t xml:space="preserve">UVLO Set Point</t>
  </si>
  <si>
    <t xml:space="preserve">Desired Undervoltage Threshold (VIN Rising)</t>
  </si>
  <si>
    <t xml:space="preserve">Power Fail 
(VIN Falling)</t>
  </si>
  <si>
    <t xml:space="preserve">OVLO Set Point</t>
  </si>
  <si>
    <t xml:space="preserve">Desired Over Voltage Lockout Set Point</t>
  </si>
  <si>
    <t xml:space="preserve">Release UVLO (VIN Rising)</t>
  </si>
  <si>
    <t xml:space="preserve">R1: Pullup at EN/OVLO Pin</t>
  </si>
  <si>
    <t xml:space="preserve"> Value &gt; 350K recommended</t>
  </si>
  <si>
    <t xml:space="preserve">kOhm</t>
  </si>
  <si>
    <t xml:space="preserve">OV Cut-off
(VIN Rising)</t>
  </si>
  <si>
    <t xml:space="preserve">R2_cal</t>
  </si>
  <si>
    <t xml:space="preserve">Calculated value of Resistor at EN/OVLO pin</t>
  </si>
  <si>
    <t xml:space="preserve">R3_cal</t>
  </si>
  <si>
    <t xml:space="preserve">SELECT THE VALUE OF RESISTORS AS CLOSEST AVAILABLE VALUE OF R2 &amp; R3</t>
  </si>
  <si>
    <t xml:space="preserve">R2</t>
  </si>
  <si>
    <t xml:space="preserve">Select the closest possible value as R2_cal</t>
  </si>
  <si>
    <t xml:space="preserve">R3</t>
  </si>
  <si>
    <t xml:space="preserve">Select the closest possible value as R3_cal</t>
  </si>
  <si>
    <t xml:space="preserve">UV_final_rising</t>
  </si>
  <si>
    <t xml:space="preserve">UV_final_falling</t>
  </si>
  <si>
    <t xml:space="preserve">Undervoltage Threshold (VIN Falling)</t>
  </si>
  <si>
    <t xml:space="preserve">OV_final_rising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</si>
  <si>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</si>
  <si>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</si>
  <si>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</si>
  <si>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</si>
  <si>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uA</t>
  </si>
  <si>
    <t xml:space="preserve">Calculations for Ilimit (resistor on ILIM Pin)</t>
  </si>
  <si>
    <t xml:space="preserve">Inrush Charging 
Current</t>
  </si>
  <si>
    <t xml:space="preserve">RILIM_Cal</t>
  </si>
  <si>
    <t xml:space="preserve">Calculated current limit resistor</t>
  </si>
  <si>
    <t xml:space="preserve">Overload Curr
Limit</t>
  </si>
  <si>
    <t xml:space="preserve">SELECT A ILIMIT RESISTOR WITH THE CLOSEST AVAILABLE VALUE OF Rilim_Cal</t>
  </si>
  <si>
    <t xml:space="preserve">RILIM</t>
  </si>
  <si>
    <r>
      <rPr>
        <sz val="11"/>
        <color theme="1"/>
        <rFont val="Calibri"/>
        <family val="2"/>
        <charset val="1"/>
      </rPr>
      <t xml:space="preserve">Select the closest available value of R</t>
    </r>
    <r>
      <rPr>
        <sz val="7"/>
        <color theme="1"/>
        <rFont val="Calibri"/>
        <family val="2"/>
        <charset val="1"/>
      </rPr>
      <t xml:space="preserve">ILIM</t>
    </r>
    <r>
      <rPr>
        <sz val="11"/>
        <color theme="1"/>
        <rFont val="Calibri"/>
        <family val="2"/>
        <charset val="1"/>
      </rPr>
      <t xml:space="preserve">_cal</t>
    </r>
  </si>
  <si>
    <t xml:space="preserve">Ilimit_final</t>
  </si>
  <si>
    <t xml:space="preserve">Final current Limit Set Point</t>
  </si>
  <si>
    <t xml:space="preserve">Calculations for CURRENT MONITOR</t>
  </si>
  <si>
    <t xml:space="preserve">RIMON_max</t>
  </si>
  <si>
    <t xml:space="preserve">Maximum allowed resistance at IMON pin</t>
  </si>
  <si>
    <t xml:space="preserve">RIMON_sel</t>
  </si>
  <si>
    <t xml:space="preserve">Resistor value selected at IMON pin</t>
  </si>
  <si>
    <t xml:space="preserve">VIMON_final</t>
  </si>
  <si>
    <t xml:space="preserve">Maximum voltage at IMON for maximum load current</t>
  </si>
  <si>
    <t xml:space="preserve">The range of voltage output at IMON pin will be from 0V to VMON_imax</t>
  </si>
  <si>
    <t xml:space="preserve">Calculations for SoftStart control (external cap on dVdt pin)</t>
  </si>
  <si>
    <t xml:space="preserve">Tchg_fastest</t>
  </si>
  <si>
    <t xml:space="preserve">When no external capacitor  is connected (max. slew rate)</t>
  </si>
  <si>
    <t xml:space="preserve">Icharge_fastest</t>
  </si>
  <si>
    <r>
      <rPr>
        <sz val="11"/>
        <color theme="1"/>
        <rFont val="Calibri"/>
        <family val="2"/>
        <charset val="1"/>
      </rPr>
      <t xml:space="preserve">Charging current when charging at fastest possible rate
</t>
    </r>
    <r>
      <rPr>
        <b val="true"/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</si>
  <si>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</si>
  <si>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</si>
  <si>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</si>
  <si>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</si>
  <si>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</si>
  <si>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</si>
  <si>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</si>
  <si>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</si>
  <si>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</si>
  <si>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</si>
  <si>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</si>
  <si>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</si>
  <si>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</si>
  <si>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</si>
  <si>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</si>
  <si>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</si>
  <si>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</si>
  <si>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</si>
  <si>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</si>
  <si>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</si>
  <si>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</si>
  <si>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</si>
  <si>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</si>
  <si>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</si>
  <si>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</si>
  <si>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</si>
  <si>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8"/>
        <color theme="1"/>
        <rFont val="Calibri"/>
        <family val="2"/>
        <charset val="1"/>
      </rPr>
      <t xml:space="preserve">Will the system have glitch-free startup?
</t>
    </r>
    <r>
      <rPr>
        <b val="true"/>
        <sz val="10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</si>
  <si>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</si>
  <si>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</si>
  <si>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</si>
  <si>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</si>
  <si>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</si>
  <si>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</si>
  <si>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</si>
  <si>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Calculations for Transient Overcurrent Blanking Interval</t>
  </si>
  <si>
    <t xml:space="preserve">Citimer_cal</t>
  </si>
  <si>
    <t xml:space="preserve">Calculated value of capacitor at ITIMER pin</t>
  </si>
  <si>
    <t xml:space="preserve">Citimer_sel</t>
  </si>
  <si>
    <t xml:space="preserve">Capacitor value selected at ITIMER pin</t>
  </si>
  <si>
    <t xml:space="preserve">tITIMER_final</t>
  </si>
  <si>
    <t xml:space="preserve">Time duration for which load transients between Ilimit and 2.1xIlimit are allowed</t>
  </si>
  <si>
    <t xml:space="preserve">Setting the Auto-Retry Delay and Number of Retries</t>
  </si>
  <si>
    <t xml:space="preserve">CRETRY_DLY_cal</t>
  </si>
  <si>
    <t xml:space="preserve">Calculated value of capacitor at RETRY_DLY pin</t>
  </si>
  <si>
    <t xml:space="preserve">CRETRY_DLY_sel</t>
  </si>
  <si>
    <t xml:space="preserve">Capacitor value selected at RETRY_DLY pin</t>
  </si>
  <si>
    <t xml:space="preserve">tRETRY_DLY_final</t>
  </si>
  <si>
    <t xml:space="preserve">CNRETRY_cal</t>
  </si>
  <si>
    <t xml:space="preserve">Calculated value of capacitor at NRETRY pin</t>
  </si>
  <si>
    <t xml:space="preserve">CNRETRY_sel</t>
  </si>
  <si>
    <t xml:space="preserve">Capacitor value selected at NRETRY pin</t>
  </si>
  <si>
    <t xml:space="preserve">NRETRY_final</t>
  </si>
  <si>
    <t xml:space="preserve">Design Summary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</si>
  <si>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</si>
  <si>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Typical</t>
  </si>
  <si>
    <t xml:space="preserve">Units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</si>
  <si>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</si>
  <si>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Current limit</t>
  </si>
  <si>
    <r>
      <rPr>
        <sz val="12"/>
        <color theme="1"/>
        <rFont val="Calibri"/>
        <family val="2"/>
        <charset val="1"/>
      </rPr>
      <t xml:space="preserve">R3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</si>
  <si>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Upper UVLO Threshold</t>
  </si>
  <si>
    <r>
      <rPr>
        <sz val="12"/>
        <color theme="1"/>
        <rFont val="Calibri"/>
        <family val="2"/>
        <charset val="1"/>
      </rPr>
      <t xml:space="preserve">RG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</si>
  <si>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Lower UVLO Threshold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</si>
  <si>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ILIM </t>
    </r>
    <r>
      <rPr>
        <sz val="12"/>
        <color theme="1"/>
        <rFont val="Calibri"/>
        <family val="2"/>
        <charset val="1"/>
      </rPr>
      <t xml:space="preserve">=</t>
    </r>
  </si>
  <si>
    <t xml:space="preserve">Output voltage ramp time, TdVdt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</si>
  <si>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IMON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</si>
  <si>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PG </t>
    </r>
    <r>
      <rPr>
        <sz val="12"/>
        <color theme="1"/>
        <rFont val="Calibri"/>
        <family val="2"/>
        <charset val="1"/>
      </rPr>
      <t xml:space="preserve">=</t>
    </r>
  </si>
  <si>
    <t xml:space="preserve">Transient overcurrent blanking interval (tITIMER)</t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</si>
  <si>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dVdt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</si>
  <si>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ITIMER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</si>
  <si>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RETRY_DLY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</si>
  <si>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NRETRY </t>
    </r>
    <r>
      <rPr>
        <sz val="12"/>
        <color theme="1"/>
        <rFont val="Calibri"/>
        <family val="2"/>
        <charset val="1"/>
      </rPr>
      <t xml:space="preserve">=</t>
    </r>
  </si>
  <si>
    <t xml:space="preserve">Overvoltage lockout</t>
  </si>
  <si>
    <t xml:space="preserve">Notes:</t>
  </si>
  <si>
    <r>
      <rPr>
        <sz val="11"/>
        <color theme="1"/>
        <rFont val="Calibri"/>
        <family val="2"/>
        <charset val="1"/>
      </rPr>
      <t xml:space="preserve">1. Although not mandatory, C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provides transient suppression at the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pin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</si>
  <si>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IN </t>
    </r>
    <r>
      <rPr>
        <sz val="12"/>
        <color theme="1"/>
        <rFont val="Calibri"/>
        <family val="2"/>
        <charset val="1"/>
      </rPr>
      <t xml:space="preserve">=</t>
    </r>
  </si>
  <si>
    <t xml:space="preserve">0.01uF</t>
  </si>
  <si>
    <r>
      <rPr>
        <sz val="11"/>
        <color theme="1"/>
        <rFont val="Calibri"/>
        <family val="2"/>
        <charset val="1"/>
      </rPr>
      <t xml:space="preserve">2. TVS clamp diode D</t>
    </r>
    <r>
      <rPr>
        <vertAlign val="subscript"/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to GND is recommented to clamp the voltage overshoot during device turn-off, e.g. during circuit breaker 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</si>
  <si>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OUT </t>
    </r>
    <r>
      <rPr>
        <sz val="12"/>
        <color theme="1"/>
        <rFont val="Calibri"/>
        <family val="2"/>
        <charset val="1"/>
      </rPr>
      <t xml:space="preserve">=</t>
    </r>
  </si>
  <si>
    <t xml:space="preserve">Optional</t>
  </si>
  <si>
    <r>
      <rPr>
        <sz val="11"/>
        <color theme="1"/>
        <rFont val="Calibri"/>
        <family val="2"/>
        <charset val="1"/>
      </rPr>
      <t xml:space="preserve">3. Schottky diode D</t>
    </r>
    <r>
      <rPr>
        <vertAlign val="subscript"/>
        <sz val="11"/>
        <color theme="1"/>
        <rFont val="Calibri"/>
        <family val="2"/>
        <charset val="1"/>
      </rPr>
      <t xml:space="preserve">2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OUT</t>
    </r>
    <r>
      <rPr>
        <sz val="11"/>
        <color theme="1"/>
        <rFont val="Calibri"/>
        <family val="2"/>
        <charset val="1"/>
      </rPr>
      <t xml:space="preserve"> to GND is mandatory to absorb negative spikes</t>
    </r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</si>
  <si>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</si>
  <si>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SMCJxx</t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</si>
  <si>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</si>
  <si>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B530C-13-F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</si>
  <si>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</si>
  <si>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</si>
  <si>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</si>
  <si>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</si>
  <si>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</si>
  <si>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</si>
  <si>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</si>
  <si>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</si>
  <si>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</si>
  <si>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</si>
  <si>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</si>
  <si>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</si>
  <si>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</si>
  <si>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Device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</si>
  <si>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</t>
    </r>
  </si>
  <si>
    <t xml:space="preserve">Maximum ambient temperature of the application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</si>
  <si>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JC(top)</t>
    </r>
  </si>
  <si>
    <t xml:space="preserve">Junction to case (top)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</si>
  <si>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C/W</t>
    </r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</si>
  <si>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</si>
  <si>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</si>
  <si>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JC(bot)</t>
    </r>
  </si>
  <si>
    <t xml:space="preserve">Junction-to-case(bottom) thermal resistance </t>
  </si>
  <si>
    <t xml:space="preserve">Internal References </t>
  </si>
  <si>
    <t xml:space="preserve">Uvref_rise</t>
  </si>
  <si>
    <t xml:space="preserve">Internal Undervoltage reference (Rising)</t>
  </si>
  <si>
    <t xml:space="preserve">Uvref_fall</t>
  </si>
  <si>
    <t xml:space="preserve">Internal Undervoltage reference (Falling)</t>
  </si>
  <si>
    <t xml:space="preserve">GainIMON</t>
  </si>
  <si>
    <t xml:space="preserve">Current monitor gain</t>
  </si>
  <si>
    <t xml:space="preserve">uA/A</t>
  </si>
  <si>
    <t xml:space="preserve">Idvdt</t>
  </si>
  <si>
    <t xml:space="preserve">dVdt Pin Charging Current</t>
  </si>
  <si>
    <t xml:space="preserve">Delay </t>
  </si>
  <si>
    <t xml:space="preserve">tD,ON</t>
  </si>
  <si>
    <t xml:space="preserve">Device turn ON delay</t>
  </si>
  <si>
    <t xml:space="preserve">tGHI</t>
  </si>
  <si>
    <t xml:space="preserve">Time taken to reach steady state</t>
  </si>
  <si>
    <t xml:space="preserve">PD (20V)</t>
  </si>
  <si>
    <t xml:space="preserve">tTSD</t>
  </si>
  <si>
    <t xml:space="preserve">Pd (12V)(W)</t>
  </si>
  <si>
    <t xml:space="preserve">tsd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</si>
  <si>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</si>
  <si>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</si>
  <si>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</si>
  <si>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</si>
  <si>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</si>
  <si>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</si>
  <si>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</si>
  <si>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</si>
  <si>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</si>
  <si>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</si>
  <si>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</si>
  <si>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</si>
  <si>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</si>
  <si>
    <t xml:space="preserve">Nretry_quantized =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</si>
</sst>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0%"/>
    <numFmt numFmtId="167" formatCode="0.0%"/>
    <numFmt numFmtId="168" formatCode="0.0"/>
    <numFmt numFmtId="169" formatCode="0"/>
    <numFmt numFmtId="170" formatCode="0.00%"/>
    <numFmt numFmtId="171" formatCode="0.000"/>
    <numFmt numFmtId="172" formatCode="0.00000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9C0006"/>
      <name val="Calibri"/>
      <family val="2"/>
      <charset val="1"/>
    </font>
    <font>
      <sz val="11"/>
      <name val="Calibri"/>
      <family val="2"/>
      <charset val="1"/>
    </font>
    <font>
      <sz val="12"/>
      <name val="Calibri"/>
      <family val="2"/>
      <charset val="1"/>
    </font>
    <font>
      <sz val="11"/>
      <color theme="0"/>
      <name val="Calibri"/>
      <family val="2"/>
      <charset val="1"/>
    </font>
    <font>
      <vertAlign val="subscript"/>
      <sz val="11"/>
      <color theme="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color theme="1"/>
      <name val="Calibri"/>
      <family val="2"/>
      <charset val="1"/>
    </font>
    <font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b val="true"/>
      <sz val="14"/>
      <name val="Calibri"/>
      <family val="2"/>
      <charset val="1"/>
    </font>
    <font>
      <sz val="12"/>
      <color theme="0"/>
      <name val="Calibri"/>
      <family val="2"/>
      <charset val="1"/>
    </font>
    <font>
      <sz val="10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i val="true"/>
      <sz val="12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b val="true"/>
      <sz val="14"/>
      <color rgb="FFFF3300"/>
      <name val="Calibri"/>
      <family val="2"/>
      <charset val="1"/>
    </font>
    <font>
      <b val="true"/>
      <sz val="2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4"/>
      <color theme="0"/>
      <name val="Calibri"/>
      <family val="2"/>
      <charset val="1"/>
    </font>
    <font>
      <vertAlign val="subscript"/>
      <sz val="12"/>
      <color theme="1"/>
      <name val="Calibri"/>
      <family val="2"/>
      <charset val="1"/>
    </font>
    <font>
      <b val="true"/>
      <sz val="10"/>
      <name val="Arial"/>
      <family val="2"/>
      <charset val="1"/>
    </font>
    <font>
      <sz val="14"/>
      <color theme="1"/>
      <name val="Calibri"/>
      <family val="2"/>
      <charset val="1"/>
    </font>
    <font>
      <i val="true"/>
      <sz val="16"/>
      <color theme="1"/>
      <name val="Calibri"/>
      <family val="2"/>
      <charset val="1"/>
    </font>
    <font>
      <sz val="10"/>
      <name val="Symbol"/>
      <family val="1"/>
      <charset val="2"/>
    </font>
    <font>
      <sz val="10"/>
      <name val="Arial"/>
      <family val="2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6"/>
      <color theme="1"/>
      <name val="Calibri"/>
      <family val="2"/>
      <charset val="1"/>
    </font>
    <font>
      <u val="single"/>
      <sz val="20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00FFFF"/>
        <bgColor rgb="FF00CCFF"/>
      </patternFill>
    </fill>
    <fill>
      <patternFill patternType="solid">
        <fgColor rgb="FFC0C0C0"/>
        <bgColor rgb="FFBFBFBF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93CDDD"/>
      </patternFill>
    </fill>
    <fill>
      <patternFill patternType="solid">
        <fgColor theme="8" tint="0.3999"/>
        <bgColor rgb="FFB9CDE5"/>
      </patternFill>
    </fill>
    <fill>
      <patternFill patternType="solid">
        <fgColor theme="8" tint="0.7999"/>
        <bgColor rgb="FFDAE7F6"/>
      </patternFill>
    </fill>
    <fill>
      <patternFill patternType="solid">
        <fgColor theme="4" tint="0.7999"/>
        <bgColor rgb="FFDAE7F6"/>
      </patternFill>
    </fill>
    <fill>
      <patternFill patternType="solid">
        <fgColor theme="2" tint="-0.1"/>
        <bgColor rgb="FFD9D9D9"/>
      </patternFill>
    </fill>
    <fill>
      <patternFill patternType="solid">
        <fgColor rgb="FFDAE7F6"/>
        <bgColor rgb="FFDCE6F2"/>
      </patternFill>
    </fill>
    <fill>
      <patternFill patternType="solid">
        <fgColor theme="9" tint="0.7999"/>
        <bgColor rgb="FFFFFFCC"/>
      </patternFill>
    </fill>
    <fill>
      <patternFill patternType="solid">
        <fgColor theme="3" tint="0.3999"/>
        <bgColor rgb="FF4F81BD"/>
      </patternFill>
    </fill>
    <fill>
      <patternFill patternType="solid">
        <fgColor theme="7"/>
        <bgColor rgb="FF878787"/>
      </patternFill>
    </fill>
    <fill>
      <patternFill patternType="solid">
        <fgColor rgb="FFFFFFFF"/>
        <bgColor rgb="FFFFFFCC"/>
      </patternFill>
    </fill>
    <fill>
      <patternFill patternType="solid">
        <fgColor theme="3" tint="0.7999"/>
        <bgColor rgb="FFB9CDE5"/>
      </patternFill>
    </fill>
    <fill>
      <patternFill patternType="solid">
        <fgColor theme="5" tint="0.5999"/>
        <bgColor rgb="FFFFC7CE"/>
      </patternFill>
    </fill>
    <fill>
      <patternFill patternType="solid">
        <fgColor theme="2" tint="-0.25"/>
        <bgColor rgb="FFB7B7B7"/>
      </patternFill>
    </fill>
    <fill>
      <patternFill patternType="solid">
        <fgColor theme="6" tint="0.5999"/>
        <bgColor rgb="FFDDD9C3"/>
      </patternFill>
    </fill>
    <fill>
      <patternFill patternType="solid">
        <fgColor theme="7" tint="0.5999"/>
        <bgColor rgb="FFC0C0C0"/>
      </patternFill>
    </fill>
    <fill>
      <patternFill patternType="solid">
        <fgColor theme="4" tint="0.5999"/>
        <bgColor rgb="FFC6D9F1"/>
      </patternFill>
    </fill>
    <fill>
      <patternFill patternType="solid">
        <fgColor rgb="FFFFFFCC"/>
        <bgColor rgb="FFFDEADA"/>
      </patternFill>
    </fill>
    <fill>
      <patternFill patternType="solid">
        <fgColor rgb="FFFFFF00"/>
        <bgColor rgb="FFFFFF99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5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5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8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9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7" borderId="2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7" fillId="7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5" fontId="8" fillId="10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8" fillId="10" borderId="6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5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7" fillId="0" borderId="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8" fillId="5" borderId="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8" borderId="10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9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10" borderId="7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12" fillId="6" borderId="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3" fillId="7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5" fontId="15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8" fontId="7" fillId="5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5" xfId="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true"/>
    </xf>
    <xf numFmtId="168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7" fontId="7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17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8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6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0" fillId="6" borderId="5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10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1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7" fillId="8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7" borderId="5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14" fillId="7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2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6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6" fillId="3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12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4" fillId="3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3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1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13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8" fillId="10" borderId="5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2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8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7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26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8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9" fontId="9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21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4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15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2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" fillId="0" borderId="2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4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34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17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8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9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1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22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48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*unknown*" xfId="20" builtinId="8"/>
  </cellStyles>
  <dxfs count="19">
    <dxf>
      <font>
        <color rgb="FFC00000"/>
      </font>
      <fill>
        <patternFill>
          <bgColor rgb="FFFFC7CE"/>
        </patternFill>
      </fill>
    </dxf>
    <dxf>
      <fill>
        <patternFill>
          <bgColor theme="5" tint="0.5999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b val="1"/>
        <i val="0"/>
        <color rgb="FFFFFFFF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D9D9D9"/>
      <rgbColor rgb="FF800080"/>
      <rgbColor rgb="FF008080"/>
      <rgbColor rgb="FFC0C0C0"/>
      <rgbColor rgb="FF878787"/>
      <rgbColor rgb="FF558ED5"/>
      <rgbColor rgb="FFC0504D"/>
      <rgbColor rgb="FFFFFFCC"/>
      <rgbColor rgb="FFDBEEF4"/>
      <rgbColor rgb="FF660066"/>
      <rgbColor rgb="FFE6B9B8"/>
      <rgbColor rgb="FF0066CC"/>
      <rgbColor rgb="FFC6D9F1"/>
      <rgbColor rgb="FF000080"/>
      <rgbColor rgb="FFFF00FF"/>
      <rgbColor rgb="FFFDEADA"/>
      <rgbColor rgb="FFDCE6F2"/>
      <rgbColor rgb="FF800080"/>
      <rgbColor rgb="FFC00000"/>
      <rgbColor rgb="FF008080"/>
      <rgbColor rgb="FF0000FF"/>
      <rgbColor rgb="FF00CCFF"/>
      <rgbColor rgb="FFDAE7F6"/>
      <rgbColor rgb="FFD7E4BD"/>
      <rgbColor rgb="FFFFFF99"/>
      <rgbColor rgb="FF93CDDD"/>
      <rgbColor rgb="FFFF99FF"/>
      <rgbColor rgb="FFCCC1DA"/>
      <rgbColor rgb="FFFFC7CE"/>
      <rgbColor rgb="FF4F81BD"/>
      <rgbColor rgb="FF80FF7F"/>
      <rgbColor rgb="FFC4BD97"/>
      <rgbColor rgb="FFDDD9C3"/>
      <rgbColor rgb="FFBFBFBF"/>
      <rgbColor rgb="FFFF3300"/>
      <rgbColor rgb="FF8064A2"/>
      <rgbColor rgb="FFB7B7B7"/>
      <rgbColor rgb="FF003366"/>
      <rgbColor rgb="FFB9CDE5"/>
      <rgbColor rgb="FF003300"/>
      <rgbColor rgb="FF333300"/>
      <rgbColor rgb="FF993300"/>
      <rgbColor rgb="FF595959"/>
      <rgbColor rgb="FF40315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VIN</a:t>
            </a: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 Thresholds Progm'd</a:t>
            </a:r>
          </a:p>
        </c:rich>
      </c:tx>
      <c:layout>
        <c:manualLayout>
          <c:xMode val="edge"/>
          <c:yMode val="edge"/>
          <c:x val="0.115883897316219"/>
          <c:y val="0.07429626211352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38856476079347"/>
          <c:y val="0.0407014305491463"/>
          <c:w val="0.825700116686114"/>
          <c:h val="0.881772035071528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73038518833794"/>
                  <c:y val="0.135872804961844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569244520110662"/>
                  <c:y val="0.0716983860455969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-0.0518918918918919"/>
                  <c:y val="0.128424173569493"/>
                </c:manualLayout>
              </c:layout>
              <c:numFmt formatCode="General" sourceLinked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10.9044402840805</c:v>
                </c:pt>
                <c:pt idx="1">
                  <c:v>11.8957530371787</c:v>
                </c:pt>
                <c:pt idx="2">
                  <c:v>17.631935814683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348146"/>
        <c:axId val="96638185"/>
      </c:lineChart>
      <c:catAx>
        <c:axId val="3348146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96638185"/>
        <c:auto val="1"/>
        <c:lblAlgn val="ctr"/>
        <c:lblOffset val="100"/>
        <c:noMultiLvlLbl val="0"/>
      </c:catAx>
      <c:valAx>
        <c:axId val="9663818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334814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Current Limits Progm'd</a:t>
            </a:r>
          </a:p>
        </c:rich>
      </c:tx>
      <c:layout>
        <c:manualLayout>
          <c:xMode val="edge"/>
          <c:yMode val="edge"/>
          <c:x val="0.100468315527587"/>
          <c:y val="0.0790067720090294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1142982584516"/>
          <c:y val="0.0634238695113959"/>
          <c:w val="0.87615249524367"/>
          <c:h val="0.859681060219908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0.196341463414634</c:v>
                </c:pt>
                <c:pt idx="1">
                  <c:v>10.7669343065693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5673291"/>
        <c:axId val="10964423"/>
      </c:lineChart>
      <c:catAx>
        <c:axId val="55673291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10964423"/>
        <c:auto val="1"/>
        <c:lblAlgn val="ctr"/>
        <c:lblOffset val="100"/>
        <c:noMultiLvlLbl val="0"/>
      </c:catAx>
      <c:valAx>
        <c:axId val="1096442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5567329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TSD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(ms) vs PD (W) during start-up</a:t>
            </a:r>
          </a:p>
        </c:rich>
      </c:tx>
      <c:layout>
        <c:manualLayout>
          <c:xMode val="edge"/>
          <c:yMode val="edge"/>
          <c:x val="0.395090461970841"/>
          <c:y val="0.0166315106279409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"20V"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16.58</c:v>
                </c:pt>
                <c:pt idx="10">
                  <c:v>20.17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2.175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</c:v>
                </c:pt>
                <c:pt idx="16">
                  <c:v>0.796</c:v>
                </c:pt>
                <c:pt idx="17">
                  <c:v>0.73</c:v>
                </c:pt>
                <c:pt idx="18">
                  <c:v>0.685</c:v>
                </c:pt>
                <c:pt idx="19">
                  <c:v>0.652</c:v>
                </c:pt>
                <c:pt idx="20">
                  <c:v>0.65</c:v>
                </c:pt>
                <c:pt idx="21">
                  <c:v>0.552</c:v>
                </c:pt>
                <c:pt idx="22">
                  <c:v>0.551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"12V"</c:f>
              <c:strCache>
                <c:ptCount val="1"/>
                <c:pt idx="0">
                  <c:v>12V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c0504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</c:v>
                </c:pt>
                <c:pt idx="4">
                  <c:v>8.579</c:v>
                </c:pt>
                <c:pt idx="5">
                  <c:v>9.28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34.8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</c:v>
                </c:pt>
                <c:pt idx="7">
                  <c:v>17.76</c:v>
                </c:pt>
                <c:pt idx="8">
                  <c:v>15.5</c:v>
                </c:pt>
                <c:pt idx="9">
                  <c:v>2.134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</c:v>
                </c:pt>
                <c:pt idx="17">
                  <c:v>1.06</c:v>
                </c:pt>
                <c:pt idx="18">
                  <c:v>0.941</c:v>
                </c:pt>
                <c:pt idx="19">
                  <c:v>0.9</c:v>
                </c:pt>
              </c:numCache>
            </c:numRef>
          </c:yVal>
          <c:smooth val="0"/>
        </c:ser>
        <c:axId val="69831138"/>
        <c:axId val="78720514"/>
      </c:scatterChart>
      <c:valAx>
        <c:axId val="69831138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PD (W)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78720514"/>
        <c:crosses val="autoZero"/>
        <c:crossBetween val="midCat"/>
      </c:valAx>
      <c:valAx>
        <c:axId val="7872051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Time to TSD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9831138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667080</xdr:colOff>
      <xdr:row>10</xdr:row>
      <xdr:rowOff>60120</xdr:rowOff>
    </xdr:from>
    <xdr:to>
      <xdr:col>13</xdr:col>
      <xdr:colOff>852120</xdr:colOff>
      <xdr:row>26</xdr:row>
      <xdr:rowOff>90720</xdr:rowOff>
    </xdr:to>
    <xdr:graphicFrame>
      <xdr:nvGraphicFramePr>
        <xdr:cNvPr id="0" name="Chart 2"/>
        <xdr:cNvGraphicFramePr/>
      </xdr:nvGraphicFramePr>
      <xdr:xfrm>
        <a:off x="11560680" y="2441520"/>
        <a:ext cx="9872280" cy="3900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716400</xdr:colOff>
      <xdr:row>28</xdr:row>
      <xdr:rowOff>157320</xdr:rowOff>
    </xdr:from>
    <xdr:to>
      <xdr:col>13</xdr:col>
      <xdr:colOff>868320</xdr:colOff>
      <xdr:row>49</xdr:row>
      <xdr:rowOff>205200</xdr:rowOff>
    </xdr:to>
    <xdr:graphicFrame>
      <xdr:nvGraphicFramePr>
        <xdr:cNvPr id="1" name="Chart 5"/>
        <xdr:cNvGraphicFramePr/>
      </xdr:nvGraphicFramePr>
      <xdr:xfrm>
        <a:off x="11610000" y="6865560"/>
        <a:ext cx="9839160" cy="4943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428760</xdr:colOff>
      <xdr:row>4</xdr:row>
      <xdr:rowOff>144720</xdr:rowOff>
    </xdr:from>
    <xdr:to>
      <xdr:col>22</xdr:col>
      <xdr:colOff>65160</xdr:colOff>
      <xdr:row>29</xdr:row>
      <xdr:rowOff>57600</xdr:rowOff>
    </xdr:to>
    <xdr:graphicFrame>
      <xdr:nvGraphicFramePr>
        <xdr:cNvPr id="2" name="Chart 2"/>
        <xdr:cNvGraphicFramePr/>
      </xdr:nvGraphicFramePr>
      <xdr:xfrm>
        <a:off x="5320800" y="990720"/>
        <a:ext cx="8197560" cy="4437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ds/symlink/tps25982.pdf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133"/>
  <sheetViews>
    <sheetView showFormulas="false" showGridLines="false" showRowColHeaders="true" showZeros="true" rightToLeft="false" tabSelected="true" showOutlineSymbols="true" defaultGridColor="true" view="normal" topLeftCell="A55" colorId="64" zoomScale="70" zoomScaleNormal="70" zoomScalePageLayoutView="100" workbookViewId="0">
      <selection pane="topLeft" activeCell="J80" activeCellId="0" sqref="J80"/>
    </sheetView>
  </sheetViews>
  <sheetFormatPr defaultColWidth="9.109375" defaultRowHeight="18" customHeight="true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8.56"/>
    <col collapsed="false" customWidth="true" hidden="false" outlineLevel="0" max="3" min="3" style="2" width="64.11"/>
    <col collapsed="false" customWidth="true" hidden="false" outlineLevel="0" max="4" min="4" style="3" width="16.67"/>
    <col collapsed="false" customWidth="true" hidden="false" outlineLevel="0" max="5" min="5" style="1" width="10.44"/>
    <col collapsed="false" customWidth="false" hidden="false" outlineLevel="0" max="6" min="6" style="4" width="9.11"/>
    <col collapsed="false" customWidth="true" hidden="false" outlineLevel="0" max="7" min="7" style="5" width="13.56"/>
    <col collapsed="false" customWidth="true" hidden="false" outlineLevel="0" max="8" min="8" style="1" width="9.67"/>
    <col collapsed="false" customWidth="true" hidden="false" outlineLevel="0" max="9" min="9" style="1" width="11.56"/>
    <col collapsed="false" customWidth="true" hidden="false" outlineLevel="0" max="10" min="10" style="1" width="20.66"/>
    <col collapsed="false" customWidth="true" hidden="false" outlineLevel="0" max="11" min="11" style="1" width="62.56"/>
    <col collapsed="false" customWidth="true" hidden="false" outlineLevel="0" max="13" min="12" style="1" width="21.33"/>
    <col collapsed="false" customWidth="true" hidden="false" outlineLevel="0" max="14" min="14" style="1" width="14.67"/>
    <col collapsed="false" customWidth="true" hidden="false" outlineLevel="0" max="15" min="15" style="1" width="27.34"/>
    <col collapsed="false" customWidth="true" hidden="false" outlineLevel="0" max="16" min="16" style="1" width="10.33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6" min="20" style="1" width="9.11"/>
    <col collapsed="false" customWidth="true" hidden="true" outlineLevel="0" max="28" min="27" style="1" width="11.53"/>
    <col collapsed="false" customWidth="false" hidden="false" outlineLevel="0" max="16384" min="29" style="1" width="9.11"/>
  </cols>
  <sheetData>
    <row r="1" customFormat="false" ht="24" hidden="false" customHeight="true" outlineLevel="0" collapsed="false">
      <c r="B1" s="6" t="s">
        <v>0</v>
      </c>
      <c r="C1" s="6"/>
      <c r="D1" s="7"/>
      <c r="E1" s="8"/>
      <c r="F1" s="9"/>
      <c r="AA1" s="1" t="s">
        <v>1</v>
      </c>
      <c r="AB1" s="10" t="n">
        <v>4</v>
      </c>
    </row>
    <row r="2" s="1" customFormat="true" ht="21.75" hidden="false" customHeight="true" outlineLevel="0" collapsed="false">
      <c r="B2" s="11" t="s">
        <v>2</v>
      </c>
      <c r="C2" s="12" t="s">
        <v>3</v>
      </c>
      <c r="D2" s="13" t="s">
        <v>4</v>
      </c>
      <c r="E2" s="14"/>
      <c r="F2" s="15"/>
      <c r="G2" s="16" t="s">
        <v>5</v>
      </c>
      <c r="AA2" s="1" t="s">
        <v>6</v>
      </c>
      <c r="AB2" s="10" t="n">
        <v>16</v>
      </c>
    </row>
    <row r="3" s="1" customFormat="true" ht="18" hidden="false" customHeight="true" outlineLevel="0" collapsed="false">
      <c r="B3" s="17" t="s">
        <v>7</v>
      </c>
      <c r="C3" s="18" t="s">
        <v>8</v>
      </c>
      <c r="D3" s="19"/>
      <c r="E3" s="20"/>
      <c r="F3" s="21"/>
      <c r="G3" s="16" t="s">
        <v>9</v>
      </c>
      <c r="AA3" s="1" t="s">
        <v>10</v>
      </c>
      <c r="AB3" s="10" t="n">
        <v>64</v>
      </c>
    </row>
    <row r="4" s="1" customFormat="true" ht="18" hidden="false" customHeight="true" outlineLevel="0" collapsed="false">
      <c r="B4" s="22" t="s">
        <v>11</v>
      </c>
      <c r="C4" s="23" t="s">
        <v>12</v>
      </c>
      <c r="D4" s="24" t="s">
        <v>13</v>
      </c>
      <c r="E4" s="25" t="s">
        <v>14</v>
      </c>
      <c r="F4" s="26" t="s">
        <v>15</v>
      </c>
      <c r="G4" s="5"/>
      <c r="AA4" s="1" t="s">
        <v>16</v>
      </c>
      <c r="AB4" s="10" t="n">
        <v>256</v>
      </c>
    </row>
    <row r="5" s="1" customFormat="true" ht="18" hidden="false" customHeight="false" outlineLevel="0" collapsed="false">
      <c r="B5" s="27" t="s">
        <v>17</v>
      </c>
      <c r="C5" s="12" t="s">
        <v>18</v>
      </c>
      <c r="D5" s="28" t="n">
        <v>15</v>
      </c>
      <c r="E5" s="29" t="s">
        <v>19</v>
      </c>
      <c r="F5" s="30"/>
      <c r="G5" s="5"/>
      <c r="AB5" s="10" t="s">
        <v>20</v>
      </c>
    </row>
    <row r="6" s="1" customFormat="true" ht="18" hidden="false" customHeight="false" outlineLevel="0" collapsed="false">
      <c r="B6" s="31" t="s">
        <v>21</v>
      </c>
      <c r="C6" s="31" t="s">
        <v>22</v>
      </c>
      <c r="D6" s="32" t="n">
        <v>15</v>
      </c>
      <c r="E6" s="29" t="s">
        <v>19</v>
      </c>
      <c r="F6" s="30"/>
      <c r="G6" s="33" t="e">
        <f aca="false">IF(RIGHT(#REF!,2)="7L",24,(IF(RIGHT(#REF!,2)="7O",24,#REF!)))</f>
        <v>#REF!</v>
      </c>
    </row>
    <row r="7" s="1" customFormat="true" ht="18" hidden="false" customHeight="false" outlineLevel="0" collapsed="false">
      <c r="B7" s="31" t="s">
        <v>23</v>
      </c>
      <c r="C7" s="31" t="s">
        <v>24</v>
      </c>
      <c r="D7" s="32" t="n">
        <v>18</v>
      </c>
      <c r="E7" s="29" t="s">
        <v>19</v>
      </c>
      <c r="F7" s="30"/>
      <c r="G7" s="33"/>
    </row>
    <row r="8" s="1" customFormat="true" ht="18" hidden="false" customHeight="false" outlineLevel="0" collapsed="false">
      <c r="B8" s="31" t="s">
        <v>25</v>
      </c>
      <c r="C8" s="31" t="s">
        <v>26</v>
      </c>
      <c r="D8" s="32" t="n">
        <v>12</v>
      </c>
      <c r="E8" s="29" t="s">
        <v>19</v>
      </c>
      <c r="F8" s="30"/>
      <c r="G8" s="5"/>
    </row>
    <row r="9" s="1" customFormat="true" ht="15.75" hidden="false" customHeight="true" outlineLevel="0" collapsed="false">
      <c r="B9" s="34" t="s">
        <v>27</v>
      </c>
      <c r="C9" s="35" t="s">
        <v>28</v>
      </c>
      <c r="D9" s="36" t="n">
        <v>2.53</v>
      </c>
      <c r="E9" s="29" t="s">
        <v>19</v>
      </c>
      <c r="F9" s="37" t="n">
        <v>0.027</v>
      </c>
      <c r="G9" s="5"/>
    </row>
    <row r="10" s="1" customFormat="true" ht="18" hidden="false" customHeight="false" outlineLevel="0" collapsed="false">
      <c r="B10" s="27" t="s">
        <v>29</v>
      </c>
      <c r="C10" s="12" t="s">
        <v>30</v>
      </c>
      <c r="D10" s="38" t="n">
        <v>3500</v>
      </c>
      <c r="E10" s="29" t="s">
        <v>31</v>
      </c>
      <c r="F10" s="39" t="n">
        <v>0.1</v>
      </c>
      <c r="G10" s="5"/>
    </row>
    <row r="11" s="1" customFormat="true" ht="30" hidden="false" customHeight="true" outlineLevel="0" collapsed="false">
      <c r="B11" s="27" t="s">
        <v>32</v>
      </c>
      <c r="C11" s="40" t="s">
        <v>33</v>
      </c>
      <c r="D11" s="38" t="n">
        <v>75</v>
      </c>
      <c r="E11" s="29" t="s">
        <v>34</v>
      </c>
      <c r="F11" s="30"/>
      <c r="G11" s="41" t="n">
        <f aca="false">Vcc_nom/Imax</f>
        <v>1.5</v>
      </c>
    </row>
    <row r="12" s="1" customFormat="true" ht="18" hidden="false" customHeight="true" outlineLevel="0" collapsed="false">
      <c r="B12" s="27" t="s">
        <v>35</v>
      </c>
      <c r="C12" s="12" t="s">
        <v>36</v>
      </c>
      <c r="D12" s="28" t="n">
        <v>10</v>
      </c>
      <c r="E12" s="29" t="s">
        <v>37</v>
      </c>
      <c r="F12" s="30"/>
      <c r="G12" s="5"/>
      <c r="M12" s="4"/>
    </row>
    <row r="13" s="42" customFormat="true" ht="17.25" hidden="false" customHeight="true" outlineLevel="0" collapsed="false">
      <c r="B13" s="43" t="s">
        <v>38</v>
      </c>
      <c r="C13" s="44" t="s">
        <v>39</v>
      </c>
      <c r="D13" s="45" t="n">
        <v>11</v>
      </c>
      <c r="E13" s="46" t="s">
        <v>37</v>
      </c>
      <c r="F13" s="47"/>
      <c r="G13" s="48"/>
      <c r="M13" s="49"/>
    </row>
    <row r="14" s="42" customFormat="true" ht="15" hidden="false" customHeight="true" outlineLevel="0" collapsed="false">
      <c r="B14" s="50" t="s">
        <v>40</v>
      </c>
      <c r="C14" s="51" t="s">
        <v>41</v>
      </c>
      <c r="D14" s="52" t="n">
        <v>70</v>
      </c>
      <c r="E14" s="53" t="s">
        <v>42</v>
      </c>
      <c r="F14" s="54"/>
      <c r="G14" s="48"/>
      <c r="M14" s="49"/>
    </row>
    <row r="15" s="1" customFormat="true" ht="24.75" hidden="false" customHeight="true" outlineLevel="0" collapsed="false">
      <c r="B15" s="55"/>
      <c r="C15" s="12" t="s">
        <v>43</v>
      </c>
      <c r="D15" s="56" t="s">
        <v>6</v>
      </c>
      <c r="E15" s="29"/>
      <c r="F15" s="57"/>
      <c r="G15" s="5"/>
      <c r="M15" s="4"/>
    </row>
    <row r="16" s="1" customFormat="true" ht="18" hidden="false" customHeight="true" outlineLevel="0" collapsed="false">
      <c r="B16" s="55" t="s">
        <v>44</v>
      </c>
      <c r="C16" s="12" t="s">
        <v>45</v>
      </c>
      <c r="D16" s="56" t="n">
        <v>5000</v>
      </c>
      <c r="E16" s="29" t="s">
        <v>46</v>
      </c>
      <c r="F16" s="57"/>
      <c r="G16" s="5"/>
      <c r="M16" s="4"/>
    </row>
    <row r="17" s="1" customFormat="true" ht="18" hidden="false" customHeight="true" outlineLevel="0" collapsed="false">
      <c r="B17" s="55"/>
      <c r="C17" s="12" t="s">
        <v>47</v>
      </c>
      <c r="D17" s="56" t="s">
        <v>10</v>
      </c>
      <c r="E17" s="29"/>
      <c r="F17" s="57"/>
      <c r="G17" s="5"/>
      <c r="M17" s="4"/>
    </row>
    <row r="18" s="1" customFormat="true" ht="18" hidden="false" customHeight="true" outlineLevel="0" collapsed="false">
      <c r="B18" s="55" t="s">
        <v>48</v>
      </c>
      <c r="C18" s="12" t="s">
        <v>49</v>
      </c>
      <c r="D18" s="28" t="n">
        <v>10</v>
      </c>
      <c r="E18" s="29" t="s">
        <v>50</v>
      </c>
      <c r="F18" s="57"/>
      <c r="G18" s="5"/>
      <c r="M18" s="4"/>
    </row>
    <row r="19" s="1" customFormat="true" ht="18" hidden="false" customHeight="true" outlineLevel="0" collapsed="false">
      <c r="B19" s="55" t="s">
        <v>51</v>
      </c>
      <c r="C19" s="12" t="s">
        <v>52</v>
      </c>
      <c r="D19" s="56" t="s">
        <v>20</v>
      </c>
      <c r="E19" s="29"/>
      <c r="F19" s="57"/>
      <c r="G19" s="5"/>
      <c r="M19" s="4"/>
    </row>
    <row r="20" s="1" customFormat="true" ht="18" hidden="false" customHeight="true" outlineLevel="0" collapsed="false">
      <c r="B20" s="58" t="s">
        <v>53</v>
      </c>
      <c r="C20" s="59" t="s">
        <v>54</v>
      </c>
      <c r="D20" s="60" t="n">
        <f aca="false">IF(Vcc_nom&lt;5, IF(Vcc_nom&lt;3.3, 1, 1.8), 3.3)</f>
        <v>3.3</v>
      </c>
      <c r="E20" s="29" t="s">
        <v>19</v>
      </c>
      <c r="F20" s="57"/>
      <c r="G20" s="5"/>
      <c r="M20" s="4"/>
    </row>
    <row r="21" customFormat="false" ht="18" hidden="false" customHeight="true" outlineLevel="0" collapsed="false">
      <c r="B21" s="43" t="s">
        <v>55</v>
      </c>
      <c r="C21" s="43" t="s">
        <v>56</v>
      </c>
      <c r="D21" s="61" t="n">
        <v>2</v>
      </c>
      <c r="E21" s="29" t="s">
        <v>19</v>
      </c>
      <c r="F21" s="57"/>
      <c r="M21" s="62"/>
      <c r="N21" s="62"/>
      <c r="O21" s="62"/>
      <c r="P21" s="62"/>
      <c r="Q21" s="62"/>
    </row>
    <row r="22" s="63" customFormat="true" ht="18" hidden="false" customHeight="true" outlineLevel="0" collapsed="false">
      <c r="A22" s="1"/>
      <c r="B22" s="1"/>
      <c r="C22" s="2"/>
      <c r="D22" s="3"/>
      <c r="E22" s="1"/>
      <c r="F22" s="4"/>
      <c r="G22" s="5"/>
      <c r="R22" s="64"/>
      <c r="S22" s="64"/>
    </row>
    <row r="23" s="63" customFormat="true" ht="19.7" hidden="false" customHeight="false" outlineLevel="0" collapsed="false">
      <c r="B23" s="65" t="s">
        <v>57</v>
      </c>
      <c r="C23" s="65"/>
      <c r="D23" s="65"/>
      <c r="E23" s="65"/>
      <c r="F23" s="65"/>
      <c r="G23" s="66"/>
      <c r="L23" s="63" t="n">
        <f aca="false">IF(D24&gt;=100,D24,IF(D24&gt;=10,D24*10,D24*100))</f>
        <v>120</v>
      </c>
      <c r="P23" s="67" t="n">
        <f aca="false">(OVref*D26)/(D24-OVref)</f>
        <v>111.111111111111</v>
      </c>
      <c r="R23" s="64"/>
      <c r="S23" s="64"/>
    </row>
    <row r="24" s="63" customFormat="true" ht="18" hidden="false" customHeight="true" outlineLevel="0" collapsed="false">
      <c r="B24" s="68" t="s">
        <v>58</v>
      </c>
      <c r="C24" s="69" t="s">
        <v>59</v>
      </c>
      <c r="D24" s="70" t="n">
        <f aca="false">UVset</f>
        <v>12</v>
      </c>
      <c r="E24" s="71"/>
      <c r="F24" s="72"/>
      <c r="G24" s="66"/>
      <c r="J24" s="73" t="n">
        <f aca="false">D33</f>
        <v>10.9044402840805</v>
      </c>
      <c r="K24" s="74" t="s">
        <v>60</v>
      </c>
      <c r="L24" s="75" t="n">
        <f aca="false">IF(D25&gt;=100,D25,IF(D25&gt;=10,D25*10,D25*100))</f>
        <v>180</v>
      </c>
      <c r="R24" s="64"/>
      <c r="S24" s="64"/>
      <c r="T24" s="76"/>
    </row>
    <row r="25" s="63" customFormat="true" ht="18" hidden="false" customHeight="true" outlineLevel="0" collapsed="false">
      <c r="B25" s="77" t="s">
        <v>61</v>
      </c>
      <c r="C25" s="78" t="s">
        <v>62</v>
      </c>
      <c r="D25" s="79" t="n">
        <f aca="false">D7</f>
        <v>18</v>
      </c>
      <c r="E25" s="80"/>
      <c r="F25" s="81"/>
      <c r="G25" s="66"/>
      <c r="J25" s="73" t="n">
        <f aca="false">D32</f>
        <v>11.8957530371787</v>
      </c>
      <c r="K25" s="74" t="s">
        <v>63</v>
      </c>
      <c r="R25" s="64"/>
      <c r="S25" s="64"/>
      <c r="T25" s="82"/>
    </row>
    <row r="26" s="63" customFormat="true" ht="18" hidden="false" customHeight="true" outlineLevel="0" collapsed="false">
      <c r="B26" s="77" t="s">
        <v>64</v>
      </c>
      <c r="C26" s="78" t="s">
        <v>65</v>
      </c>
      <c r="D26" s="83" t="n">
        <v>1000</v>
      </c>
      <c r="E26" s="29" t="s">
        <v>66</v>
      </c>
      <c r="F26" s="84" t="n">
        <v>0.01</v>
      </c>
      <c r="G26" s="66"/>
      <c r="J26" s="73" t="n">
        <f aca="false">D34</f>
        <v>17.631935814683</v>
      </c>
      <c r="K26" s="85" t="s">
        <v>67</v>
      </c>
      <c r="L26" s="86" t="n">
        <f aca="false">INDEX('Res EIA Tables'!E$5:E$197,2+MATCH(L24,'Res EIA Tables'!E$5:E$197))</f>
        <v>182</v>
      </c>
      <c r="R26" s="64"/>
      <c r="S26" s="64"/>
    </row>
    <row r="27" s="76" customFormat="true" ht="18" hidden="false" customHeight="true" outlineLevel="0" collapsed="false">
      <c r="A27" s="63"/>
      <c r="B27" s="77" t="s">
        <v>68</v>
      </c>
      <c r="C27" s="78" t="s">
        <v>69</v>
      </c>
      <c r="D27" s="87" t="n">
        <f aca="false">P23-D28</f>
        <v>37.037037037037</v>
      </c>
      <c r="E27" s="88" t="s">
        <v>66</v>
      </c>
      <c r="F27" s="30"/>
      <c r="G27" s="89"/>
      <c r="M27" s="63"/>
      <c r="N27" s="63"/>
      <c r="O27" s="63"/>
      <c r="P27" s="63"/>
      <c r="Q27" s="63"/>
      <c r="R27" s="64"/>
      <c r="S27" s="64"/>
      <c r="T27" s="63"/>
    </row>
    <row r="28" s="82" customFormat="true" ht="18" hidden="false" customHeight="true" outlineLevel="0" collapsed="false">
      <c r="A28" s="76"/>
      <c r="B28" s="77" t="s">
        <v>70</v>
      </c>
      <c r="C28" s="78" t="s">
        <v>69</v>
      </c>
      <c r="D28" s="87" t="n">
        <f aca="false">(D26+P23)*OVref/D25</f>
        <v>74.0740740740741</v>
      </c>
      <c r="E28" s="88" t="s">
        <v>66</v>
      </c>
      <c r="F28" s="90"/>
      <c r="G28" s="91"/>
      <c r="M28" s="63"/>
      <c r="N28" s="63"/>
      <c r="O28" s="63"/>
      <c r="P28" s="63"/>
      <c r="Q28" s="63"/>
      <c r="R28" s="64"/>
      <c r="S28" s="64"/>
      <c r="T28" s="63"/>
    </row>
    <row r="29" s="63" customFormat="true" ht="18" hidden="false" customHeight="true" outlineLevel="0" collapsed="false">
      <c r="A29" s="82"/>
      <c r="B29" s="92" t="s">
        <v>71</v>
      </c>
      <c r="C29" s="92"/>
      <c r="D29" s="93"/>
      <c r="E29" s="93"/>
      <c r="F29" s="90"/>
      <c r="G29" s="94"/>
      <c r="R29" s="64"/>
      <c r="S29" s="64"/>
    </row>
    <row r="30" s="63" customFormat="true" ht="18" hidden="false" customHeight="true" outlineLevel="0" collapsed="false">
      <c r="B30" s="77" t="s">
        <v>72</v>
      </c>
      <c r="C30" s="78" t="s">
        <v>73</v>
      </c>
      <c r="D30" s="95" t="n">
        <v>36.5</v>
      </c>
      <c r="E30" s="88" t="s">
        <v>66</v>
      </c>
      <c r="F30" s="96" t="n">
        <v>0.01</v>
      </c>
      <c r="G30" s="97" t="n">
        <f aca="false">L42/L41*D27</f>
        <v>37.4</v>
      </c>
      <c r="R30" s="64"/>
      <c r="S30" s="64"/>
    </row>
    <row r="31" customFormat="false" ht="18" hidden="false" customHeight="true" outlineLevel="0" collapsed="false">
      <c r="B31" s="77" t="s">
        <v>74</v>
      </c>
      <c r="C31" s="78" t="s">
        <v>75</v>
      </c>
      <c r="D31" s="95" t="n">
        <f aca="false">G31</f>
        <v>75.6940639269406</v>
      </c>
      <c r="E31" s="88" t="s">
        <v>66</v>
      </c>
      <c r="F31" s="96" t="n">
        <v>0.01</v>
      </c>
      <c r="G31" s="33" t="n">
        <f aca="false">L44/L43*D28</f>
        <v>75.6940639269406</v>
      </c>
    </row>
    <row r="32" customFormat="false" ht="18" hidden="false" customHeight="true" outlineLevel="0" collapsed="false">
      <c r="B32" s="77" t="s">
        <v>76</v>
      </c>
      <c r="C32" s="78" t="s">
        <v>26</v>
      </c>
      <c r="D32" s="98" t="n">
        <f aca="false">OVref*(D26+D30+D31)/(D30+D31)</f>
        <v>11.8957530371787</v>
      </c>
      <c r="E32" s="88" t="s">
        <v>19</v>
      </c>
      <c r="F32" s="99"/>
    </row>
    <row r="33" customFormat="false" ht="18" hidden="false" customHeight="true" outlineLevel="0" collapsed="false">
      <c r="B33" s="77" t="s">
        <v>77</v>
      </c>
      <c r="C33" s="78" t="s">
        <v>78</v>
      </c>
      <c r="D33" s="98" t="n">
        <f aca="false">UVref*(D26+D30+D31)/(D30+D31)</f>
        <v>10.9044402840805</v>
      </c>
      <c r="E33" s="88" t="s">
        <v>19</v>
      </c>
      <c r="F33" s="99"/>
    </row>
    <row r="34" customFormat="false" ht="18" hidden="false" customHeight="true" outlineLevel="0" collapsed="false">
      <c r="B34" s="77" t="s">
        <v>79</v>
      </c>
      <c r="C34" s="78" t="s">
        <v>24</v>
      </c>
      <c r="D34" s="98" t="n">
        <f aca="false">OVref*(D26+D30+D31)/(D31)</f>
        <v>17.631935814683</v>
      </c>
      <c r="E34" s="88" t="s">
        <v>19</v>
      </c>
      <c r="F34" s="99"/>
    </row>
    <row r="35" customFormat="false" ht="18" hidden="false" customHeight="true" outlineLevel="0" collapsed="false">
      <c r="B35" s="77" t="s">
        <v>80</v>
      </c>
      <c r="C35" s="78" t="s">
        <v>81</v>
      </c>
      <c r="D35" s="98" t="n">
        <f aca="false">UVref*(D26+D30+D31)/(D31)</f>
        <v>16.1626078301261</v>
      </c>
      <c r="E35" s="88" t="s">
        <v>19</v>
      </c>
      <c r="F35" s="99"/>
    </row>
    <row r="36" customFormat="false" ht="18" hidden="false" customHeight="true" outlineLevel="0" collapsed="false">
      <c r="B36" s="100" t="s">
        <v>82</v>
      </c>
      <c r="C36" s="101" t="s">
        <v>83</v>
      </c>
      <c r="D36" s="102" t="n">
        <f aca="false">D6*1000/(D26+D30+D31)</f>
        <v>13.4868549352241</v>
      </c>
      <c r="E36" s="103" t="s">
        <v>84</v>
      </c>
      <c r="F36" s="104"/>
    </row>
    <row r="41" customFormat="false" ht="18" hidden="false" customHeight="true" outlineLevel="0" collapsed="false">
      <c r="B41" s="105" t="s">
        <v>85</v>
      </c>
      <c r="C41" s="105"/>
      <c r="D41" s="106"/>
      <c r="E41" s="107"/>
      <c r="F41" s="108"/>
      <c r="J41" s="109" t="n">
        <f aca="false">Icharge</f>
        <v>0.196341463414634</v>
      </c>
      <c r="K41" s="110" t="s">
        <v>86</v>
      </c>
      <c r="L41" s="111" t="n">
        <f aca="false">IF(D27&gt;=10000,D27/100,IF(D27&gt;=1000,D27/10,IF(D27&gt;=100,D27,IF(D27&gt;=10,D27*10,D27*100))))</f>
        <v>370.37037037037</v>
      </c>
    </row>
    <row r="42" customFormat="false" ht="18" hidden="false" customHeight="true" outlineLevel="0" collapsed="false">
      <c r="B42" s="112" t="s">
        <v>87</v>
      </c>
      <c r="C42" s="113" t="s">
        <v>88</v>
      </c>
      <c r="D42" s="114" t="n">
        <f aca="false">1460/(Ilimit-0.11)</f>
        <v>134.06795224977</v>
      </c>
      <c r="E42" s="29" t="s">
        <v>34</v>
      </c>
      <c r="F42" s="57"/>
      <c r="J42" s="109" t="n">
        <f aca="false">Ilimit_final</f>
        <v>10.7669343065693</v>
      </c>
      <c r="K42" s="110" t="s">
        <v>89</v>
      </c>
      <c r="L42" s="1" t="n">
        <f aca="false">INDEX('Res EIA Tables'!E$5:E$197,2+MATCH(L41,'Res EIA Tables'!E$5:E$197))</f>
        <v>374</v>
      </c>
    </row>
    <row r="43" customFormat="false" ht="21.75" hidden="false" customHeight="true" outlineLevel="0" collapsed="false">
      <c r="B43" s="115" t="s">
        <v>90</v>
      </c>
      <c r="C43" s="116"/>
      <c r="D43" s="117"/>
      <c r="E43" s="29"/>
      <c r="F43" s="57"/>
      <c r="L43" s="109" t="n">
        <f aca="false">IF(D42&gt;=10000,D42/100,IF(D42&gt;=1000,D42/10,IF(D42&gt;=100,D42,IF(D42&gt;=10,D42*10,D42*100))))</f>
        <v>134.06795224977</v>
      </c>
    </row>
    <row r="44" customFormat="false" ht="18" hidden="false" customHeight="true" outlineLevel="0" collapsed="false">
      <c r="B44" s="118" t="s">
        <v>91</v>
      </c>
      <c r="C44" s="119" t="s">
        <v>92</v>
      </c>
      <c r="D44" s="120" t="n">
        <f aca="false">G44</f>
        <v>137</v>
      </c>
      <c r="E44" s="29" t="s">
        <v>34</v>
      </c>
      <c r="F44" s="121" t="n">
        <v>0.01</v>
      </c>
      <c r="G44" s="122" t="n">
        <f aca="false">L44*D42/L43</f>
        <v>137</v>
      </c>
      <c r="L44" s="1" t="n">
        <f aca="false">INDEX('Res EIA Tables'!E$5:E$197,2+MATCH(L43,'Res EIA Tables'!E$5:E$197))</f>
        <v>137</v>
      </c>
    </row>
    <row r="45" customFormat="false" ht="18" hidden="false" customHeight="true" outlineLevel="0" collapsed="false">
      <c r="B45" s="123" t="s">
        <v>93</v>
      </c>
      <c r="C45" s="124" t="s">
        <v>94</v>
      </c>
      <c r="D45" s="125" t="n">
        <f aca="false">((1460/RILIM)+0.11)</f>
        <v>10.7669343065693</v>
      </c>
      <c r="E45" s="126" t="s">
        <v>37</v>
      </c>
      <c r="F45" s="127" t="n">
        <f aca="false">SQRT(((27.875*((1460/D44)+0.11)^-0.459)/100)^2+F44^2)</f>
        <v>0.0941774231758725</v>
      </c>
      <c r="G45" s="128" t="n">
        <f aca="false">((1460/G44)+0.11)*(100-(27.875*((1460/G44)+0.11)^-0.459))/100</f>
        <v>9.75866468530753</v>
      </c>
      <c r="H45" s="129" t="s">
        <v>37</v>
      </c>
    </row>
    <row r="46" customFormat="false" ht="21.75" hidden="false" customHeight="true" outlineLevel="0" collapsed="false">
      <c r="L46" s="109"/>
      <c r="R46" s="1"/>
      <c r="S46" s="1"/>
    </row>
    <row r="47" s="1" customFormat="true" ht="18" hidden="false" customHeight="true" outlineLevel="0" collapsed="false">
      <c r="B47" s="105" t="s">
        <v>95</v>
      </c>
      <c r="C47" s="105"/>
      <c r="D47" s="105"/>
      <c r="E47" s="105"/>
      <c r="F47" s="130"/>
      <c r="G47" s="131"/>
      <c r="L47" s="111" t="n">
        <f aca="false">IF(G48&gt;=100,G48,IF(G48&gt;=10,G48*10,G48*100))</f>
        <v>764.419326852899</v>
      </c>
      <c r="M47" s="111"/>
    </row>
    <row r="48" s="1" customFormat="true" ht="18" hidden="false" customHeight="true" outlineLevel="0" collapsed="false">
      <c r="B48" s="132" t="s">
        <v>96</v>
      </c>
      <c r="C48" s="132" t="s">
        <v>97</v>
      </c>
      <c r="D48" s="114" t="n">
        <f aca="false">Vimon_max/(Ilimit_final*243*10^-6)</f>
        <v>764.419326852899</v>
      </c>
      <c r="E48" s="29" t="s">
        <v>34</v>
      </c>
      <c r="F48" s="57"/>
      <c r="G48" s="133" t="n">
        <f aca="false">D48</f>
        <v>764.419326852899</v>
      </c>
      <c r="L48" s="111" t="n">
        <f aca="false">IF(L47&gt;1000,INDEX('Res EIA Tables'!E$5:E$197,MATCH(L47/10,'Res EIA Tables'!E$5:E$197))*10,INDEX('Res EIA Tables'!E$5:E$197,MATCH(L47,'Res EIA Tables'!E$5:E$197)))</f>
        <v>750</v>
      </c>
    </row>
    <row r="49" s="136" customFormat="true" ht="18" hidden="false" customHeight="true" outlineLevel="0" collapsed="false">
      <c r="A49" s="1"/>
      <c r="B49" s="118" t="s">
        <v>98</v>
      </c>
      <c r="C49" s="118" t="s">
        <v>99</v>
      </c>
      <c r="D49" s="134" t="n">
        <f aca="false">G49</f>
        <v>750</v>
      </c>
      <c r="E49" s="88" t="s">
        <v>34</v>
      </c>
      <c r="F49" s="135" t="n">
        <v>0.01</v>
      </c>
      <c r="G49" s="33" t="n">
        <f aca="false">L48*G48/L47</f>
        <v>750</v>
      </c>
      <c r="L49" s="137"/>
    </row>
    <row r="50" s="1" customFormat="true" ht="18" hidden="false" customHeight="true" outlineLevel="0" collapsed="false">
      <c r="A50" s="136"/>
      <c r="B50" s="138" t="s">
        <v>100</v>
      </c>
      <c r="C50" s="138" t="s">
        <v>101</v>
      </c>
      <c r="D50" s="125" t="n">
        <f aca="false">(Ilimit_final*RMON_sel*243*10^-6)</f>
        <v>1.96227377737226</v>
      </c>
      <c r="E50" s="126" t="s">
        <v>19</v>
      </c>
      <c r="F50" s="127" t="n">
        <f aca="false">SQRT(F129^2+F49^2)</f>
        <v>0.0316227766016838</v>
      </c>
      <c r="G50" s="139"/>
      <c r="L50" s="109"/>
    </row>
    <row r="51" customFormat="false" ht="17.25" hidden="false" customHeight="true" outlineLevel="0" collapsed="false">
      <c r="B51" s="140" t="s">
        <v>102</v>
      </c>
      <c r="C51" s="140"/>
      <c r="D51" s="141" t="str">
        <f aca="false">IF(D50&gt;D21,"VIMON is Outside limits of uC interface", "VIMON is Within Limits")</f>
        <v>VIMON is Within Limits</v>
      </c>
      <c r="E51" s="142"/>
      <c r="F51" s="142"/>
    </row>
    <row r="52" customFormat="false" ht="18" hidden="false" customHeight="false" outlineLevel="0" collapsed="false">
      <c r="T52" s="136"/>
    </row>
    <row r="53" customFormat="false" ht="18" hidden="false" customHeight="true" outlineLevel="0" collapsed="false">
      <c r="B53" s="105" t="s">
        <v>103</v>
      </c>
      <c r="C53" s="105"/>
      <c r="D53" s="106"/>
      <c r="E53" s="107"/>
      <c r="F53" s="108"/>
      <c r="T53" s="136"/>
    </row>
    <row r="54" customFormat="false" ht="18" hidden="false" customHeight="true" outlineLevel="0" collapsed="false">
      <c r="B54" s="143" t="s">
        <v>11</v>
      </c>
      <c r="C54" s="144" t="s">
        <v>12</v>
      </c>
      <c r="D54" s="145" t="s">
        <v>13</v>
      </c>
      <c r="E54" s="146" t="s">
        <v>14</v>
      </c>
      <c r="F54" s="143" t="s">
        <v>15</v>
      </c>
      <c r="T54" s="136"/>
    </row>
    <row r="55" s="136" customFormat="true" ht="18" hidden="false" customHeight="true" outlineLevel="0" collapsed="false">
      <c r="A55" s="1"/>
      <c r="B55" s="112" t="s">
        <v>104</v>
      </c>
      <c r="C55" s="113" t="s">
        <v>105</v>
      </c>
      <c r="D55" s="36" t="n">
        <f aca="false">Vcc_nom/7.35</f>
        <v>2.04081632653061</v>
      </c>
      <c r="E55" s="88" t="s">
        <v>50</v>
      </c>
      <c r="F55" s="147" t="n">
        <v>0.15</v>
      </c>
      <c r="G55" s="5"/>
      <c r="M55" s="1"/>
      <c r="N55" s="1"/>
      <c r="O55" s="1"/>
      <c r="P55" s="1"/>
      <c r="Q55" s="1"/>
      <c r="R55" s="4"/>
      <c r="S55" s="4"/>
      <c r="T55" s="1"/>
    </row>
    <row r="56" s="136" customFormat="true" ht="27" hidden="false" customHeight="true" outlineLevel="0" collapsed="false">
      <c r="B56" s="112" t="s">
        <v>106</v>
      </c>
      <c r="C56" s="113" t="s">
        <v>107</v>
      </c>
      <c r="D56" s="36" t="n">
        <f aca="false">MIN(Cout*(Vcc_nom/D55)/1000, Ilimit_final)</f>
        <v>10.7669343065693</v>
      </c>
      <c r="E56" s="88" t="s">
        <v>37</v>
      </c>
      <c r="F56" s="147"/>
      <c r="G56" s="5"/>
      <c r="M56" s="1"/>
      <c r="N56" s="1"/>
      <c r="O56" s="1"/>
      <c r="P56" s="1"/>
      <c r="Q56" s="1"/>
      <c r="S56" s="4"/>
      <c r="T56" s="1"/>
    </row>
    <row r="57" customFormat="false" ht="18" hidden="false" customHeight="true" outlineLevel="0" collapsed="false">
      <c r="B57" s="55" t="s">
        <v>108</v>
      </c>
      <c r="C57" s="12" t="s">
        <v>109</v>
      </c>
      <c r="D57" s="28" t="n">
        <v>200</v>
      </c>
      <c r="E57" s="88" t="s">
        <v>50</v>
      </c>
      <c r="F57" s="148"/>
      <c r="M57" s="136"/>
      <c r="N57" s="136"/>
      <c r="O57" s="136"/>
      <c r="P57" s="136"/>
      <c r="Q57" s="136"/>
      <c r="S57" s="149"/>
    </row>
    <row r="58" customFormat="false" ht="18" hidden="false" customHeight="true" outlineLevel="0" collapsed="false">
      <c r="B58" s="55" t="s">
        <v>110</v>
      </c>
      <c r="C58" s="12" t="s">
        <v>111</v>
      </c>
      <c r="D58" s="28" t="n">
        <v>0.3</v>
      </c>
      <c r="E58" s="88" t="s">
        <v>37</v>
      </c>
      <c r="F58" s="148"/>
      <c r="M58" s="136"/>
      <c r="N58" s="136"/>
      <c r="O58" s="136"/>
      <c r="P58" s="136"/>
      <c r="Q58" s="136"/>
      <c r="S58" s="149"/>
    </row>
    <row r="59" customFormat="false" ht="18" hidden="false" customHeight="true" outlineLevel="0" collapsed="false">
      <c r="B59" s="112" t="s">
        <v>112</v>
      </c>
      <c r="C59" s="113" t="s">
        <v>113</v>
      </c>
      <c r="D59" s="150" t="n">
        <f aca="false">IF(Tchg_req&lt;Tchg_fastest,    0,  (4600*Tchg_req/Vcc_nom)/1000)</f>
        <v>61.3333333333333</v>
      </c>
      <c r="E59" s="88" t="s">
        <v>114</v>
      </c>
      <c r="F59" s="148"/>
    </row>
    <row r="60" customFormat="false" ht="18" hidden="false" customHeight="true" outlineLevel="0" collapsed="false">
      <c r="B60" s="112" t="s">
        <v>115</v>
      </c>
      <c r="C60" s="113" t="s">
        <v>116</v>
      </c>
      <c r="D60" s="150" t="n">
        <f aca="false">(4600*(Cout/1000)/Icharge_req)/1000</f>
        <v>53.6666666666667</v>
      </c>
      <c r="E60" s="88" t="s">
        <v>114</v>
      </c>
      <c r="F60" s="148"/>
      <c r="G60" s="151" t="n">
        <f aca="false">MAX(Cdvdt_ext_cal1,Cext_dvdt_cal2)</f>
        <v>61.3333333333333</v>
      </c>
    </row>
    <row r="61" customFormat="false" ht="18" hidden="false" customHeight="false" outlineLevel="0" collapsed="false">
      <c r="B61" s="115" t="s">
        <v>117</v>
      </c>
      <c r="C61" s="116"/>
      <c r="D61" s="152"/>
      <c r="E61" s="88"/>
      <c r="F61" s="148"/>
    </row>
    <row r="62" customFormat="false" ht="18" hidden="false" customHeight="false" outlineLevel="0" collapsed="false">
      <c r="B62" s="118" t="s">
        <v>118</v>
      </c>
      <c r="C62" s="119" t="s">
        <v>119</v>
      </c>
      <c r="D62" s="134" t="n">
        <v>82</v>
      </c>
      <c r="E62" s="88" t="s">
        <v>114</v>
      </c>
      <c r="F62" s="135" t="n">
        <v>0.1</v>
      </c>
      <c r="G62" s="153" t="n">
        <f aca="false">IF(G60&gt;1,    INDEX('Cap Tables'!B4:B75,1+MATCH(G60,'Cap Tables'!B4:B75)),     INDEX('Cap Tables'!A4:A75,1+MATCH(G60*10,'Cap Tables'!A4:A75))/10)</f>
        <v>68</v>
      </c>
    </row>
    <row r="63" customFormat="false" ht="18" hidden="false" customHeight="true" outlineLevel="0" collapsed="false">
      <c r="B63" s="123" t="s">
        <v>120</v>
      </c>
      <c r="C63" s="124" t="s">
        <v>121</v>
      </c>
      <c r="D63" s="125" t="n">
        <f aca="false">(Cout/1000)*(4600/(Cdvdt_ext*1000))</f>
        <v>0.196341463414634</v>
      </c>
      <c r="E63" s="126" t="s">
        <v>37</v>
      </c>
      <c r="F63" s="127" t="n">
        <f aca="false">SQRT(F55^2+F62^2)</f>
        <v>0.180277563773199</v>
      </c>
      <c r="G63" s="154"/>
      <c r="R63" s="155"/>
    </row>
    <row r="64" customFormat="false" ht="20.25" hidden="false" customHeight="true" outlineLevel="0" collapsed="false">
      <c r="B64" s="123" t="s">
        <v>122</v>
      </c>
      <c r="C64" s="124"/>
      <c r="D64" s="125" t="n">
        <f aca="false">((Icharge+Vcc_nom/Rlstart) &gt;= Ilimit_final)</f>
        <v>0</v>
      </c>
      <c r="E64" s="126"/>
      <c r="F64" s="127"/>
      <c r="G64" s="156" t="n">
        <f aca="false">Cout*0.001*Rlstart*(Ilimit_final/Icharge -1+LN(Icharge/(Ilimit_final-Vcc_nom/Rlstart)))</f>
        <v>13086.1952451399</v>
      </c>
    </row>
    <row r="65" customFormat="false" ht="18" hidden="false" customHeight="true" outlineLevel="0" collapsed="false">
      <c r="B65" s="123" t="s">
        <v>123</v>
      </c>
      <c r="C65" s="124" t="s">
        <v>124</v>
      </c>
      <c r="D65" s="125" t="n">
        <f aca="false">IF(D64, G64, ((Cdvdt_ext*1000*Vcc_nom)/(4600)))</f>
        <v>267.391304347826</v>
      </c>
      <c r="E65" s="126" t="s">
        <v>50</v>
      </c>
      <c r="F65" s="127" t="n">
        <f aca="false">SQRT(F62^2+F55^2)</f>
        <v>0.180277563773199</v>
      </c>
      <c r="G65" s="139"/>
    </row>
    <row r="66" customFormat="false" ht="18" hidden="false" customHeight="true" outlineLevel="0" collapsed="false">
      <c r="B66" s="112" t="s">
        <v>125</v>
      </c>
      <c r="C66" s="113" t="s">
        <v>126</v>
      </c>
      <c r="D66" s="114" t="n">
        <f aca="false">0.5*Vcc_nom*Icharge</f>
        <v>1.47256097560976</v>
      </c>
      <c r="E66" s="29" t="s">
        <v>127</v>
      </c>
      <c r="F66" s="57"/>
    </row>
    <row r="68" customFormat="false" ht="15.75" hidden="false" customHeight="true" outlineLevel="0" collapsed="false">
      <c r="B68" s="105" t="s">
        <v>128</v>
      </c>
      <c r="C68" s="105"/>
      <c r="D68" s="105"/>
      <c r="E68" s="105"/>
      <c r="F68" s="108"/>
    </row>
    <row r="69" customFormat="false" ht="18" hidden="false" customHeight="true" outlineLevel="0" collapsed="false">
      <c r="B69" s="112" t="s">
        <v>129</v>
      </c>
      <c r="C69" s="113" t="s">
        <v>130</v>
      </c>
      <c r="D69" s="114" t="n">
        <f aca="false">(1/6)*(Vcc_nom^2)/Rlstart</f>
        <v>0.5</v>
      </c>
      <c r="E69" s="88" t="s">
        <v>127</v>
      </c>
      <c r="F69" s="148"/>
    </row>
    <row r="70" customFormat="false" ht="27" hidden="false" customHeight="true" outlineLevel="0" collapsed="false">
      <c r="B70" s="112" t="s">
        <v>131</v>
      </c>
      <c r="C70" s="113" t="s">
        <v>132</v>
      </c>
      <c r="D70" s="114" t="n">
        <f aca="false">D66+D69</f>
        <v>1.97256097560976</v>
      </c>
      <c r="E70" s="88" t="s">
        <v>127</v>
      </c>
      <c r="F70" s="148"/>
      <c r="L70" s="157" t="n">
        <f aca="false">(D65/1679.1)^(-1/1.946)</f>
        <v>2.57060650494679</v>
      </c>
      <c r="M70" s="129" t="e">
        <f aca="false">INDEX('LUT "TSD vs PD start-up"'!C2:D21,MATCH(Tchg_dvdt,'LUT "TSD vs PD start-up"'!D2:D21,-1),1)</f>
        <v>#N/A</v>
      </c>
    </row>
    <row r="71" customFormat="false" ht="24.45" hidden="false" customHeight="false" outlineLevel="0" collapsed="false">
      <c r="B71" s="112"/>
      <c r="C71" s="113" t="s">
        <v>133</v>
      </c>
      <c r="D71" s="114" t="n">
        <f aca="false">G71*0.8</f>
        <v>2.05648520395743</v>
      </c>
      <c r="E71" s="88" t="s">
        <v>127</v>
      </c>
      <c r="F71" s="147" t="n">
        <v>0.2</v>
      </c>
      <c r="G71" s="158" t="n">
        <f aca="false">IF(Vcc_nom &gt;16.5, L71,L70)</f>
        <v>2.57060650494679</v>
      </c>
      <c r="H71" s="159"/>
      <c r="I71" s="159"/>
      <c r="J71" s="160"/>
      <c r="K71" s="160"/>
      <c r="L71" s="157" t="n">
        <f aca="false">(D65/467.3)^(-1/1.661)</f>
        <v>1.39947576808989</v>
      </c>
      <c r="M71" s="129" t="e">
        <f aca="false">INDEX('LUT "TSD vs PD start-up"'!A2:B24,MATCH(Tchg_dvdt,'LUT "TSD vs PD start-up"'!B2:B24,-1),1)</f>
        <v>#N/A</v>
      </c>
    </row>
    <row r="72" customFormat="false" ht="36.75" hidden="false" customHeight="true" outlineLevel="0" collapsed="false">
      <c r="B72" s="112"/>
      <c r="C72" s="161" t="s">
        <v>134</v>
      </c>
      <c r="D72" s="162" t="str">
        <f aca="false">IF(D70&lt;(D71),"YES","NO, Increase Rlstart and/or Tchg_req; and/or Reduce Cout")</f>
        <v>YES</v>
      </c>
      <c r="E72" s="162"/>
      <c r="F72" s="162"/>
      <c r="G72" s="162"/>
      <c r="H72" s="162"/>
      <c r="I72" s="162"/>
      <c r="J72" s="162"/>
    </row>
    <row r="74" customFormat="false" ht="18" hidden="false" customHeight="true" outlineLevel="0" collapsed="false">
      <c r="B74" s="105" t="s">
        <v>135</v>
      </c>
      <c r="C74" s="105"/>
      <c r="D74" s="105"/>
      <c r="E74" s="105"/>
      <c r="F74" s="108"/>
    </row>
    <row r="75" customFormat="false" ht="18" hidden="false" customHeight="true" outlineLevel="0" collapsed="false">
      <c r="B75" s="143" t="s">
        <v>11</v>
      </c>
      <c r="C75" s="144" t="s">
        <v>12</v>
      </c>
      <c r="D75" s="145" t="s">
        <v>13</v>
      </c>
      <c r="E75" s="146" t="s">
        <v>14</v>
      </c>
      <c r="F75" s="143" t="s">
        <v>15</v>
      </c>
    </row>
    <row r="76" customFormat="false" ht="18" hidden="false" customHeight="true" outlineLevel="0" collapsed="false">
      <c r="B76" s="112" t="s">
        <v>136</v>
      </c>
      <c r="C76" s="113" t="s">
        <v>137</v>
      </c>
      <c r="D76" s="114" t="n">
        <f aca="false">Imax*Rdson_25deg</f>
        <v>32</v>
      </c>
      <c r="E76" s="29" t="s">
        <v>138</v>
      </c>
      <c r="F76" s="57"/>
    </row>
    <row r="77" customFormat="false" ht="18" hidden="false" customHeight="true" outlineLevel="0" collapsed="false">
      <c r="B77" s="112" t="s">
        <v>139</v>
      </c>
      <c r="C77" s="113" t="s">
        <v>140</v>
      </c>
      <c r="D77" s="114" t="n">
        <f aca="false">Imax^2*Rdson_25deg</f>
        <v>320</v>
      </c>
      <c r="E77" s="29" t="s">
        <v>141</v>
      </c>
      <c r="F77" s="57"/>
    </row>
    <row r="78" customFormat="false" ht="21.75" hidden="false" customHeight="true" outlineLevel="0" collapsed="false">
      <c r="B78" s="163"/>
      <c r="C78" s="164"/>
      <c r="E78" s="5"/>
      <c r="G78" s="131"/>
      <c r="L78" s="109"/>
      <c r="S78" s="1"/>
    </row>
    <row r="79" s="1" customFormat="true" ht="18" hidden="false" customHeight="true" outlineLevel="0" collapsed="false">
      <c r="B79" s="105" t="s">
        <v>142</v>
      </c>
      <c r="C79" s="105"/>
      <c r="D79" s="105"/>
      <c r="E79" s="105"/>
      <c r="F79" s="130"/>
      <c r="G79" s="131"/>
      <c r="L79" s="111"/>
      <c r="M79" s="111"/>
    </row>
    <row r="80" s="1" customFormat="true" ht="18" hidden="false" customHeight="true" outlineLevel="0" collapsed="false">
      <c r="B80" s="132" t="s">
        <v>143</v>
      </c>
      <c r="C80" s="132" t="s">
        <v>144</v>
      </c>
      <c r="D80" s="114" t="n">
        <f aca="false">tITIMER/470</f>
        <v>10.6382978723404</v>
      </c>
      <c r="E80" s="29" t="s">
        <v>114</v>
      </c>
      <c r="F80" s="57"/>
      <c r="G80" s="133" t="n">
        <f aca="false">D80</f>
        <v>10.6382978723404</v>
      </c>
      <c r="L80" s="111"/>
    </row>
    <row r="81" s="136" customFormat="true" ht="18" hidden="false" customHeight="true" outlineLevel="0" collapsed="false">
      <c r="A81" s="1"/>
      <c r="B81" s="118" t="s">
        <v>145</v>
      </c>
      <c r="C81" s="118" t="s">
        <v>146</v>
      </c>
      <c r="D81" s="134" t="n">
        <v>10</v>
      </c>
      <c r="E81" s="88" t="s">
        <v>114</v>
      </c>
      <c r="F81" s="135" t="n">
        <v>0.1</v>
      </c>
      <c r="G81" s="165" t="n">
        <f aca="false">INDEX('Cap Tables'!B4:B75,1+MATCH(G80,'Cap Tables'!B4:B75))</f>
        <v>15</v>
      </c>
      <c r="L81" s="137"/>
    </row>
    <row r="82" customFormat="false" ht="18" hidden="false" customHeight="true" outlineLevel="0" collapsed="false">
      <c r="A82" s="136"/>
      <c r="B82" s="138" t="s">
        <v>147</v>
      </c>
      <c r="C82" s="166" t="s">
        <v>148</v>
      </c>
      <c r="D82" s="167" t="n">
        <f aca="false">D81*470</f>
        <v>4700</v>
      </c>
      <c r="E82" s="126" t="s">
        <v>46</v>
      </c>
      <c r="F82" s="138"/>
      <c r="G82" s="168" t="n">
        <f aca="false">(D133/53000)/1000*10^9</f>
        <v>6536.74124998198</v>
      </c>
      <c r="H82" s="129" t="s">
        <v>114</v>
      </c>
    </row>
    <row r="83" customFormat="false" ht="21.75" hidden="false" customHeight="true" outlineLevel="0" collapsed="false">
      <c r="E83" s="5"/>
      <c r="G83" s="33"/>
      <c r="L83" s="109"/>
      <c r="R83" s="1"/>
      <c r="S83" s="1"/>
    </row>
    <row r="84" s="1" customFormat="true" ht="18" hidden="false" customHeight="true" outlineLevel="0" collapsed="false">
      <c r="B84" s="105" t="s">
        <v>149</v>
      </c>
      <c r="C84" s="105"/>
      <c r="D84" s="105"/>
      <c r="E84" s="105"/>
      <c r="F84" s="130"/>
      <c r="G84" s="169"/>
      <c r="L84" s="111"/>
      <c r="M84" s="111"/>
    </row>
    <row r="85" s="1" customFormat="true" ht="18" hidden="false" customHeight="true" outlineLevel="0" collapsed="false">
      <c r="B85" s="132" t="s">
        <v>150</v>
      </c>
      <c r="C85" s="132" t="s">
        <v>151</v>
      </c>
      <c r="D85" s="114" t="n">
        <f aca="false">((tRETRY_DLY*1000/46.83)-4)/1000</f>
        <v>0.209538330130258</v>
      </c>
      <c r="E85" s="29" t="s">
        <v>114</v>
      </c>
      <c r="F85" s="57"/>
      <c r="G85" s="133" t="n">
        <f aca="false">D85</f>
        <v>0.209538330130258</v>
      </c>
      <c r="L85" s="111"/>
    </row>
    <row r="86" s="136" customFormat="true" ht="18.75" hidden="false" customHeight="true" outlineLevel="0" collapsed="false">
      <c r="A86" s="1"/>
      <c r="B86" s="118" t="s">
        <v>152</v>
      </c>
      <c r="C86" s="118" t="s">
        <v>153</v>
      </c>
      <c r="D86" s="134" t="n">
        <f aca="false">G86</f>
        <v>0.22</v>
      </c>
      <c r="E86" s="88" t="s">
        <v>114</v>
      </c>
      <c r="F86" s="135" t="n">
        <v>0.1</v>
      </c>
      <c r="G86" s="33" t="n">
        <f aca="false">IF(G85&gt;1,    INDEX('Cap Tables'!B4:B75,1+MATCH(G85,'Cap Tables'!B4:B75)),     INDEX('Cap Tables'!A4:A75,1+MATCH(G85*10,'Cap Tables'!A4:A75))/10)</f>
        <v>0.22</v>
      </c>
      <c r="L86" s="137"/>
    </row>
    <row r="87" s="1" customFormat="true" ht="18" hidden="false" customHeight="true" outlineLevel="0" collapsed="false">
      <c r="A87" s="136"/>
      <c r="B87" s="138" t="s">
        <v>154</v>
      </c>
      <c r="C87" s="166" t="s">
        <v>49</v>
      </c>
      <c r="D87" s="125" t="n">
        <f aca="false">((D86*1000+4)*46.83)/1000</f>
        <v>10.48992</v>
      </c>
      <c r="E87" s="126" t="s">
        <v>50</v>
      </c>
      <c r="F87" s="138"/>
      <c r="G87" s="170"/>
      <c r="L87" s="111"/>
      <c r="M87" s="111"/>
    </row>
    <row r="88" s="1" customFormat="true" ht="18" hidden="false" customHeight="true" outlineLevel="0" collapsed="false">
      <c r="B88" s="132" t="s">
        <v>155</v>
      </c>
      <c r="C88" s="132" t="s">
        <v>156</v>
      </c>
      <c r="D88" s="114" t="str">
        <f aca="false">IF(NRETRY="Infinite", "Short to Gnd", NRETRY*(D86*1000+4)/4000)</f>
        <v>Short to Gnd</v>
      </c>
      <c r="E88" s="29" t="s">
        <v>114</v>
      </c>
      <c r="F88" s="57"/>
      <c r="G88" s="158" t="str">
        <f aca="false">IF(D88 ="Short to Gnd", "Short to Gnd", 0.9*D88)</f>
        <v>Short to Gnd</v>
      </c>
      <c r="L88" s="111"/>
    </row>
    <row r="89" s="136" customFormat="true" ht="18.75" hidden="false" customHeight="true" outlineLevel="0" collapsed="false">
      <c r="A89" s="1"/>
      <c r="B89" s="118" t="s">
        <v>157</v>
      </c>
      <c r="C89" s="118" t="s">
        <v>158</v>
      </c>
      <c r="D89" s="120" t="str">
        <f aca="false">G89</f>
        <v>Short to Gnd</v>
      </c>
      <c r="E89" s="88" t="s">
        <v>114</v>
      </c>
      <c r="F89" s="135" t="n">
        <v>0.1</v>
      </c>
      <c r="G89" s="33" t="str">
        <f aca="false">IF(D88 ="Short to Gnd", "Short to Gnd", INDEX('Cap Tables'!B4:B75,MATCH(G88,'Cap Tables'!B4:B75)))</f>
        <v>Short to Gnd</v>
      </c>
      <c r="H89" s="171" t="e">
        <f aca="false">4*D89*1000/(D86*1000+4)</f>
        <v>#VALUE!</v>
      </c>
      <c r="L89" s="137"/>
    </row>
    <row r="90" customFormat="false" ht="18" hidden="false" customHeight="true" outlineLevel="0" collapsed="false">
      <c r="A90" s="136"/>
      <c r="B90" s="138" t="s">
        <v>159</v>
      </c>
      <c r="C90" s="166" t="s">
        <v>52</v>
      </c>
      <c r="D90" s="167" t="str">
        <f aca="false">H90</f>
        <v>Infinite</v>
      </c>
      <c r="E90" s="126"/>
      <c r="F90" s="138"/>
      <c r="G90" s="172" t="str">
        <f aca="false">IF(D89="Short to Gnd", "Infinite", 1024*((Ncalc/1024)-TRUNC(Ncalc/1024)))</f>
        <v>Infinite</v>
      </c>
      <c r="H90" s="173" t="str">
        <f aca="false">Nretry!F5</f>
        <v>Infinite</v>
      </c>
    </row>
    <row r="91" customFormat="false" ht="21.75" hidden="false" customHeight="true" outlineLevel="0" collapsed="false">
      <c r="E91" s="5"/>
      <c r="L91" s="109"/>
      <c r="R91" s="1"/>
      <c r="S91" s="1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E94" s="5"/>
    </row>
    <row r="95" customFormat="false" ht="18" hidden="false" customHeight="true" outlineLevel="0" collapsed="false">
      <c r="B95" s="174" t="s">
        <v>160</v>
      </c>
      <c r="C95" s="175"/>
      <c r="D95" s="176"/>
      <c r="E95" s="177"/>
      <c r="F95" s="178"/>
      <c r="G95" s="177"/>
      <c r="H95" s="179"/>
      <c r="I95" s="179"/>
      <c r="J95" s="180"/>
    </row>
    <row r="96" customFormat="false" ht="18" hidden="false" customHeight="true" outlineLevel="0" collapsed="false">
      <c r="B96" s="181"/>
      <c r="D96" s="182" t="s">
        <v>161</v>
      </c>
      <c r="E96" s="183" t="n">
        <f aca="false">RpUVLO</f>
        <v>12</v>
      </c>
      <c r="F96" s="5" t="s">
        <v>66</v>
      </c>
      <c r="G96" s="184" t="s">
        <v>11</v>
      </c>
      <c r="H96" s="184"/>
      <c r="I96" s="185" t="s">
        <v>162</v>
      </c>
      <c r="J96" s="186" t="s">
        <v>163</v>
      </c>
      <c r="Q96" s="4"/>
      <c r="S96" s="1"/>
    </row>
    <row r="97" customFormat="false" ht="18" hidden="false" customHeight="true" outlineLevel="0" collapsed="false">
      <c r="B97" s="187"/>
      <c r="D97" s="182" t="s">
        <v>164</v>
      </c>
      <c r="E97" s="188" t="n">
        <f aca="false">D30</f>
        <v>36.5</v>
      </c>
      <c r="F97" s="5" t="s">
        <v>66</v>
      </c>
      <c r="G97" s="189" t="s">
        <v>165</v>
      </c>
      <c r="H97" s="189"/>
      <c r="I97" s="190" t="n">
        <f aca="false">Ilimit_final</f>
        <v>10.7669343065693</v>
      </c>
      <c r="J97" s="191" t="s">
        <v>37</v>
      </c>
      <c r="Q97" s="4"/>
      <c r="S97" s="1"/>
    </row>
    <row r="98" customFormat="false" ht="18" hidden="false" customHeight="true" outlineLevel="0" collapsed="false">
      <c r="B98" s="187"/>
      <c r="D98" s="182" t="s">
        <v>166</v>
      </c>
      <c r="E98" s="192" t="n">
        <f aca="false">D31</f>
        <v>75.6940639269406</v>
      </c>
      <c r="F98" s="5" t="s">
        <v>66</v>
      </c>
      <c r="G98" s="193" t="s">
        <v>167</v>
      </c>
      <c r="H98" s="193"/>
      <c r="I98" s="190" t="n">
        <f aca="false">D32</f>
        <v>11.8957530371787</v>
      </c>
      <c r="J98" s="191" t="s">
        <v>19</v>
      </c>
      <c r="Q98" s="4"/>
      <c r="S98" s="1"/>
    </row>
    <row r="99" customFormat="false" ht="18" hidden="false" customHeight="true" outlineLevel="0" collapsed="false">
      <c r="B99" s="187"/>
      <c r="D99" s="182" t="s">
        <v>168</v>
      </c>
      <c r="E99" s="183" t="n">
        <v>2</v>
      </c>
      <c r="F99" s="5" t="s">
        <v>34</v>
      </c>
      <c r="G99" s="193" t="s">
        <v>169</v>
      </c>
      <c r="H99" s="193"/>
      <c r="I99" s="190" t="n">
        <f aca="false">D33</f>
        <v>10.9044402840805</v>
      </c>
      <c r="J99" s="191" t="s">
        <v>19</v>
      </c>
      <c r="Q99" s="4"/>
      <c r="S99" s="1"/>
    </row>
    <row r="100" customFormat="false" ht="18" hidden="false" customHeight="true" outlineLevel="0" collapsed="false">
      <c r="B100" s="187"/>
      <c r="D100" s="182" t="s">
        <v>170</v>
      </c>
      <c r="E100" s="188" t="n">
        <f aca="false">RILIM</f>
        <v>137</v>
      </c>
      <c r="F100" s="5" t="s">
        <v>34</v>
      </c>
      <c r="G100" s="194" t="s">
        <v>171</v>
      </c>
      <c r="H100" s="194"/>
      <c r="I100" s="190" t="n">
        <f aca="false">Tchg_dvdt</f>
        <v>267.391304347826</v>
      </c>
      <c r="J100" s="195" t="s">
        <v>50</v>
      </c>
      <c r="Q100" s="4"/>
      <c r="S100" s="1"/>
    </row>
    <row r="101" customFormat="false" ht="18" hidden="false" customHeight="true" outlineLevel="0" collapsed="false">
      <c r="B101" s="187"/>
      <c r="D101" s="182" t="s">
        <v>172</v>
      </c>
      <c r="E101" s="192" t="n">
        <f aca="false">RMON_sel</f>
        <v>750</v>
      </c>
      <c r="F101" s="5" t="s">
        <v>34</v>
      </c>
      <c r="G101" s="194"/>
      <c r="H101" s="194"/>
      <c r="I101" s="190"/>
      <c r="J101" s="195"/>
      <c r="Q101" s="4"/>
      <c r="S101" s="1"/>
    </row>
    <row r="102" customFormat="false" ht="18" hidden="false" customHeight="true" outlineLevel="0" collapsed="false">
      <c r="B102" s="187"/>
      <c r="D102" s="182" t="s">
        <v>173</v>
      </c>
      <c r="E102" s="192" t="n">
        <v>10</v>
      </c>
      <c r="F102" s="5" t="s">
        <v>66</v>
      </c>
      <c r="G102" s="194" t="s">
        <v>174</v>
      </c>
      <c r="H102" s="194"/>
      <c r="I102" s="196" t="n">
        <f aca="false">D82</f>
        <v>4700</v>
      </c>
      <c r="J102" s="195" t="s">
        <v>46</v>
      </c>
      <c r="Q102" s="4"/>
      <c r="S102" s="1"/>
    </row>
    <row r="103" customFormat="false" ht="18" hidden="false" customHeight="true" outlineLevel="0" collapsed="false">
      <c r="B103" s="187"/>
      <c r="D103" s="182" t="s">
        <v>175</v>
      </c>
      <c r="E103" s="192" t="n">
        <f aca="false">Cdvdt_ext</f>
        <v>82</v>
      </c>
      <c r="F103" s="5" t="s">
        <v>114</v>
      </c>
      <c r="G103" s="194"/>
      <c r="H103" s="194"/>
      <c r="I103" s="196"/>
      <c r="J103" s="195"/>
      <c r="Q103" s="4"/>
      <c r="S103" s="1"/>
    </row>
    <row r="104" customFormat="false" ht="18" hidden="false" customHeight="true" outlineLevel="0" collapsed="false">
      <c r="B104" s="187"/>
      <c r="D104" s="182" t="s">
        <v>176</v>
      </c>
      <c r="E104" s="188" t="n">
        <f aca="false">D81</f>
        <v>10</v>
      </c>
      <c r="F104" s="5" t="s">
        <v>114</v>
      </c>
      <c r="G104" s="193" t="s">
        <v>49</v>
      </c>
      <c r="H104" s="193"/>
      <c r="I104" s="196" t="n">
        <f aca="false">IF(D17="Latch-off", "Latch-off", D87)</f>
        <v>10.48992</v>
      </c>
      <c r="J104" s="191" t="s">
        <v>50</v>
      </c>
      <c r="Q104" s="4"/>
      <c r="S104" s="1"/>
    </row>
    <row r="105" customFormat="false" ht="18" hidden="false" customHeight="true" outlineLevel="0" collapsed="false">
      <c r="B105" s="187"/>
      <c r="D105" s="182" t="s">
        <v>177</v>
      </c>
      <c r="E105" s="188" t="n">
        <f aca="false">IF(D17="Latch-off", "Short to Gnd", D86)</f>
        <v>0.22</v>
      </c>
      <c r="F105" s="5" t="s">
        <v>114</v>
      </c>
      <c r="G105" s="193" t="s">
        <v>52</v>
      </c>
      <c r="H105" s="193"/>
      <c r="I105" s="196" t="str">
        <f aca="false">IF(D17="Latch-off", 0, D90)</f>
        <v>Infinite</v>
      </c>
      <c r="J105" s="191"/>
      <c r="Q105" s="4"/>
      <c r="S105" s="1"/>
    </row>
    <row r="106" customFormat="false" ht="18" hidden="false" customHeight="true" outlineLevel="0" collapsed="false">
      <c r="B106" s="187"/>
      <c r="D106" s="182" t="s">
        <v>178</v>
      </c>
      <c r="E106" s="188" t="str">
        <f aca="false">D89</f>
        <v>Short to Gnd</v>
      </c>
      <c r="F106" s="5" t="s">
        <v>114</v>
      </c>
      <c r="G106" s="197"/>
      <c r="H106" s="197"/>
      <c r="I106" s="196"/>
      <c r="J106" s="191"/>
      <c r="Q106" s="4"/>
      <c r="S106" s="1"/>
    </row>
    <row r="107" customFormat="false" ht="18" hidden="false" customHeight="true" outlineLevel="0" collapsed="false">
      <c r="B107" s="187"/>
      <c r="D107" s="182"/>
      <c r="E107" s="183"/>
      <c r="F107" s="5"/>
      <c r="G107" s="198" t="s">
        <v>179</v>
      </c>
      <c r="H107" s="198"/>
      <c r="I107" s="190" t="n">
        <f aca="false">D34</f>
        <v>17.631935814683</v>
      </c>
      <c r="J107" s="14" t="s">
        <v>19</v>
      </c>
      <c r="Q107" s="4"/>
      <c r="S107" s="1"/>
    </row>
    <row r="108" s="1" customFormat="true" ht="18" hidden="false" customHeight="true" outlineLevel="0" collapsed="false">
      <c r="B108" s="199" t="s">
        <v>180</v>
      </c>
      <c r="C108" s="2" t="s">
        <v>181</v>
      </c>
      <c r="D108" s="182" t="s">
        <v>182</v>
      </c>
      <c r="E108" s="183" t="s">
        <v>183</v>
      </c>
      <c r="F108" s="5" t="s">
        <v>31</v>
      </c>
      <c r="J108" s="200"/>
      <c r="Q108" s="4"/>
      <c r="R108" s="4"/>
    </row>
    <row r="109" s="1" customFormat="true" ht="32.25" hidden="false" customHeight="true" outlineLevel="0" collapsed="false">
      <c r="B109" s="187"/>
      <c r="C109" s="2" t="s">
        <v>184</v>
      </c>
      <c r="D109" s="182" t="s">
        <v>185</v>
      </c>
      <c r="E109" s="198" t="s">
        <v>186</v>
      </c>
      <c r="F109" s="5"/>
      <c r="J109" s="200"/>
      <c r="K109" s="2"/>
      <c r="Q109" s="4"/>
      <c r="R109" s="4"/>
    </row>
    <row r="110" s="1" customFormat="true" ht="29.25" hidden="false" customHeight="true" outlineLevel="0" collapsed="false">
      <c r="B110" s="187"/>
      <c r="C110" s="5" t="s">
        <v>187</v>
      </c>
      <c r="D110" s="182" t="s">
        <v>188</v>
      </c>
      <c r="E110" s="198" t="s">
        <v>189</v>
      </c>
      <c r="F110" s="5"/>
      <c r="J110" s="200"/>
      <c r="Q110" s="4"/>
      <c r="R110" s="4"/>
    </row>
    <row r="111" customFormat="false" ht="18" hidden="false" customHeight="true" outlineLevel="0" collapsed="false">
      <c r="B111" s="201"/>
      <c r="C111" s="202"/>
      <c r="D111" s="203" t="s">
        <v>190</v>
      </c>
      <c r="E111" s="204" t="s">
        <v>191</v>
      </c>
      <c r="F111" s="205"/>
      <c r="G111" s="206"/>
      <c r="H111" s="207"/>
      <c r="I111" s="207"/>
      <c r="J111" s="208"/>
    </row>
    <row r="112" customFormat="false" ht="18" hidden="false" customHeight="true" outlineLevel="0" collapsed="false">
      <c r="E112" s="5"/>
    </row>
    <row r="113" customFormat="false" ht="18" hidden="false" customHeight="true" outlineLevel="0" collapsed="false">
      <c r="B113" s="209" t="s">
        <v>192</v>
      </c>
      <c r="D113" s="109"/>
    </row>
    <row r="114" customFormat="false" ht="18" hidden="false" customHeight="true" outlineLevel="0" collapsed="false">
      <c r="B114" s="210" t="s">
        <v>193</v>
      </c>
      <c r="D114" s="109"/>
    </row>
    <row r="115" customFormat="false" ht="18" hidden="false" customHeight="true" outlineLevel="0" collapsed="false">
      <c r="B115" s="211" t="s">
        <v>11</v>
      </c>
      <c r="C115" s="212" t="s">
        <v>12</v>
      </c>
      <c r="D115" s="213" t="s">
        <v>13</v>
      </c>
      <c r="E115" s="214" t="s">
        <v>14</v>
      </c>
      <c r="F115" s="211" t="s">
        <v>15</v>
      </c>
    </row>
    <row r="116" customFormat="false" ht="18" hidden="false" customHeight="true" outlineLevel="0" collapsed="false">
      <c r="B116" s="132" t="s">
        <v>194</v>
      </c>
      <c r="C116" s="58" t="s">
        <v>195</v>
      </c>
      <c r="D116" s="215" t="n">
        <v>30</v>
      </c>
      <c r="E116" s="29" t="s">
        <v>19</v>
      </c>
      <c r="F116" s="57"/>
    </row>
    <row r="117" customFormat="false" ht="18" hidden="false" customHeight="true" outlineLevel="0" collapsed="false">
      <c r="B117" s="132" t="s">
        <v>196</v>
      </c>
      <c r="C117" s="58" t="s">
        <v>197</v>
      </c>
      <c r="D117" s="215" t="n">
        <v>18</v>
      </c>
      <c r="E117" s="29" t="s">
        <v>37</v>
      </c>
      <c r="F117" s="57"/>
    </row>
    <row r="118" customFormat="false" ht="18" hidden="false" customHeight="true" outlineLevel="0" collapsed="false">
      <c r="B118" s="132" t="s">
        <v>198</v>
      </c>
      <c r="C118" s="58" t="s">
        <v>199</v>
      </c>
      <c r="D118" s="216" t="n">
        <v>3.2</v>
      </c>
      <c r="E118" s="29" t="s">
        <v>200</v>
      </c>
      <c r="F118" s="57"/>
    </row>
    <row r="119" customFormat="false" ht="18" hidden="false" customHeight="true" outlineLevel="0" collapsed="false">
      <c r="B119" s="132" t="s">
        <v>201</v>
      </c>
      <c r="C119" s="58" t="s">
        <v>202</v>
      </c>
      <c r="D119" s="216" t="n">
        <v>4.5</v>
      </c>
      <c r="E119" s="29" t="s">
        <v>200</v>
      </c>
      <c r="F119" s="57"/>
    </row>
    <row r="120" customFormat="false" ht="18" hidden="false" customHeight="true" outlineLevel="0" collapsed="false">
      <c r="B120" s="210" t="s">
        <v>203</v>
      </c>
      <c r="D120" s="109"/>
    </row>
    <row r="121" customFormat="false" ht="18" hidden="false" customHeight="true" outlineLevel="0" collapsed="false">
      <c r="B121" s="132" t="s">
        <v>204</v>
      </c>
      <c r="C121" s="58" t="s">
        <v>205</v>
      </c>
      <c r="D121" s="215" t="n">
        <v>150</v>
      </c>
      <c r="E121" s="217" t="s">
        <v>206</v>
      </c>
      <c r="F121" s="218"/>
    </row>
    <row r="122" customFormat="false" ht="18" hidden="false" customHeight="true" outlineLevel="0" collapsed="false">
      <c r="B122" s="132" t="s">
        <v>40</v>
      </c>
      <c r="C122" s="58" t="s">
        <v>207</v>
      </c>
      <c r="D122" s="215" t="n">
        <v>125</v>
      </c>
      <c r="E122" s="217" t="s">
        <v>206</v>
      </c>
      <c r="F122" s="218"/>
    </row>
    <row r="123" customFormat="false" ht="18" hidden="false" customHeight="true" outlineLevel="0" collapsed="false">
      <c r="B123" s="132" t="s">
        <v>208</v>
      </c>
      <c r="C123" s="58" t="s">
        <v>209</v>
      </c>
      <c r="D123" s="215" t="n">
        <v>36.7</v>
      </c>
      <c r="E123" s="217" t="s">
        <v>210</v>
      </c>
      <c r="F123" s="218"/>
    </row>
    <row r="124" customFormat="false" ht="18" hidden="false" customHeight="true" outlineLevel="0" collapsed="false">
      <c r="B124" s="132" t="s">
        <v>211</v>
      </c>
      <c r="C124" s="58" t="s">
        <v>212</v>
      </c>
      <c r="D124" s="215" t="n">
        <v>34.6</v>
      </c>
      <c r="E124" s="217" t="s">
        <v>210</v>
      </c>
      <c r="F124" s="218"/>
    </row>
    <row r="125" customFormat="false" ht="18" hidden="false" customHeight="true" outlineLevel="0" collapsed="false">
      <c r="B125" s="132" t="s">
        <v>213</v>
      </c>
      <c r="C125" s="58" t="s">
        <v>214</v>
      </c>
      <c r="D125" s="215" t="n">
        <v>1.6</v>
      </c>
      <c r="E125" s="217" t="s">
        <v>210</v>
      </c>
      <c r="F125" s="218"/>
    </row>
    <row r="126" customFormat="false" ht="18" hidden="false" customHeight="true" outlineLevel="0" collapsed="false">
      <c r="B126" s="210" t="s">
        <v>215</v>
      </c>
      <c r="D126" s="109"/>
    </row>
    <row r="127" customFormat="false" ht="18" hidden="false" customHeight="true" outlineLevel="0" collapsed="false">
      <c r="B127" s="132" t="s">
        <v>216</v>
      </c>
      <c r="C127" s="58" t="s">
        <v>217</v>
      </c>
      <c r="D127" s="216" t="n">
        <v>1.2</v>
      </c>
      <c r="E127" s="29" t="s">
        <v>19</v>
      </c>
      <c r="F127" s="57" t="n">
        <v>0.025</v>
      </c>
    </row>
    <row r="128" customFormat="false" ht="18" hidden="false" customHeight="true" outlineLevel="0" collapsed="false">
      <c r="B128" s="132" t="s">
        <v>218</v>
      </c>
      <c r="C128" s="58" t="s">
        <v>219</v>
      </c>
      <c r="D128" s="216" t="n">
        <v>1.1</v>
      </c>
      <c r="E128" s="29" t="s">
        <v>19</v>
      </c>
      <c r="F128" s="57" t="n">
        <v>0.027</v>
      </c>
    </row>
    <row r="129" customFormat="false" ht="18" hidden="false" customHeight="true" outlineLevel="0" collapsed="false">
      <c r="B129" s="132" t="s">
        <v>220</v>
      </c>
      <c r="C129" s="58" t="s">
        <v>221</v>
      </c>
      <c r="D129" s="216" t="n">
        <v>243</v>
      </c>
      <c r="E129" s="29" t="s">
        <v>222</v>
      </c>
      <c r="F129" s="57" t="n">
        <v>0.03</v>
      </c>
    </row>
    <row r="130" customFormat="false" ht="18" hidden="false" customHeight="true" outlineLevel="0" collapsed="false">
      <c r="B130" s="132" t="s">
        <v>223</v>
      </c>
      <c r="C130" s="132" t="s">
        <v>224</v>
      </c>
      <c r="D130" s="216" t="n">
        <v>4.76</v>
      </c>
      <c r="E130" s="29" t="s">
        <v>84</v>
      </c>
      <c r="F130" s="57" t="n">
        <v>0.03</v>
      </c>
    </row>
    <row r="131" s="1" customFormat="true" ht="18" hidden="false" customHeight="true" outlineLevel="0" collapsed="false">
      <c r="B131" s="210" t="s">
        <v>225</v>
      </c>
      <c r="R131" s="4"/>
      <c r="S131" s="4"/>
    </row>
    <row r="132" customFormat="false" ht="18" hidden="false" customHeight="true" outlineLevel="0" collapsed="false">
      <c r="B132" s="13" t="s">
        <v>226</v>
      </c>
      <c r="C132" s="13" t="s">
        <v>227</v>
      </c>
      <c r="D132" s="13" t="n">
        <f aca="false">(0.0663*Cdvdt_ext/3.3)*Vcc_nom+1.3153</f>
        <v>26.0271181818182</v>
      </c>
      <c r="E132" s="13" t="s">
        <v>50</v>
      </c>
      <c r="F132" s="13"/>
    </row>
    <row r="133" customFormat="false" ht="18" hidden="false" customHeight="true" outlineLevel="0" collapsed="false">
      <c r="B133" s="13" t="s">
        <v>228</v>
      </c>
      <c r="C133" s="13" t="s">
        <v>229</v>
      </c>
      <c r="D133" s="13" t="n">
        <f aca="false">D132+(Cdvdt_ext*(Vcc_nom+3.6)/D130)</f>
        <v>346.447286249045</v>
      </c>
      <c r="E133" s="13" t="s">
        <v>50</v>
      </c>
      <c r="F133" s="13"/>
    </row>
  </sheetData>
  <sheetProtection algorithmName="SHA-512" hashValue="00K4u45yFn/rU8Iq09QGD+2AhSBCMxuRrbdqOhAZXoD0tZgpbzhaF1pfETKFIJREGnTv7M2/D0r8cULWHmvRsw==" saltValue="q4Ah5XRUN6+rlCkUjqcY0w==" spinCount="100000" sheet="true" formatCells="false" formatColumns="false" formatRows="false"/>
  <protectedRanges>
    <protectedRange name="Range3" sqref="D14:D19 D21 D26 F26 D30:D31 F30:F31"/>
    <protectedRange name="UserInputs" sqref="D62 F62 D57:D58 D44 F44 D10:D13 F10 D5:D8"/>
    <protectedRange name="Range1" sqref="D49 F49 D81 F81 D86 F86 D89 F89"/>
  </protectedRanges>
  <mergeCells count="26">
    <mergeCell ref="B1:C1"/>
    <mergeCell ref="B23:F23"/>
    <mergeCell ref="B29:C29"/>
    <mergeCell ref="B41:C41"/>
    <mergeCell ref="B47:E47"/>
    <mergeCell ref="B51:C51"/>
    <mergeCell ref="B53:C53"/>
    <mergeCell ref="B68:E68"/>
    <mergeCell ref="D72:J72"/>
    <mergeCell ref="B74:E74"/>
    <mergeCell ref="B79:E79"/>
    <mergeCell ref="B84:E84"/>
    <mergeCell ref="G96:H96"/>
    <mergeCell ref="G97:H97"/>
    <mergeCell ref="G98:H98"/>
    <mergeCell ref="G99:H99"/>
    <mergeCell ref="G100:H101"/>
    <mergeCell ref="I100:I101"/>
    <mergeCell ref="J100:J101"/>
    <mergeCell ref="G102:H103"/>
    <mergeCell ref="I102:I103"/>
    <mergeCell ref="J102:J103"/>
    <mergeCell ref="G104:H104"/>
    <mergeCell ref="G105:H105"/>
    <mergeCell ref="G106:H106"/>
    <mergeCell ref="G107:H107"/>
  </mergeCells>
  <conditionalFormatting sqref="D36">
    <cfRule type="cellIs" priority="2" operator="lessThan" aboveAverage="0" equalAverage="0" bottom="0" percent="0" rank="0" text="" dxfId="0">
      <formula>1</formula>
    </cfRule>
  </conditionalFormatting>
  <conditionalFormatting sqref="D7">
    <cfRule type="cellIs" priority="3" operator="greaterThan" aboveAverage="0" equalAverage="0" bottom="0" percent="0" rank="0" text="" dxfId="1">
      <formula>26</formula>
    </cfRule>
  </conditionalFormatting>
  <conditionalFormatting sqref="I107">
    <cfRule type="expression" priority="4" aboveAverage="0" equalAverage="0" bottom="0" percent="0" rank="0" text="" dxfId="2">
      <formula>$G$21="No"</formula>
    </cfRule>
    <cfRule type="expression" priority="5" aboveAverage="0" equalAverage="0" bottom="0" percent="0" rank="0" text="" dxfId="3">
      <formula>#ref!="No"</formula>
    </cfRule>
  </conditionalFormatting>
  <conditionalFormatting sqref="D81">
    <cfRule type="cellIs" priority="6" operator="greaterThan" aboveAverage="0" equalAverage="0" bottom="0" percent="0" rank="0" text="" dxfId="4">
      <formula>$G$82</formula>
    </cfRule>
  </conditionalFormatting>
  <conditionalFormatting sqref="D21">
    <cfRule type="cellIs" priority="7" operator="greaterThan" aboveAverage="0" equalAverage="0" bottom="0" percent="0" rank="0" text="" dxfId="5">
      <formula>$D$20</formula>
    </cfRule>
  </conditionalFormatting>
  <conditionalFormatting sqref="D51:F51">
    <cfRule type="containsText" priority="8" operator="containsText" aboveAverage="0" equalAverage="0" bottom="0" percent="0" rank="0" text="Outside" dxfId="6">
      <formula>NOT(ISERROR(SEARCH("Outside",D51)))</formula>
    </cfRule>
  </conditionalFormatting>
  <conditionalFormatting sqref="D49">
    <cfRule type="cellIs" priority="9" operator="greaterThan" aboveAverage="0" equalAverage="0" bottom="0" percent="0" rank="0" text="" dxfId="7">
      <formula>$D$48</formula>
    </cfRule>
  </conditionalFormatting>
  <conditionalFormatting sqref="D64">
    <cfRule type="cellIs" priority="10" operator="equal" aboveAverage="0" equalAverage="0" bottom="0" percent="0" rank="0" text="" dxfId="8">
      <formula>1</formula>
    </cfRule>
  </conditionalFormatting>
  <conditionalFormatting sqref="D57">
    <cfRule type="cellIs" priority="11" operator="greaterThan" aboveAverage="0" equalAverage="0" bottom="0" percent="0" rank="0" text="" dxfId="9">
      <formula>$D$65</formula>
    </cfRule>
    <cfRule type="expression" priority="12" aboveAverage="0" equalAverage="0" bottom="0" percent="0" rank="0" text="" dxfId="10">
      <formula>$D$72&lt;&gt;"YES"</formula>
    </cfRule>
  </conditionalFormatting>
  <conditionalFormatting sqref="D58">
    <cfRule type="cellIs" priority="13" operator="greaterThan" aboveAverage="0" equalAverage="0" bottom="0" percent="0" rank="0" text="" dxfId="11">
      <formula>$D$45</formula>
    </cfRule>
  </conditionalFormatting>
  <conditionalFormatting sqref="D10">
    <cfRule type="expression" priority="14" aboveAverage="0" equalAverage="0" bottom="0" percent="0" rank="0" text="" dxfId="12">
      <formula>$D$72&lt;&gt;"YES"</formula>
    </cfRule>
  </conditionalFormatting>
  <conditionalFormatting sqref="D72">
    <cfRule type="cellIs" priority="15" operator="equal" aboveAverage="0" equalAverage="0" bottom="0" percent="0" rank="0" text="" dxfId="13">
      <formula>"YES"</formula>
    </cfRule>
    <cfRule type="cellIs" priority="16" operator="notEqual" aboveAverage="0" equalAverage="0" bottom="0" percent="0" rank="0" text="" dxfId="14">
      <formula>"YES"</formula>
    </cfRule>
  </conditionalFormatting>
  <conditionalFormatting sqref="D12">
    <cfRule type="cellIs" priority="17" operator="greaterThan" aboveAverage="0" equalAverage="0" bottom="0" percent="0" rank="0" text="" dxfId="15">
      <formula>18</formula>
    </cfRule>
  </conditionalFormatting>
  <conditionalFormatting sqref="D5">
    <cfRule type="cellIs" priority="18" operator="greaterThan" aboveAverage="0" equalAverage="0" bottom="0" percent="0" rank="0" text="" dxfId="16">
      <formula>$D$7</formula>
    </cfRule>
  </conditionalFormatting>
  <conditionalFormatting sqref="D11">
    <cfRule type="cellIs" priority="19" operator="lessThan" aboveAverage="0" equalAverage="0" bottom="0" percent="0" rank="0" text="" dxfId="17">
      <formula>$G$11</formula>
    </cfRule>
    <cfRule type="expression" priority="20" aboveAverage="0" equalAverage="0" bottom="0" percent="0" rank="0" text="" dxfId="18">
      <formula>$D$72&lt;&gt;"YES"</formula>
    </cfRule>
  </conditionalFormatting>
  <dataValidations count="24">
    <dataValidation allowBlank="true" error="Only values less than Ilimit_final will be accepted" errorStyle="stop" errorTitle="Error (Reenter the Value)" operator="lessThanOrEqual" prompt="Please enter a value less than Ilimit_final" promptTitle="Restriction" showDropDown="false" showErrorMessage="true" showInputMessage="true" sqref="D58" type="decimal">
      <formula1>D45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9 D14 D20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11" type="decimal">
      <formula1>G11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57" type="decimal">
      <formula1>D55</formula1>
      <formula2>0</formula2>
    </dataValidation>
    <dataValidation allowBlank="true" error="2 A &lt;= Ilimit &lt;= 18 A&#10;" errorStyle="stop" operator="between" prompt="2 A &lt;= Ilimit &lt;= 18 A" showDropDown="false" showErrorMessage="true" showInputMessage="true" sqref="D13" type="decimal">
      <formula1>2</formula1>
      <formula2>18</formula2>
    </dataValidation>
    <dataValidation allowBlank="true" error="Imax &lt;= 18A" errorStyle="stop" operator="lessThanOrEqual" prompt="Imax &lt;= 18 A" showDropDown="false" showErrorMessage="true" showInputMessage="true" sqref="D12" type="decimal">
      <formula1>18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64" type="custom">
      <formula1>K64&lt;K55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63" type="custom">
      <formula1>K63&gt;K62</formula1>
      <formula2>0</formula2>
    </dataValidation>
    <dataValidation allowBlank="true" errorStyle="stop" operator="between" prompt="Considered 20% as design margin" showDropDown="false" showErrorMessage="true" showInputMessage="true" sqref="D72" type="none">
      <formula1>0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5" type="list">
      <formula1>$AA$1:$AA$2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7" type="list">
      <formula1>$AA$3:$AA$4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9" type="list">
      <formula1>$AB$1:$AB$5</formula1>
      <formula2>0</formula2>
    </dataValidation>
    <dataValidation allowBlank="false" error="Please select a value to restrict the range to &lt;=5V; This will help to interface with Microcontrollers within the acceptable range&#10;" errorStyle="warning" errorTitle="Warning" operator="between" prompt="Please select the RIMON_sel to have range starting from 0 to Maximum value as required by logic interface connected to measure the current" promptTitle="Evaluate" showDropDown="false" showErrorMessage="true" showInputMessage="true" sqref="D50" type="custom">
      <formula1>D50&lt;5</formula1>
      <formula2>0</formula2>
    </dataValidation>
    <dataValidation allowBlank="false" error="Enter value &gt;100 for line transient immunity" errorStyle="stop" errorTitle="Error (Reenter the Value)" operator="greaterThanOrEqual" prompt="Enter value greater than 100" promptTitle="Restriction" showDropDown="false" showErrorMessage="true" showInputMessage="true" sqref="D16" type="decimal">
      <formula1>100</formula1>
      <formula2>0</formula2>
    </dataValidation>
    <dataValidation allowBlank="true" error="Minimum retry delay is 0.2 ms" errorStyle="stop" errorTitle="Error (Reenter the Value)" operator="greaterThan" prompt="Enter value &gt; 0.2" promptTitle="Restriction" showDropDown="false" showErrorMessage="true" showInputMessage="true" sqref="D18" type="decimal">
      <formula1>0.2</formula1>
      <formula2>0</formula2>
    </dataValidation>
    <dataValidation allowBlank="true" error="Please enter a value less than RIMON_max;" errorStyle="stop" errorTitle="Error (Re-Enter)" operator="between" prompt="The resistance should be less than RIMON_max" promptTitle="Restriction" showDropDown="false" showErrorMessage="false" showInputMessage="true" sqref="D49" type="custom">
      <formula1>D49&lt;D48</formula1>
      <formula2>0</formula2>
    </dataValidation>
    <dataValidation allowBlank="false" error="Please enter a value less than RIMON_max;" errorStyle="stop" errorTitle="Error (Re-Enter)" operator="between" prompt="The resistance should be less than RIMON_max" promptTitle="Restriction" showDropDown="false" showErrorMessage="false" showInputMessage="false" sqref="D86 D89" type="none">
      <formula1>0</formula1>
      <formula2>0</formula2>
    </dataValidation>
    <dataValidation allowBlank="false" error="Recommended to limit the max IMON voltage to Rec_VIMONMax to ensure linear operation of the IMON amplifier " errorStyle="information" errorTitle="Error (Reenter the Value)" operator="lessThanOrEqual" promptTitle="Restriction" showDropDown="false" showErrorMessage="true" showInputMessage="false" sqref="D21" type="decimal">
      <formula1>D20</formula1>
      <formula2>0</formula2>
    </dataValidation>
    <dataValidation allowBlank="false" error="Select Citimer less than Max_Citimer (Cell G77) for successful startup" errorStyle="stop" errorTitle="Error (Re-Enter the value)" operator="lessThanOrEqual" promptTitle="Restriction" showDropDown="false" showErrorMessage="true" showInputMessage="false" sqref="D81" type="decimal">
      <formula1>G82</formula1>
      <formula2>0</formula2>
    </dataValidation>
    <dataValidation allowBlank="false" error="VIN(operating max) must be &lt; Vovloset&#10;&#10;" errorStyle="stop" operator="lessThanOrEqual" prompt="VIN(max) must be &lt; VOVLOset" showDropDown="false" showErrorMessage="true" showInputMessage="true" sqref="D6" type="decimal">
      <formula1>D7</formula1>
      <formula2>0</formula2>
    </dataValidation>
    <dataValidation allowBlank="false" error="VIN(operating) must be &lt; Vovloset" errorStyle="stop" operator="lessThanOrEqual" prompt="VIN(nom) must be &lt; VOVLOset" showDropDown="false" showErrorMessage="true" showInputMessage="true" sqref="D5" type="decimal">
      <formula1>D7</formula1>
      <formula2>0</formula2>
    </dataValidation>
    <dataValidation allowBlank="true" error="Overvoltage threshold should be less than VIN abs max rating of 26V" errorStyle="stop" operator="lessThanOrEqual" prompt="Overvoltage threshold should be less than VIN abs max rating of 26V" showDropDown="false" showErrorMessage="true" showInputMessage="true" sqref="D7" type="decimal">
      <formula1>26</formula1>
      <formula2>0</formula2>
    </dataValidation>
    <dataValidation allowBlank="true" errorStyle="stop" operator="between" prompt="Select R1, R2 and R3 such that I_R123 is &gt; 1 uA" showDropDown="false" showErrorMessage="true" showInputMessage="true" sqref="D36" type="none">
      <formula1>0</formula1>
      <formula2>0</formula2>
    </dataValidation>
    <dataValidation allowBlank="true" error="Enter value lower than RILIM_max (Cell G40) to allow max load current without limiting." errorStyle="stop" errorTitle="Re-enter" operator="lessThanOrEqual" showDropDown="false" showErrorMessage="true" showInputMessage="false" sqref="D44" type="decimal">
      <formula1>#ref!</formula1>
      <formula2>0</formula2>
    </dataValidation>
  </dataValidations>
  <hyperlinks>
    <hyperlink ref="C11" r:id="rId2" display="Load at start-up (assumed to be resistive), Refer to Section 9.2.2.5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3" activeCellId="0" sqref="E33"/>
    </sheetView>
  </sheetViews>
  <sheetFormatPr defaultColWidth="8.6796875" defaultRowHeight="14.25" customHeight="true" zeroHeight="false" outlineLevelRow="0" outlineLevelCol="0"/>
  <sheetData>
    <row r="1" customFormat="false" ht="23.85" hidden="false" customHeight="false" outlineLevel="0" collapsed="false">
      <c r="A1" s="4" t="s">
        <v>230</v>
      </c>
      <c r="B1" s="219" t="s">
        <v>231</v>
      </c>
      <c r="C1" s="220" t="s">
        <v>232</v>
      </c>
      <c r="D1" s="221" t="s">
        <v>233</v>
      </c>
      <c r="O1" s="222"/>
      <c r="P1" s="223"/>
      <c r="Q1" s="224"/>
      <c r="R1" s="224"/>
      <c r="S1" s="224"/>
      <c r="T1" s="225"/>
      <c r="U1" s="222"/>
    </row>
    <row r="2" customFormat="false" ht="14.25" hidden="false" customHeight="false" outlineLevel="0" collapsed="false">
      <c r="A2" s="221" t="n">
        <v>5.65</v>
      </c>
      <c r="B2" s="221" t="n">
        <v>29.4</v>
      </c>
      <c r="C2" s="221" t="n">
        <v>5.95</v>
      </c>
      <c r="D2" s="221" t="n">
        <v>52.4</v>
      </c>
      <c r="O2" s="222"/>
      <c r="P2" s="224"/>
      <c r="Q2" s="224"/>
      <c r="R2" s="224"/>
      <c r="S2" s="224"/>
      <c r="T2" s="224"/>
      <c r="U2" s="222"/>
    </row>
    <row r="3" customFormat="false" ht="14.25" hidden="false" customHeight="false" outlineLevel="0" collapsed="false">
      <c r="A3" s="221" t="n">
        <v>6.06</v>
      </c>
      <c r="B3" s="221" t="n">
        <v>25.8</v>
      </c>
      <c r="C3" s="221" t="n">
        <v>6.48</v>
      </c>
      <c r="D3" s="221" t="n">
        <v>43.97</v>
      </c>
      <c r="O3" s="222"/>
      <c r="P3" s="226"/>
      <c r="Q3" s="227"/>
      <c r="R3" s="228"/>
      <c r="S3" s="228"/>
      <c r="T3" s="229"/>
      <c r="U3" s="222"/>
    </row>
    <row r="4" customFormat="false" ht="14.25" hidden="false" customHeight="false" outlineLevel="0" collapsed="false">
      <c r="A4" s="221" t="n">
        <v>6.69</v>
      </c>
      <c r="B4" s="221" t="n">
        <v>21.9</v>
      </c>
      <c r="C4" s="221" t="n">
        <v>7.34</v>
      </c>
      <c r="D4" s="221" t="n">
        <v>34.8</v>
      </c>
      <c r="O4" s="222"/>
      <c r="P4" s="226"/>
      <c r="Q4" s="230"/>
      <c r="R4" s="225"/>
      <c r="S4" s="229"/>
      <c r="T4" s="229"/>
      <c r="U4" s="222"/>
    </row>
    <row r="5" customFormat="false" ht="14.25" hidden="false" customHeight="false" outlineLevel="0" collapsed="false">
      <c r="A5" s="221" t="n">
        <v>7.2</v>
      </c>
      <c r="B5" s="221" t="n">
        <v>18.7</v>
      </c>
      <c r="C5" s="221" t="n">
        <v>8.019</v>
      </c>
      <c r="D5" s="221" t="n">
        <v>29.16</v>
      </c>
      <c r="O5" s="222"/>
      <c r="P5" s="226"/>
      <c r="Q5" s="230"/>
      <c r="R5" s="225"/>
      <c r="S5" s="229"/>
      <c r="T5" s="229"/>
      <c r="U5" s="222"/>
    </row>
    <row r="6" customFormat="false" ht="14.25" hidden="false" customHeight="false" outlineLevel="0" collapsed="false">
      <c r="A6" s="221" t="n">
        <v>7.984</v>
      </c>
      <c r="B6" s="221" t="n">
        <v>15.8</v>
      </c>
      <c r="C6" s="221" t="n">
        <v>8.579</v>
      </c>
      <c r="D6" s="221" t="n">
        <v>26</v>
      </c>
      <c r="O6" s="222"/>
      <c r="P6" s="226"/>
      <c r="Q6" s="230"/>
      <c r="R6" s="230"/>
      <c r="S6" s="229"/>
      <c r="T6" s="229"/>
      <c r="U6" s="222"/>
    </row>
    <row r="7" customFormat="false" ht="14.25" hidden="false" customHeight="false" outlineLevel="0" collapsed="false">
      <c r="A7" s="221" t="n">
        <v>8.923</v>
      </c>
      <c r="B7" s="221" t="n">
        <v>12.983</v>
      </c>
      <c r="C7" s="221" t="n">
        <v>9.28</v>
      </c>
      <c r="D7" s="221" t="n">
        <v>22.77</v>
      </c>
      <c r="O7" s="222"/>
      <c r="P7" s="225"/>
      <c r="Q7" s="229"/>
      <c r="R7" s="230"/>
      <c r="S7" s="229"/>
      <c r="T7" s="229"/>
      <c r="U7" s="222"/>
    </row>
    <row r="8" customFormat="false" ht="14.25" hidden="false" customHeight="false" outlineLevel="0" collapsed="false">
      <c r="A8" s="221" t="n">
        <v>9.5</v>
      </c>
      <c r="B8" s="221" t="n">
        <v>11.64</v>
      </c>
      <c r="C8" s="221" t="n">
        <v>10</v>
      </c>
      <c r="D8" s="221" t="n">
        <v>20.01</v>
      </c>
      <c r="O8" s="222"/>
      <c r="P8" s="225"/>
      <c r="Q8" s="229"/>
      <c r="R8" s="230"/>
      <c r="S8" s="229"/>
      <c r="T8" s="229"/>
      <c r="U8" s="222"/>
    </row>
    <row r="9" customFormat="false" ht="14.25" hidden="false" customHeight="false" outlineLevel="0" collapsed="false">
      <c r="A9" s="221" t="n">
        <v>10.16</v>
      </c>
      <c r="B9" s="221" t="n">
        <v>10.45</v>
      </c>
      <c r="C9" s="221" t="n">
        <v>10.64</v>
      </c>
      <c r="D9" s="221" t="n">
        <v>17.76</v>
      </c>
      <c r="O9" s="222"/>
      <c r="P9" s="225"/>
      <c r="Q9" s="229"/>
      <c r="R9" s="230"/>
      <c r="S9" s="229"/>
      <c r="T9" s="229"/>
      <c r="U9" s="222"/>
    </row>
    <row r="10" customFormat="false" ht="14.25" hidden="false" customHeight="false" outlineLevel="0" collapsed="false">
      <c r="A10" s="221" t="n">
        <v>12.9</v>
      </c>
      <c r="B10" s="221" t="n">
        <v>6.76</v>
      </c>
      <c r="C10" s="221" t="n">
        <v>11.63</v>
      </c>
      <c r="D10" s="221" t="n">
        <v>15.5</v>
      </c>
      <c r="O10" s="222"/>
      <c r="P10" s="225"/>
      <c r="Q10" s="229"/>
      <c r="R10" s="230"/>
      <c r="S10" s="229"/>
      <c r="T10" s="229"/>
      <c r="U10" s="222"/>
    </row>
    <row r="11" customFormat="false" ht="14.25" hidden="false" customHeight="false" outlineLevel="0" collapsed="false">
      <c r="A11" s="221" t="n">
        <v>16.58</v>
      </c>
      <c r="B11" s="221" t="n">
        <v>4.28</v>
      </c>
      <c r="C11" s="221" t="n">
        <v>28.8</v>
      </c>
      <c r="D11" s="221" t="n">
        <v>2.134</v>
      </c>
      <c r="O11" s="222"/>
      <c r="P11" s="225"/>
      <c r="Q11" s="229"/>
      <c r="R11" s="230"/>
      <c r="S11" s="229"/>
      <c r="T11" s="229"/>
      <c r="U11" s="222"/>
    </row>
    <row r="12" customFormat="false" ht="14.25" hidden="false" customHeight="false" outlineLevel="0" collapsed="false">
      <c r="A12" s="221" t="n">
        <v>20.17</v>
      </c>
      <c r="B12" s="221" t="n">
        <v>2.85</v>
      </c>
      <c r="C12" s="221" t="n">
        <v>30.3</v>
      </c>
      <c r="D12" s="221" t="n">
        <v>1.87</v>
      </c>
      <c r="O12" s="222"/>
      <c r="P12" s="225"/>
      <c r="Q12" s="229"/>
      <c r="R12" s="230"/>
      <c r="S12" s="229"/>
      <c r="T12" s="229"/>
      <c r="U12" s="222"/>
    </row>
    <row r="13" customFormat="false" ht="14.25" hidden="false" customHeight="false" outlineLevel="0" collapsed="false">
      <c r="A13" s="221" t="n">
        <v>23.5</v>
      </c>
      <c r="B13" s="221" t="n">
        <v>2.175</v>
      </c>
      <c r="C13" s="221" t="n">
        <v>31.67</v>
      </c>
      <c r="D13" s="221" t="n">
        <v>1.67</v>
      </c>
      <c r="O13" s="222"/>
      <c r="P13" s="225"/>
      <c r="Q13" s="229"/>
      <c r="R13" s="230"/>
      <c r="S13" s="229"/>
      <c r="T13" s="229"/>
      <c r="U13" s="222"/>
    </row>
    <row r="14" customFormat="false" ht="14.25" hidden="false" customHeight="false" outlineLevel="0" collapsed="false">
      <c r="A14" s="221" t="n">
        <v>28</v>
      </c>
      <c r="B14" s="221" t="n">
        <v>1.22</v>
      </c>
      <c r="C14" s="221" t="n">
        <v>35.5</v>
      </c>
      <c r="D14" s="221" t="n">
        <v>1.44</v>
      </c>
      <c r="O14" s="222"/>
      <c r="P14" s="225"/>
      <c r="Q14" s="229"/>
      <c r="R14" s="230"/>
      <c r="S14" s="229"/>
      <c r="T14" s="229"/>
      <c r="U14" s="222"/>
    </row>
    <row r="15" customFormat="false" ht="14.25" hidden="false" customHeight="false" outlineLevel="0" collapsed="false">
      <c r="A15" s="221" t="n">
        <v>30.8</v>
      </c>
      <c r="B15" s="221" t="n">
        <v>1.08</v>
      </c>
      <c r="C15" s="221" t="n">
        <v>36.2</v>
      </c>
      <c r="D15" s="221" t="n">
        <v>1.42</v>
      </c>
      <c r="O15" s="222"/>
      <c r="P15" s="225"/>
      <c r="Q15" s="229"/>
      <c r="R15" s="230"/>
      <c r="S15" s="229"/>
      <c r="T15" s="229"/>
      <c r="U15" s="222"/>
    </row>
    <row r="16" customFormat="false" ht="14.25" hidden="false" customHeight="false" outlineLevel="0" collapsed="false">
      <c r="A16" s="221" t="n">
        <v>34.22</v>
      </c>
      <c r="B16" s="221" t="n">
        <v>0.98</v>
      </c>
      <c r="C16" s="221" t="n">
        <v>36.65</v>
      </c>
      <c r="D16" s="221" t="n">
        <v>1.329</v>
      </c>
      <c r="O16" s="222"/>
      <c r="P16" s="225"/>
      <c r="Q16" s="229"/>
      <c r="R16" s="230"/>
      <c r="S16" s="229"/>
      <c r="T16" s="229"/>
      <c r="U16" s="222"/>
    </row>
    <row r="17" customFormat="false" ht="14.25" hidden="false" customHeight="false" outlineLevel="0" collapsed="false">
      <c r="A17" s="221" t="n">
        <v>40.5</v>
      </c>
      <c r="B17" s="221" t="n">
        <v>0.806</v>
      </c>
      <c r="C17" s="221" t="n">
        <v>42.92</v>
      </c>
      <c r="D17" s="221" t="n">
        <v>1.147</v>
      </c>
      <c r="O17" s="222"/>
      <c r="P17" s="225"/>
      <c r="Q17" s="229"/>
      <c r="R17" s="230"/>
      <c r="S17" s="229"/>
      <c r="T17" s="229"/>
      <c r="U17" s="222"/>
    </row>
    <row r="18" customFormat="false" ht="14.25" hidden="false" customHeight="false" outlineLevel="0" collapsed="false">
      <c r="A18" s="221" t="n">
        <v>42.7</v>
      </c>
      <c r="B18" s="221" t="n">
        <v>0.796</v>
      </c>
      <c r="C18" s="221" t="n">
        <v>44</v>
      </c>
      <c r="D18" s="221" t="n">
        <v>1.1</v>
      </c>
      <c r="O18" s="222"/>
      <c r="P18" s="225"/>
      <c r="Q18" s="229"/>
      <c r="R18" s="230"/>
      <c r="S18" s="229"/>
      <c r="T18" s="229"/>
      <c r="U18" s="222"/>
    </row>
    <row r="19" customFormat="false" ht="14.25" hidden="false" customHeight="false" outlineLevel="0" collapsed="false">
      <c r="A19" s="221" t="n">
        <v>47.9</v>
      </c>
      <c r="B19" s="221" t="n">
        <v>0.73</v>
      </c>
      <c r="C19" s="221" t="n">
        <v>45.7</v>
      </c>
      <c r="D19" s="221" t="n">
        <v>1.06</v>
      </c>
      <c r="O19" s="222"/>
      <c r="P19" s="225"/>
      <c r="Q19" s="229"/>
      <c r="R19" s="230"/>
      <c r="S19" s="229"/>
      <c r="T19" s="229"/>
      <c r="U19" s="222"/>
    </row>
    <row r="20" customFormat="false" ht="14.25" hidden="false" customHeight="false" outlineLevel="0" collapsed="false">
      <c r="A20" s="221" t="n">
        <v>52.6</v>
      </c>
      <c r="B20" s="221" t="n">
        <v>0.685</v>
      </c>
      <c r="C20" s="221" t="n">
        <v>52.24</v>
      </c>
      <c r="D20" s="221" t="n">
        <v>0.941</v>
      </c>
      <c r="O20" s="222"/>
      <c r="P20" s="225"/>
      <c r="Q20" s="229"/>
      <c r="R20" s="230"/>
      <c r="S20" s="229"/>
      <c r="T20" s="229"/>
      <c r="U20" s="222"/>
    </row>
    <row r="21" customFormat="false" ht="14.25" hidden="false" customHeight="false" outlineLevel="0" collapsed="false">
      <c r="A21" s="221" t="n">
        <v>57.8</v>
      </c>
      <c r="B21" s="221" t="n">
        <v>0.652</v>
      </c>
      <c r="C21" s="221" t="n">
        <v>54.54</v>
      </c>
      <c r="D21" s="221" t="n">
        <v>0.9</v>
      </c>
      <c r="O21" s="222"/>
      <c r="P21" s="225"/>
      <c r="Q21" s="229"/>
      <c r="R21" s="230"/>
      <c r="S21" s="229"/>
      <c r="T21" s="229"/>
      <c r="U21" s="222"/>
    </row>
    <row r="22" customFormat="false" ht="14.25" hidden="false" customHeight="false" outlineLevel="0" collapsed="false">
      <c r="A22" s="221" t="n">
        <v>59.57</v>
      </c>
      <c r="B22" s="221" t="n">
        <v>0.65</v>
      </c>
      <c r="C22" s="219"/>
      <c r="D22" s="219"/>
      <c r="O22" s="222"/>
      <c r="P22" s="225"/>
      <c r="Q22" s="229"/>
      <c r="R22" s="230"/>
      <c r="S22" s="229"/>
      <c r="T22" s="229"/>
      <c r="U22" s="222"/>
    </row>
    <row r="23" customFormat="false" ht="14.25" hidden="false" customHeight="false" outlineLevel="0" collapsed="false">
      <c r="A23" s="221" t="n">
        <v>71</v>
      </c>
      <c r="B23" s="221" t="n">
        <v>0.552</v>
      </c>
      <c r="C23" s="219"/>
      <c r="D23" s="219"/>
      <c r="O23" s="222"/>
      <c r="P23" s="225"/>
      <c r="Q23" s="229"/>
      <c r="R23" s="230"/>
      <c r="S23" s="229"/>
      <c r="T23" s="229"/>
      <c r="U23" s="222"/>
    </row>
    <row r="24" customFormat="false" ht="14.25" hidden="false" customHeight="false" outlineLevel="0" collapsed="false">
      <c r="A24" s="221" t="n">
        <v>72.18</v>
      </c>
      <c r="B24" s="221" t="n">
        <v>0.551</v>
      </c>
      <c r="C24" s="219"/>
      <c r="D24" s="219"/>
      <c r="O24" s="222"/>
      <c r="P24" s="225"/>
      <c r="Q24" s="229"/>
      <c r="R24" s="230"/>
      <c r="S24" s="229"/>
      <c r="T24" s="229"/>
      <c r="U24" s="222"/>
    </row>
    <row r="25" customFormat="false" ht="14.25" hidden="false" customHeight="false" outlineLevel="0" collapsed="false">
      <c r="O25" s="222"/>
      <c r="P25" s="225"/>
      <c r="Q25" s="229"/>
      <c r="R25" s="230"/>
      <c r="S25" s="229"/>
      <c r="T25" s="229"/>
      <c r="U25" s="22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4" topLeftCell="A5" activePane="bottomLeft" state="frozen"/>
      <selection pane="topLeft" activeCell="E1" activeCellId="0" sqref="E1"/>
      <selection pane="bottomLeft" activeCell="F12" activeCellId="0" sqref="F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1" style="221" width="18.67"/>
    <col collapsed="false" customWidth="true" hidden="false" outlineLevel="0" max="262" min="257" style="221" width="18.67"/>
    <col collapsed="false" customWidth="true" hidden="false" outlineLevel="0" max="518" min="513" style="221" width="18.67"/>
    <col collapsed="false" customWidth="true" hidden="false" outlineLevel="0" max="774" min="769" style="221" width="18.67"/>
    <col collapsed="false" customWidth="true" hidden="false" outlineLevel="0" max="1030" min="1025" style="221" width="18.67"/>
    <col collapsed="false" customWidth="true" hidden="false" outlineLevel="0" max="1286" min="1281" style="221" width="18.67"/>
    <col collapsed="false" customWidth="true" hidden="false" outlineLevel="0" max="1542" min="1537" style="221" width="18.67"/>
    <col collapsed="false" customWidth="true" hidden="false" outlineLevel="0" max="1798" min="1793" style="221" width="18.67"/>
    <col collapsed="false" customWidth="true" hidden="false" outlineLevel="0" max="2054" min="2049" style="221" width="18.67"/>
    <col collapsed="false" customWidth="true" hidden="false" outlineLevel="0" max="2310" min="2305" style="221" width="18.67"/>
    <col collapsed="false" customWidth="true" hidden="false" outlineLevel="0" max="2566" min="2561" style="221" width="18.67"/>
    <col collapsed="false" customWidth="true" hidden="false" outlineLevel="0" max="2822" min="2817" style="221" width="18.67"/>
    <col collapsed="false" customWidth="true" hidden="false" outlineLevel="0" max="3078" min="3073" style="221" width="18.67"/>
    <col collapsed="false" customWidth="true" hidden="false" outlineLevel="0" max="3334" min="3329" style="221" width="18.67"/>
    <col collapsed="false" customWidth="true" hidden="false" outlineLevel="0" max="3590" min="3585" style="221" width="18.67"/>
    <col collapsed="false" customWidth="true" hidden="false" outlineLevel="0" max="3846" min="3841" style="221" width="18.67"/>
    <col collapsed="false" customWidth="true" hidden="false" outlineLevel="0" max="4102" min="4097" style="221" width="18.67"/>
    <col collapsed="false" customWidth="true" hidden="false" outlineLevel="0" max="4358" min="4353" style="221" width="18.67"/>
    <col collapsed="false" customWidth="true" hidden="false" outlineLevel="0" max="4614" min="4609" style="221" width="18.67"/>
    <col collapsed="false" customWidth="true" hidden="false" outlineLevel="0" max="4870" min="4865" style="221" width="18.67"/>
    <col collapsed="false" customWidth="true" hidden="false" outlineLevel="0" max="5126" min="5121" style="221" width="18.67"/>
    <col collapsed="false" customWidth="true" hidden="false" outlineLevel="0" max="5382" min="5377" style="221" width="18.67"/>
    <col collapsed="false" customWidth="true" hidden="false" outlineLevel="0" max="5638" min="5633" style="221" width="18.67"/>
    <col collapsed="false" customWidth="true" hidden="false" outlineLevel="0" max="5894" min="5889" style="221" width="18.67"/>
    <col collapsed="false" customWidth="true" hidden="false" outlineLevel="0" max="6150" min="6145" style="221" width="18.67"/>
    <col collapsed="false" customWidth="true" hidden="false" outlineLevel="0" max="6406" min="6401" style="221" width="18.67"/>
    <col collapsed="false" customWidth="true" hidden="false" outlineLevel="0" max="6662" min="6657" style="221" width="18.67"/>
    <col collapsed="false" customWidth="true" hidden="false" outlineLevel="0" max="6918" min="6913" style="221" width="18.67"/>
    <col collapsed="false" customWidth="true" hidden="false" outlineLevel="0" max="7174" min="7169" style="221" width="18.67"/>
    <col collapsed="false" customWidth="true" hidden="false" outlineLevel="0" max="7430" min="7425" style="221" width="18.67"/>
    <col collapsed="false" customWidth="true" hidden="false" outlineLevel="0" max="7686" min="7681" style="221" width="18.67"/>
    <col collapsed="false" customWidth="true" hidden="false" outlineLevel="0" max="7942" min="7937" style="221" width="18.67"/>
    <col collapsed="false" customWidth="true" hidden="false" outlineLevel="0" max="8198" min="8193" style="221" width="18.67"/>
    <col collapsed="false" customWidth="true" hidden="false" outlineLevel="0" max="8454" min="8449" style="221" width="18.67"/>
    <col collapsed="false" customWidth="true" hidden="false" outlineLevel="0" max="8710" min="8705" style="221" width="18.67"/>
    <col collapsed="false" customWidth="true" hidden="false" outlineLevel="0" max="8966" min="8961" style="221" width="18.67"/>
    <col collapsed="false" customWidth="true" hidden="false" outlineLevel="0" max="9222" min="9217" style="221" width="18.67"/>
    <col collapsed="false" customWidth="true" hidden="false" outlineLevel="0" max="9478" min="9473" style="221" width="18.67"/>
    <col collapsed="false" customWidth="true" hidden="false" outlineLevel="0" max="9734" min="9729" style="221" width="18.67"/>
    <col collapsed="false" customWidth="true" hidden="false" outlineLevel="0" max="9990" min="9985" style="221" width="18.67"/>
    <col collapsed="false" customWidth="true" hidden="false" outlineLevel="0" max="10246" min="10241" style="221" width="18.67"/>
    <col collapsed="false" customWidth="true" hidden="false" outlineLevel="0" max="10502" min="10497" style="221" width="18.67"/>
    <col collapsed="false" customWidth="true" hidden="false" outlineLevel="0" max="10758" min="10753" style="221" width="18.67"/>
    <col collapsed="false" customWidth="true" hidden="false" outlineLevel="0" max="11014" min="11009" style="221" width="18.67"/>
    <col collapsed="false" customWidth="true" hidden="false" outlineLevel="0" max="11270" min="11265" style="221" width="18.67"/>
    <col collapsed="false" customWidth="true" hidden="false" outlineLevel="0" max="11526" min="11521" style="221" width="18.67"/>
    <col collapsed="false" customWidth="true" hidden="false" outlineLevel="0" max="11782" min="11777" style="221" width="18.67"/>
    <col collapsed="false" customWidth="true" hidden="false" outlineLevel="0" max="12038" min="12033" style="221" width="18.67"/>
    <col collapsed="false" customWidth="true" hidden="false" outlineLevel="0" max="12294" min="12289" style="221" width="18.67"/>
    <col collapsed="false" customWidth="true" hidden="false" outlineLevel="0" max="12550" min="12545" style="221" width="18.67"/>
    <col collapsed="false" customWidth="true" hidden="false" outlineLevel="0" max="12806" min="12801" style="221" width="18.67"/>
    <col collapsed="false" customWidth="true" hidden="false" outlineLevel="0" max="13062" min="13057" style="221" width="18.67"/>
    <col collapsed="false" customWidth="true" hidden="false" outlineLevel="0" max="13318" min="13313" style="221" width="18.67"/>
    <col collapsed="false" customWidth="true" hidden="false" outlineLevel="0" max="13574" min="13569" style="221" width="18.67"/>
    <col collapsed="false" customWidth="true" hidden="false" outlineLevel="0" max="13830" min="13825" style="221" width="18.67"/>
    <col collapsed="false" customWidth="true" hidden="false" outlineLevel="0" max="14086" min="14081" style="221" width="18.67"/>
    <col collapsed="false" customWidth="true" hidden="false" outlineLevel="0" max="14342" min="14337" style="221" width="18.67"/>
    <col collapsed="false" customWidth="true" hidden="false" outlineLevel="0" max="14598" min="14593" style="221" width="18.67"/>
    <col collapsed="false" customWidth="true" hidden="false" outlineLevel="0" max="14854" min="14849" style="221" width="18.67"/>
    <col collapsed="false" customWidth="true" hidden="false" outlineLevel="0" max="15110" min="15105" style="221" width="18.67"/>
    <col collapsed="false" customWidth="true" hidden="false" outlineLevel="0" max="15366" min="15361" style="221" width="18.67"/>
    <col collapsed="false" customWidth="true" hidden="false" outlineLevel="0" max="15622" min="15617" style="221" width="18.67"/>
    <col collapsed="false" customWidth="true" hidden="false" outlineLevel="0" max="15878" min="15873" style="221" width="18.67"/>
    <col collapsed="false" customWidth="true" hidden="false" outlineLevel="0" max="16134" min="16129" style="221" width="18.67"/>
  </cols>
  <sheetData>
    <row r="1" customFormat="false" ht="19.7" hidden="false" customHeight="false" outlineLevel="0" collapsed="false">
      <c r="A1" s="231" t="s">
        <v>234</v>
      </c>
      <c r="B1" s="231"/>
      <c r="C1" s="231"/>
      <c r="D1" s="231"/>
      <c r="E1" s="231"/>
      <c r="F1" s="231"/>
    </row>
    <row r="3" customFormat="false" ht="14.25" hidden="false" customHeight="false" outlineLevel="0" collapsed="false">
      <c r="A3" s="232" t="n">
        <v>0.2</v>
      </c>
      <c r="B3" s="232" t="n">
        <v>0.1</v>
      </c>
      <c r="C3" s="232" t="n">
        <v>0.05</v>
      </c>
      <c r="D3" s="232" t="n">
        <v>0.02</v>
      </c>
      <c r="E3" s="232" t="n">
        <v>0.01</v>
      </c>
      <c r="F3" s="62" t="s">
        <v>235</v>
      </c>
    </row>
    <row r="4" customFormat="false" ht="14.25" hidden="false" customHeight="false" outlineLevel="0" collapsed="false">
      <c r="A4" s="233" t="s">
        <v>236</v>
      </c>
      <c r="B4" s="233" t="s">
        <v>237</v>
      </c>
      <c r="C4" s="233" t="s">
        <v>238</v>
      </c>
      <c r="D4" s="233" t="s">
        <v>239</v>
      </c>
      <c r="E4" s="233" t="s">
        <v>240</v>
      </c>
      <c r="F4" s="233" t="s">
        <v>241</v>
      </c>
    </row>
    <row r="5" customFormat="false" ht="14.25" hidden="false" customHeight="false" outlineLevel="0" collapsed="false">
      <c r="A5" s="234" t="n">
        <v>100</v>
      </c>
      <c r="B5" s="235" t="n">
        <v>100</v>
      </c>
      <c r="C5" s="236" t="n">
        <v>100</v>
      </c>
      <c r="D5" s="237" t="n">
        <v>100</v>
      </c>
      <c r="E5" s="238" t="n">
        <v>100</v>
      </c>
      <c r="F5" s="239" t="n">
        <v>100</v>
      </c>
    </row>
    <row r="6" customFormat="false" ht="14.25" hidden="false" customHeight="false" outlineLevel="0" collapsed="false">
      <c r="A6" s="234"/>
      <c r="B6" s="235"/>
      <c r="C6" s="236"/>
      <c r="D6" s="237"/>
      <c r="E6" s="238"/>
      <c r="F6" s="239" t="n">
        <v>101</v>
      </c>
    </row>
    <row r="7" customFormat="false" ht="14.25" hidden="false" customHeight="false" outlineLevel="0" collapsed="false">
      <c r="A7" s="234"/>
      <c r="B7" s="235"/>
      <c r="C7" s="236"/>
      <c r="D7" s="237"/>
      <c r="E7" s="238" t="n">
        <v>102</v>
      </c>
      <c r="F7" s="239" t="n">
        <v>102</v>
      </c>
    </row>
    <row r="8" customFormat="false" ht="14.25" hidden="false" customHeight="false" outlineLevel="0" collapsed="false">
      <c r="A8" s="234"/>
      <c r="B8" s="235"/>
      <c r="C8" s="236"/>
      <c r="D8" s="237"/>
      <c r="E8" s="238"/>
      <c r="F8" s="239" t="n">
        <v>104</v>
      </c>
    </row>
    <row r="9" customFormat="false" ht="14.25" hidden="false" customHeight="false" outlineLevel="0" collapsed="false">
      <c r="A9" s="234"/>
      <c r="B9" s="235"/>
      <c r="C9" s="236"/>
      <c r="D9" s="237" t="n">
        <v>105</v>
      </c>
      <c r="E9" s="238" t="n">
        <v>105</v>
      </c>
      <c r="F9" s="239" t="n">
        <v>105</v>
      </c>
    </row>
    <row r="10" customFormat="false" ht="14.25" hidden="false" customHeight="false" outlineLevel="0" collapsed="false">
      <c r="A10" s="234"/>
      <c r="B10" s="235"/>
      <c r="C10" s="236"/>
      <c r="D10" s="237"/>
      <c r="E10" s="238"/>
      <c r="F10" s="239" t="n">
        <v>106</v>
      </c>
      <c r="I10" s="155"/>
    </row>
    <row r="11" customFormat="false" ht="14.25" hidden="false" customHeight="false" outlineLevel="0" collapsed="false">
      <c r="A11" s="234"/>
      <c r="B11" s="235"/>
      <c r="C11" s="236"/>
      <c r="D11" s="237"/>
      <c r="E11" s="238" t="n">
        <v>107</v>
      </c>
      <c r="F11" s="239" t="n">
        <v>107</v>
      </c>
    </row>
    <row r="12" customFormat="false" ht="14.25" hidden="false" customHeight="false" outlineLevel="0" collapsed="false">
      <c r="A12" s="234"/>
      <c r="B12" s="235"/>
      <c r="C12" s="236"/>
      <c r="D12" s="237"/>
      <c r="E12" s="238"/>
      <c r="F12" s="239" t="n">
        <v>109</v>
      </c>
    </row>
    <row r="13" customFormat="false" ht="14.25" hidden="false" customHeight="false" outlineLevel="0" collapsed="false">
      <c r="A13" s="234"/>
      <c r="B13" s="235"/>
      <c r="C13" s="236" t="n">
        <v>110</v>
      </c>
      <c r="D13" s="237" t="n">
        <v>110</v>
      </c>
      <c r="E13" s="238" t="n">
        <v>110</v>
      </c>
      <c r="F13" s="239" t="n">
        <v>110</v>
      </c>
    </row>
    <row r="14" customFormat="false" ht="14.25" hidden="false" customHeight="false" outlineLevel="0" collapsed="false">
      <c r="A14" s="234"/>
      <c r="B14" s="235"/>
      <c r="C14" s="236"/>
      <c r="D14" s="237"/>
      <c r="E14" s="238"/>
      <c r="F14" s="239" t="n">
        <v>111</v>
      </c>
    </row>
    <row r="15" customFormat="false" ht="14.25" hidden="false" customHeight="false" outlineLevel="0" collapsed="false">
      <c r="A15" s="234"/>
      <c r="B15" s="235"/>
      <c r="C15" s="236"/>
      <c r="D15" s="237"/>
      <c r="E15" s="238" t="n">
        <v>113</v>
      </c>
      <c r="F15" s="239" t="n">
        <v>113</v>
      </c>
    </row>
    <row r="16" customFormat="false" ht="14.25" hidden="false" customHeight="false" outlineLevel="0" collapsed="false">
      <c r="A16" s="234"/>
      <c r="B16" s="235"/>
      <c r="C16" s="236"/>
      <c r="D16" s="237"/>
      <c r="E16" s="238"/>
      <c r="F16" s="239" t="n">
        <v>114</v>
      </c>
    </row>
    <row r="17" customFormat="false" ht="14.25" hidden="false" customHeight="false" outlineLevel="0" collapsed="false">
      <c r="A17" s="234"/>
      <c r="B17" s="235"/>
      <c r="C17" s="236"/>
      <c r="D17" s="237" t="n">
        <v>115</v>
      </c>
      <c r="E17" s="238" t="n">
        <v>115</v>
      </c>
      <c r="F17" s="239" t="n">
        <v>115</v>
      </c>
    </row>
    <row r="18" customFormat="false" ht="14.25" hidden="false" customHeight="false" outlineLevel="0" collapsed="false">
      <c r="A18" s="234"/>
      <c r="B18" s="235"/>
      <c r="C18" s="236"/>
      <c r="D18" s="237"/>
      <c r="E18" s="238"/>
      <c r="F18" s="239" t="n">
        <v>117</v>
      </c>
    </row>
    <row r="19" customFormat="false" ht="14.25" hidden="false" customHeight="false" outlineLevel="0" collapsed="false">
      <c r="A19" s="234"/>
      <c r="B19" s="235"/>
      <c r="C19" s="236"/>
      <c r="D19" s="237"/>
      <c r="E19" s="238" t="n">
        <v>118</v>
      </c>
      <c r="F19" s="239" t="n">
        <v>118</v>
      </c>
    </row>
    <row r="20" customFormat="false" ht="14.25" hidden="false" customHeight="false" outlineLevel="0" collapsed="false">
      <c r="A20" s="234"/>
      <c r="B20" s="235"/>
      <c r="C20" s="236"/>
      <c r="D20" s="237"/>
      <c r="E20" s="238"/>
      <c r="F20" s="239" t="n">
        <v>120</v>
      </c>
    </row>
    <row r="21" customFormat="false" ht="14.25" hidden="false" customHeight="false" outlineLevel="0" collapsed="false">
      <c r="A21" s="234"/>
      <c r="B21" s="235" t="n">
        <v>120</v>
      </c>
      <c r="C21" s="236" t="n">
        <v>120</v>
      </c>
      <c r="D21" s="237" t="n">
        <v>121</v>
      </c>
      <c r="E21" s="238" t="n">
        <v>121</v>
      </c>
      <c r="F21" s="239" t="n">
        <v>121</v>
      </c>
    </row>
    <row r="22" customFormat="false" ht="14.25" hidden="false" customHeight="false" outlineLevel="0" collapsed="false">
      <c r="A22" s="234"/>
      <c r="B22" s="235"/>
      <c r="C22" s="236"/>
      <c r="D22" s="237"/>
      <c r="E22" s="238"/>
      <c r="F22" s="239" t="n">
        <v>123</v>
      </c>
    </row>
    <row r="23" customFormat="false" ht="14.25" hidden="false" customHeight="false" outlineLevel="0" collapsed="false">
      <c r="A23" s="234"/>
      <c r="B23" s="235"/>
      <c r="C23" s="236"/>
      <c r="D23" s="237"/>
      <c r="E23" s="238" t="n">
        <v>124</v>
      </c>
      <c r="F23" s="239" t="n">
        <v>124</v>
      </c>
    </row>
    <row r="24" customFormat="false" ht="14.25" hidden="false" customHeight="false" outlineLevel="0" collapsed="false">
      <c r="A24" s="234"/>
      <c r="B24" s="235"/>
      <c r="C24" s="236"/>
      <c r="D24" s="237"/>
      <c r="E24" s="238"/>
      <c r="F24" s="239" t="n">
        <v>126</v>
      </c>
    </row>
    <row r="25" customFormat="false" ht="14.25" hidden="false" customHeight="false" outlineLevel="0" collapsed="false">
      <c r="A25" s="234"/>
      <c r="B25" s="235"/>
      <c r="C25" s="236"/>
      <c r="D25" s="237" t="n">
        <v>127</v>
      </c>
      <c r="E25" s="238" t="n">
        <v>127</v>
      </c>
      <c r="F25" s="239" t="n">
        <v>127</v>
      </c>
    </row>
    <row r="26" customFormat="false" ht="14.25" hidden="false" customHeight="false" outlineLevel="0" collapsed="false">
      <c r="A26" s="234"/>
      <c r="B26" s="235"/>
      <c r="C26" s="236"/>
      <c r="D26" s="237"/>
      <c r="E26" s="238"/>
      <c r="F26" s="239" t="n">
        <v>129</v>
      </c>
    </row>
    <row r="27" customFormat="false" ht="14.25" hidden="false" customHeight="false" outlineLevel="0" collapsed="false">
      <c r="A27" s="234"/>
      <c r="B27" s="235"/>
      <c r="C27" s="236"/>
      <c r="D27" s="237"/>
      <c r="E27" s="238" t="n">
        <v>130</v>
      </c>
      <c r="F27" s="239" t="n">
        <v>130</v>
      </c>
    </row>
    <row r="28" customFormat="false" ht="14.25" hidden="false" customHeight="false" outlineLevel="0" collapsed="false">
      <c r="A28" s="234"/>
      <c r="B28" s="235"/>
      <c r="C28" s="236"/>
      <c r="D28" s="237"/>
      <c r="E28" s="238"/>
      <c r="F28" s="239" t="n">
        <v>132</v>
      </c>
    </row>
    <row r="29" customFormat="false" ht="14.25" hidden="false" customHeight="false" outlineLevel="0" collapsed="false">
      <c r="A29" s="234"/>
      <c r="B29" s="235"/>
      <c r="C29" s="236" t="n">
        <v>130</v>
      </c>
      <c r="D29" s="237" t="n">
        <v>133</v>
      </c>
      <c r="E29" s="238" t="n">
        <v>133</v>
      </c>
      <c r="F29" s="239" t="n">
        <v>133</v>
      </c>
    </row>
    <row r="30" customFormat="false" ht="14.25" hidden="false" customHeight="false" outlineLevel="0" collapsed="false">
      <c r="A30" s="234"/>
      <c r="B30" s="235"/>
      <c r="C30" s="236"/>
      <c r="D30" s="237"/>
      <c r="E30" s="238"/>
      <c r="F30" s="239" t="n">
        <v>135</v>
      </c>
    </row>
    <row r="31" customFormat="false" ht="14.25" hidden="false" customHeight="false" outlineLevel="0" collapsed="false">
      <c r="A31" s="234"/>
      <c r="B31" s="235"/>
      <c r="C31" s="236"/>
      <c r="D31" s="237"/>
      <c r="E31" s="238" t="n">
        <v>137</v>
      </c>
      <c r="F31" s="239" t="n">
        <v>137</v>
      </c>
    </row>
    <row r="32" customFormat="false" ht="14.25" hidden="false" customHeight="false" outlineLevel="0" collapsed="false">
      <c r="A32" s="234"/>
      <c r="B32" s="235"/>
      <c r="C32" s="236"/>
      <c r="D32" s="237"/>
      <c r="E32" s="238"/>
      <c r="F32" s="239" t="n">
        <v>138</v>
      </c>
    </row>
    <row r="33" customFormat="false" ht="14.25" hidden="false" customHeight="false" outlineLevel="0" collapsed="false">
      <c r="A33" s="234"/>
      <c r="B33" s="235"/>
      <c r="C33" s="236"/>
      <c r="D33" s="237" t="n">
        <v>140</v>
      </c>
      <c r="E33" s="238" t="n">
        <v>140</v>
      </c>
      <c r="F33" s="239" t="n">
        <v>140</v>
      </c>
    </row>
    <row r="34" customFormat="false" ht="14.25" hidden="false" customHeight="false" outlineLevel="0" collapsed="false">
      <c r="A34" s="234"/>
      <c r="B34" s="235"/>
      <c r="C34" s="236"/>
      <c r="D34" s="237"/>
      <c r="E34" s="238"/>
      <c r="F34" s="239" t="n">
        <v>142</v>
      </c>
    </row>
    <row r="35" customFormat="false" ht="14.25" hidden="false" customHeight="false" outlineLevel="0" collapsed="false">
      <c r="A35" s="234"/>
      <c r="B35" s="235"/>
      <c r="C35" s="236"/>
      <c r="D35" s="237"/>
      <c r="E35" s="238" t="n">
        <v>143</v>
      </c>
      <c r="F35" s="239" t="n">
        <v>143</v>
      </c>
    </row>
    <row r="36" customFormat="false" ht="14.25" hidden="false" customHeight="false" outlineLevel="0" collapsed="false">
      <c r="A36" s="234"/>
      <c r="B36" s="235"/>
      <c r="C36" s="236"/>
      <c r="D36" s="237"/>
      <c r="E36" s="238"/>
      <c r="F36" s="239" t="n">
        <v>145</v>
      </c>
    </row>
    <row r="37" customFormat="false" ht="14.25" hidden="false" customHeight="false" outlineLevel="0" collapsed="false">
      <c r="A37" s="234" t="n">
        <v>150</v>
      </c>
      <c r="B37" s="235" t="n">
        <v>150</v>
      </c>
      <c r="C37" s="236" t="n">
        <v>150</v>
      </c>
      <c r="D37" s="237" t="n">
        <v>147</v>
      </c>
      <c r="E37" s="238" t="n">
        <v>147</v>
      </c>
      <c r="F37" s="239" t="n">
        <v>147</v>
      </c>
    </row>
    <row r="38" customFormat="false" ht="14.25" hidden="false" customHeight="false" outlineLevel="0" collapsed="false">
      <c r="A38" s="234"/>
      <c r="B38" s="235"/>
      <c r="C38" s="236"/>
      <c r="D38" s="237"/>
      <c r="E38" s="238"/>
      <c r="F38" s="239" t="n">
        <v>149</v>
      </c>
    </row>
    <row r="39" customFormat="false" ht="14.25" hidden="false" customHeight="false" outlineLevel="0" collapsed="false">
      <c r="A39" s="234"/>
      <c r="B39" s="235"/>
      <c r="C39" s="236"/>
      <c r="D39" s="237"/>
      <c r="E39" s="238" t="n">
        <v>150</v>
      </c>
      <c r="F39" s="239" t="n">
        <v>150</v>
      </c>
    </row>
    <row r="40" customFormat="false" ht="14.25" hidden="false" customHeight="false" outlineLevel="0" collapsed="false">
      <c r="A40" s="234"/>
      <c r="B40" s="235"/>
      <c r="C40" s="236"/>
      <c r="D40" s="237"/>
      <c r="E40" s="238"/>
      <c r="F40" s="239" t="n">
        <v>152</v>
      </c>
    </row>
    <row r="41" customFormat="false" ht="14.25" hidden="false" customHeight="false" outlineLevel="0" collapsed="false">
      <c r="A41" s="234"/>
      <c r="B41" s="235"/>
      <c r="C41" s="236"/>
      <c r="D41" s="237" t="n">
        <v>154</v>
      </c>
      <c r="E41" s="238" t="n">
        <v>154</v>
      </c>
      <c r="F41" s="239" t="n">
        <v>154</v>
      </c>
    </row>
    <row r="42" customFormat="false" ht="14.25" hidden="false" customHeight="false" outlineLevel="0" collapsed="false">
      <c r="A42" s="234"/>
      <c r="B42" s="235"/>
      <c r="C42" s="236"/>
      <c r="D42" s="237"/>
      <c r="E42" s="238"/>
      <c r="F42" s="239" t="n">
        <v>156</v>
      </c>
    </row>
    <row r="43" customFormat="false" ht="14.25" hidden="false" customHeight="false" outlineLevel="0" collapsed="false">
      <c r="A43" s="234"/>
      <c r="B43" s="235"/>
      <c r="C43" s="236"/>
      <c r="D43" s="237"/>
      <c r="E43" s="238" t="n">
        <v>158</v>
      </c>
      <c r="F43" s="239" t="n">
        <v>158</v>
      </c>
    </row>
    <row r="44" customFormat="false" ht="14.25" hidden="false" customHeight="false" outlineLevel="0" collapsed="false">
      <c r="A44" s="234"/>
      <c r="B44" s="235"/>
      <c r="C44" s="236"/>
      <c r="D44" s="237"/>
      <c r="E44" s="238"/>
      <c r="F44" s="239" t="n">
        <v>160</v>
      </c>
    </row>
    <row r="45" customFormat="false" ht="14.25" hidden="false" customHeight="false" outlineLevel="0" collapsed="false">
      <c r="A45" s="234"/>
      <c r="B45" s="235"/>
      <c r="C45" s="236" t="n">
        <v>160</v>
      </c>
      <c r="D45" s="237" t="n">
        <v>162</v>
      </c>
      <c r="E45" s="238" t="n">
        <v>162</v>
      </c>
      <c r="F45" s="239" t="n">
        <v>162</v>
      </c>
    </row>
    <row r="46" customFormat="false" ht="14.25" hidden="false" customHeight="false" outlineLevel="0" collapsed="false">
      <c r="A46" s="234"/>
      <c r="B46" s="235"/>
      <c r="C46" s="236"/>
      <c r="D46" s="237"/>
      <c r="E46" s="238"/>
      <c r="F46" s="239" t="n">
        <v>164</v>
      </c>
    </row>
    <row r="47" customFormat="false" ht="14.25" hidden="false" customHeight="false" outlineLevel="0" collapsed="false">
      <c r="A47" s="234"/>
      <c r="B47" s="235"/>
      <c r="C47" s="236"/>
      <c r="D47" s="237"/>
      <c r="E47" s="238" t="n">
        <v>165</v>
      </c>
      <c r="F47" s="239" t="n">
        <v>165</v>
      </c>
    </row>
    <row r="48" customFormat="false" ht="14.25" hidden="false" customHeight="false" outlineLevel="0" collapsed="false">
      <c r="A48" s="234"/>
      <c r="B48" s="235"/>
      <c r="C48" s="236"/>
      <c r="D48" s="237"/>
      <c r="E48" s="238"/>
      <c r="F48" s="239" t="n">
        <v>167</v>
      </c>
    </row>
    <row r="49" customFormat="false" ht="14.25" hidden="false" customHeight="false" outlineLevel="0" collapsed="false">
      <c r="A49" s="234"/>
      <c r="B49" s="235"/>
      <c r="C49" s="236"/>
      <c r="D49" s="237" t="n">
        <v>169</v>
      </c>
      <c r="E49" s="238" t="n">
        <v>169</v>
      </c>
      <c r="F49" s="239" t="n">
        <v>169</v>
      </c>
    </row>
    <row r="50" customFormat="false" ht="14.25" hidden="false" customHeight="false" outlineLevel="0" collapsed="false">
      <c r="A50" s="234"/>
      <c r="B50" s="235"/>
      <c r="C50" s="236"/>
      <c r="D50" s="237"/>
      <c r="E50" s="238"/>
      <c r="F50" s="239" t="n">
        <v>172</v>
      </c>
    </row>
    <row r="51" customFormat="false" ht="14.25" hidden="false" customHeight="false" outlineLevel="0" collapsed="false">
      <c r="A51" s="234"/>
      <c r="B51" s="235"/>
      <c r="C51" s="236"/>
      <c r="D51" s="237"/>
      <c r="E51" s="238" t="n">
        <v>174</v>
      </c>
      <c r="F51" s="239" t="n">
        <v>174</v>
      </c>
    </row>
    <row r="52" customFormat="false" ht="14.25" hidden="false" customHeight="false" outlineLevel="0" collapsed="false">
      <c r="A52" s="234"/>
      <c r="B52" s="235"/>
      <c r="C52" s="236"/>
      <c r="D52" s="237"/>
      <c r="E52" s="238"/>
      <c r="F52" s="239" t="n">
        <v>176</v>
      </c>
    </row>
    <row r="53" customFormat="false" ht="14.25" hidden="false" customHeight="false" outlineLevel="0" collapsed="false">
      <c r="A53" s="234"/>
      <c r="B53" s="235" t="n">
        <v>180</v>
      </c>
      <c r="C53" s="236" t="n">
        <v>180</v>
      </c>
      <c r="D53" s="237" t="n">
        <v>178</v>
      </c>
      <c r="E53" s="238" t="n">
        <v>178</v>
      </c>
      <c r="F53" s="239" t="n">
        <v>178</v>
      </c>
    </row>
    <row r="54" customFormat="false" ht="14.25" hidden="false" customHeight="false" outlineLevel="0" collapsed="false">
      <c r="A54" s="234"/>
      <c r="B54" s="235"/>
      <c r="C54" s="236"/>
      <c r="D54" s="237"/>
      <c r="E54" s="238"/>
      <c r="F54" s="239" t="n">
        <v>180</v>
      </c>
    </row>
    <row r="55" customFormat="false" ht="14.25" hidden="false" customHeight="false" outlineLevel="0" collapsed="false">
      <c r="A55" s="234"/>
      <c r="B55" s="235"/>
      <c r="C55" s="236"/>
      <c r="D55" s="237"/>
      <c r="E55" s="238" t="n">
        <v>182</v>
      </c>
      <c r="F55" s="239" t="n">
        <v>182</v>
      </c>
    </row>
    <row r="56" customFormat="false" ht="14.25" hidden="false" customHeight="false" outlineLevel="0" collapsed="false">
      <c r="A56" s="234"/>
      <c r="B56" s="235"/>
      <c r="C56" s="236"/>
      <c r="D56" s="237"/>
      <c r="E56" s="238"/>
      <c r="F56" s="239" t="n">
        <v>184</v>
      </c>
    </row>
    <row r="57" customFormat="false" ht="14.25" hidden="false" customHeight="false" outlineLevel="0" collapsed="false">
      <c r="A57" s="234"/>
      <c r="B57" s="235"/>
      <c r="C57" s="236"/>
      <c r="D57" s="237" t="n">
        <v>187</v>
      </c>
      <c r="E57" s="238" t="n">
        <v>187</v>
      </c>
      <c r="F57" s="239" t="n">
        <v>187</v>
      </c>
    </row>
    <row r="58" customFormat="false" ht="14.25" hidden="false" customHeight="false" outlineLevel="0" collapsed="false">
      <c r="A58" s="234"/>
      <c r="B58" s="235"/>
      <c r="C58" s="236"/>
      <c r="D58" s="237"/>
      <c r="E58" s="238"/>
      <c r="F58" s="239" t="n">
        <v>189</v>
      </c>
    </row>
    <row r="59" customFormat="false" ht="14.25" hidden="false" customHeight="false" outlineLevel="0" collapsed="false">
      <c r="A59" s="234"/>
      <c r="B59" s="235"/>
      <c r="C59" s="236"/>
      <c r="D59" s="237"/>
      <c r="E59" s="238" t="n">
        <v>191</v>
      </c>
      <c r="F59" s="239" t="n">
        <v>191</v>
      </c>
    </row>
    <row r="60" customFormat="false" ht="14.25" hidden="false" customHeight="false" outlineLevel="0" collapsed="false">
      <c r="A60" s="234"/>
      <c r="B60" s="235"/>
      <c r="C60" s="236"/>
      <c r="D60" s="237"/>
      <c r="E60" s="238"/>
      <c r="F60" s="239" t="n">
        <v>193</v>
      </c>
    </row>
    <row r="61" customFormat="false" ht="14.25" hidden="false" customHeight="false" outlineLevel="0" collapsed="false">
      <c r="A61" s="234"/>
      <c r="B61" s="235"/>
      <c r="C61" s="236" t="n">
        <v>200</v>
      </c>
      <c r="D61" s="237" t="n">
        <v>196</v>
      </c>
      <c r="E61" s="238" t="n">
        <v>196</v>
      </c>
      <c r="F61" s="239" t="n">
        <v>196</v>
      </c>
    </row>
    <row r="62" customFormat="false" ht="14.25" hidden="false" customHeight="false" outlineLevel="0" collapsed="false">
      <c r="A62" s="234"/>
      <c r="B62" s="235"/>
      <c r="C62" s="236"/>
      <c r="D62" s="237"/>
      <c r="E62" s="238"/>
      <c r="F62" s="239" t="n">
        <v>198</v>
      </c>
    </row>
    <row r="63" customFormat="false" ht="14.25" hidden="false" customHeight="false" outlineLevel="0" collapsed="false">
      <c r="A63" s="234"/>
      <c r="B63" s="235"/>
      <c r="C63" s="236"/>
      <c r="D63" s="237"/>
      <c r="E63" s="238" t="n">
        <v>200</v>
      </c>
      <c r="F63" s="239" t="n">
        <v>200</v>
      </c>
    </row>
    <row r="64" customFormat="false" ht="14.25" hidden="false" customHeight="false" outlineLevel="0" collapsed="false">
      <c r="A64" s="234"/>
      <c r="B64" s="235"/>
      <c r="C64" s="236"/>
      <c r="D64" s="237"/>
      <c r="E64" s="238"/>
      <c r="F64" s="239" t="n">
        <v>203</v>
      </c>
    </row>
    <row r="65" customFormat="false" ht="14.25" hidden="false" customHeight="false" outlineLevel="0" collapsed="false">
      <c r="A65" s="234"/>
      <c r="B65" s="235"/>
      <c r="C65" s="236"/>
      <c r="D65" s="237" t="n">
        <v>205</v>
      </c>
      <c r="E65" s="238" t="n">
        <v>205</v>
      </c>
      <c r="F65" s="239" t="n">
        <v>205</v>
      </c>
    </row>
    <row r="66" customFormat="false" ht="14.25" hidden="false" customHeight="false" outlineLevel="0" collapsed="false">
      <c r="A66" s="234"/>
      <c r="B66" s="235"/>
      <c r="C66" s="236"/>
      <c r="D66" s="237"/>
      <c r="E66" s="238"/>
      <c r="F66" s="239" t="n">
        <v>208</v>
      </c>
    </row>
    <row r="67" customFormat="false" ht="14.25" hidden="false" customHeight="false" outlineLevel="0" collapsed="false">
      <c r="A67" s="234"/>
      <c r="B67" s="235"/>
      <c r="C67" s="236"/>
      <c r="D67" s="237"/>
      <c r="E67" s="238" t="n">
        <v>210</v>
      </c>
      <c r="F67" s="239" t="n">
        <v>210</v>
      </c>
    </row>
    <row r="68" customFormat="false" ht="14.25" hidden="false" customHeight="false" outlineLevel="0" collapsed="false">
      <c r="A68" s="234"/>
      <c r="B68" s="235"/>
      <c r="C68" s="236"/>
      <c r="D68" s="237"/>
      <c r="E68" s="238"/>
      <c r="F68" s="239" t="n">
        <v>213</v>
      </c>
    </row>
    <row r="69" customFormat="false" ht="14.25" hidden="false" customHeight="false" outlineLevel="0" collapsed="false">
      <c r="A69" s="234" t="n">
        <v>220</v>
      </c>
      <c r="B69" s="235" t="n">
        <v>220</v>
      </c>
      <c r="C69" s="236" t="n">
        <v>220</v>
      </c>
      <c r="D69" s="237" t="n">
        <v>215</v>
      </c>
      <c r="E69" s="238" t="n">
        <v>215</v>
      </c>
      <c r="F69" s="239" t="n">
        <v>215</v>
      </c>
    </row>
    <row r="70" customFormat="false" ht="14.25" hidden="false" customHeight="false" outlineLevel="0" collapsed="false">
      <c r="A70" s="234"/>
      <c r="B70" s="235"/>
      <c r="C70" s="236"/>
      <c r="D70" s="237"/>
      <c r="E70" s="238"/>
      <c r="F70" s="239" t="n">
        <v>218</v>
      </c>
    </row>
    <row r="71" customFormat="false" ht="14.25" hidden="false" customHeight="false" outlineLevel="0" collapsed="false">
      <c r="A71" s="234"/>
      <c r="B71" s="235"/>
      <c r="C71" s="236"/>
      <c r="D71" s="237"/>
      <c r="E71" s="238" t="n">
        <v>221</v>
      </c>
      <c r="F71" s="239" t="n">
        <v>221</v>
      </c>
    </row>
    <row r="72" customFormat="false" ht="14.25" hidden="false" customHeight="false" outlineLevel="0" collapsed="false">
      <c r="A72" s="234"/>
      <c r="B72" s="235"/>
      <c r="C72" s="236"/>
      <c r="D72" s="237"/>
      <c r="E72" s="238"/>
      <c r="F72" s="239" t="n">
        <v>223</v>
      </c>
    </row>
    <row r="73" customFormat="false" ht="14.25" hidden="false" customHeight="false" outlineLevel="0" collapsed="false">
      <c r="A73" s="234"/>
      <c r="B73" s="235"/>
      <c r="C73" s="236"/>
      <c r="D73" s="237" t="n">
        <v>226</v>
      </c>
      <c r="E73" s="238" t="n">
        <v>226</v>
      </c>
      <c r="F73" s="239" t="n">
        <v>226</v>
      </c>
    </row>
    <row r="74" customFormat="false" ht="14.25" hidden="false" customHeight="false" outlineLevel="0" collapsed="false">
      <c r="A74" s="234"/>
      <c r="B74" s="235"/>
      <c r="C74" s="236"/>
      <c r="D74" s="237"/>
      <c r="E74" s="238"/>
      <c r="F74" s="239" t="n">
        <v>229</v>
      </c>
    </row>
    <row r="75" customFormat="false" ht="14.25" hidden="false" customHeight="false" outlineLevel="0" collapsed="false">
      <c r="A75" s="234"/>
      <c r="B75" s="235"/>
      <c r="C75" s="236"/>
      <c r="D75" s="237"/>
      <c r="E75" s="238" t="n">
        <v>232</v>
      </c>
      <c r="F75" s="239" t="n">
        <v>232</v>
      </c>
    </row>
    <row r="76" customFormat="false" ht="14.25" hidden="false" customHeight="false" outlineLevel="0" collapsed="false">
      <c r="A76" s="234"/>
      <c r="B76" s="235"/>
      <c r="C76" s="236"/>
      <c r="D76" s="237"/>
      <c r="E76" s="238"/>
      <c r="F76" s="239" t="n">
        <v>234</v>
      </c>
    </row>
    <row r="77" customFormat="false" ht="14.25" hidden="false" customHeight="false" outlineLevel="0" collapsed="false">
      <c r="A77" s="234"/>
      <c r="B77" s="235"/>
      <c r="C77" s="236" t="n">
        <v>240</v>
      </c>
      <c r="D77" s="237" t="n">
        <v>237</v>
      </c>
      <c r="E77" s="238" t="n">
        <v>237</v>
      </c>
      <c r="F77" s="239" t="n">
        <v>237</v>
      </c>
    </row>
    <row r="78" customFormat="false" ht="14.25" hidden="false" customHeight="false" outlineLevel="0" collapsed="false">
      <c r="A78" s="234"/>
      <c r="B78" s="235"/>
      <c r="C78" s="236"/>
      <c r="D78" s="237"/>
      <c r="E78" s="238"/>
      <c r="F78" s="239" t="n">
        <v>240</v>
      </c>
    </row>
    <row r="79" customFormat="false" ht="14.25" hidden="false" customHeight="false" outlineLevel="0" collapsed="false">
      <c r="A79" s="234"/>
      <c r="B79" s="235"/>
      <c r="C79" s="236"/>
      <c r="D79" s="237"/>
      <c r="E79" s="238" t="n">
        <v>243</v>
      </c>
      <c r="F79" s="239" t="n">
        <v>243</v>
      </c>
    </row>
    <row r="80" customFormat="false" ht="14.25" hidden="false" customHeight="false" outlineLevel="0" collapsed="false">
      <c r="A80" s="234"/>
      <c r="B80" s="235"/>
      <c r="C80" s="236"/>
      <c r="D80" s="237"/>
      <c r="E80" s="238"/>
      <c r="F80" s="239" t="n">
        <v>246</v>
      </c>
    </row>
    <row r="81" customFormat="false" ht="14.25" hidden="false" customHeight="false" outlineLevel="0" collapsed="false">
      <c r="A81" s="234"/>
      <c r="B81" s="235"/>
      <c r="C81" s="236"/>
      <c r="D81" s="237" t="n">
        <v>249</v>
      </c>
      <c r="E81" s="238" t="n">
        <v>249</v>
      </c>
      <c r="F81" s="239" t="n">
        <v>249</v>
      </c>
    </row>
    <row r="82" customFormat="false" ht="14.25" hidden="false" customHeight="false" outlineLevel="0" collapsed="false">
      <c r="A82" s="234"/>
      <c r="B82" s="235"/>
      <c r="C82" s="236"/>
      <c r="D82" s="237"/>
      <c r="E82" s="238"/>
      <c r="F82" s="239" t="n">
        <v>252</v>
      </c>
    </row>
    <row r="83" customFormat="false" ht="14.25" hidden="false" customHeight="false" outlineLevel="0" collapsed="false">
      <c r="A83" s="234"/>
      <c r="B83" s="235"/>
      <c r="C83" s="236"/>
      <c r="D83" s="237"/>
      <c r="E83" s="238" t="n">
        <v>255</v>
      </c>
      <c r="F83" s="239" t="n">
        <v>255</v>
      </c>
    </row>
    <row r="84" customFormat="false" ht="14.25" hidden="false" customHeight="false" outlineLevel="0" collapsed="false">
      <c r="A84" s="234"/>
      <c r="B84" s="235"/>
      <c r="C84" s="236"/>
      <c r="D84" s="237"/>
      <c r="E84" s="238"/>
      <c r="F84" s="239" t="n">
        <v>258</v>
      </c>
    </row>
    <row r="85" customFormat="false" ht="14.25" hidden="false" customHeight="false" outlineLevel="0" collapsed="false">
      <c r="A85" s="234"/>
      <c r="B85" s="235" t="n">
        <v>270</v>
      </c>
      <c r="C85" s="236" t="n">
        <v>270</v>
      </c>
      <c r="D85" s="237" t="n">
        <v>261</v>
      </c>
      <c r="E85" s="238" t="n">
        <v>261</v>
      </c>
      <c r="F85" s="239" t="n">
        <v>261</v>
      </c>
    </row>
    <row r="86" customFormat="false" ht="14.25" hidden="false" customHeight="false" outlineLevel="0" collapsed="false">
      <c r="A86" s="234"/>
      <c r="B86" s="235"/>
      <c r="C86" s="236"/>
      <c r="D86" s="237"/>
      <c r="E86" s="238"/>
      <c r="F86" s="239" t="n">
        <v>264</v>
      </c>
    </row>
    <row r="87" customFormat="false" ht="14.25" hidden="false" customHeight="false" outlineLevel="0" collapsed="false">
      <c r="A87" s="234"/>
      <c r="B87" s="235"/>
      <c r="C87" s="236"/>
      <c r="D87" s="237"/>
      <c r="E87" s="238" t="n">
        <v>267</v>
      </c>
      <c r="F87" s="239" t="n">
        <v>267</v>
      </c>
    </row>
    <row r="88" customFormat="false" ht="14.25" hidden="false" customHeight="false" outlineLevel="0" collapsed="false">
      <c r="A88" s="234"/>
      <c r="B88" s="235"/>
      <c r="C88" s="236"/>
      <c r="D88" s="237"/>
      <c r="E88" s="238"/>
      <c r="F88" s="239" t="n">
        <v>271</v>
      </c>
    </row>
    <row r="89" customFormat="false" ht="14.25" hidden="false" customHeight="false" outlineLevel="0" collapsed="false">
      <c r="A89" s="234"/>
      <c r="B89" s="235"/>
      <c r="C89" s="236"/>
      <c r="D89" s="237" t="n">
        <v>274</v>
      </c>
      <c r="E89" s="238" t="n">
        <v>274</v>
      </c>
      <c r="F89" s="239" t="n">
        <v>274</v>
      </c>
    </row>
    <row r="90" customFormat="false" ht="14.25" hidden="false" customHeight="false" outlineLevel="0" collapsed="false">
      <c r="A90" s="234"/>
      <c r="B90" s="235"/>
      <c r="C90" s="236"/>
      <c r="D90" s="237"/>
      <c r="E90" s="238"/>
      <c r="F90" s="239" t="n">
        <v>277</v>
      </c>
    </row>
    <row r="91" customFormat="false" ht="14.25" hidden="false" customHeight="false" outlineLevel="0" collapsed="false">
      <c r="A91" s="234"/>
      <c r="B91" s="235"/>
      <c r="C91" s="236"/>
      <c r="D91" s="237"/>
      <c r="E91" s="238" t="n">
        <v>280</v>
      </c>
      <c r="F91" s="239" t="n">
        <v>280</v>
      </c>
    </row>
    <row r="92" customFormat="false" ht="14.25" hidden="false" customHeight="false" outlineLevel="0" collapsed="false">
      <c r="A92" s="234"/>
      <c r="B92" s="235"/>
      <c r="C92" s="236"/>
      <c r="D92" s="237"/>
      <c r="E92" s="238"/>
      <c r="F92" s="239" t="n">
        <v>284</v>
      </c>
    </row>
    <row r="93" customFormat="false" ht="14.25" hidden="false" customHeight="false" outlineLevel="0" collapsed="false">
      <c r="A93" s="234"/>
      <c r="B93" s="235"/>
      <c r="C93" s="236" t="n">
        <v>300</v>
      </c>
      <c r="D93" s="237" t="n">
        <v>287</v>
      </c>
      <c r="E93" s="238" t="n">
        <v>287</v>
      </c>
      <c r="F93" s="239" t="n">
        <v>287</v>
      </c>
    </row>
    <row r="94" customFormat="false" ht="14.25" hidden="false" customHeight="false" outlineLevel="0" collapsed="false">
      <c r="A94" s="234"/>
      <c r="B94" s="235"/>
      <c r="C94" s="236"/>
      <c r="D94" s="237"/>
      <c r="E94" s="238"/>
      <c r="F94" s="239" t="n">
        <v>291</v>
      </c>
    </row>
    <row r="95" customFormat="false" ht="14.25" hidden="false" customHeight="false" outlineLevel="0" collapsed="false">
      <c r="A95" s="234"/>
      <c r="B95" s="235"/>
      <c r="C95" s="236"/>
      <c r="D95" s="237"/>
      <c r="E95" s="238" t="n">
        <v>294</v>
      </c>
      <c r="F95" s="239" t="n">
        <v>294</v>
      </c>
    </row>
    <row r="96" customFormat="false" ht="14.25" hidden="false" customHeight="false" outlineLevel="0" collapsed="false">
      <c r="A96" s="234"/>
      <c r="B96" s="235"/>
      <c r="C96" s="236"/>
      <c r="D96" s="237"/>
      <c r="E96" s="238"/>
      <c r="F96" s="239" t="n">
        <v>298</v>
      </c>
    </row>
    <row r="97" customFormat="false" ht="14.25" hidden="false" customHeight="false" outlineLevel="0" collapsed="false">
      <c r="A97" s="234"/>
      <c r="B97" s="235"/>
      <c r="C97" s="236"/>
      <c r="D97" s="237" t="n">
        <v>301</v>
      </c>
      <c r="E97" s="238" t="n">
        <v>301</v>
      </c>
      <c r="F97" s="239" t="n">
        <v>301</v>
      </c>
    </row>
    <row r="98" customFormat="false" ht="14.25" hidden="false" customHeight="false" outlineLevel="0" collapsed="false">
      <c r="A98" s="234"/>
      <c r="B98" s="235"/>
      <c r="C98" s="236"/>
      <c r="D98" s="237"/>
      <c r="E98" s="238"/>
      <c r="F98" s="239" t="n">
        <v>305</v>
      </c>
    </row>
    <row r="99" customFormat="false" ht="14.25" hidden="false" customHeight="false" outlineLevel="0" collapsed="false">
      <c r="A99" s="234"/>
      <c r="B99" s="235"/>
      <c r="C99" s="236"/>
      <c r="D99" s="237"/>
      <c r="E99" s="238" t="n">
        <v>309</v>
      </c>
      <c r="F99" s="239" t="n">
        <v>309</v>
      </c>
    </row>
    <row r="100" customFormat="false" ht="14.25" hidden="false" customHeight="false" outlineLevel="0" collapsed="false">
      <c r="A100" s="234"/>
      <c r="B100" s="235"/>
      <c r="C100" s="236"/>
      <c r="D100" s="237"/>
      <c r="E100" s="238"/>
      <c r="F100" s="239" t="n">
        <v>312</v>
      </c>
    </row>
    <row r="101" customFormat="false" ht="14.25" hidden="false" customHeight="false" outlineLevel="0" collapsed="false">
      <c r="A101" s="234" t="n">
        <v>330</v>
      </c>
      <c r="B101" s="235" t="n">
        <v>330</v>
      </c>
      <c r="C101" s="236" t="n">
        <v>330</v>
      </c>
      <c r="D101" s="237" t="n">
        <v>316</v>
      </c>
      <c r="E101" s="238" t="n">
        <v>316</v>
      </c>
      <c r="F101" s="239" t="n">
        <v>316</v>
      </c>
    </row>
    <row r="102" customFormat="false" ht="14.25" hidden="false" customHeight="false" outlineLevel="0" collapsed="false">
      <c r="A102" s="234"/>
      <c r="B102" s="235"/>
      <c r="C102" s="236"/>
      <c r="D102" s="237"/>
      <c r="E102" s="238"/>
      <c r="F102" s="239" t="n">
        <v>320</v>
      </c>
    </row>
    <row r="103" customFormat="false" ht="14.25" hidden="false" customHeight="false" outlineLevel="0" collapsed="false">
      <c r="A103" s="234"/>
      <c r="B103" s="235"/>
      <c r="C103" s="236"/>
      <c r="D103" s="237"/>
      <c r="E103" s="238" t="n">
        <v>324</v>
      </c>
      <c r="F103" s="239" t="n">
        <v>324</v>
      </c>
    </row>
    <row r="104" customFormat="false" ht="14.25" hidden="false" customHeight="false" outlineLevel="0" collapsed="false">
      <c r="A104" s="234"/>
      <c r="B104" s="235"/>
      <c r="C104" s="236"/>
      <c r="D104" s="237"/>
      <c r="E104" s="238"/>
      <c r="F104" s="239" t="n">
        <v>328</v>
      </c>
    </row>
    <row r="105" customFormat="false" ht="14.25" hidden="false" customHeight="false" outlineLevel="0" collapsed="false">
      <c r="A105" s="234"/>
      <c r="B105" s="235"/>
      <c r="C105" s="236"/>
      <c r="D105" s="237" t="n">
        <v>332</v>
      </c>
      <c r="E105" s="238" t="n">
        <v>332</v>
      </c>
      <c r="F105" s="239" t="n">
        <v>332</v>
      </c>
    </row>
    <row r="106" customFormat="false" ht="14.25" hidden="false" customHeight="false" outlineLevel="0" collapsed="false">
      <c r="A106" s="234"/>
      <c r="B106" s="235"/>
      <c r="C106" s="236"/>
      <c r="D106" s="237"/>
      <c r="E106" s="238"/>
      <c r="F106" s="239" t="n">
        <v>336</v>
      </c>
    </row>
    <row r="107" customFormat="false" ht="14.25" hidden="false" customHeight="false" outlineLevel="0" collapsed="false">
      <c r="A107" s="234"/>
      <c r="B107" s="235"/>
      <c r="C107" s="236"/>
      <c r="D107" s="237"/>
      <c r="E107" s="238" t="n">
        <v>340</v>
      </c>
      <c r="F107" s="239" t="n">
        <v>340</v>
      </c>
    </row>
    <row r="108" customFormat="false" ht="14.25" hidden="false" customHeight="false" outlineLevel="0" collapsed="false">
      <c r="A108" s="234"/>
      <c r="B108" s="235"/>
      <c r="C108" s="236"/>
      <c r="D108" s="237"/>
      <c r="E108" s="238"/>
      <c r="F108" s="239" t="n">
        <v>344</v>
      </c>
    </row>
    <row r="109" customFormat="false" ht="14.25" hidden="false" customHeight="false" outlineLevel="0" collapsed="false">
      <c r="A109" s="234"/>
      <c r="B109" s="235"/>
      <c r="C109" s="236" t="n">
        <v>360</v>
      </c>
      <c r="D109" s="237" t="n">
        <v>348</v>
      </c>
      <c r="E109" s="238" t="n">
        <v>348</v>
      </c>
      <c r="F109" s="239" t="n">
        <v>348</v>
      </c>
    </row>
    <row r="110" customFormat="false" ht="14.25" hidden="false" customHeight="false" outlineLevel="0" collapsed="false">
      <c r="A110" s="234"/>
      <c r="B110" s="235"/>
      <c r="C110" s="236"/>
      <c r="D110" s="237"/>
      <c r="E110" s="238"/>
      <c r="F110" s="239" t="n">
        <v>352</v>
      </c>
    </row>
    <row r="111" customFormat="false" ht="14.25" hidden="false" customHeight="false" outlineLevel="0" collapsed="false">
      <c r="A111" s="234"/>
      <c r="B111" s="235"/>
      <c r="C111" s="236"/>
      <c r="D111" s="237"/>
      <c r="E111" s="238" t="n">
        <v>357</v>
      </c>
      <c r="F111" s="239" t="n">
        <v>357</v>
      </c>
    </row>
    <row r="112" customFormat="false" ht="14.25" hidden="false" customHeight="false" outlineLevel="0" collapsed="false">
      <c r="A112" s="234"/>
      <c r="B112" s="235"/>
      <c r="C112" s="236"/>
      <c r="D112" s="237"/>
      <c r="E112" s="238"/>
      <c r="F112" s="239" t="n">
        <v>361</v>
      </c>
    </row>
    <row r="113" customFormat="false" ht="14.25" hidden="false" customHeight="false" outlineLevel="0" collapsed="false">
      <c r="A113" s="234"/>
      <c r="B113" s="235"/>
      <c r="C113" s="236"/>
      <c r="D113" s="237" t="n">
        <v>365</v>
      </c>
      <c r="E113" s="238" t="n">
        <v>365</v>
      </c>
      <c r="F113" s="239" t="n">
        <v>365</v>
      </c>
    </row>
    <row r="114" customFormat="false" ht="14.25" hidden="false" customHeight="false" outlineLevel="0" collapsed="false">
      <c r="A114" s="234"/>
      <c r="B114" s="235"/>
      <c r="C114" s="236"/>
      <c r="D114" s="237"/>
      <c r="E114" s="238"/>
      <c r="F114" s="239" t="n">
        <v>370</v>
      </c>
    </row>
    <row r="115" customFormat="false" ht="14.25" hidden="false" customHeight="false" outlineLevel="0" collapsed="false">
      <c r="A115" s="234"/>
      <c r="B115" s="235"/>
      <c r="C115" s="236"/>
      <c r="D115" s="237"/>
      <c r="E115" s="238" t="n">
        <v>374</v>
      </c>
      <c r="F115" s="239" t="n">
        <v>374</v>
      </c>
    </row>
    <row r="116" customFormat="false" ht="14.25" hidden="false" customHeight="false" outlineLevel="0" collapsed="false">
      <c r="A116" s="234"/>
      <c r="B116" s="235"/>
      <c r="C116" s="236"/>
      <c r="D116" s="237"/>
      <c r="E116" s="238"/>
      <c r="F116" s="239" t="n">
        <v>379</v>
      </c>
    </row>
    <row r="117" customFormat="false" ht="14.25" hidden="false" customHeight="false" outlineLevel="0" collapsed="false">
      <c r="A117" s="234"/>
      <c r="B117" s="235" t="n">
        <v>390</v>
      </c>
      <c r="C117" s="236" t="n">
        <v>390</v>
      </c>
      <c r="D117" s="237" t="n">
        <v>383</v>
      </c>
      <c r="E117" s="238" t="n">
        <v>383</v>
      </c>
      <c r="F117" s="239" t="n">
        <v>383</v>
      </c>
    </row>
    <row r="118" customFormat="false" ht="14.25" hidden="false" customHeight="false" outlineLevel="0" collapsed="false">
      <c r="A118" s="234"/>
      <c r="B118" s="235"/>
      <c r="C118" s="236"/>
      <c r="D118" s="237"/>
      <c r="E118" s="238"/>
      <c r="F118" s="239" t="n">
        <v>388</v>
      </c>
    </row>
    <row r="119" customFormat="false" ht="14.25" hidden="false" customHeight="false" outlineLevel="0" collapsed="false">
      <c r="A119" s="234"/>
      <c r="B119" s="235"/>
      <c r="C119" s="236"/>
      <c r="D119" s="237"/>
      <c r="E119" s="238" t="n">
        <v>392</v>
      </c>
      <c r="F119" s="239" t="n">
        <v>392</v>
      </c>
    </row>
    <row r="120" customFormat="false" ht="14.25" hidden="false" customHeight="false" outlineLevel="0" collapsed="false">
      <c r="A120" s="234"/>
      <c r="B120" s="235"/>
      <c r="C120" s="236"/>
      <c r="D120" s="237"/>
      <c r="E120" s="238"/>
      <c r="F120" s="239" t="n">
        <v>397</v>
      </c>
    </row>
    <row r="121" customFormat="false" ht="14.25" hidden="false" customHeight="false" outlineLevel="0" collapsed="false">
      <c r="A121" s="234"/>
      <c r="B121" s="235"/>
      <c r="C121" s="236"/>
      <c r="D121" s="237" t="n">
        <v>402</v>
      </c>
      <c r="E121" s="238" t="n">
        <v>402</v>
      </c>
      <c r="F121" s="239" t="n">
        <v>402</v>
      </c>
    </row>
    <row r="122" customFormat="false" ht="14.25" hidden="false" customHeight="false" outlineLevel="0" collapsed="false">
      <c r="A122" s="234"/>
      <c r="B122" s="235"/>
      <c r="C122" s="236"/>
      <c r="D122" s="237"/>
      <c r="E122" s="238"/>
      <c r="F122" s="239" t="n">
        <v>407</v>
      </c>
    </row>
    <row r="123" customFormat="false" ht="14.25" hidden="false" customHeight="false" outlineLevel="0" collapsed="false">
      <c r="A123" s="234"/>
      <c r="B123" s="235"/>
      <c r="C123" s="236"/>
      <c r="D123" s="237"/>
      <c r="E123" s="238" t="n">
        <v>412</v>
      </c>
      <c r="F123" s="239" t="n">
        <v>412</v>
      </c>
    </row>
    <row r="124" customFormat="false" ht="14.25" hidden="false" customHeight="false" outlineLevel="0" collapsed="false">
      <c r="A124" s="234"/>
      <c r="B124" s="235"/>
      <c r="C124" s="236"/>
      <c r="D124" s="237"/>
      <c r="E124" s="238"/>
      <c r="F124" s="239" t="n">
        <v>417</v>
      </c>
    </row>
    <row r="125" customFormat="false" ht="14.25" hidden="false" customHeight="false" outlineLevel="0" collapsed="false">
      <c r="A125" s="234"/>
      <c r="B125" s="235"/>
      <c r="C125" s="236" t="n">
        <v>430</v>
      </c>
      <c r="D125" s="237" t="n">
        <v>422</v>
      </c>
      <c r="E125" s="238" t="n">
        <v>422</v>
      </c>
      <c r="F125" s="239" t="n">
        <v>422</v>
      </c>
    </row>
    <row r="126" customFormat="false" ht="14.25" hidden="false" customHeight="false" outlineLevel="0" collapsed="false">
      <c r="A126" s="234"/>
      <c r="B126" s="235"/>
      <c r="C126" s="236"/>
      <c r="D126" s="237"/>
      <c r="E126" s="238"/>
      <c r="F126" s="239" t="n">
        <v>427</v>
      </c>
    </row>
    <row r="127" customFormat="false" ht="14.25" hidden="false" customHeight="false" outlineLevel="0" collapsed="false">
      <c r="A127" s="234"/>
      <c r="B127" s="235"/>
      <c r="C127" s="236"/>
      <c r="D127" s="237"/>
      <c r="E127" s="238" t="n">
        <v>432</v>
      </c>
      <c r="F127" s="239" t="n">
        <v>432</v>
      </c>
    </row>
    <row r="128" customFormat="false" ht="14.25" hidden="false" customHeight="false" outlineLevel="0" collapsed="false">
      <c r="A128" s="234"/>
      <c r="B128" s="235"/>
      <c r="C128" s="236"/>
      <c r="D128" s="237"/>
      <c r="E128" s="238"/>
      <c r="F128" s="239" t="n">
        <v>437</v>
      </c>
    </row>
    <row r="129" customFormat="false" ht="14.25" hidden="false" customHeight="false" outlineLevel="0" collapsed="false">
      <c r="A129" s="234"/>
      <c r="B129" s="235"/>
      <c r="C129" s="236"/>
      <c r="D129" s="237" t="n">
        <v>442</v>
      </c>
      <c r="E129" s="238" t="n">
        <v>442</v>
      </c>
      <c r="F129" s="239" t="n">
        <v>442</v>
      </c>
    </row>
    <row r="130" customFormat="false" ht="14.25" hidden="false" customHeight="false" outlineLevel="0" collapsed="false">
      <c r="A130" s="234"/>
      <c r="B130" s="235"/>
      <c r="C130" s="236"/>
      <c r="D130" s="237"/>
      <c r="E130" s="238"/>
      <c r="F130" s="239" t="n">
        <v>448</v>
      </c>
    </row>
    <row r="131" customFormat="false" ht="14.25" hidden="false" customHeight="false" outlineLevel="0" collapsed="false">
      <c r="A131" s="234"/>
      <c r="B131" s="235"/>
      <c r="C131" s="236"/>
      <c r="D131" s="237"/>
      <c r="E131" s="238" t="n">
        <v>453</v>
      </c>
      <c r="F131" s="239" t="n">
        <v>453</v>
      </c>
    </row>
    <row r="132" customFormat="false" ht="14.25" hidden="false" customHeight="false" outlineLevel="0" collapsed="false">
      <c r="A132" s="234"/>
      <c r="B132" s="235"/>
      <c r="C132" s="236"/>
      <c r="D132" s="237"/>
      <c r="E132" s="238"/>
      <c r="F132" s="239" t="n">
        <v>459</v>
      </c>
    </row>
    <row r="133" customFormat="false" ht="14.25" hidden="false" customHeight="false" outlineLevel="0" collapsed="false">
      <c r="A133" s="234" t="n">
        <v>470</v>
      </c>
      <c r="B133" s="235" t="n">
        <v>470</v>
      </c>
      <c r="C133" s="236" t="n">
        <v>470</v>
      </c>
      <c r="D133" s="237" t="n">
        <v>464</v>
      </c>
      <c r="E133" s="238" t="n">
        <v>464</v>
      </c>
      <c r="F133" s="239" t="n">
        <v>464</v>
      </c>
    </row>
    <row r="134" customFormat="false" ht="14.25" hidden="false" customHeight="false" outlineLevel="0" collapsed="false">
      <c r="A134" s="234"/>
      <c r="B134" s="235"/>
      <c r="C134" s="236"/>
      <c r="D134" s="237"/>
      <c r="E134" s="238"/>
      <c r="F134" s="239" t="n">
        <v>470</v>
      </c>
    </row>
    <row r="135" customFormat="false" ht="14.25" hidden="false" customHeight="false" outlineLevel="0" collapsed="false">
      <c r="A135" s="234"/>
      <c r="B135" s="235"/>
      <c r="C135" s="236"/>
      <c r="D135" s="237"/>
      <c r="E135" s="238" t="n">
        <v>475</v>
      </c>
      <c r="F135" s="239" t="n">
        <v>475</v>
      </c>
    </row>
    <row r="136" customFormat="false" ht="14.25" hidden="false" customHeight="false" outlineLevel="0" collapsed="false">
      <c r="A136" s="234"/>
      <c r="B136" s="235"/>
      <c r="C136" s="236"/>
      <c r="D136" s="237"/>
      <c r="E136" s="238"/>
      <c r="F136" s="239" t="n">
        <v>481</v>
      </c>
    </row>
    <row r="137" customFormat="false" ht="14.25" hidden="false" customHeight="false" outlineLevel="0" collapsed="false">
      <c r="A137" s="234"/>
      <c r="B137" s="235"/>
      <c r="C137" s="236"/>
      <c r="D137" s="237" t="n">
        <v>487</v>
      </c>
      <c r="E137" s="238" t="n">
        <v>487</v>
      </c>
      <c r="F137" s="239" t="n">
        <v>487</v>
      </c>
    </row>
    <row r="138" customFormat="false" ht="14.25" hidden="false" customHeight="false" outlineLevel="0" collapsed="false">
      <c r="A138" s="234"/>
      <c r="B138" s="235"/>
      <c r="C138" s="236"/>
      <c r="D138" s="237"/>
      <c r="E138" s="238"/>
      <c r="F138" s="239" t="n">
        <v>493</v>
      </c>
    </row>
    <row r="139" customFormat="false" ht="14.25" hidden="false" customHeight="false" outlineLevel="0" collapsed="false">
      <c r="A139" s="234"/>
      <c r="B139" s="235"/>
      <c r="C139" s="236"/>
      <c r="D139" s="237"/>
      <c r="E139" s="238" t="n">
        <v>499</v>
      </c>
      <c r="F139" s="239" t="n">
        <v>499</v>
      </c>
    </row>
    <row r="140" customFormat="false" ht="14.25" hidden="false" customHeight="false" outlineLevel="0" collapsed="false">
      <c r="A140" s="234"/>
      <c r="B140" s="235"/>
      <c r="C140" s="236"/>
      <c r="D140" s="237"/>
      <c r="E140" s="238"/>
      <c r="F140" s="239" t="n">
        <v>505</v>
      </c>
    </row>
    <row r="141" customFormat="false" ht="14.25" hidden="false" customHeight="false" outlineLevel="0" collapsed="false">
      <c r="A141" s="234"/>
      <c r="B141" s="235"/>
      <c r="C141" s="236" t="n">
        <v>510</v>
      </c>
      <c r="D141" s="237" t="n">
        <v>511</v>
      </c>
      <c r="E141" s="238" t="n">
        <v>511</v>
      </c>
      <c r="F141" s="239" t="n">
        <v>511</v>
      </c>
    </row>
    <row r="142" customFormat="false" ht="14.25" hidden="false" customHeight="false" outlineLevel="0" collapsed="false">
      <c r="A142" s="234"/>
      <c r="B142" s="235"/>
      <c r="C142" s="236"/>
      <c r="D142" s="237"/>
      <c r="E142" s="238"/>
      <c r="F142" s="239" t="n">
        <v>517</v>
      </c>
    </row>
    <row r="143" customFormat="false" ht="14.25" hidden="false" customHeight="false" outlineLevel="0" collapsed="false">
      <c r="A143" s="234"/>
      <c r="B143" s="235"/>
      <c r="C143" s="236"/>
      <c r="D143" s="237"/>
      <c r="E143" s="238" t="n">
        <v>523</v>
      </c>
      <c r="F143" s="239" t="n">
        <v>523</v>
      </c>
    </row>
    <row r="144" customFormat="false" ht="14.25" hidden="false" customHeight="false" outlineLevel="0" collapsed="false">
      <c r="A144" s="234"/>
      <c r="B144" s="235"/>
      <c r="C144" s="236"/>
      <c r="D144" s="237"/>
      <c r="E144" s="238"/>
      <c r="F144" s="239" t="n">
        <v>530</v>
      </c>
    </row>
    <row r="145" customFormat="false" ht="14.25" hidden="false" customHeight="false" outlineLevel="0" collapsed="false">
      <c r="A145" s="234"/>
      <c r="B145" s="235"/>
      <c r="C145" s="236"/>
      <c r="D145" s="237" t="n">
        <v>536</v>
      </c>
      <c r="E145" s="238" t="n">
        <v>536</v>
      </c>
      <c r="F145" s="239" t="n">
        <v>536</v>
      </c>
    </row>
    <row r="146" customFormat="false" ht="14.25" hidden="false" customHeight="false" outlineLevel="0" collapsed="false">
      <c r="A146" s="234"/>
      <c r="B146" s="235"/>
      <c r="C146" s="236"/>
      <c r="D146" s="237"/>
      <c r="E146" s="238"/>
      <c r="F146" s="239" t="n">
        <v>542</v>
      </c>
    </row>
    <row r="147" customFormat="false" ht="14.25" hidden="false" customHeight="false" outlineLevel="0" collapsed="false">
      <c r="A147" s="234"/>
      <c r="B147" s="235"/>
      <c r="C147" s="236"/>
      <c r="D147" s="237"/>
      <c r="E147" s="238" t="n">
        <v>549</v>
      </c>
      <c r="F147" s="239" t="n">
        <v>549</v>
      </c>
    </row>
    <row r="148" customFormat="false" ht="14.25" hidden="false" customHeight="false" outlineLevel="0" collapsed="false">
      <c r="A148" s="234"/>
      <c r="B148" s="235"/>
      <c r="C148" s="236"/>
      <c r="D148" s="237"/>
      <c r="E148" s="238"/>
      <c r="F148" s="239" t="n">
        <v>556</v>
      </c>
    </row>
    <row r="149" customFormat="false" ht="14.25" hidden="false" customHeight="false" outlineLevel="0" collapsed="false">
      <c r="A149" s="234"/>
      <c r="B149" s="235" t="n">
        <v>560</v>
      </c>
      <c r="C149" s="236" t="n">
        <v>560</v>
      </c>
      <c r="D149" s="237" t="n">
        <v>562</v>
      </c>
      <c r="E149" s="238" t="n">
        <v>562</v>
      </c>
      <c r="F149" s="239" t="n">
        <v>562</v>
      </c>
    </row>
    <row r="150" customFormat="false" ht="14.25" hidden="false" customHeight="false" outlineLevel="0" collapsed="false">
      <c r="A150" s="234"/>
      <c r="B150" s="235"/>
      <c r="C150" s="236"/>
      <c r="D150" s="237"/>
      <c r="E150" s="238"/>
      <c r="F150" s="239" t="n">
        <v>569</v>
      </c>
    </row>
    <row r="151" customFormat="false" ht="14.25" hidden="false" customHeight="false" outlineLevel="0" collapsed="false">
      <c r="A151" s="234"/>
      <c r="B151" s="235"/>
      <c r="C151" s="236"/>
      <c r="D151" s="237"/>
      <c r="E151" s="238" t="n">
        <v>576</v>
      </c>
      <c r="F151" s="239" t="n">
        <v>576</v>
      </c>
    </row>
    <row r="152" customFormat="false" ht="14.25" hidden="false" customHeight="false" outlineLevel="0" collapsed="false">
      <c r="A152" s="234"/>
      <c r="B152" s="235"/>
      <c r="C152" s="236"/>
      <c r="D152" s="237"/>
      <c r="E152" s="238"/>
      <c r="F152" s="239" t="n">
        <v>583</v>
      </c>
    </row>
    <row r="153" customFormat="false" ht="14.25" hidden="false" customHeight="false" outlineLevel="0" collapsed="false">
      <c r="A153" s="234"/>
      <c r="B153" s="235"/>
      <c r="C153" s="236"/>
      <c r="D153" s="237" t="n">
        <v>590</v>
      </c>
      <c r="E153" s="238" t="n">
        <v>590</v>
      </c>
      <c r="F153" s="239" t="n">
        <v>590</v>
      </c>
    </row>
    <row r="154" customFormat="false" ht="14.25" hidden="false" customHeight="false" outlineLevel="0" collapsed="false">
      <c r="A154" s="234"/>
      <c r="B154" s="235"/>
      <c r="C154" s="236"/>
      <c r="D154" s="237"/>
      <c r="E154" s="238"/>
      <c r="F154" s="239" t="n">
        <v>597</v>
      </c>
    </row>
    <row r="155" customFormat="false" ht="14.25" hidden="false" customHeight="false" outlineLevel="0" collapsed="false">
      <c r="A155" s="234"/>
      <c r="B155" s="235"/>
      <c r="C155" s="236"/>
      <c r="D155" s="237"/>
      <c r="E155" s="238" t="n">
        <v>604</v>
      </c>
      <c r="F155" s="239" t="n">
        <v>604</v>
      </c>
    </row>
    <row r="156" customFormat="false" ht="14.25" hidden="false" customHeight="false" outlineLevel="0" collapsed="false">
      <c r="A156" s="234"/>
      <c r="B156" s="235"/>
      <c r="C156" s="236"/>
      <c r="D156" s="237"/>
      <c r="E156" s="238"/>
      <c r="F156" s="239" t="n">
        <v>612</v>
      </c>
    </row>
    <row r="157" customFormat="false" ht="14.25" hidden="false" customHeight="false" outlineLevel="0" collapsed="false">
      <c r="A157" s="234"/>
      <c r="B157" s="235"/>
      <c r="C157" s="236" t="n">
        <v>620</v>
      </c>
      <c r="D157" s="237" t="n">
        <v>619</v>
      </c>
      <c r="E157" s="238" t="n">
        <v>619</v>
      </c>
      <c r="F157" s="239" t="n">
        <v>619</v>
      </c>
    </row>
    <row r="158" customFormat="false" ht="14.25" hidden="false" customHeight="false" outlineLevel="0" collapsed="false">
      <c r="A158" s="234"/>
      <c r="B158" s="235"/>
      <c r="C158" s="236"/>
      <c r="D158" s="237"/>
      <c r="E158" s="238"/>
      <c r="F158" s="239" t="n">
        <v>626</v>
      </c>
    </row>
    <row r="159" customFormat="false" ht="14.25" hidden="false" customHeight="false" outlineLevel="0" collapsed="false">
      <c r="A159" s="234"/>
      <c r="B159" s="235"/>
      <c r="C159" s="236"/>
      <c r="D159" s="237"/>
      <c r="E159" s="238" t="n">
        <v>634</v>
      </c>
      <c r="F159" s="239" t="n">
        <v>634</v>
      </c>
    </row>
    <row r="160" customFormat="false" ht="14.25" hidden="false" customHeight="false" outlineLevel="0" collapsed="false">
      <c r="A160" s="234"/>
      <c r="B160" s="235"/>
      <c r="C160" s="236"/>
      <c r="D160" s="237"/>
      <c r="E160" s="238"/>
      <c r="F160" s="239" t="n">
        <v>642</v>
      </c>
    </row>
    <row r="161" customFormat="false" ht="14.25" hidden="false" customHeight="false" outlineLevel="0" collapsed="false">
      <c r="A161" s="234"/>
      <c r="B161" s="235"/>
      <c r="C161" s="236"/>
      <c r="D161" s="237" t="n">
        <v>649</v>
      </c>
      <c r="E161" s="238" t="n">
        <v>649</v>
      </c>
      <c r="F161" s="239" t="n">
        <v>649</v>
      </c>
    </row>
    <row r="162" customFormat="false" ht="14.25" hidden="false" customHeight="false" outlineLevel="0" collapsed="false">
      <c r="A162" s="234"/>
      <c r="B162" s="235"/>
      <c r="C162" s="236"/>
      <c r="D162" s="237"/>
      <c r="E162" s="238"/>
      <c r="F162" s="239" t="n">
        <v>657</v>
      </c>
    </row>
    <row r="163" customFormat="false" ht="14.25" hidden="false" customHeight="false" outlineLevel="0" collapsed="false">
      <c r="A163" s="234"/>
      <c r="B163" s="235"/>
      <c r="C163" s="236"/>
      <c r="D163" s="237"/>
      <c r="E163" s="238" t="n">
        <v>665</v>
      </c>
      <c r="F163" s="239" t="n">
        <v>665</v>
      </c>
    </row>
    <row r="164" customFormat="false" ht="14.25" hidden="false" customHeight="false" outlineLevel="0" collapsed="false">
      <c r="A164" s="234"/>
      <c r="B164" s="235"/>
      <c r="C164" s="236"/>
      <c r="D164" s="237"/>
      <c r="E164" s="238"/>
      <c r="F164" s="239" t="n">
        <v>673</v>
      </c>
    </row>
    <row r="165" customFormat="false" ht="14.25" hidden="false" customHeight="false" outlineLevel="0" collapsed="false">
      <c r="A165" s="234" t="n">
        <v>680</v>
      </c>
      <c r="B165" s="235" t="n">
        <v>680</v>
      </c>
      <c r="C165" s="236" t="n">
        <v>680</v>
      </c>
      <c r="D165" s="237" t="n">
        <v>681</v>
      </c>
      <c r="E165" s="238" t="n">
        <v>681</v>
      </c>
      <c r="F165" s="239" t="n">
        <v>681</v>
      </c>
    </row>
    <row r="166" customFormat="false" ht="14.25" hidden="false" customHeight="false" outlineLevel="0" collapsed="false">
      <c r="A166" s="234"/>
      <c r="B166" s="235"/>
      <c r="C166" s="236"/>
      <c r="D166" s="237"/>
      <c r="E166" s="238"/>
      <c r="F166" s="239" t="n">
        <v>690</v>
      </c>
    </row>
    <row r="167" customFormat="false" ht="14.25" hidden="false" customHeight="false" outlineLevel="0" collapsed="false">
      <c r="A167" s="234"/>
      <c r="B167" s="235"/>
      <c r="C167" s="236"/>
      <c r="D167" s="237"/>
      <c r="E167" s="238" t="n">
        <v>698</v>
      </c>
      <c r="F167" s="239" t="n">
        <v>698</v>
      </c>
    </row>
    <row r="168" customFormat="false" ht="14.25" hidden="false" customHeight="false" outlineLevel="0" collapsed="false">
      <c r="A168" s="234"/>
      <c r="B168" s="235"/>
      <c r="C168" s="236"/>
      <c r="D168" s="237"/>
      <c r="E168" s="238"/>
      <c r="F168" s="239" t="n">
        <v>706</v>
      </c>
    </row>
    <row r="169" customFormat="false" ht="14.25" hidden="false" customHeight="false" outlineLevel="0" collapsed="false">
      <c r="A169" s="234"/>
      <c r="B169" s="235"/>
      <c r="C169" s="236"/>
      <c r="D169" s="237" t="n">
        <v>715</v>
      </c>
      <c r="E169" s="238" t="n">
        <v>715</v>
      </c>
      <c r="F169" s="239" t="n">
        <v>715</v>
      </c>
    </row>
    <row r="170" customFormat="false" ht="14.25" hidden="false" customHeight="false" outlineLevel="0" collapsed="false">
      <c r="A170" s="234"/>
      <c r="B170" s="235"/>
      <c r="C170" s="236"/>
      <c r="D170" s="237"/>
      <c r="E170" s="238"/>
      <c r="F170" s="239" t="n">
        <v>723</v>
      </c>
    </row>
    <row r="171" customFormat="false" ht="14.25" hidden="false" customHeight="false" outlineLevel="0" collapsed="false">
      <c r="A171" s="234"/>
      <c r="B171" s="235"/>
      <c r="C171" s="236"/>
      <c r="D171" s="237"/>
      <c r="E171" s="238" t="n">
        <v>732</v>
      </c>
      <c r="F171" s="239" t="n">
        <v>732</v>
      </c>
    </row>
    <row r="172" customFormat="false" ht="14.25" hidden="false" customHeight="false" outlineLevel="0" collapsed="false">
      <c r="A172" s="234"/>
      <c r="B172" s="235"/>
      <c r="C172" s="236"/>
      <c r="D172" s="237"/>
      <c r="E172" s="238"/>
      <c r="F172" s="239" t="n">
        <v>741</v>
      </c>
    </row>
    <row r="173" customFormat="false" ht="14.25" hidden="false" customHeight="false" outlineLevel="0" collapsed="false">
      <c r="A173" s="234"/>
      <c r="B173" s="235"/>
      <c r="C173" s="236" t="n">
        <v>750</v>
      </c>
      <c r="D173" s="237" t="n">
        <v>750</v>
      </c>
      <c r="E173" s="238" t="n">
        <v>750</v>
      </c>
      <c r="F173" s="239" t="n">
        <v>750</v>
      </c>
    </row>
    <row r="174" customFormat="false" ht="14.25" hidden="false" customHeight="false" outlineLevel="0" collapsed="false">
      <c r="A174" s="234"/>
      <c r="B174" s="235"/>
      <c r="C174" s="236"/>
      <c r="D174" s="237"/>
      <c r="E174" s="238"/>
      <c r="F174" s="239" t="n">
        <v>759</v>
      </c>
    </row>
    <row r="175" customFormat="false" ht="14.25" hidden="false" customHeight="false" outlineLevel="0" collapsed="false">
      <c r="A175" s="234"/>
      <c r="B175" s="235"/>
      <c r="C175" s="236"/>
      <c r="D175" s="237"/>
      <c r="E175" s="238" t="n">
        <v>768</v>
      </c>
      <c r="F175" s="239" t="n">
        <v>768</v>
      </c>
    </row>
    <row r="176" customFormat="false" ht="14.25" hidden="false" customHeight="false" outlineLevel="0" collapsed="false">
      <c r="A176" s="234"/>
      <c r="B176" s="235"/>
      <c r="C176" s="236"/>
      <c r="D176" s="237"/>
      <c r="E176" s="238"/>
      <c r="F176" s="239" t="n">
        <v>777</v>
      </c>
    </row>
    <row r="177" customFormat="false" ht="14.25" hidden="false" customHeight="false" outlineLevel="0" collapsed="false">
      <c r="A177" s="234"/>
      <c r="B177" s="235"/>
      <c r="C177" s="236"/>
      <c r="D177" s="237" t="n">
        <v>787</v>
      </c>
      <c r="E177" s="238" t="n">
        <v>787</v>
      </c>
      <c r="F177" s="239" t="n">
        <v>787</v>
      </c>
    </row>
    <row r="178" customFormat="false" ht="14.25" hidden="false" customHeight="false" outlineLevel="0" collapsed="false">
      <c r="A178" s="234"/>
      <c r="B178" s="235"/>
      <c r="C178" s="236"/>
      <c r="D178" s="237"/>
      <c r="E178" s="238"/>
      <c r="F178" s="239" t="n">
        <v>796</v>
      </c>
    </row>
    <row r="179" customFormat="false" ht="14.25" hidden="false" customHeight="false" outlineLevel="0" collapsed="false">
      <c r="A179" s="234"/>
      <c r="B179" s="235"/>
      <c r="C179" s="236"/>
      <c r="D179" s="237"/>
      <c r="E179" s="238" t="n">
        <v>806</v>
      </c>
      <c r="F179" s="239" t="n">
        <v>806</v>
      </c>
    </row>
    <row r="180" customFormat="false" ht="14.25" hidden="false" customHeight="false" outlineLevel="0" collapsed="false">
      <c r="A180" s="234"/>
      <c r="B180" s="235"/>
      <c r="C180" s="236"/>
      <c r="D180" s="237"/>
      <c r="E180" s="238"/>
      <c r="F180" s="239" t="n">
        <v>816</v>
      </c>
    </row>
    <row r="181" customFormat="false" ht="14.25" hidden="false" customHeight="false" outlineLevel="0" collapsed="false">
      <c r="A181" s="234"/>
      <c r="B181" s="235" t="n">
        <v>820</v>
      </c>
      <c r="C181" s="236" t="n">
        <v>820</v>
      </c>
      <c r="D181" s="237" t="n">
        <v>825</v>
      </c>
      <c r="E181" s="238" t="n">
        <v>825</v>
      </c>
      <c r="F181" s="239" t="n">
        <v>825</v>
      </c>
    </row>
    <row r="182" customFormat="false" ht="14.25" hidden="false" customHeight="false" outlineLevel="0" collapsed="false">
      <c r="A182" s="234"/>
      <c r="B182" s="235"/>
      <c r="C182" s="236"/>
      <c r="D182" s="237"/>
      <c r="E182" s="238"/>
      <c r="F182" s="239" t="n">
        <v>835</v>
      </c>
    </row>
    <row r="183" customFormat="false" ht="14.25" hidden="false" customHeight="false" outlineLevel="0" collapsed="false">
      <c r="A183" s="234"/>
      <c r="B183" s="235"/>
      <c r="C183" s="236"/>
      <c r="D183" s="237"/>
      <c r="E183" s="238" t="n">
        <v>845</v>
      </c>
      <c r="F183" s="239" t="n">
        <v>845</v>
      </c>
    </row>
    <row r="184" customFormat="false" ht="14.25" hidden="false" customHeight="false" outlineLevel="0" collapsed="false">
      <c r="A184" s="234"/>
      <c r="B184" s="235"/>
      <c r="C184" s="236"/>
      <c r="D184" s="237"/>
      <c r="E184" s="238"/>
      <c r="F184" s="239" t="n">
        <v>856</v>
      </c>
    </row>
    <row r="185" customFormat="false" ht="14.25" hidden="false" customHeight="false" outlineLevel="0" collapsed="false">
      <c r="A185" s="234"/>
      <c r="B185" s="235"/>
      <c r="C185" s="236"/>
      <c r="D185" s="237" t="n">
        <v>866</v>
      </c>
      <c r="E185" s="238" t="n">
        <v>866</v>
      </c>
      <c r="F185" s="239" t="n">
        <v>866</v>
      </c>
    </row>
    <row r="186" customFormat="false" ht="14.25" hidden="false" customHeight="false" outlineLevel="0" collapsed="false">
      <c r="A186" s="234"/>
      <c r="B186" s="235"/>
      <c r="C186" s="236"/>
      <c r="D186" s="237"/>
      <c r="E186" s="238"/>
      <c r="F186" s="239" t="n">
        <v>876</v>
      </c>
    </row>
    <row r="187" customFormat="false" ht="14.25" hidden="false" customHeight="false" outlineLevel="0" collapsed="false">
      <c r="A187" s="234"/>
      <c r="B187" s="235"/>
      <c r="C187" s="236"/>
      <c r="D187" s="237"/>
      <c r="E187" s="238" t="n">
        <v>887</v>
      </c>
      <c r="F187" s="239" t="n">
        <v>887</v>
      </c>
    </row>
    <row r="188" customFormat="false" ht="14.25" hidden="false" customHeight="false" outlineLevel="0" collapsed="false">
      <c r="A188" s="234"/>
      <c r="B188" s="235"/>
      <c r="C188" s="236"/>
      <c r="D188" s="237"/>
      <c r="E188" s="238"/>
      <c r="F188" s="239" t="n">
        <v>898</v>
      </c>
    </row>
    <row r="189" customFormat="false" ht="14.25" hidden="false" customHeight="false" outlineLevel="0" collapsed="false">
      <c r="A189" s="234"/>
      <c r="B189" s="235"/>
      <c r="C189" s="236" t="n">
        <v>910</v>
      </c>
      <c r="D189" s="237" t="n">
        <v>909</v>
      </c>
      <c r="E189" s="238" t="n">
        <v>909</v>
      </c>
      <c r="F189" s="239" t="n">
        <v>909</v>
      </c>
    </row>
    <row r="190" customFormat="false" ht="14.25" hidden="false" customHeight="false" outlineLevel="0" collapsed="false">
      <c r="A190" s="234"/>
      <c r="B190" s="235"/>
      <c r="C190" s="236"/>
      <c r="D190" s="237"/>
      <c r="E190" s="238"/>
      <c r="F190" s="239" t="n">
        <v>920</v>
      </c>
    </row>
    <row r="191" customFormat="false" ht="14.25" hidden="false" customHeight="false" outlineLevel="0" collapsed="false">
      <c r="A191" s="234"/>
      <c r="B191" s="235"/>
      <c r="C191" s="236"/>
      <c r="D191" s="237"/>
      <c r="E191" s="238" t="n">
        <v>931</v>
      </c>
      <c r="F191" s="239" t="n">
        <v>931</v>
      </c>
    </row>
    <row r="192" customFormat="false" ht="14.25" hidden="false" customHeight="false" outlineLevel="0" collapsed="false">
      <c r="A192" s="234"/>
      <c r="B192" s="235"/>
      <c r="C192" s="236"/>
      <c r="D192" s="237"/>
      <c r="E192" s="238"/>
      <c r="F192" s="239" t="n">
        <v>942</v>
      </c>
    </row>
    <row r="193" customFormat="false" ht="14.25" hidden="false" customHeight="false" outlineLevel="0" collapsed="false">
      <c r="A193" s="234"/>
      <c r="B193" s="235"/>
      <c r="C193" s="236"/>
      <c r="D193" s="237" t="n">
        <v>953</v>
      </c>
      <c r="E193" s="238" t="n">
        <v>953</v>
      </c>
      <c r="F193" s="239" t="n">
        <v>953</v>
      </c>
    </row>
    <row r="194" customFormat="false" ht="14.25" hidden="false" customHeight="false" outlineLevel="0" collapsed="false">
      <c r="A194" s="234"/>
      <c r="B194" s="235"/>
      <c r="C194" s="236"/>
      <c r="D194" s="237"/>
      <c r="E194" s="238"/>
      <c r="F194" s="239" t="n">
        <v>965</v>
      </c>
    </row>
    <row r="195" customFormat="false" ht="14.25" hidden="false" customHeight="false" outlineLevel="0" collapsed="false">
      <c r="A195" s="234"/>
      <c r="B195" s="235"/>
      <c r="C195" s="236"/>
      <c r="D195" s="237"/>
      <c r="E195" s="238" t="n">
        <v>976</v>
      </c>
      <c r="F195" s="239" t="n">
        <v>976</v>
      </c>
    </row>
    <row r="196" customFormat="false" ht="14.25" hidden="false" customHeight="false" outlineLevel="0" collapsed="false">
      <c r="A196" s="234"/>
      <c r="B196" s="235"/>
      <c r="C196" s="236"/>
      <c r="D196" s="237"/>
      <c r="E196" s="238"/>
      <c r="F196" s="239" t="n">
        <v>988</v>
      </c>
    </row>
    <row r="197" customFormat="false" ht="14.25" hidden="false" customHeight="false" outlineLevel="0" collapsed="false">
      <c r="A197" s="240" t="n">
        <v>1000</v>
      </c>
      <c r="B197" s="241" t="n">
        <v>1000</v>
      </c>
      <c r="C197" s="242" t="n">
        <v>1000</v>
      </c>
      <c r="D197" s="243" t="n">
        <v>1000</v>
      </c>
      <c r="E197" s="244" t="n">
        <v>1000</v>
      </c>
      <c r="F197" s="245" t="n">
        <v>1000</v>
      </c>
      <c r="G197" s="246" t="s">
        <v>242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03152"/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22" activePane="bottomRight" state="frozen"/>
      <selection pane="topLeft" activeCell="A1" activeCellId="0" sqref="A1"/>
      <selection pane="topRight" activeCell="B1" activeCellId="0" sqref="B1"/>
      <selection pane="bottomLeft" activeCell="A22" activeCellId="0" sqref="A22"/>
      <selection pane="bottomRight" activeCell="B53" activeCellId="0" sqref="B5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1" style="221" width="9.33"/>
  </cols>
  <sheetData>
    <row r="1" customFormat="false" ht="24.45" hidden="false" customHeight="false" outlineLevel="0" collapsed="false">
      <c r="A1" s="247" t="s">
        <v>243</v>
      </c>
      <c r="B1" s="247"/>
    </row>
    <row r="3" customFormat="false" ht="14.25" hidden="false" customHeight="false" outlineLevel="0" collapsed="false">
      <c r="A3" s="248" t="s">
        <v>244</v>
      </c>
      <c r="B3" s="248" t="s">
        <v>114</v>
      </c>
      <c r="C3" s="248" t="s">
        <v>245</v>
      </c>
      <c r="D3" s="248" t="s">
        <v>246</v>
      </c>
    </row>
    <row r="4" customFormat="false" ht="14.25" hidden="false" customHeight="false" outlineLevel="0" collapsed="false">
      <c r="A4" s="249" t="n">
        <v>1</v>
      </c>
      <c r="B4" s="249" t="n">
        <v>1</v>
      </c>
      <c r="C4" s="249" t="n">
        <v>1</v>
      </c>
      <c r="D4" s="249" t="n">
        <v>1</v>
      </c>
    </row>
    <row r="5" customFormat="false" ht="14.25" hidden="false" customHeight="false" outlineLevel="0" collapsed="false">
      <c r="A5" s="249" t="n">
        <v>1.1</v>
      </c>
      <c r="B5" s="249" t="n">
        <v>1.1</v>
      </c>
      <c r="C5" s="249" t="n">
        <v>1</v>
      </c>
      <c r="D5" s="249"/>
    </row>
    <row r="6" customFormat="false" ht="14.25" hidden="false" customHeight="false" outlineLevel="0" collapsed="false">
      <c r="A6" s="249" t="n">
        <v>1.2</v>
      </c>
      <c r="B6" s="249" t="n">
        <v>1.2</v>
      </c>
      <c r="C6" s="249" t="n">
        <v>1</v>
      </c>
      <c r="D6" s="249"/>
    </row>
    <row r="7" customFormat="false" ht="14.25" hidden="false" customHeight="false" outlineLevel="0" collapsed="false">
      <c r="A7" s="249" t="n">
        <v>1.3</v>
      </c>
      <c r="B7" s="249" t="n">
        <v>1.3</v>
      </c>
      <c r="C7" s="249" t="n">
        <v>1</v>
      </c>
      <c r="D7" s="249"/>
    </row>
    <row r="8" customFormat="false" ht="14.25" hidden="false" customHeight="false" outlineLevel="0" collapsed="false">
      <c r="A8" s="249" t="n">
        <v>1.5</v>
      </c>
      <c r="B8" s="249" t="n">
        <v>1.5</v>
      </c>
      <c r="C8" s="249" t="n">
        <v>1.5</v>
      </c>
      <c r="D8" s="249" t="n">
        <v>1.5</v>
      </c>
    </row>
    <row r="9" customFormat="false" ht="14.25" hidden="false" customHeight="false" outlineLevel="0" collapsed="false">
      <c r="A9" s="249" t="n">
        <v>1.6</v>
      </c>
      <c r="B9" s="249" t="n">
        <v>1.6</v>
      </c>
      <c r="C9" s="249" t="n">
        <v>1.5</v>
      </c>
      <c r="D9" s="249"/>
    </row>
    <row r="10" customFormat="false" ht="14.25" hidden="false" customHeight="false" outlineLevel="0" collapsed="false">
      <c r="A10" s="249" t="n">
        <v>1.8</v>
      </c>
      <c r="B10" s="249" t="n">
        <v>1.8</v>
      </c>
      <c r="C10" s="249" t="n">
        <v>1.5</v>
      </c>
      <c r="D10" s="249"/>
    </row>
    <row r="11" customFormat="false" ht="14.25" hidden="false" customHeight="false" outlineLevel="0" collapsed="false">
      <c r="A11" s="249" t="n">
        <v>2</v>
      </c>
      <c r="B11" s="249" t="n">
        <v>2</v>
      </c>
      <c r="C11" s="249" t="n">
        <v>1.5</v>
      </c>
      <c r="D11" s="249"/>
    </row>
    <row r="12" customFormat="false" ht="14.25" hidden="false" customHeight="false" outlineLevel="0" collapsed="false">
      <c r="A12" s="249" t="n">
        <v>2.2</v>
      </c>
      <c r="B12" s="249" t="n">
        <v>2.2</v>
      </c>
      <c r="C12" s="249" t="n">
        <v>2.2</v>
      </c>
      <c r="D12" s="249" t="n">
        <v>2.2</v>
      </c>
    </row>
    <row r="13" customFormat="false" ht="14.25" hidden="false" customHeight="false" outlineLevel="0" collapsed="false">
      <c r="A13" s="249" t="n">
        <v>2.4</v>
      </c>
      <c r="B13" s="249" t="n">
        <v>2.4</v>
      </c>
      <c r="C13" s="249" t="n">
        <v>2.2</v>
      </c>
      <c r="D13" s="249"/>
    </row>
    <row r="14" customFormat="false" ht="14.25" hidden="false" customHeight="false" outlineLevel="0" collapsed="false">
      <c r="A14" s="249" t="n">
        <v>2.7</v>
      </c>
      <c r="B14" s="249" t="n">
        <v>2.7</v>
      </c>
      <c r="C14" s="249" t="n">
        <v>2.2</v>
      </c>
      <c r="D14" s="249"/>
    </row>
    <row r="15" customFormat="false" ht="14.25" hidden="false" customHeight="false" outlineLevel="0" collapsed="false">
      <c r="A15" s="249" t="n">
        <v>3</v>
      </c>
      <c r="B15" s="249" t="n">
        <v>3</v>
      </c>
      <c r="C15" s="249" t="n">
        <v>2.2</v>
      </c>
      <c r="D15" s="249"/>
    </row>
    <row r="16" customFormat="false" ht="14.25" hidden="false" customHeight="false" outlineLevel="0" collapsed="false">
      <c r="A16" s="249" t="n">
        <v>3.3</v>
      </c>
      <c r="B16" s="249" t="n">
        <v>3.3</v>
      </c>
      <c r="C16" s="249" t="n">
        <v>3.3</v>
      </c>
      <c r="D16" s="249" t="n">
        <v>3.3</v>
      </c>
    </row>
    <row r="17" customFormat="false" ht="14.25" hidden="false" customHeight="false" outlineLevel="0" collapsed="false">
      <c r="A17" s="249" t="n">
        <v>3.6</v>
      </c>
      <c r="B17" s="249" t="n">
        <v>3.6</v>
      </c>
      <c r="C17" s="249" t="n">
        <f aca="false">C18</f>
        <v>4.7</v>
      </c>
      <c r="D17" s="249"/>
    </row>
    <row r="18" customFormat="false" ht="14.25" hidden="false" customHeight="false" outlineLevel="0" collapsed="false">
      <c r="A18" s="249" t="n">
        <v>3.9</v>
      </c>
      <c r="B18" s="249" t="n">
        <v>3.9</v>
      </c>
      <c r="C18" s="249" t="n">
        <f aca="false">C19</f>
        <v>4.7</v>
      </c>
      <c r="D18" s="249"/>
    </row>
    <row r="19" customFormat="false" ht="14.25" hidden="false" customHeight="false" outlineLevel="0" collapsed="false">
      <c r="A19" s="249" t="n">
        <v>4.3</v>
      </c>
      <c r="B19" s="249" t="n">
        <v>4.3</v>
      </c>
      <c r="C19" s="249" t="n">
        <f aca="false">C20</f>
        <v>4.7</v>
      </c>
      <c r="D19" s="249"/>
    </row>
    <row r="20" customFormat="false" ht="14.25" hidden="false" customHeight="false" outlineLevel="0" collapsed="false">
      <c r="A20" s="249" t="n">
        <v>4.7</v>
      </c>
      <c r="B20" s="249" t="n">
        <v>4.7</v>
      </c>
      <c r="C20" s="249" t="n">
        <v>4.7</v>
      </c>
      <c r="D20" s="249" t="n">
        <v>4.7</v>
      </c>
    </row>
    <row r="21" customFormat="false" ht="14.25" hidden="false" customHeight="false" outlineLevel="0" collapsed="false">
      <c r="A21" s="249" t="n">
        <v>5.1</v>
      </c>
      <c r="B21" s="249" t="n">
        <v>5.1</v>
      </c>
      <c r="C21" s="249" t="n">
        <f aca="false">C22</f>
        <v>6.8</v>
      </c>
      <c r="D21" s="249"/>
    </row>
    <row r="22" customFormat="false" ht="14.25" hidden="false" customHeight="false" outlineLevel="0" collapsed="false">
      <c r="A22" s="249" t="n">
        <v>5.6</v>
      </c>
      <c r="B22" s="249" t="n">
        <v>5.6</v>
      </c>
      <c r="C22" s="249" t="n">
        <f aca="false">C23</f>
        <v>6.8</v>
      </c>
      <c r="D22" s="249"/>
    </row>
    <row r="23" customFormat="false" ht="14.25" hidden="false" customHeight="false" outlineLevel="0" collapsed="false">
      <c r="A23" s="249" t="n">
        <v>6.2</v>
      </c>
      <c r="B23" s="249" t="n">
        <v>6.2</v>
      </c>
      <c r="C23" s="249" t="n">
        <f aca="false">C24</f>
        <v>6.8</v>
      </c>
      <c r="D23" s="249"/>
    </row>
    <row r="24" customFormat="false" ht="14.25" hidden="false" customHeight="false" outlineLevel="0" collapsed="false">
      <c r="A24" s="249" t="n">
        <v>6.8</v>
      </c>
      <c r="B24" s="249" t="n">
        <v>6.8</v>
      </c>
      <c r="C24" s="249" t="n">
        <v>6.8</v>
      </c>
      <c r="D24" s="249" t="n">
        <v>6.8</v>
      </c>
    </row>
    <row r="25" customFormat="false" ht="14.25" hidden="false" customHeight="false" outlineLevel="0" collapsed="false">
      <c r="A25" s="249" t="n">
        <v>7.5</v>
      </c>
      <c r="B25" s="249" t="n">
        <v>7.5</v>
      </c>
      <c r="C25" s="249" t="n">
        <f aca="false">C26</f>
        <v>10</v>
      </c>
      <c r="D25" s="249"/>
    </row>
    <row r="26" customFormat="false" ht="14.25" hidden="false" customHeight="false" outlineLevel="0" collapsed="false">
      <c r="A26" s="249" t="n">
        <v>8.2</v>
      </c>
      <c r="B26" s="249" t="n">
        <v>8.2</v>
      </c>
      <c r="C26" s="249" t="n">
        <f aca="false">C27</f>
        <v>10</v>
      </c>
      <c r="D26" s="249"/>
    </row>
    <row r="27" customFormat="false" ht="14.25" hidden="false" customHeight="false" outlineLevel="0" collapsed="false">
      <c r="A27" s="249" t="n">
        <v>9.1</v>
      </c>
      <c r="B27" s="249" t="n">
        <v>9.1</v>
      </c>
      <c r="C27" s="249" t="n">
        <f aca="false">C28</f>
        <v>10</v>
      </c>
      <c r="D27" s="249"/>
    </row>
    <row r="28" customFormat="false" ht="14.25" hidden="false" customHeight="false" outlineLevel="0" collapsed="false">
      <c r="A28" s="249" t="n">
        <v>10</v>
      </c>
      <c r="B28" s="249" t="n">
        <v>10</v>
      </c>
      <c r="C28" s="249" t="n">
        <v>10</v>
      </c>
      <c r="D28" s="249" t="n">
        <v>10</v>
      </c>
    </row>
    <row r="29" customFormat="false" ht="14.25" hidden="false" customHeight="false" outlineLevel="0" collapsed="false">
      <c r="A29" s="249" t="n">
        <v>11</v>
      </c>
      <c r="B29" s="249" t="n">
        <f aca="false">B30</f>
        <v>15</v>
      </c>
      <c r="C29" s="249" t="n">
        <f aca="false">C30</f>
        <v>15</v>
      </c>
      <c r="D29" s="249"/>
    </row>
    <row r="30" customFormat="false" ht="14.25" hidden="false" customHeight="false" outlineLevel="0" collapsed="false">
      <c r="A30" s="249" t="n">
        <v>12</v>
      </c>
      <c r="B30" s="249" t="n">
        <f aca="false">B31</f>
        <v>15</v>
      </c>
      <c r="C30" s="249" t="n">
        <f aca="false">C31</f>
        <v>15</v>
      </c>
      <c r="D30" s="249"/>
    </row>
    <row r="31" customFormat="false" ht="14.25" hidden="false" customHeight="false" outlineLevel="0" collapsed="false">
      <c r="A31" s="249" t="n">
        <v>13</v>
      </c>
      <c r="B31" s="249" t="n">
        <f aca="false">B32</f>
        <v>15</v>
      </c>
      <c r="C31" s="249" t="n">
        <f aca="false">C32</f>
        <v>15</v>
      </c>
      <c r="D31" s="249"/>
    </row>
    <row r="32" customFormat="false" ht="14.25" hidden="false" customHeight="false" outlineLevel="0" collapsed="false">
      <c r="A32" s="249" t="n">
        <v>15</v>
      </c>
      <c r="B32" s="249" t="n">
        <v>15</v>
      </c>
      <c r="C32" s="249" t="n">
        <v>15</v>
      </c>
      <c r="D32" s="249"/>
      <c r="F32" s="250"/>
    </row>
    <row r="33" customFormat="false" ht="14.25" hidden="false" customHeight="false" outlineLevel="0" collapsed="false">
      <c r="A33" s="249" t="n">
        <v>16</v>
      </c>
      <c r="B33" s="249" t="n">
        <f aca="false">B34</f>
        <v>22</v>
      </c>
      <c r="C33" s="249" t="n">
        <f aca="false">C34</f>
        <v>22</v>
      </c>
      <c r="D33" s="249"/>
    </row>
    <row r="34" customFormat="false" ht="14.25" hidden="false" customHeight="false" outlineLevel="0" collapsed="false">
      <c r="A34" s="249" t="n">
        <v>18</v>
      </c>
      <c r="B34" s="249" t="n">
        <f aca="false">B35</f>
        <v>22</v>
      </c>
      <c r="C34" s="249" t="n">
        <f aca="false">C35</f>
        <v>22</v>
      </c>
      <c r="D34" s="249"/>
    </row>
    <row r="35" customFormat="false" ht="14.25" hidden="false" customHeight="false" outlineLevel="0" collapsed="false">
      <c r="A35" s="249" t="n">
        <v>20</v>
      </c>
      <c r="B35" s="249" t="n">
        <f aca="false">B36</f>
        <v>22</v>
      </c>
      <c r="C35" s="249" t="n">
        <f aca="false">C36</f>
        <v>22</v>
      </c>
      <c r="D35" s="249"/>
    </row>
    <row r="36" customFormat="false" ht="14.25" hidden="false" customHeight="false" outlineLevel="0" collapsed="false">
      <c r="A36" s="249" t="n">
        <v>22</v>
      </c>
      <c r="B36" s="249" t="n">
        <v>22</v>
      </c>
      <c r="C36" s="249" t="n">
        <v>22</v>
      </c>
      <c r="D36" s="249"/>
    </row>
    <row r="37" customFormat="false" ht="14.25" hidden="false" customHeight="false" outlineLevel="0" collapsed="false">
      <c r="A37" s="249" t="n">
        <v>24</v>
      </c>
      <c r="B37" s="249" t="n">
        <f aca="false">B38</f>
        <v>33</v>
      </c>
      <c r="C37" s="249" t="n">
        <f aca="false">C38</f>
        <v>33</v>
      </c>
      <c r="D37" s="249"/>
    </row>
    <row r="38" customFormat="false" ht="14.25" hidden="false" customHeight="false" outlineLevel="0" collapsed="false">
      <c r="A38" s="249" t="n">
        <v>27</v>
      </c>
      <c r="B38" s="249" t="n">
        <f aca="false">B39</f>
        <v>33</v>
      </c>
      <c r="C38" s="249" t="n">
        <f aca="false">C39</f>
        <v>33</v>
      </c>
      <c r="D38" s="249"/>
    </row>
    <row r="39" customFormat="false" ht="14.25" hidden="false" customHeight="false" outlineLevel="0" collapsed="false">
      <c r="A39" s="249" t="n">
        <v>30</v>
      </c>
      <c r="B39" s="249" t="n">
        <f aca="false">B40</f>
        <v>33</v>
      </c>
      <c r="C39" s="249" t="n">
        <f aca="false">C40</f>
        <v>33</v>
      </c>
      <c r="D39" s="249"/>
    </row>
    <row r="40" customFormat="false" ht="14.25" hidden="false" customHeight="false" outlineLevel="0" collapsed="false">
      <c r="A40" s="249" t="n">
        <v>33</v>
      </c>
      <c r="B40" s="249" t="n">
        <v>33</v>
      </c>
      <c r="C40" s="249" t="n">
        <v>33</v>
      </c>
      <c r="D40" s="249"/>
    </row>
    <row r="41" customFormat="false" ht="14.25" hidden="false" customHeight="false" outlineLevel="0" collapsed="false">
      <c r="A41" s="249" t="n">
        <v>36</v>
      </c>
      <c r="B41" s="249" t="n">
        <f aca="false">B42</f>
        <v>47</v>
      </c>
      <c r="C41" s="249" t="n">
        <f aca="false">C42</f>
        <v>47</v>
      </c>
      <c r="D41" s="249"/>
    </row>
    <row r="42" customFormat="false" ht="14.25" hidden="false" customHeight="false" outlineLevel="0" collapsed="false">
      <c r="A42" s="249" t="n">
        <v>39</v>
      </c>
      <c r="B42" s="249" t="n">
        <f aca="false">B43</f>
        <v>47</v>
      </c>
      <c r="C42" s="249" t="n">
        <f aca="false">C43</f>
        <v>47</v>
      </c>
      <c r="D42" s="249"/>
    </row>
    <row r="43" customFormat="false" ht="14.25" hidden="false" customHeight="false" outlineLevel="0" collapsed="false">
      <c r="A43" s="249" t="n">
        <v>43</v>
      </c>
      <c r="B43" s="249" t="n">
        <f aca="false">B44</f>
        <v>47</v>
      </c>
      <c r="C43" s="249" t="n">
        <f aca="false">C44</f>
        <v>47</v>
      </c>
      <c r="D43" s="249"/>
    </row>
    <row r="44" customFormat="false" ht="14.25" hidden="false" customHeight="false" outlineLevel="0" collapsed="false">
      <c r="A44" s="249" t="n">
        <v>47</v>
      </c>
      <c r="B44" s="249" t="n">
        <v>47</v>
      </c>
      <c r="C44" s="249" t="n">
        <v>47</v>
      </c>
      <c r="D44" s="249"/>
    </row>
    <row r="45" customFormat="false" ht="14.25" hidden="false" customHeight="false" outlineLevel="0" collapsed="false">
      <c r="A45" s="249" t="n">
        <v>51</v>
      </c>
      <c r="B45" s="249" t="n">
        <f aca="false">B46</f>
        <v>68</v>
      </c>
      <c r="C45" s="249" t="n">
        <f aca="false">C46</f>
        <v>68</v>
      </c>
      <c r="D45" s="249"/>
    </row>
    <row r="46" customFormat="false" ht="14.25" hidden="false" customHeight="false" outlineLevel="0" collapsed="false">
      <c r="A46" s="249" t="n">
        <v>56</v>
      </c>
      <c r="B46" s="249" t="n">
        <f aca="false">B47</f>
        <v>68</v>
      </c>
      <c r="C46" s="249" t="n">
        <f aca="false">C47</f>
        <v>68</v>
      </c>
      <c r="D46" s="249"/>
    </row>
    <row r="47" customFormat="false" ht="14.25" hidden="false" customHeight="false" outlineLevel="0" collapsed="false">
      <c r="A47" s="249" t="n">
        <v>62</v>
      </c>
      <c r="B47" s="249" t="n">
        <f aca="false">B48</f>
        <v>68</v>
      </c>
      <c r="C47" s="249" t="n">
        <f aca="false">C48</f>
        <v>68</v>
      </c>
      <c r="D47" s="249"/>
    </row>
    <row r="48" customFormat="false" ht="14.25" hidden="false" customHeight="false" outlineLevel="0" collapsed="false">
      <c r="A48" s="249" t="n">
        <v>68</v>
      </c>
      <c r="B48" s="249" t="n">
        <v>68</v>
      </c>
      <c r="C48" s="249" t="n">
        <v>68</v>
      </c>
      <c r="D48" s="249"/>
    </row>
    <row r="49" customFormat="false" ht="14.25" hidden="false" customHeight="false" outlineLevel="0" collapsed="false">
      <c r="A49" s="249" t="n">
        <v>75</v>
      </c>
      <c r="B49" s="249" t="n">
        <f aca="false">B50</f>
        <v>100</v>
      </c>
      <c r="C49" s="249" t="n">
        <f aca="false">C50</f>
        <v>100</v>
      </c>
      <c r="D49" s="249"/>
    </row>
    <row r="50" customFormat="false" ht="14.25" hidden="false" customHeight="false" outlineLevel="0" collapsed="false">
      <c r="A50" s="249" t="n">
        <v>82</v>
      </c>
      <c r="B50" s="249" t="n">
        <f aca="false">B51</f>
        <v>100</v>
      </c>
      <c r="C50" s="249" t="n">
        <f aca="false">C51</f>
        <v>100</v>
      </c>
      <c r="D50" s="249"/>
    </row>
    <row r="51" customFormat="false" ht="14.25" hidden="false" customHeight="false" outlineLevel="0" collapsed="false">
      <c r="A51" s="249" t="n">
        <v>91</v>
      </c>
      <c r="B51" s="249" t="n">
        <f aca="false">B52</f>
        <v>100</v>
      </c>
      <c r="C51" s="249" t="n">
        <f aca="false">C52</f>
        <v>100</v>
      </c>
      <c r="D51" s="249"/>
    </row>
    <row r="52" customFormat="false" ht="14.25" hidden="false" customHeight="false" outlineLevel="0" collapsed="false">
      <c r="A52" s="249" t="n">
        <v>100</v>
      </c>
      <c r="B52" s="249" t="n">
        <v>100</v>
      </c>
      <c r="C52" s="249" t="n">
        <v>100</v>
      </c>
    </row>
    <row r="53" customFormat="false" ht="14.25" hidden="false" customHeight="false" outlineLevel="0" collapsed="false">
      <c r="A53" s="249" t="n">
        <v>110</v>
      </c>
      <c r="B53" s="249" t="n">
        <f aca="false">B54</f>
        <v>150</v>
      </c>
      <c r="C53" s="249" t="n">
        <f aca="false">C54</f>
        <v>150</v>
      </c>
    </row>
    <row r="54" customFormat="false" ht="14.25" hidden="false" customHeight="false" outlineLevel="0" collapsed="false">
      <c r="A54" s="249" t="n">
        <v>120</v>
      </c>
      <c r="B54" s="249" t="n">
        <f aca="false">B55</f>
        <v>150</v>
      </c>
      <c r="C54" s="249" t="n">
        <f aca="false">C55</f>
        <v>150</v>
      </c>
    </row>
    <row r="55" customFormat="false" ht="14.25" hidden="false" customHeight="false" outlineLevel="0" collapsed="false">
      <c r="A55" s="249" t="n">
        <v>130</v>
      </c>
      <c r="B55" s="249" t="n">
        <f aca="false">B56</f>
        <v>150</v>
      </c>
      <c r="C55" s="249" t="n">
        <f aca="false">C56</f>
        <v>150</v>
      </c>
    </row>
    <row r="56" customFormat="false" ht="14.25" hidden="false" customHeight="false" outlineLevel="0" collapsed="false">
      <c r="A56" s="249" t="n">
        <v>150</v>
      </c>
      <c r="B56" s="249" t="n">
        <v>150</v>
      </c>
      <c r="C56" s="249" t="n">
        <v>150</v>
      </c>
    </row>
    <row r="57" customFormat="false" ht="14.25" hidden="false" customHeight="false" outlineLevel="0" collapsed="false">
      <c r="A57" s="249" t="n">
        <v>160</v>
      </c>
      <c r="B57" s="249" t="n">
        <f aca="false">B58</f>
        <v>220</v>
      </c>
      <c r="C57" s="249" t="n">
        <f aca="false">C58</f>
        <v>220</v>
      </c>
    </row>
    <row r="58" customFormat="false" ht="14.25" hidden="false" customHeight="false" outlineLevel="0" collapsed="false">
      <c r="A58" s="249" t="n">
        <v>180</v>
      </c>
      <c r="B58" s="249" t="n">
        <f aca="false">B59</f>
        <v>220</v>
      </c>
      <c r="C58" s="249" t="n">
        <f aca="false">C59</f>
        <v>220</v>
      </c>
    </row>
    <row r="59" customFormat="false" ht="14.25" hidden="false" customHeight="false" outlineLevel="0" collapsed="false">
      <c r="A59" s="249" t="n">
        <v>200</v>
      </c>
      <c r="B59" s="249" t="n">
        <f aca="false">B60</f>
        <v>220</v>
      </c>
      <c r="C59" s="249" t="n">
        <f aca="false">C60</f>
        <v>220</v>
      </c>
    </row>
    <row r="60" customFormat="false" ht="14.25" hidden="false" customHeight="false" outlineLevel="0" collapsed="false">
      <c r="A60" s="249" t="n">
        <v>220</v>
      </c>
      <c r="B60" s="249" t="n">
        <v>220</v>
      </c>
      <c r="C60" s="249" t="n">
        <v>220</v>
      </c>
    </row>
    <row r="61" customFormat="false" ht="14.25" hidden="false" customHeight="false" outlineLevel="0" collapsed="false">
      <c r="A61" s="249" t="n">
        <v>240</v>
      </c>
      <c r="B61" s="249" t="n">
        <f aca="false">B62</f>
        <v>330</v>
      </c>
      <c r="C61" s="249" t="n">
        <f aca="false">C62</f>
        <v>330</v>
      </c>
    </row>
    <row r="62" customFormat="false" ht="14.25" hidden="false" customHeight="false" outlineLevel="0" collapsed="false">
      <c r="A62" s="249" t="n">
        <v>270</v>
      </c>
      <c r="B62" s="249" t="n">
        <f aca="false">B63</f>
        <v>330</v>
      </c>
      <c r="C62" s="249" t="n">
        <f aca="false">C63</f>
        <v>330</v>
      </c>
    </row>
    <row r="63" customFormat="false" ht="14.25" hidden="false" customHeight="false" outlineLevel="0" collapsed="false">
      <c r="A63" s="249" t="n">
        <v>300</v>
      </c>
      <c r="B63" s="249" t="n">
        <f aca="false">B64</f>
        <v>330</v>
      </c>
      <c r="C63" s="249" t="n">
        <f aca="false">C64</f>
        <v>330</v>
      </c>
    </row>
    <row r="64" customFormat="false" ht="14.25" hidden="false" customHeight="false" outlineLevel="0" collapsed="false">
      <c r="A64" s="249" t="n">
        <v>330</v>
      </c>
      <c r="B64" s="249" t="n">
        <v>330</v>
      </c>
      <c r="C64" s="249" t="n">
        <v>330</v>
      </c>
    </row>
    <row r="65" customFormat="false" ht="14.25" hidden="false" customHeight="false" outlineLevel="0" collapsed="false">
      <c r="A65" s="249" t="n">
        <v>360</v>
      </c>
      <c r="B65" s="249" t="n">
        <f aca="false">B66</f>
        <v>470</v>
      </c>
      <c r="C65" s="249" t="n">
        <f aca="false">C66</f>
        <v>470</v>
      </c>
    </row>
    <row r="66" customFormat="false" ht="14.25" hidden="false" customHeight="false" outlineLevel="0" collapsed="false">
      <c r="A66" s="249" t="n">
        <v>390</v>
      </c>
      <c r="B66" s="249" t="n">
        <f aca="false">B67</f>
        <v>470</v>
      </c>
      <c r="C66" s="249" t="n">
        <f aca="false">C67</f>
        <v>470</v>
      </c>
    </row>
    <row r="67" customFormat="false" ht="14.25" hidden="false" customHeight="false" outlineLevel="0" collapsed="false">
      <c r="A67" s="249" t="n">
        <v>430</v>
      </c>
      <c r="B67" s="249" t="n">
        <f aca="false">B68</f>
        <v>470</v>
      </c>
      <c r="C67" s="249" t="n">
        <f aca="false">C68</f>
        <v>470</v>
      </c>
    </row>
    <row r="68" customFormat="false" ht="14.25" hidden="false" customHeight="false" outlineLevel="0" collapsed="false">
      <c r="A68" s="249" t="n">
        <v>470</v>
      </c>
      <c r="B68" s="249" t="n">
        <v>470</v>
      </c>
      <c r="C68" s="249" t="n">
        <v>470</v>
      </c>
    </row>
    <row r="69" customFormat="false" ht="14.25" hidden="false" customHeight="false" outlineLevel="0" collapsed="false">
      <c r="A69" s="249" t="n">
        <v>510</v>
      </c>
      <c r="B69" s="249" t="n">
        <f aca="false">B70</f>
        <v>680</v>
      </c>
      <c r="C69" s="249" t="n">
        <f aca="false">C70</f>
        <v>680</v>
      </c>
    </row>
    <row r="70" customFormat="false" ht="14.25" hidden="false" customHeight="false" outlineLevel="0" collapsed="false">
      <c r="A70" s="249" t="n">
        <v>560</v>
      </c>
      <c r="B70" s="249" t="n">
        <f aca="false">B71</f>
        <v>680</v>
      </c>
      <c r="C70" s="249" t="n">
        <f aca="false">C71</f>
        <v>680</v>
      </c>
    </row>
    <row r="71" customFormat="false" ht="14.25" hidden="false" customHeight="false" outlineLevel="0" collapsed="false">
      <c r="A71" s="249" t="n">
        <v>620</v>
      </c>
      <c r="B71" s="249" t="n">
        <f aca="false">B72</f>
        <v>680</v>
      </c>
      <c r="C71" s="249" t="n">
        <f aca="false">C72</f>
        <v>680</v>
      </c>
    </row>
    <row r="72" customFormat="false" ht="14.25" hidden="false" customHeight="false" outlineLevel="0" collapsed="false">
      <c r="A72" s="249" t="n">
        <v>680</v>
      </c>
      <c r="B72" s="249" t="n">
        <v>680</v>
      </c>
      <c r="C72" s="249" t="n">
        <v>680</v>
      </c>
    </row>
    <row r="73" customFormat="false" ht="14.25" hidden="false" customHeight="false" outlineLevel="0" collapsed="false">
      <c r="A73" s="249" t="n">
        <v>750</v>
      </c>
      <c r="B73" s="249" t="n">
        <f aca="false">B74</f>
        <v>1000</v>
      </c>
      <c r="C73" s="249" t="n">
        <f aca="false">C74</f>
        <v>1000</v>
      </c>
    </row>
    <row r="74" customFormat="false" ht="14.25" hidden="false" customHeight="false" outlineLevel="0" collapsed="false">
      <c r="A74" s="249" t="n">
        <v>820</v>
      </c>
      <c r="B74" s="249" t="n">
        <f aca="false">B75</f>
        <v>1000</v>
      </c>
      <c r="C74" s="249" t="n">
        <f aca="false">C75</f>
        <v>1000</v>
      </c>
    </row>
    <row r="75" customFormat="false" ht="14.25" hidden="false" customHeight="false" outlineLevel="0" collapsed="false">
      <c r="A75" s="249" t="n">
        <v>910</v>
      </c>
      <c r="B75" s="249" t="n">
        <v>1000</v>
      </c>
      <c r="C75" s="249" t="n">
        <v>1000</v>
      </c>
    </row>
  </sheetData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2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5" activeCellId="0" sqref="F5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6" style="221" width="12.88"/>
  </cols>
  <sheetData>
    <row r="1" customFormat="false" ht="14.25" hidden="false" customHeight="false" outlineLevel="0" collapsed="false">
      <c r="A1" s="221" t="n">
        <v>0</v>
      </c>
      <c r="B1" s="221" t="n">
        <v>4</v>
      </c>
    </row>
    <row r="2" customFormat="false" ht="14.25" hidden="false" customHeight="false" outlineLevel="0" collapsed="false">
      <c r="A2" s="221" t="n">
        <v>1</v>
      </c>
      <c r="B2" s="221" t="n">
        <v>4</v>
      </c>
      <c r="E2" s="155"/>
      <c r="G2" s="251"/>
    </row>
    <row r="3" customFormat="false" ht="14.25" hidden="false" customHeight="false" outlineLevel="0" collapsed="false">
      <c r="A3" s="221" t="n">
        <v>2</v>
      </c>
      <c r="B3" s="221" t="n">
        <v>4</v>
      </c>
      <c r="E3" s="251"/>
      <c r="G3" s="155"/>
    </row>
    <row r="4" customFormat="false" ht="14.25" hidden="false" customHeight="false" outlineLevel="0" collapsed="false">
      <c r="A4" s="221" t="n">
        <v>3</v>
      </c>
      <c r="B4" s="221" t="n">
        <v>4</v>
      </c>
      <c r="E4" s="251"/>
    </row>
    <row r="5" customFormat="false" ht="14.25" hidden="false" customHeight="false" outlineLevel="0" collapsed="false">
      <c r="A5" s="221" t="n">
        <v>4</v>
      </c>
      <c r="B5" s="221" t="n">
        <v>16</v>
      </c>
      <c r="D5" s="252" t="s">
        <v>247</v>
      </c>
      <c r="E5" s="252"/>
      <c r="F5" s="253" t="str">
        <f aca="false">IF('Calculation Sheet'!G90="Infinite", "Infinite", VLOOKUP('Calculation Sheet'!G90,A1:B1024,2,TRUE()))</f>
        <v>Infinite</v>
      </c>
    </row>
    <row r="6" customFormat="false" ht="14.25" hidden="false" customHeight="false" outlineLevel="0" collapsed="false">
      <c r="A6" s="221" t="n">
        <v>5</v>
      </c>
      <c r="B6" s="221" t="n">
        <v>16</v>
      </c>
    </row>
    <row r="7" customFormat="false" ht="14.25" hidden="false" customHeight="false" outlineLevel="0" collapsed="false">
      <c r="A7" s="221" t="n">
        <v>6</v>
      </c>
      <c r="B7" s="221" t="n">
        <v>16</v>
      </c>
    </row>
    <row r="8" customFormat="false" ht="14.25" hidden="false" customHeight="false" outlineLevel="0" collapsed="false">
      <c r="A8" s="221" t="n">
        <v>7</v>
      </c>
      <c r="B8" s="221" t="n">
        <v>16</v>
      </c>
    </row>
    <row r="9" customFormat="false" ht="14.25" hidden="false" customHeight="false" outlineLevel="0" collapsed="false">
      <c r="A9" s="221" t="n">
        <v>8</v>
      </c>
      <c r="B9" s="221" t="n">
        <v>16</v>
      </c>
    </row>
    <row r="10" customFormat="false" ht="14.25" hidden="false" customHeight="false" outlineLevel="0" collapsed="false">
      <c r="A10" s="221" t="n">
        <v>9</v>
      </c>
      <c r="B10" s="221" t="n">
        <v>16</v>
      </c>
    </row>
    <row r="11" customFormat="false" ht="14.25" hidden="false" customHeight="false" outlineLevel="0" collapsed="false">
      <c r="A11" s="221" t="n">
        <v>10</v>
      </c>
      <c r="B11" s="221" t="n">
        <v>16</v>
      </c>
    </row>
    <row r="12" customFormat="false" ht="14.25" hidden="false" customHeight="false" outlineLevel="0" collapsed="false">
      <c r="A12" s="221" t="n">
        <v>11</v>
      </c>
      <c r="B12" s="221" t="n">
        <v>16</v>
      </c>
    </row>
    <row r="13" customFormat="false" ht="14.25" hidden="false" customHeight="false" outlineLevel="0" collapsed="false">
      <c r="A13" s="221" t="n">
        <v>12</v>
      </c>
      <c r="B13" s="221" t="n">
        <v>16</v>
      </c>
    </row>
    <row r="14" customFormat="false" ht="14.25" hidden="false" customHeight="false" outlineLevel="0" collapsed="false">
      <c r="A14" s="221" t="n">
        <v>13</v>
      </c>
      <c r="B14" s="221" t="n">
        <v>16</v>
      </c>
    </row>
    <row r="15" customFormat="false" ht="14.25" hidden="false" customHeight="false" outlineLevel="0" collapsed="false">
      <c r="A15" s="221" t="n">
        <v>14</v>
      </c>
      <c r="B15" s="221" t="n">
        <v>16</v>
      </c>
    </row>
    <row r="16" customFormat="false" ht="14.25" hidden="false" customHeight="false" outlineLevel="0" collapsed="false">
      <c r="A16" s="221" t="n">
        <v>15</v>
      </c>
      <c r="B16" s="221" t="n">
        <v>16</v>
      </c>
    </row>
    <row r="17" customFormat="false" ht="14.25" hidden="false" customHeight="false" outlineLevel="0" collapsed="false">
      <c r="A17" s="221" t="n">
        <v>16</v>
      </c>
      <c r="B17" s="221" t="n">
        <v>64</v>
      </c>
    </row>
    <row r="18" customFormat="false" ht="14.25" hidden="false" customHeight="false" outlineLevel="0" collapsed="false">
      <c r="A18" s="221" t="n">
        <v>17</v>
      </c>
      <c r="B18" s="221" t="n">
        <v>64</v>
      </c>
    </row>
    <row r="19" customFormat="false" ht="14.25" hidden="false" customHeight="false" outlineLevel="0" collapsed="false">
      <c r="A19" s="221" t="n">
        <v>18</v>
      </c>
      <c r="B19" s="221" t="n">
        <v>64</v>
      </c>
    </row>
    <row r="20" customFormat="false" ht="14.25" hidden="false" customHeight="false" outlineLevel="0" collapsed="false">
      <c r="A20" s="221" t="n">
        <v>19</v>
      </c>
      <c r="B20" s="221" t="n">
        <v>64</v>
      </c>
    </row>
    <row r="21" customFormat="false" ht="14.25" hidden="false" customHeight="false" outlineLevel="0" collapsed="false">
      <c r="A21" s="221" t="n">
        <v>20</v>
      </c>
      <c r="B21" s="221" t="n">
        <v>64</v>
      </c>
    </row>
    <row r="22" customFormat="false" ht="14.25" hidden="false" customHeight="false" outlineLevel="0" collapsed="false">
      <c r="A22" s="221" t="n">
        <v>21</v>
      </c>
      <c r="B22" s="221" t="n">
        <v>64</v>
      </c>
    </row>
    <row r="23" customFormat="false" ht="14.25" hidden="false" customHeight="false" outlineLevel="0" collapsed="false">
      <c r="A23" s="221" t="n">
        <v>22</v>
      </c>
      <c r="B23" s="221" t="n">
        <v>64</v>
      </c>
    </row>
    <row r="24" customFormat="false" ht="14.25" hidden="false" customHeight="false" outlineLevel="0" collapsed="false">
      <c r="A24" s="221" t="n">
        <v>23</v>
      </c>
      <c r="B24" s="221" t="n">
        <v>64</v>
      </c>
    </row>
    <row r="25" customFormat="false" ht="14.25" hidden="false" customHeight="false" outlineLevel="0" collapsed="false">
      <c r="A25" s="221" t="n">
        <v>24</v>
      </c>
      <c r="B25" s="221" t="n">
        <v>64</v>
      </c>
    </row>
    <row r="26" customFormat="false" ht="14.25" hidden="false" customHeight="false" outlineLevel="0" collapsed="false">
      <c r="A26" s="221" t="n">
        <v>25</v>
      </c>
      <c r="B26" s="221" t="n">
        <v>64</v>
      </c>
    </row>
    <row r="27" customFormat="false" ht="14.25" hidden="false" customHeight="false" outlineLevel="0" collapsed="false">
      <c r="A27" s="221" t="n">
        <v>26</v>
      </c>
      <c r="B27" s="221" t="n">
        <v>64</v>
      </c>
    </row>
    <row r="28" customFormat="false" ht="14.25" hidden="false" customHeight="false" outlineLevel="0" collapsed="false">
      <c r="A28" s="221" t="n">
        <v>27</v>
      </c>
      <c r="B28" s="221" t="n">
        <v>64</v>
      </c>
    </row>
    <row r="29" customFormat="false" ht="14.25" hidden="false" customHeight="false" outlineLevel="0" collapsed="false">
      <c r="A29" s="221" t="n">
        <v>28</v>
      </c>
      <c r="B29" s="221" t="n">
        <v>64</v>
      </c>
    </row>
    <row r="30" customFormat="false" ht="14.25" hidden="false" customHeight="false" outlineLevel="0" collapsed="false">
      <c r="A30" s="221" t="n">
        <v>29</v>
      </c>
      <c r="B30" s="221" t="n">
        <v>64</v>
      </c>
    </row>
    <row r="31" customFormat="false" ht="14.25" hidden="false" customHeight="false" outlineLevel="0" collapsed="false">
      <c r="A31" s="221" t="n">
        <v>30</v>
      </c>
      <c r="B31" s="221" t="n">
        <v>64</v>
      </c>
    </row>
    <row r="32" customFormat="false" ht="14.25" hidden="false" customHeight="false" outlineLevel="0" collapsed="false">
      <c r="A32" s="221" t="n">
        <v>31</v>
      </c>
      <c r="B32" s="221" t="n">
        <v>64</v>
      </c>
    </row>
    <row r="33" customFormat="false" ht="14.25" hidden="false" customHeight="false" outlineLevel="0" collapsed="false">
      <c r="A33" s="221" t="n">
        <v>32</v>
      </c>
      <c r="B33" s="221" t="n">
        <v>64</v>
      </c>
    </row>
    <row r="34" customFormat="false" ht="14.25" hidden="false" customHeight="false" outlineLevel="0" collapsed="false">
      <c r="A34" s="221" t="n">
        <v>33</v>
      </c>
      <c r="B34" s="221" t="n">
        <v>64</v>
      </c>
    </row>
    <row r="35" customFormat="false" ht="14.25" hidden="false" customHeight="false" outlineLevel="0" collapsed="false">
      <c r="A35" s="221" t="n">
        <v>34</v>
      </c>
      <c r="B35" s="221" t="n">
        <v>64</v>
      </c>
    </row>
    <row r="36" customFormat="false" ht="14.25" hidden="false" customHeight="false" outlineLevel="0" collapsed="false">
      <c r="A36" s="221" t="n">
        <v>35</v>
      </c>
      <c r="B36" s="221" t="n">
        <v>64</v>
      </c>
    </row>
    <row r="37" customFormat="false" ht="14.25" hidden="false" customHeight="false" outlineLevel="0" collapsed="false">
      <c r="A37" s="221" t="n">
        <v>36</v>
      </c>
      <c r="B37" s="221" t="n">
        <v>64</v>
      </c>
    </row>
    <row r="38" customFormat="false" ht="14.25" hidden="false" customHeight="false" outlineLevel="0" collapsed="false">
      <c r="A38" s="221" t="n">
        <v>37</v>
      </c>
      <c r="B38" s="221" t="n">
        <v>64</v>
      </c>
    </row>
    <row r="39" customFormat="false" ht="14.25" hidden="false" customHeight="false" outlineLevel="0" collapsed="false">
      <c r="A39" s="221" t="n">
        <v>38</v>
      </c>
      <c r="B39" s="221" t="n">
        <v>64</v>
      </c>
    </row>
    <row r="40" customFormat="false" ht="14.25" hidden="false" customHeight="false" outlineLevel="0" collapsed="false">
      <c r="A40" s="221" t="n">
        <v>39</v>
      </c>
      <c r="B40" s="221" t="n">
        <v>64</v>
      </c>
    </row>
    <row r="41" customFormat="false" ht="14.25" hidden="false" customHeight="false" outlineLevel="0" collapsed="false">
      <c r="A41" s="221" t="n">
        <v>40</v>
      </c>
      <c r="B41" s="221" t="n">
        <v>64</v>
      </c>
    </row>
    <row r="42" customFormat="false" ht="14.25" hidden="false" customHeight="false" outlineLevel="0" collapsed="false">
      <c r="A42" s="221" t="n">
        <v>41</v>
      </c>
      <c r="B42" s="221" t="n">
        <v>64</v>
      </c>
    </row>
    <row r="43" customFormat="false" ht="14.25" hidden="false" customHeight="false" outlineLevel="0" collapsed="false">
      <c r="A43" s="221" t="n">
        <v>42</v>
      </c>
      <c r="B43" s="221" t="n">
        <v>64</v>
      </c>
    </row>
    <row r="44" customFormat="false" ht="14.25" hidden="false" customHeight="false" outlineLevel="0" collapsed="false">
      <c r="A44" s="221" t="n">
        <v>43</v>
      </c>
      <c r="B44" s="221" t="n">
        <v>64</v>
      </c>
    </row>
    <row r="45" customFormat="false" ht="14.25" hidden="false" customHeight="false" outlineLevel="0" collapsed="false">
      <c r="A45" s="221" t="n">
        <v>44</v>
      </c>
      <c r="B45" s="221" t="n">
        <v>64</v>
      </c>
    </row>
    <row r="46" customFormat="false" ht="14.25" hidden="false" customHeight="false" outlineLevel="0" collapsed="false">
      <c r="A46" s="221" t="n">
        <v>45</v>
      </c>
      <c r="B46" s="221" t="n">
        <v>64</v>
      </c>
    </row>
    <row r="47" customFormat="false" ht="14.25" hidden="false" customHeight="false" outlineLevel="0" collapsed="false">
      <c r="A47" s="221" t="n">
        <v>46</v>
      </c>
      <c r="B47" s="221" t="n">
        <v>64</v>
      </c>
    </row>
    <row r="48" customFormat="false" ht="14.25" hidden="false" customHeight="false" outlineLevel="0" collapsed="false">
      <c r="A48" s="221" t="n">
        <v>47</v>
      </c>
      <c r="B48" s="221" t="n">
        <v>64</v>
      </c>
    </row>
    <row r="49" customFormat="false" ht="14.25" hidden="false" customHeight="false" outlineLevel="0" collapsed="false">
      <c r="A49" s="221" t="n">
        <v>48</v>
      </c>
      <c r="B49" s="221" t="n">
        <v>64</v>
      </c>
    </row>
    <row r="50" customFormat="false" ht="14.25" hidden="false" customHeight="false" outlineLevel="0" collapsed="false">
      <c r="A50" s="221" t="n">
        <v>49</v>
      </c>
      <c r="B50" s="221" t="n">
        <v>64</v>
      </c>
    </row>
    <row r="51" customFormat="false" ht="14.25" hidden="false" customHeight="false" outlineLevel="0" collapsed="false">
      <c r="A51" s="221" t="n">
        <v>50</v>
      </c>
      <c r="B51" s="221" t="n">
        <v>64</v>
      </c>
    </row>
    <row r="52" customFormat="false" ht="14.25" hidden="false" customHeight="false" outlineLevel="0" collapsed="false">
      <c r="A52" s="221" t="n">
        <v>51</v>
      </c>
      <c r="B52" s="221" t="n">
        <v>64</v>
      </c>
    </row>
    <row r="53" customFormat="false" ht="14.25" hidden="false" customHeight="false" outlineLevel="0" collapsed="false">
      <c r="A53" s="221" t="n">
        <v>52</v>
      </c>
      <c r="B53" s="221" t="n">
        <v>64</v>
      </c>
    </row>
    <row r="54" customFormat="false" ht="14.25" hidden="false" customHeight="false" outlineLevel="0" collapsed="false">
      <c r="A54" s="221" t="n">
        <v>53</v>
      </c>
      <c r="B54" s="221" t="n">
        <v>64</v>
      </c>
    </row>
    <row r="55" customFormat="false" ht="14.25" hidden="false" customHeight="false" outlineLevel="0" collapsed="false">
      <c r="A55" s="221" t="n">
        <v>54</v>
      </c>
      <c r="B55" s="221" t="n">
        <v>64</v>
      </c>
    </row>
    <row r="56" customFormat="false" ht="14.25" hidden="false" customHeight="false" outlineLevel="0" collapsed="false">
      <c r="A56" s="221" t="n">
        <v>55</v>
      </c>
      <c r="B56" s="221" t="n">
        <v>64</v>
      </c>
    </row>
    <row r="57" customFormat="false" ht="14.25" hidden="false" customHeight="false" outlineLevel="0" collapsed="false">
      <c r="A57" s="221" t="n">
        <v>56</v>
      </c>
      <c r="B57" s="221" t="n">
        <v>64</v>
      </c>
    </row>
    <row r="58" customFormat="false" ht="14.25" hidden="false" customHeight="false" outlineLevel="0" collapsed="false">
      <c r="A58" s="221" t="n">
        <v>57</v>
      </c>
      <c r="B58" s="221" t="n">
        <v>64</v>
      </c>
    </row>
    <row r="59" customFormat="false" ht="14.25" hidden="false" customHeight="false" outlineLevel="0" collapsed="false">
      <c r="A59" s="221" t="n">
        <v>58</v>
      </c>
      <c r="B59" s="221" t="n">
        <v>64</v>
      </c>
    </row>
    <row r="60" customFormat="false" ht="14.25" hidden="false" customHeight="false" outlineLevel="0" collapsed="false">
      <c r="A60" s="221" t="n">
        <v>59</v>
      </c>
      <c r="B60" s="221" t="n">
        <v>64</v>
      </c>
    </row>
    <row r="61" customFormat="false" ht="14.25" hidden="false" customHeight="false" outlineLevel="0" collapsed="false">
      <c r="A61" s="221" t="n">
        <v>60</v>
      </c>
      <c r="B61" s="221" t="n">
        <v>64</v>
      </c>
    </row>
    <row r="62" customFormat="false" ht="14.25" hidden="false" customHeight="false" outlineLevel="0" collapsed="false">
      <c r="A62" s="221" t="n">
        <v>61</v>
      </c>
      <c r="B62" s="221" t="n">
        <v>64</v>
      </c>
    </row>
    <row r="63" customFormat="false" ht="14.25" hidden="false" customHeight="false" outlineLevel="0" collapsed="false">
      <c r="A63" s="221" t="n">
        <v>62</v>
      </c>
      <c r="B63" s="221" t="n">
        <v>64</v>
      </c>
    </row>
    <row r="64" customFormat="false" ht="14.25" hidden="false" customHeight="false" outlineLevel="0" collapsed="false">
      <c r="A64" s="221" t="n">
        <v>63</v>
      </c>
      <c r="B64" s="221" t="n">
        <v>64</v>
      </c>
    </row>
    <row r="65" customFormat="false" ht="14.25" hidden="false" customHeight="false" outlineLevel="0" collapsed="false">
      <c r="A65" s="221" t="n">
        <v>64</v>
      </c>
      <c r="B65" s="221" t="n">
        <v>256</v>
      </c>
    </row>
    <row r="66" customFormat="false" ht="14.25" hidden="false" customHeight="false" outlineLevel="0" collapsed="false">
      <c r="A66" s="221" t="n">
        <v>65</v>
      </c>
      <c r="B66" s="221" t="n">
        <v>256</v>
      </c>
    </row>
    <row r="67" customFormat="false" ht="14.25" hidden="false" customHeight="false" outlineLevel="0" collapsed="false">
      <c r="A67" s="221" t="n">
        <v>66</v>
      </c>
      <c r="B67" s="221" t="n">
        <v>256</v>
      </c>
    </row>
    <row r="68" customFormat="false" ht="14.25" hidden="false" customHeight="false" outlineLevel="0" collapsed="false">
      <c r="A68" s="221" t="n">
        <v>67</v>
      </c>
      <c r="B68" s="221" t="n">
        <v>256</v>
      </c>
    </row>
    <row r="69" customFormat="false" ht="14.25" hidden="false" customHeight="false" outlineLevel="0" collapsed="false">
      <c r="A69" s="221" t="n">
        <v>68</v>
      </c>
      <c r="B69" s="221" t="n">
        <v>256</v>
      </c>
    </row>
    <row r="70" customFormat="false" ht="14.25" hidden="false" customHeight="false" outlineLevel="0" collapsed="false">
      <c r="A70" s="221" t="n">
        <v>69</v>
      </c>
      <c r="B70" s="221" t="n">
        <v>256</v>
      </c>
    </row>
    <row r="71" customFormat="false" ht="14.25" hidden="false" customHeight="false" outlineLevel="0" collapsed="false">
      <c r="A71" s="221" t="n">
        <v>70</v>
      </c>
      <c r="B71" s="221" t="n">
        <v>256</v>
      </c>
    </row>
    <row r="72" customFormat="false" ht="14.25" hidden="false" customHeight="false" outlineLevel="0" collapsed="false">
      <c r="A72" s="221" t="n">
        <v>71</v>
      </c>
      <c r="B72" s="221" t="n">
        <v>256</v>
      </c>
    </row>
    <row r="73" customFormat="false" ht="14.25" hidden="false" customHeight="false" outlineLevel="0" collapsed="false">
      <c r="A73" s="221" t="n">
        <v>72</v>
      </c>
      <c r="B73" s="221" t="n">
        <v>256</v>
      </c>
    </row>
    <row r="74" customFormat="false" ht="14.25" hidden="false" customHeight="false" outlineLevel="0" collapsed="false">
      <c r="A74" s="221" t="n">
        <v>73</v>
      </c>
      <c r="B74" s="221" t="n">
        <v>256</v>
      </c>
    </row>
    <row r="75" customFormat="false" ht="14.25" hidden="false" customHeight="false" outlineLevel="0" collapsed="false">
      <c r="A75" s="221" t="n">
        <v>74</v>
      </c>
      <c r="B75" s="221" t="n">
        <v>256</v>
      </c>
    </row>
    <row r="76" customFormat="false" ht="14.25" hidden="false" customHeight="false" outlineLevel="0" collapsed="false">
      <c r="A76" s="221" t="n">
        <v>75</v>
      </c>
      <c r="B76" s="221" t="n">
        <v>256</v>
      </c>
    </row>
    <row r="77" customFormat="false" ht="14.25" hidden="false" customHeight="false" outlineLevel="0" collapsed="false">
      <c r="A77" s="221" t="n">
        <v>76</v>
      </c>
      <c r="B77" s="221" t="n">
        <v>256</v>
      </c>
    </row>
    <row r="78" customFormat="false" ht="14.25" hidden="false" customHeight="false" outlineLevel="0" collapsed="false">
      <c r="A78" s="221" t="n">
        <v>77</v>
      </c>
      <c r="B78" s="221" t="n">
        <v>256</v>
      </c>
    </row>
    <row r="79" customFormat="false" ht="14.25" hidden="false" customHeight="false" outlineLevel="0" collapsed="false">
      <c r="A79" s="221" t="n">
        <v>78</v>
      </c>
      <c r="B79" s="221" t="n">
        <v>256</v>
      </c>
    </row>
    <row r="80" customFormat="false" ht="14.25" hidden="false" customHeight="false" outlineLevel="0" collapsed="false">
      <c r="A80" s="221" t="n">
        <v>79</v>
      </c>
      <c r="B80" s="221" t="n">
        <v>256</v>
      </c>
    </row>
    <row r="81" customFormat="false" ht="14.25" hidden="false" customHeight="false" outlineLevel="0" collapsed="false">
      <c r="A81" s="221" t="n">
        <v>80</v>
      </c>
      <c r="B81" s="221" t="n">
        <v>256</v>
      </c>
    </row>
    <row r="82" customFormat="false" ht="14.25" hidden="false" customHeight="false" outlineLevel="0" collapsed="false">
      <c r="A82" s="221" t="n">
        <v>81</v>
      </c>
      <c r="B82" s="221" t="n">
        <v>256</v>
      </c>
    </row>
    <row r="83" customFormat="false" ht="14.25" hidden="false" customHeight="false" outlineLevel="0" collapsed="false">
      <c r="A83" s="221" t="n">
        <v>82</v>
      </c>
      <c r="B83" s="221" t="n">
        <v>256</v>
      </c>
    </row>
    <row r="84" customFormat="false" ht="14.25" hidden="false" customHeight="false" outlineLevel="0" collapsed="false">
      <c r="A84" s="221" t="n">
        <v>83</v>
      </c>
      <c r="B84" s="221" t="n">
        <v>256</v>
      </c>
    </row>
    <row r="85" customFormat="false" ht="14.25" hidden="false" customHeight="false" outlineLevel="0" collapsed="false">
      <c r="A85" s="221" t="n">
        <v>84</v>
      </c>
      <c r="B85" s="221" t="n">
        <v>256</v>
      </c>
    </row>
    <row r="86" customFormat="false" ht="14.25" hidden="false" customHeight="false" outlineLevel="0" collapsed="false">
      <c r="A86" s="221" t="n">
        <v>85</v>
      </c>
      <c r="B86" s="221" t="n">
        <v>256</v>
      </c>
    </row>
    <row r="87" customFormat="false" ht="14.25" hidden="false" customHeight="false" outlineLevel="0" collapsed="false">
      <c r="A87" s="221" t="n">
        <v>86</v>
      </c>
      <c r="B87" s="221" t="n">
        <v>256</v>
      </c>
    </row>
    <row r="88" customFormat="false" ht="14.25" hidden="false" customHeight="false" outlineLevel="0" collapsed="false">
      <c r="A88" s="221" t="n">
        <v>87</v>
      </c>
      <c r="B88" s="221" t="n">
        <v>256</v>
      </c>
    </row>
    <row r="89" customFormat="false" ht="14.25" hidden="false" customHeight="false" outlineLevel="0" collapsed="false">
      <c r="A89" s="221" t="n">
        <v>88</v>
      </c>
      <c r="B89" s="221" t="n">
        <v>256</v>
      </c>
    </row>
    <row r="90" customFormat="false" ht="14.25" hidden="false" customHeight="false" outlineLevel="0" collapsed="false">
      <c r="A90" s="221" t="n">
        <v>89</v>
      </c>
      <c r="B90" s="221" t="n">
        <v>256</v>
      </c>
    </row>
    <row r="91" customFormat="false" ht="14.25" hidden="false" customHeight="false" outlineLevel="0" collapsed="false">
      <c r="A91" s="221" t="n">
        <v>90</v>
      </c>
      <c r="B91" s="221" t="n">
        <v>256</v>
      </c>
    </row>
    <row r="92" customFormat="false" ht="14.25" hidden="false" customHeight="false" outlineLevel="0" collapsed="false">
      <c r="A92" s="221" t="n">
        <v>91</v>
      </c>
      <c r="B92" s="221" t="n">
        <v>256</v>
      </c>
    </row>
    <row r="93" customFormat="false" ht="14.25" hidden="false" customHeight="false" outlineLevel="0" collapsed="false">
      <c r="A93" s="221" t="n">
        <v>92</v>
      </c>
      <c r="B93" s="221" t="n">
        <v>256</v>
      </c>
    </row>
    <row r="94" customFormat="false" ht="14.25" hidden="false" customHeight="false" outlineLevel="0" collapsed="false">
      <c r="A94" s="221" t="n">
        <v>93</v>
      </c>
      <c r="B94" s="221" t="n">
        <v>256</v>
      </c>
    </row>
    <row r="95" customFormat="false" ht="14.25" hidden="false" customHeight="false" outlineLevel="0" collapsed="false">
      <c r="A95" s="221" t="n">
        <v>94</v>
      </c>
      <c r="B95" s="221" t="n">
        <v>256</v>
      </c>
    </row>
    <row r="96" customFormat="false" ht="14.25" hidden="false" customHeight="false" outlineLevel="0" collapsed="false">
      <c r="A96" s="221" t="n">
        <v>95</v>
      </c>
      <c r="B96" s="221" t="n">
        <v>256</v>
      </c>
    </row>
    <row r="97" customFormat="false" ht="14.25" hidden="false" customHeight="false" outlineLevel="0" collapsed="false">
      <c r="A97" s="221" t="n">
        <v>96</v>
      </c>
      <c r="B97" s="221" t="n">
        <v>256</v>
      </c>
    </row>
    <row r="98" customFormat="false" ht="14.25" hidden="false" customHeight="false" outlineLevel="0" collapsed="false">
      <c r="A98" s="221" t="n">
        <v>97</v>
      </c>
      <c r="B98" s="221" t="n">
        <v>256</v>
      </c>
    </row>
    <row r="99" customFormat="false" ht="14.25" hidden="false" customHeight="false" outlineLevel="0" collapsed="false">
      <c r="A99" s="221" t="n">
        <v>98</v>
      </c>
      <c r="B99" s="221" t="n">
        <v>256</v>
      </c>
    </row>
    <row r="100" customFormat="false" ht="14.25" hidden="false" customHeight="false" outlineLevel="0" collapsed="false">
      <c r="A100" s="221" t="n">
        <v>99</v>
      </c>
      <c r="B100" s="221" t="n">
        <v>256</v>
      </c>
    </row>
    <row r="101" customFormat="false" ht="14.25" hidden="false" customHeight="false" outlineLevel="0" collapsed="false">
      <c r="A101" s="221" t="n">
        <v>100</v>
      </c>
      <c r="B101" s="221" t="n">
        <v>256</v>
      </c>
    </row>
    <row r="102" customFormat="false" ht="14.25" hidden="false" customHeight="false" outlineLevel="0" collapsed="false">
      <c r="A102" s="221" t="n">
        <v>101</v>
      </c>
      <c r="B102" s="221" t="n">
        <v>256</v>
      </c>
    </row>
    <row r="103" customFormat="false" ht="14.25" hidden="false" customHeight="false" outlineLevel="0" collapsed="false">
      <c r="A103" s="221" t="n">
        <v>102</v>
      </c>
      <c r="B103" s="221" t="n">
        <v>256</v>
      </c>
    </row>
    <row r="104" customFormat="false" ht="14.25" hidden="false" customHeight="false" outlineLevel="0" collapsed="false">
      <c r="A104" s="221" t="n">
        <v>103</v>
      </c>
      <c r="B104" s="221" t="n">
        <v>256</v>
      </c>
    </row>
    <row r="105" customFormat="false" ht="14.25" hidden="false" customHeight="false" outlineLevel="0" collapsed="false">
      <c r="A105" s="221" t="n">
        <v>104</v>
      </c>
      <c r="B105" s="221" t="n">
        <v>256</v>
      </c>
    </row>
    <row r="106" customFormat="false" ht="14.25" hidden="false" customHeight="false" outlineLevel="0" collapsed="false">
      <c r="A106" s="221" t="n">
        <v>105</v>
      </c>
      <c r="B106" s="221" t="n">
        <v>256</v>
      </c>
    </row>
    <row r="107" customFormat="false" ht="14.25" hidden="false" customHeight="false" outlineLevel="0" collapsed="false">
      <c r="A107" s="221" t="n">
        <v>106</v>
      </c>
      <c r="B107" s="221" t="n">
        <v>256</v>
      </c>
    </row>
    <row r="108" customFormat="false" ht="14.25" hidden="false" customHeight="false" outlineLevel="0" collapsed="false">
      <c r="A108" s="221" t="n">
        <v>107</v>
      </c>
      <c r="B108" s="221" t="n">
        <v>256</v>
      </c>
    </row>
    <row r="109" customFormat="false" ht="14.25" hidden="false" customHeight="false" outlineLevel="0" collapsed="false">
      <c r="A109" s="221" t="n">
        <v>108</v>
      </c>
      <c r="B109" s="221" t="n">
        <v>256</v>
      </c>
    </row>
    <row r="110" customFormat="false" ht="14.25" hidden="false" customHeight="false" outlineLevel="0" collapsed="false">
      <c r="A110" s="221" t="n">
        <v>109</v>
      </c>
      <c r="B110" s="221" t="n">
        <v>256</v>
      </c>
    </row>
    <row r="111" customFormat="false" ht="14.25" hidden="false" customHeight="false" outlineLevel="0" collapsed="false">
      <c r="A111" s="221" t="n">
        <v>110</v>
      </c>
      <c r="B111" s="221" t="n">
        <v>256</v>
      </c>
    </row>
    <row r="112" customFormat="false" ht="14.25" hidden="false" customHeight="false" outlineLevel="0" collapsed="false">
      <c r="A112" s="221" t="n">
        <v>111</v>
      </c>
      <c r="B112" s="221" t="n">
        <v>256</v>
      </c>
    </row>
    <row r="113" customFormat="false" ht="14.25" hidden="false" customHeight="false" outlineLevel="0" collapsed="false">
      <c r="A113" s="221" t="n">
        <v>112</v>
      </c>
      <c r="B113" s="221" t="n">
        <v>256</v>
      </c>
    </row>
    <row r="114" customFormat="false" ht="14.25" hidden="false" customHeight="false" outlineLevel="0" collapsed="false">
      <c r="A114" s="221" t="n">
        <v>113</v>
      </c>
      <c r="B114" s="221" t="n">
        <v>256</v>
      </c>
    </row>
    <row r="115" customFormat="false" ht="14.25" hidden="false" customHeight="false" outlineLevel="0" collapsed="false">
      <c r="A115" s="221" t="n">
        <v>114</v>
      </c>
      <c r="B115" s="221" t="n">
        <v>256</v>
      </c>
    </row>
    <row r="116" customFormat="false" ht="14.25" hidden="false" customHeight="false" outlineLevel="0" collapsed="false">
      <c r="A116" s="221" t="n">
        <v>115</v>
      </c>
      <c r="B116" s="221" t="n">
        <v>256</v>
      </c>
    </row>
    <row r="117" customFormat="false" ht="14.25" hidden="false" customHeight="false" outlineLevel="0" collapsed="false">
      <c r="A117" s="221" t="n">
        <v>116</v>
      </c>
      <c r="B117" s="221" t="n">
        <v>256</v>
      </c>
    </row>
    <row r="118" customFormat="false" ht="14.25" hidden="false" customHeight="false" outlineLevel="0" collapsed="false">
      <c r="A118" s="221" t="n">
        <v>117</v>
      </c>
      <c r="B118" s="221" t="n">
        <v>256</v>
      </c>
    </row>
    <row r="119" customFormat="false" ht="14.25" hidden="false" customHeight="false" outlineLevel="0" collapsed="false">
      <c r="A119" s="221" t="n">
        <v>118</v>
      </c>
      <c r="B119" s="221" t="n">
        <v>256</v>
      </c>
    </row>
    <row r="120" customFormat="false" ht="14.25" hidden="false" customHeight="false" outlineLevel="0" collapsed="false">
      <c r="A120" s="221" t="n">
        <v>119</v>
      </c>
      <c r="B120" s="221" t="n">
        <v>256</v>
      </c>
    </row>
    <row r="121" customFormat="false" ht="14.25" hidden="false" customHeight="false" outlineLevel="0" collapsed="false">
      <c r="A121" s="221" t="n">
        <v>120</v>
      </c>
      <c r="B121" s="221" t="n">
        <v>256</v>
      </c>
    </row>
    <row r="122" customFormat="false" ht="14.25" hidden="false" customHeight="false" outlineLevel="0" collapsed="false">
      <c r="A122" s="221" t="n">
        <v>121</v>
      </c>
      <c r="B122" s="221" t="n">
        <v>256</v>
      </c>
    </row>
    <row r="123" customFormat="false" ht="14.25" hidden="false" customHeight="false" outlineLevel="0" collapsed="false">
      <c r="A123" s="221" t="n">
        <v>122</v>
      </c>
      <c r="B123" s="221" t="n">
        <v>256</v>
      </c>
    </row>
    <row r="124" customFormat="false" ht="14.25" hidden="false" customHeight="false" outlineLevel="0" collapsed="false">
      <c r="A124" s="221" t="n">
        <v>123</v>
      </c>
      <c r="B124" s="221" t="n">
        <v>256</v>
      </c>
    </row>
    <row r="125" customFormat="false" ht="14.25" hidden="false" customHeight="false" outlineLevel="0" collapsed="false">
      <c r="A125" s="221" t="n">
        <v>124</v>
      </c>
      <c r="B125" s="221" t="n">
        <v>256</v>
      </c>
    </row>
    <row r="126" customFormat="false" ht="14.25" hidden="false" customHeight="false" outlineLevel="0" collapsed="false">
      <c r="A126" s="221" t="n">
        <v>125</v>
      </c>
      <c r="B126" s="221" t="n">
        <v>256</v>
      </c>
    </row>
    <row r="127" customFormat="false" ht="14.25" hidden="false" customHeight="false" outlineLevel="0" collapsed="false">
      <c r="A127" s="221" t="n">
        <v>126</v>
      </c>
      <c r="B127" s="221" t="n">
        <v>256</v>
      </c>
    </row>
    <row r="128" customFormat="false" ht="14.25" hidden="false" customHeight="false" outlineLevel="0" collapsed="false">
      <c r="A128" s="221" t="n">
        <v>127</v>
      </c>
      <c r="B128" s="221" t="n">
        <v>256</v>
      </c>
    </row>
    <row r="129" customFormat="false" ht="14.25" hidden="false" customHeight="false" outlineLevel="0" collapsed="false">
      <c r="A129" s="221" t="n">
        <v>128</v>
      </c>
      <c r="B129" s="221" t="n">
        <v>256</v>
      </c>
    </row>
    <row r="130" customFormat="false" ht="14.25" hidden="false" customHeight="false" outlineLevel="0" collapsed="false">
      <c r="A130" s="221" t="n">
        <v>129</v>
      </c>
      <c r="B130" s="221" t="n">
        <v>256</v>
      </c>
    </row>
    <row r="131" customFormat="false" ht="14.25" hidden="false" customHeight="false" outlineLevel="0" collapsed="false">
      <c r="A131" s="221" t="n">
        <v>130</v>
      </c>
      <c r="B131" s="221" t="n">
        <v>256</v>
      </c>
    </row>
    <row r="132" customFormat="false" ht="14.25" hidden="false" customHeight="false" outlineLevel="0" collapsed="false">
      <c r="A132" s="221" t="n">
        <v>131</v>
      </c>
      <c r="B132" s="221" t="n">
        <v>256</v>
      </c>
    </row>
    <row r="133" customFormat="false" ht="14.25" hidden="false" customHeight="false" outlineLevel="0" collapsed="false">
      <c r="A133" s="221" t="n">
        <v>132</v>
      </c>
      <c r="B133" s="221" t="n">
        <v>256</v>
      </c>
    </row>
    <row r="134" customFormat="false" ht="14.25" hidden="false" customHeight="false" outlineLevel="0" collapsed="false">
      <c r="A134" s="221" t="n">
        <v>133</v>
      </c>
      <c r="B134" s="221" t="n">
        <v>256</v>
      </c>
    </row>
    <row r="135" customFormat="false" ht="14.25" hidden="false" customHeight="false" outlineLevel="0" collapsed="false">
      <c r="A135" s="221" t="n">
        <v>134</v>
      </c>
      <c r="B135" s="221" t="n">
        <v>256</v>
      </c>
    </row>
    <row r="136" customFormat="false" ht="14.25" hidden="false" customHeight="false" outlineLevel="0" collapsed="false">
      <c r="A136" s="221" t="n">
        <v>135</v>
      </c>
      <c r="B136" s="221" t="n">
        <v>256</v>
      </c>
    </row>
    <row r="137" customFormat="false" ht="14.25" hidden="false" customHeight="false" outlineLevel="0" collapsed="false">
      <c r="A137" s="221" t="n">
        <v>136</v>
      </c>
      <c r="B137" s="221" t="n">
        <v>256</v>
      </c>
    </row>
    <row r="138" customFormat="false" ht="14.25" hidden="false" customHeight="false" outlineLevel="0" collapsed="false">
      <c r="A138" s="221" t="n">
        <v>137</v>
      </c>
      <c r="B138" s="221" t="n">
        <v>256</v>
      </c>
    </row>
    <row r="139" customFormat="false" ht="14.25" hidden="false" customHeight="false" outlineLevel="0" collapsed="false">
      <c r="A139" s="221" t="n">
        <v>138</v>
      </c>
      <c r="B139" s="221" t="n">
        <v>256</v>
      </c>
    </row>
    <row r="140" customFormat="false" ht="14.25" hidden="false" customHeight="false" outlineLevel="0" collapsed="false">
      <c r="A140" s="221" t="n">
        <v>139</v>
      </c>
      <c r="B140" s="221" t="n">
        <v>256</v>
      </c>
    </row>
    <row r="141" customFormat="false" ht="14.25" hidden="false" customHeight="false" outlineLevel="0" collapsed="false">
      <c r="A141" s="221" t="n">
        <v>140</v>
      </c>
      <c r="B141" s="221" t="n">
        <v>256</v>
      </c>
    </row>
    <row r="142" customFormat="false" ht="14.25" hidden="false" customHeight="false" outlineLevel="0" collapsed="false">
      <c r="A142" s="221" t="n">
        <v>141</v>
      </c>
      <c r="B142" s="221" t="n">
        <v>256</v>
      </c>
    </row>
    <row r="143" customFormat="false" ht="14.25" hidden="false" customHeight="false" outlineLevel="0" collapsed="false">
      <c r="A143" s="221" t="n">
        <v>142</v>
      </c>
      <c r="B143" s="221" t="n">
        <v>256</v>
      </c>
    </row>
    <row r="144" customFormat="false" ht="14.25" hidden="false" customHeight="false" outlineLevel="0" collapsed="false">
      <c r="A144" s="221" t="n">
        <v>143</v>
      </c>
      <c r="B144" s="221" t="n">
        <v>256</v>
      </c>
    </row>
    <row r="145" customFormat="false" ht="14.25" hidden="false" customHeight="false" outlineLevel="0" collapsed="false">
      <c r="A145" s="221" t="n">
        <v>144</v>
      </c>
      <c r="B145" s="221" t="n">
        <v>256</v>
      </c>
    </row>
    <row r="146" customFormat="false" ht="14.25" hidden="false" customHeight="false" outlineLevel="0" collapsed="false">
      <c r="A146" s="221" t="n">
        <v>145</v>
      </c>
      <c r="B146" s="221" t="n">
        <v>256</v>
      </c>
    </row>
    <row r="147" customFormat="false" ht="14.25" hidden="false" customHeight="false" outlineLevel="0" collapsed="false">
      <c r="A147" s="221" t="n">
        <v>146</v>
      </c>
      <c r="B147" s="221" t="n">
        <v>256</v>
      </c>
    </row>
    <row r="148" customFormat="false" ht="14.25" hidden="false" customHeight="false" outlineLevel="0" collapsed="false">
      <c r="A148" s="221" t="n">
        <v>147</v>
      </c>
      <c r="B148" s="221" t="n">
        <v>256</v>
      </c>
    </row>
    <row r="149" customFormat="false" ht="14.25" hidden="false" customHeight="false" outlineLevel="0" collapsed="false">
      <c r="A149" s="221" t="n">
        <v>148</v>
      </c>
      <c r="B149" s="221" t="n">
        <v>256</v>
      </c>
    </row>
    <row r="150" customFormat="false" ht="14.25" hidden="false" customHeight="false" outlineLevel="0" collapsed="false">
      <c r="A150" s="221" t="n">
        <v>149</v>
      </c>
      <c r="B150" s="221" t="n">
        <v>256</v>
      </c>
    </row>
    <row r="151" customFormat="false" ht="14.25" hidden="false" customHeight="false" outlineLevel="0" collapsed="false">
      <c r="A151" s="221" t="n">
        <v>150</v>
      </c>
      <c r="B151" s="221" t="n">
        <v>256</v>
      </c>
    </row>
    <row r="152" customFormat="false" ht="14.25" hidden="false" customHeight="false" outlineLevel="0" collapsed="false">
      <c r="A152" s="221" t="n">
        <v>151</v>
      </c>
      <c r="B152" s="221" t="n">
        <v>256</v>
      </c>
    </row>
    <row r="153" customFormat="false" ht="14.25" hidden="false" customHeight="false" outlineLevel="0" collapsed="false">
      <c r="A153" s="221" t="n">
        <v>152</v>
      </c>
      <c r="B153" s="221" t="n">
        <v>256</v>
      </c>
    </row>
    <row r="154" customFormat="false" ht="14.25" hidden="false" customHeight="false" outlineLevel="0" collapsed="false">
      <c r="A154" s="221" t="n">
        <v>153</v>
      </c>
      <c r="B154" s="221" t="n">
        <v>256</v>
      </c>
    </row>
    <row r="155" customFormat="false" ht="14.25" hidden="false" customHeight="false" outlineLevel="0" collapsed="false">
      <c r="A155" s="221" t="n">
        <v>154</v>
      </c>
      <c r="B155" s="221" t="n">
        <v>256</v>
      </c>
    </row>
    <row r="156" customFormat="false" ht="14.25" hidden="false" customHeight="false" outlineLevel="0" collapsed="false">
      <c r="A156" s="221" t="n">
        <v>155</v>
      </c>
      <c r="B156" s="221" t="n">
        <v>256</v>
      </c>
    </row>
    <row r="157" customFormat="false" ht="14.25" hidden="false" customHeight="false" outlineLevel="0" collapsed="false">
      <c r="A157" s="221" t="n">
        <v>156</v>
      </c>
      <c r="B157" s="221" t="n">
        <v>256</v>
      </c>
    </row>
    <row r="158" customFormat="false" ht="14.25" hidden="false" customHeight="false" outlineLevel="0" collapsed="false">
      <c r="A158" s="221" t="n">
        <v>157</v>
      </c>
      <c r="B158" s="221" t="n">
        <v>256</v>
      </c>
    </row>
    <row r="159" customFormat="false" ht="14.25" hidden="false" customHeight="false" outlineLevel="0" collapsed="false">
      <c r="A159" s="221" t="n">
        <v>158</v>
      </c>
      <c r="B159" s="221" t="n">
        <v>256</v>
      </c>
    </row>
    <row r="160" customFormat="false" ht="14.25" hidden="false" customHeight="false" outlineLevel="0" collapsed="false">
      <c r="A160" s="221" t="n">
        <v>159</v>
      </c>
      <c r="B160" s="221" t="n">
        <v>256</v>
      </c>
    </row>
    <row r="161" customFormat="false" ht="14.25" hidden="false" customHeight="false" outlineLevel="0" collapsed="false">
      <c r="A161" s="221" t="n">
        <v>160</v>
      </c>
      <c r="B161" s="221" t="n">
        <v>256</v>
      </c>
    </row>
    <row r="162" customFormat="false" ht="14.25" hidden="false" customHeight="false" outlineLevel="0" collapsed="false">
      <c r="A162" s="221" t="n">
        <v>161</v>
      </c>
      <c r="B162" s="221" t="n">
        <v>256</v>
      </c>
    </row>
    <row r="163" customFormat="false" ht="14.25" hidden="false" customHeight="false" outlineLevel="0" collapsed="false">
      <c r="A163" s="221" t="n">
        <v>162</v>
      </c>
      <c r="B163" s="221" t="n">
        <v>256</v>
      </c>
    </row>
    <row r="164" customFormat="false" ht="14.25" hidden="false" customHeight="false" outlineLevel="0" collapsed="false">
      <c r="A164" s="221" t="n">
        <v>163</v>
      </c>
      <c r="B164" s="221" t="n">
        <v>256</v>
      </c>
    </row>
    <row r="165" customFormat="false" ht="14.25" hidden="false" customHeight="false" outlineLevel="0" collapsed="false">
      <c r="A165" s="221" t="n">
        <v>164</v>
      </c>
      <c r="B165" s="221" t="n">
        <v>256</v>
      </c>
    </row>
    <row r="166" customFormat="false" ht="14.25" hidden="false" customHeight="false" outlineLevel="0" collapsed="false">
      <c r="A166" s="221" t="n">
        <v>165</v>
      </c>
      <c r="B166" s="221" t="n">
        <v>256</v>
      </c>
    </row>
    <row r="167" customFormat="false" ht="14.25" hidden="false" customHeight="false" outlineLevel="0" collapsed="false">
      <c r="A167" s="221" t="n">
        <v>166</v>
      </c>
      <c r="B167" s="221" t="n">
        <v>256</v>
      </c>
    </row>
    <row r="168" customFormat="false" ht="14.25" hidden="false" customHeight="false" outlineLevel="0" collapsed="false">
      <c r="A168" s="221" t="n">
        <v>167</v>
      </c>
      <c r="B168" s="221" t="n">
        <v>256</v>
      </c>
    </row>
    <row r="169" customFormat="false" ht="14.25" hidden="false" customHeight="false" outlineLevel="0" collapsed="false">
      <c r="A169" s="221" t="n">
        <v>168</v>
      </c>
      <c r="B169" s="221" t="n">
        <v>256</v>
      </c>
    </row>
    <row r="170" customFormat="false" ht="14.25" hidden="false" customHeight="false" outlineLevel="0" collapsed="false">
      <c r="A170" s="221" t="n">
        <v>169</v>
      </c>
      <c r="B170" s="221" t="n">
        <v>256</v>
      </c>
    </row>
    <row r="171" customFormat="false" ht="14.25" hidden="false" customHeight="false" outlineLevel="0" collapsed="false">
      <c r="A171" s="221" t="n">
        <v>170</v>
      </c>
      <c r="B171" s="221" t="n">
        <v>256</v>
      </c>
    </row>
    <row r="172" customFormat="false" ht="14.25" hidden="false" customHeight="false" outlineLevel="0" collapsed="false">
      <c r="A172" s="221" t="n">
        <v>171</v>
      </c>
      <c r="B172" s="221" t="n">
        <v>256</v>
      </c>
    </row>
    <row r="173" customFormat="false" ht="14.25" hidden="false" customHeight="false" outlineLevel="0" collapsed="false">
      <c r="A173" s="221" t="n">
        <v>172</v>
      </c>
      <c r="B173" s="221" t="n">
        <v>256</v>
      </c>
    </row>
    <row r="174" customFormat="false" ht="14.25" hidden="false" customHeight="false" outlineLevel="0" collapsed="false">
      <c r="A174" s="221" t="n">
        <v>173</v>
      </c>
      <c r="B174" s="221" t="n">
        <v>256</v>
      </c>
    </row>
    <row r="175" customFormat="false" ht="14.25" hidden="false" customHeight="false" outlineLevel="0" collapsed="false">
      <c r="A175" s="221" t="n">
        <v>174</v>
      </c>
      <c r="B175" s="221" t="n">
        <v>256</v>
      </c>
    </row>
    <row r="176" customFormat="false" ht="14.25" hidden="false" customHeight="false" outlineLevel="0" collapsed="false">
      <c r="A176" s="221" t="n">
        <v>175</v>
      </c>
      <c r="B176" s="221" t="n">
        <v>256</v>
      </c>
    </row>
    <row r="177" customFormat="false" ht="14.25" hidden="false" customHeight="false" outlineLevel="0" collapsed="false">
      <c r="A177" s="221" t="n">
        <v>176</v>
      </c>
      <c r="B177" s="221" t="n">
        <v>256</v>
      </c>
    </row>
    <row r="178" customFormat="false" ht="14.25" hidden="false" customHeight="false" outlineLevel="0" collapsed="false">
      <c r="A178" s="221" t="n">
        <v>177</v>
      </c>
      <c r="B178" s="221" t="n">
        <v>256</v>
      </c>
    </row>
    <row r="179" customFormat="false" ht="14.25" hidden="false" customHeight="false" outlineLevel="0" collapsed="false">
      <c r="A179" s="221" t="n">
        <v>178</v>
      </c>
      <c r="B179" s="221" t="n">
        <v>256</v>
      </c>
    </row>
    <row r="180" customFormat="false" ht="14.25" hidden="false" customHeight="false" outlineLevel="0" collapsed="false">
      <c r="A180" s="221" t="n">
        <v>179</v>
      </c>
      <c r="B180" s="221" t="n">
        <v>256</v>
      </c>
    </row>
    <row r="181" customFormat="false" ht="14.25" hidden="false" customHeight="false" outlineLevel="0" collapsed="false">
      <c r="A181" s="221" t="n">
        <v>180</v>
      </c>
      <c r="B181" s="221" t="n">
        <v>256</v>
      </c>
    </row>
    <row r="182" customFormat="false" ht="14.25" hidden="false" customHeight="false" outlineLevel="0" collapsed="false">
      <c r="A182" s="221" t="n">
        <v>181</v>
      </c>
      <c r="B182" s="221" t="n">
        <v>256</v>
      </c>
    </row>
    <row r="183" customFormat="false" ht="14.25" hidden="false" customHeight="false" outlineLevel="0" collapsed="false">
      <c r="A183" s="221" t="n">
        <v>182</v>
      </c>
      <c r="B183" s="221" t="n">
        <v>256</v>
      </c>
    </row>
    <row r="184" customFormat="false" ht="14.25" hidden="false" customHeight="false" outlineLevel="0" collapsed="false">
      <c r="A184" s="221" t="n">
        <v>183</v>
      </c>
      <c r="B184" s="221" t="n">
        <v>256</v>
      </c>
    </row>
    <row r="185" customFormat="false" ht="14.25" hidden="false" customHeight="false" outlineLevel="0" collapsed="false">
      <c r="A185" s="221" t="n">
        <v>184</v>
      </c>
      <c r="B185" s="221" t="n">
        <v>256</v>
      </c>
    </row>
    <row r="186" customFormat="false" ht="14.25" hidden="false" customHeight="false" outlineLevel="0" collapsed="false">
      <c r="A186" s="221" t="n">
        <v>185</v>
      </c>
      <c r="B186" s="221" t="n">
        <v>256</v>
      </c>
    </row>
    <row r="187" customFormat="false" ht="14.25" hidden="false" customHeight="false" outlineLevel="0" collapsed="false">
      <c r="A187" s="221" t="n">
        <v>186</v>
      </c>
      <c r="B187" s="221" t="n">
        <v>256</v>
      </c>
    </row>
    <row r="188" customFormat="false" ht="14.25" hidden="false" customHeight="false" outlineLevel="0" collapsed="false">
      <c r="A188" s="221" t="n">
        <v>187</v>
      </c>
      <c r="B188" s="221" t="n">
        <v>256</v>
      </c>
    </row>
    <row r="189" customFormat="false" ht="14.25" hidden="false" customHeight="false" outlineLevel="0" collapsed="false">
      <c r="A189" s="221" t="n">
        <v>188</v>
      </c>
      <c r="B189" s="221" t="n">
        <v>256</v>
      </c>
    </row>
    <row r="190" customFormat="false" ht="14.25" hidden="false" customHeight="false" outlineLevel="0" collapsed="false">
      <c r="A190" s="221" t="n">
        <v>189</v>
      </c>
      <c r="B190" s="221" t="n">
        <v>256</v>
      </c>
    </row>
    <row r="191" customFormat="false" ht="14.25" hidden="false" customHeight="false" outlineLevel="0" collapsed="false">
      <c r="A191" s="221" t="n">
        <v>190</v>
      </c>
      <c r="B191" s="221" t="n">
        <v>256</v>
      </c>
    </row>
    <row r="192" customFormat="false" ht="14.25" hidden="false" customHeight="false" outlineLevel="0" collapsed="false">
      <c r="A192" s="221" t="n">
        <v>191</v>
      </c>
      <c r="B192" s="221" t="n">
        <v>256</v>
      </c>
    </row>
    <row r="193" customFormat="false" ht="14.25" hidden="false" customHeight="false" outlineLevel="0" collapsed="false">
      <c r="A193" s="221" t="n">
        <v>192</v>
      </c>
      <c r="B193" s="221" t="n">
        <v>256</v>
      </c>
    </row>
    <row r="194" customFormat="false" ht="14.25" hidden="false" customHeight="false" outlineLevel="0" collapsed="false">
      <c r="A194" s="221" t="n">
        <v>193</v>
      </c>
      <c r="B194" s="221" t="n">
        <v>256</v>
      </c>
    </row>
    <row r="195" customFormat="false" ht="14.25" hidden="false" customHeight="false" outlineLevel="0" collapsed="false">
      <c r="A195" s="221" t="n">
        <v>194</v>
      </c>
      <c r="B195" s="221" t="n">
        <v>256</v>
      </c>
    </row>
    <row r="196" customFormat="false" ht="14.25" hidden="false" customHeight="false" outlineLevel="0" collapsed="false">
      <c r="A196" s="221" t="n">
        <v>195</v>
      </c>
      <c r="B196" s="221" t="n">
        <v>256</v>
      </c>
    </row>
    <row r="197" customFormat="false" ht="14.25" hidden="false" customHeight="false" outlineLevel="0" collapsed="false">
      <c r="A197" s="221" t="n">
        <v>196</v>
      </c>
      <c r="B197" s="221" t="n">
        <v>256</v>
      </c>
    </row>
    <row r="198" customFormat="false" ht="14.25" hidden="false" customHeight="false" outlineLevel="0" collapsed="false">
      <c r="A198" s="221" t="n">
        <v>197</v>
      </c>
      <c r="B198" s="221" t="n">
        <v>256</v>
      </c>
    </row>
    <row r="199" customFormat="false" ht="14.25" hidden="false" customHeight="false" outlineLevel="0" collapsed="false">
      <c r="A199" s="221" t="n">
        <v>198</v>
      </c>
      <c r="B199" s="221" t="n">
        <v>256</v>
      </c>
    </row>
    <row r="200" customFormat="false" ht="14.25" hidden="false" customHeight="false" outlineLevel="0" collapsed="false">
      <c r="A200" s="221" t="n">
        <v>199</v>
      </c>
      <c r="B200" s="221" t="n">
        <v>256</v>
      </c>
    </row>
    <row r="201" customFormat="false" ht="14.25" hidden="false" customHeight="false" outlineLevel="0" collapsed="false">
      <c r="A201" s="221" t="n">
        <v>200</v>
      </c>
      <c r="B201" s="221" t="n">
        <v>256</v>
      </c>
    </row>
    <row r="202" customFormat="false" ht="14.25" hidden="false" customHeight="false" outlineLevel="0" collapsed="false">
      <c r="A202" s="221" t="n">
        <v>201</v>
      </c>
      <c r="B202" s="221" t="n">
        <v>256</v>
      </c>
    </row>
    <row r="203" customFormat="false" ht="14.25" hidden="false" customHeight="false" outlineLevel="0" collapsed="false">
      <c r="A203" s="221" t="n">
        <v>202</v>
      </c>
      <c r="B203" s="221" t="n">
        <v>256</v>
      </c>
    </row>
    <row r="204" customFormat="false" ht="14.25" hidden="false" customHeight="false" outlineLevel="0" collapsed="false">
      <c r="A204" s="221" t="n">
        <v>203</v>
      </c>
      <c r="B204" s="221" t="n">
        <v>256</v>
      </c>
    </row>
    <row r="205" customFormat="false" ht="14.25" hidden="false" customHeight="false" outlineLevel="0" collapsed="false">
      <c r="A205" s="221" t="n">
        <v>204</v>
      </c>
      <c r="B205" s="221" t="n">
        <v>256</v>
      </c>
    </row>
    <row r="206" customFormat="false" ht="14.25" hidden="false" customHeight="false" outlineLevel="0" collapsed="false">
      <c r="A206" s="221" t="n">
        <v>205</v>
      </c>
      <c r="B206" s="221" t="n">
        <v>256</v>
      </c>
    </row>
    <row r="207" customFormat="false" ht="14.25" hidden="false" customHeight="false" outlineLevel="0" collapsed="false">
      <c r="A207" s="221" t="n">
        <v>206</v>
      </c>
      <c r="B207" s="221" t="n">
        <v>256</v>
      </c>
    </row>
    <row r="208" customFormat="false" ht="14.25" hidden="false" customHeight="false" outlineLevel="0" collapsed="false">
      <c r="A208" s="221" t="n">
        <v>207</v>
      </c>
      <c r="B208" s="221" t="n">
        <v>256</v>
      </c>
    </row>
    <row r="209" customFormat="false" ht="14.25" hidden="false" customHeight="false" outlineLevel="0" collapsed="false">
      <c r="A209" s="221" t="n">
        <v>208</v>
      </c>
      <c r="B209" s="221" t="n">
        <v>256</v>
      </c>
    </row>
    <row r="210" customFormat="false" ht="14.25" hidden="false" customHeight="false" outlineLevel="0" collapsed="false">
      <c r="A210" s="221" t="n">
        <v>209</v>
      </c>
      <c r="B210" s="221" t="n">
        <v>256</v>
      </c>
    </row>
    <row r="211" customFormat="false" ht="14.25" hidden="false" customHeight="false" outlineLevel="0" collapsed="false">
      <c r="A211" s="221" t="n">
        <v>210</v>
      </c>
      <c r="B211" s="221" t="n">
        <v>256</v>
      </c>
    </row>
    <row r="212" customFormat="false" ht="14.25" hidden="false" customHeight="false" outlineLevel="0" collapsed="false">
      <c r="A212" s="221" t="n">
        <v>211</v>
      </c>
      <c r="B212" s="221" t="n">
        <v>256</v>
      </c>
    </row>
    <row r="213" customFormat="false" ht="14.25" hidden="false" customHeight="false" outlineLevel="0" collapsed="false">
      <c r="A213" s="221" t="n">
        <v>212</v>
      </c>
      <c r="B213" s="221" t="n">
        <v>256</v>
      </c>
    </row>
    <row r="214" customFormat="false" ht="14.25" hidden="false" customHeight="false" outlineLevel="0" collapsed="false">
      <c r="A214" s="221" t="n">
        <v>213</v>
      </c>
      <c r="B214" s="221" t="n">
        <v>256</v>
      </c>
    </row>
    <row r="215" customFormat="false" ht="14.25" hidden="false" customHeight="false" outlineLevel="0" collapsed="false">
      <c r="A215" s="221" t="n">
        <v>214</v>
      </c>
      <c r="B215" s="221" t="n">
        <v>256</v>
      </c>
    </row>
    <row r="216" customFormat="false" ht="14.25" hidden="false" customHeight="false" outlineLevel="0" collapsed="false">
      <c r="A216" s="221" t="n">
        <v>215</v>
      </c>
      <c r="B216" s="221" t="n">
        <v>256</v>
      </c>
    </row>
    <row r="217" customFormat="false" ht="14.25" hidden="false" customHeight="false" outlineLevel="0" collapsed="false">
      <c r="A217" s="221" t="n">
        <v>216</v>
      </c>
      <c r="B217" s="221" t="n">
        <v>256</v>
      </c>
    </row>
    <row r="218" customFormat="false" ht="14.25" hidden="false" customHeight="false" outlineLevel="0" collapsed="false">
      <c r="A218" s="221" t="n">
        <v>217</v>
      </c>
      <c r="B218" s="221" t="n">
        <v>256</v>
      </c>
    </row>
    <row r="219" customFormat="false" ht="14.25" hidden="false" customHeight="false" outlineLevel="0" collapsed="false">
      <c r="A219" s="221" t="n">
        <v>218</v>
      </c>
      <c r="B219" s="221" t="n">
        <v>256</v>
      </c>
    </row>
    <row r="220" customFormat="false" ht="14.25" hidden="false" customHeight="false" outlineLevel="0" collapsed="false">
      <c r="A220" s="221" t="n">
        <v>219</v>
      </c>
      <c r="B220" s="221" t="n">
        <v>256</v>
      </c>
    </row>
    <row r="221" customFormat="false" ht="14.25" hidden="false" customHeight="false" outlineLevel="0" collapsed="false">
      <c r="A221" s="221" t="n">
        <v>220</v>
      </c>
      <c r="B221" s="221" t="n">
        <v>256</v>
      </c>
    </row>
    <row r="222" customFormat="false" ht="14.25" hidden="false" customHeight="false" outlineLevel="0" collapsed="false">
      <c r="A222" s="221" t="n">
        <v>221</v>
      </c>
      <c r="B222" s="221" t="n">
        <v>256</v>
      </c>
    </row>
    <row r="223" customFormat="false" ht="14.25" hidden="false" customHeight="false" outlineLevel="0" collapsed="false">
      <c r="A223" s="221" t="n">
        <v>222</v>
      </c>
      <c r="B223" s="221" t="n">
        <v>256</v>
      </c>
    </row>
    <row r="224" customFormat="false" ht="14.25" hidden="false" customHeight="false" outlineLevel="0" collapsed="false">
      <c r="A224" s="221" t="n">
        <v>223</v>
      </c>
      <c r="B224" s="221" t="n">
        <v>256</v>
      </c>
    </row>
    <row r="225" customFormat="false" ht="14.25" hidden="false" customHeight="false" outlineLevel="0" collapsed="false">
      <c r="A225" s="221" t="n">
        <v>224</v>
      </c>
      <c r="B225" s="221" t="n">
        <v>256</v>
      </c>
    </row>
    <row r="226" customFormat="false" ht="14.25" hidden="false" customHeight="false" outlineLevel="0" collapsed="false">
      <c r="A226" s="221" t="n">
        <v>225</v>
      </c>
      <c r="B226" s="221" t="n">
        <v>256</v>
      </c>
    </row>
    <row r="227" customFormat="false" ht="14.25" hidden="false" customHeight="false" outlineLevel="0" collapsed="false">
      <c r="A227" s="221" t="n">
        <v>226</v>
      </c>
      <c r="B227" s="221" t="n">
        <v>256</v>
      </c>
    </row>
    <row r="228" customFormat="false" ht="14.25" hidden="false" customHeight="false" outlineLevel="0" collapsed="false">
      <c r="A228" s="221" t="n">
        <v>227</v>
      </c>
      <c r="B228" s="221" t="n">
        <v>256</v>
      </c>
    </row>
    <row r="229" customFormat="false" ht="14.25" hidden="false" customHeight="false" outlineLevel="0" collapsed="false">
      <c r="A229" s="221" t="n">
        <v>228</v>
      </c>
      <c r="B229" s="221" t="n">
        <v>256</v>
      </c>
    </row>
    <row r="230" customFormat="false" ht="14.25" hidden="false" customHeight="false" outlineLevel="0" collapsed="false">
      <c r="A230" s="221" t="n">
        <v>229</v>
      </c>
      <c r="B230" s="221" t="n">
        <v>256</v>
      </c>
    </row>
    <row r="231" customFormat="false" ht="14.25" hidden="false" customHeight="false" outlineLevel="0" collapsed="false">
      <c r="A231" s="221" t="n">
        <v>230</v>
      </c>
      <c r="B231" s="221" t="n">
        <v>256</v>
      </c>
    </row>
    <row r="232" customFormat="false" ht="14.25" hidden="false" customHeight="false" outlineLevel="0" collapsed="false">
      <c r="A232" s="221" t="n">
        <v>231</v>
      </c>
      <c r="B232" s="221" t="n">
        <v>256</v>
      </c>
    </row>
    <row r="233" customFormat="false" ht="14.25" hidden="false" customHeight="false" outlineLevel="0" collapsed="false">
      <c r="A233" s="221" t="n">
        <v>232</v>
      </c>
      <c r="B233" s="221" t="n">
        <v>256</v>
      </c>
    </row>
    <row r="234" customFormat="false" ht="14.25" hidden="false" customHeight="false" outlineLevel="0" collapsed="false">
      <c r="A234" s="221" t="n">
        <v>233</v>
      </c>
      <c r="B234" s="221" t="n">
        <v>256</v>
      </c>
    </row>
    <row r="235" customFormat="false" ht="14.25" hidden="false" customHeight="false" outlineLevel="0" collapsed="false">
      <c r="A235" s="221" t="n">
        <v>234</v>
      </c>
      <c r="B235" s="221" t="n">
        <v>256</v>
      </c>
    </row>
    <row r="236" customFormat="false" ht="14.25" hidden="false" customHeight="false" outlineLevel="0" collapsed="false">
      <c r="A236" s="221" t="n">
        <v>235</v>
      </c>
      <c r="B236" s="221" t="n">
        <v>256</v>
      </c>
    </row>
    <row r="237" customFormat="false" ht="14.25" hidden="false" customHeight="false" outlineLevel="0" collapsed="false">
      <c r="A237" s="221" t="n">
        <v>236</v>
      </c>
      <c r="B237" s="221" t="n">
        <v>256</v>
      </c>
    </row>
    <row r="238" customFormat="false" ht="14.25" hidden="false" customHeight="false" outlineLevel="0" collapsed="false">
      <c r="A238" s="221" t="n">
        <v>237</v>
      </c>
      <c r="B238" s="221" t="n">
        <v>256</v>
      </c>
    </row>
    <row r="239" customFormat="false" ht="14.25" hidden="false" customHeight="false" outlineLevel="0" collapsed="false">
      <c r="A239" s="221" t="n">
        <v>238</v>
      </c>
      <c r="B239" s="221" t="n">
        <v>256</v>
      </c>
    </row>
    <row r="240" customFormat="false" ht="14.25" hidden="false" customHeight="false" outlineLevel="0" collapsed="false">
      <c r="A240" s="221" t="n">
        <v>239</v>
      </c>
      <c r="B240" s="221" t="n">
        <v>256</v>
      </c>
    </row>
    <row r="241" customFormat="false" ht="14.25" hidden="false" customHeight="false" outlineLevel="0" collapsed="false">
      <c r="A241" s="221" t="n">
        <v>240</v>
      </c>
      <c r="B241" s="221" t="n">
        <v>256</v>
      </c>
    </row>
    <row r="242" customFormat="false" ht="14.25" hidden="false" customHeight="false" outlineLevel="0" collapsed="false">
      <c r="A242" s="221" t="n">
        <v>241</v>
      </c>
      <c r="B242" s="221" t="n">
        <v>256</v>
      </c>
    </row>
    <row r="243" customFormat="false" ht="14.25" hidden="false" customHeight="false" outlineLevel="0" collapsed="false">
      <c r="A243" s="221" t="n">
        <v>242</v>
      </c>
      <c r="B243" s="221" t="n">
        <v>256</v>
      </c>
    </row>
    <row r="244" customFormat="false" ht="14.25" hidden="false" customHeight="false" outlineLevel="0" collapsed="false">
      <c r="A244" s="221" t="n">
        <v>243</v>
      </c>
      <c r="B244" s="221" t="n">
        <v>256</v>
      </c>
    </row>
    <row r="245" customFormat="false" ht="14.25" hidden="false" customHeight="false" outlineLevel="0" collapsed="false">
      <c r="A245" s="221" t="n">
        <v>244</v>
      </c>
      <c r="B245" s="221" t="n">
        <v>256</v>
      </c>
    </row>
    <row r="246" customFormat="false" ht="14.25" hidden="false" customHeight="false" outlineLevel="0" collapsed="false">
      <c r="A246" s="221" t="n">
        <v>245</v>
      </c>
      <c r="B246" s="221" t="n">
        <v>256</v>
      </c>
    </row>
    <row r="247" customFormat="false" ht="14.25" hidden="false" customHeight="false" outlineLevel="0" collapsed="false">
      <c r="A247" s="221" t="n">
        <v>246</v>
      </c>
      <c r="B247" s="221" t="n">
        <v>256</v>
      </c>
    </row>
    <row r="248" customFormat="false" ht="14.25" hidden="false" customHeight="false" outlineLevel="0" collapsed="false">
      <c r="A248" s="221" t="n">
        <v>247</v>
      </c>
      <c r="B248" s="221" t="n">
        <v>256</v>
      </c>
    </row>
    <row r="249" customFormat="false" ht="14.25" hidden="false" customHeight="false" outlineLevel="0" collapsed="false">
      <c r="A249" s="221" t="n">
        <v>248</v>
      </c>
      <c r="B249" s="221" t="n">
        <v>256</v>
      </c>
    </row>
    <row r="250" customFormat="false" ht="14.25" hidden="false" customHeight="false" outlineLevel="0" collapsed="false">
      <c r="A250" s="221" t="n">
        <v>249</v>
      </c>
      <c r="B250" s="221" t="n">
        <v>256</v>
      </c>
    </row>
    <row r="251" customFormat="false" ht="14.25" hidden="false" customHeight="false" outlineLevel="0" collapsed="false">
      <c r="A251" s="221" t="n">
        <v>250</v>
      </c>
      <c r="B251" s="221" t="n">
        <v>256</v>
      </c>
    </row>
    <row r="252" customFormat="false" ht="14.25" hidden="false" customHeight="false" outlineLevel="0" collapsed="false">
      <c r="A252" s="221" t="n">
        <v>251</v>
      </c>
      <c r="B252" s="221" t="n">
        <v>256</v>
      </c>
    </row>
    <row r="253" customFormat="false" ht="14.25" hidden="false" customHeight="false" outlineLevel="0" collapsed="false">
      <c r="A253" s="221" t="n">
        <v>252</v>
      </c>
      <c r="B253" s="221" t="n">
        <v>256</v>
      </c>
    </row>
    <row r="254" customFormat="false" ht="14.25" hidden="false" customHeight="false" outlineLevel="0" collapsed="false">
      <c r="A254" s="221" t="n">
        <v>253</v>
      </c>
      <c r="B254" s="221" t="n">
        <v>256</v>
      </c>
    </row>
    <row r="255" customFormat="false" ht="14.25" hidden="false" customHeight="false" outlineLevel="0" collapsed="false">
      <c r="A255" s="221" t="n">
        <v>254</v>
      </c>
      <c r="B255" s="221" t="n">
        <v>256</v>
      </c>
    </row>
    <row r="256" customFormat="false" ht="14.25" hidden="false" customHeight="false" outlineLevel="0" collapsed="false">
      <c r="A256" s="221" t="n">
        <v>255</v>
      </c>
      <c r="B256" s="221" t="n">
        <v>1024</v>
      </c>
    </row>
    <row r="257" customFormat="false" ht="14.25" hidden="false" customHeight="false" outlineLevel="0" collapsed="false">
      <c r="A257" s="221" t="n">
        <v>256</v>
      </c>
      <c r="B257" s="221" t="n">
        <v>1024</v>
      </c>
    </row>
    <row r="258" customFormat="false" ht="14.25" hidden="false" customHeight="false" outlineLevel="0" collapsed="false">
      <c r="A258" s="221" t="n">
        <v>257</v>
      </c>
      <c r="B258" s="221" t="n">
        <v>1024</v>
      </c>
    </row>
    <row r="259" customFormat="false" ht="14.25" hidden="false" customHeight="false" outlineLevel="0" collapsed="false">
      <c r="A259" s="221" t="n">
        <v>258</v>
      </c>
      <c r="B259" s="221" t="n">
        <v>1024</v>
      </c>
    </row>
    <row r="260" customFormat="false" ht="14.25" hidden="false" customHeight="false" outlineLevel="0" collapsed="false">
      <c r="A260" s="221" t="n">
        <v>259</v>
      </c>
      <c r="B260" s="221" t="n">
        <v>1024</v>
      </c>
    </row>
    <row r="261" customFormat="false" ht="14.25" hidden="false" customHeight="false" outlineLevel="0" collapsed="false">
      <c r="A261" s="221" t="n">
        <v>260</v>
      </c>
      <c r="B261" s="221" t="n">
        <v>1024</v>
      </c>
    </row>
    <row r="262" customFormat="false" ht="14.25" hidden="false" customHeight="false" outlineLevel="0" collapsed="false">
      <c r="A262" s="221" t="n">
        <v>261</v>
      </c>
      <c r="B262" s="221" t="n">
        <v>1024</v>
      </c>
    </row>
    <row r="263" customFormat="false" ht="14.25" hidden="false" customHeight="false" outlineLevel="0" collapsed="false">
      <c r="A263" s="221" t="n">
        <v>262</v>
      </c>
      <c r="B263" s="221" t="n">
        <v>1024</v>
      </c>
    </row>
    <row r="264" customFormat="false" ht="14.25" hidden="false" customHeight="false" outlineLevel="0" collapsed="false">
      <c r="A264" s="221" t="n">
        <v>263</v>
      </c>
      <c r="B264" s="221" t="n">
        <v>1024</v>
      </c>
    </row>
    <row r="265" customFormat="false" ht="14.25" hidden="false" customHeight="false" outlineLevel="0" collapsed="false">
      <c r="A265" s="221" t="n">
        <v>264</v>
      </c>
      <c r="B265" s="221" t="n">
        <v>1024</v>
      </c>
    </row>
    <row r="266" customFormat="false" ht="14.25" hidden="false" customHeight="false" outlineLevel="0" collapsed="false">
      <c r="A266" s="221" t="n">
        <v>265</v>
      </c>
      <c r="B266" s="221" t="n">
        <v>1024</v>
      </c>
    </row>
    <row r="267" customFormat="false" ht="14.25" hidden="false" customHeight="false" outlineLevel="0" collapsed="false">
      <c r="A267" s="221" t="n">
        <v>266</v>
      </c>
      <c r="B267" s="221" t="n">
        <v>1024</v>
      </c>
    </row>
    <row r="268" customFormat="false" ht="14.25" hidden="false" customHeight="false" outlineLevel="0" collapsed="false">
      <c r="A268" s="221" t="n">
        <v>267</v>
      </c>
      <c r="B268" s="221" t="n">
        <v>1024</v>
      </c>
    </row>
    <row r="269" customFormat="false" ht="14.25" hidden="false" customHeight="false" outlineLevel="0" collapsed="false">
      <c r="A269" s="221" t="n">
        <v>268</v>
      </c>
      <c r="B269" s="221" t="n">
        <v>1024</v>
      </c>
    </row>
    <row r="270" customFormat="false" ht="14.25" hidden="false" customHeight="false" outlineLevel="0" collapsed="false">
      <c r="A270" s="221" t="n">
        <v>269</v>
      </c>
      <c r="B270" s="221" t="n">
        <v>1024</v>
      </c>
    </row>
    <row r="271" customFormat="false" ht="14.25" hidden="false" customHeight="false" outlineLevel="0" collapsed="false">
      <c r="A271" s="221" t="n">
        <v>270</v>
      </c>
      <c r="B271" s="221" t="n">
        <v>1024</v>
      </c>
    </row>
    <row r="272" customFormat="false" ht="14.25" hidden="false" customHeight="false" outlineLevel="0" collapsed="false">
      <c r="A272" s="221" t="n">
        <v>271</v>
      </c>
      <c r="B272" s="221" t="n">
        <v>1024</v>
      </c>
    </row>
    <row r="273" customFormat="false" ht="14.25" hidden="false" customHeight="false" outlineLevel="0" collapsed="false">
      <c r="A273" s="221" t="n">
        <v>272</v>
      </c>
      <c r="B273" s="221" t="n">
        <v>1024</v>
      </c>
    </row>
    <row r="274" customFormat="false" ht="14.25" hidden="false" customHeight="false" outlineLevel="0" collapsed="false">
      <c r="A274" s="221" t="n">
        <v>273</v>
      </c>
      <c r="B274" s="221" t="n">
        <v>1024</v>
      </c>
    </row>
    <row r="275" customFormat="false" ht="14.25" hidden="false" customHeight="false" outlineLevel="0" collapsed="false">
      <c r="A275" s="221" t="n">
        <v>274</v>
      </c>
      <c r="B275" s="221" t="n">
        <v>1024</v>
      </c>
    </row>
    <row r="276" customFormat="false" ht="14.25" hidden="false" customHeight="false" outlineLevel="0" collapsed="false">
      <c r="A276" s="221" t="n">
        <v>275</v>
      </c>
      <c r="B276" s="221" t="n">
        <v>1024</v>
      </c>
    </row>
    <row r="277" customFormat="false" ht="14.25" hidden="false" customHeight="false" outlineLevel="0" collapsed="false">
      <c r="A277" s="221" t="n">
        <v>276</v>
      </c>
      <c r="B277" s="221" t="n">
        <v>1024</v>
      </c>
    </row>
    <row r="278" customFormat="false" ht="14.25" hidden="false" customHeight="false" outlineLevel="0" collapsed="false">
      <c r="A278" s="221" t="n">
        <v>277</v>
      </c>
      <c r="B278" s="221" t="n">
        <v>1024</v>
      </c>
    </row>
    <row r="279" customFormat="false" ht="14.25" hidden="false" customHeight="false" outlineLevel="0" collapsed="false">
      <c r="A279" s="221" t="n">
        <v>278</v>
      </c>
      <c r="B279" s="221" t="n">
        <v>1024</v>
      </c>
    </row>
    <row r="280" customFormat="false" ht="14.25" hidden="false" customHeight="false" outlineLevel="0" collapsed="false">
      <c r="A280" s="221" t="n">
        <v>279</v>
      </c>
      <c r="B280" s="221" t="n">
        <v>1024</v>
      </c>
    </row>
    <row r="281" customFormat="false" ht="14.25" hidden="false" customHeight="false" outlineLevel="0" collapsed="false">
      <c r="A281" s="221" t="n">
        <v>280</v>
      </c>
      <c r="B281" s="221" t="n">
        <v>1024</v>
      </c>
    </row>
    <row r="282" customFormat="false" ht="14.25" hidden="false" customHeight="false" outlineLevel="0" collapsed="false">
      <c r="A282" s="221" t="n">
        <v>281</v>
      </c>
      <c r="B282" s="221" t="n">
        <v>1024</v>
      </c>
    </row>
    <row r="283" customFormat="false" ht="14.25" hidden="false" customHeight="false" outlineLevel="0" collapsed="false">
      <c r="A283" s="221" t="n">
        <v>282</v>
      </c>
      <c r="B283" s="221" t="n">
        <v>1024</v>
      </c>
    </row>
    <row r="284" customFormat="false" ht="14.25" hidden="false" customHeight="false" outlineLevel="0" collapsed="false">
      <c r="A284" s="221" t="n">
        <v>283</v>
      </c>
      <c r="B284" s="221" t="n">
        <v>1024</v>
      </c>
    </row>
    <row r="285" customFormat="false" ht="14.25" hidden="false" customHeight="false" outlineLevel="0" collapsed="false">
      <c r="A285" s="221" t="n">
        <v>284</v>
      </c>
      <c r="B285" s="221" t="n">
        <v>1024</v>
      </c>
    </row>
    <row r="286" customFormat="false" ht="14.25" hidden="false" customHeight="false" outlineLevel="0" collapsed="false">
      <c r="A286" s="221" t="n">
        <v>285</v>
      </c>
      <c r="B286" s="221" t="n">
        <v>1024</v>
      </c>
    </row>
    <row r="287" customFormat="false" ht="14.25" hidden="false" customHeight="false" outlineLevel="0" collapsed="false">
      <c r="A287" s="221" t="n">
        <v>286</v>
      </c>
      <c r="B287" s="221" t="n">
        <v>1024</v>
      </c>
    </row>
    <row r="288" customFormat="false" ht="14.25" hidden="false" customHeight="false" outlineLevel="0" collapsed="false">
      <c r="A288" s="221" t="n">
        <v>287</v>
      </c>
      <c r="B288" s="221" t="n">
        <v>1024</v>
      </c>
    </row>
    <row r="289" customFormat="false" ht="14.25" hidden="false" customHeight="false" outlineLevel="0" collapsed="false">
      <c r="A289" s="221" t="n">
        <v>288</v>
      </c>
      <c r="B289" s="221" t="n">
        <v>1024</v>
      </c>
    </row>
    <row r="290" customFormat="false" ht="14.25" hidden="false" customHeight="false" outlineLevel="0" collapsed="false">
      <c r="A290" s="221" t="n">
        <v>289</v>
      </c>
      <c r="B290" s="221" t="n">
        <v>1024</v>
      </c>
    </row>
    <row r="291" customFormat="false" ht="14.25" hidden="false" customHeight="false" outlineLevel="0" collapsed="false">
      <c r="A291" s="221" t="n">
        <v>290</v>
      </c>
      <c r="B291" s="221" t="n">
        <v>1024</v>
      </c>
    </row>
    <row r="292" customFormat="false" ht="14.25" hidden="false" customHeight="false" outlineLevel="0" collapsed="false">
      <c r="A292" s="221" t="n">
        <v>291</v>
      </c>
      <c r="B292" s="221" t="n">
        <v>1024</v>
      </c>
    </row>
    <row r="293" customFormat="false" ht="14.25" hidden="false" customHeight="false" outlineLevel="0" collapsed="false">
      <c r="A293" s="221" t="n">
        <v>292</v>
      </c>
      <c r="B293" s="221" t="n">
        <v>1024</v>
      </c>
    </row>
    <row r="294" customFormat="false" ht="14.25" hidden="false" customHeight="false" outlineLevel="0" collapsed="false">
      <c r="A294" s="221" t="n">
        <v>293</v>
      </c>
      <c r="B294" s="221" t="n">
        <v>1024</v>
      </c>
    </row>
    <row r="295" customFormat="false" ht="14.25" hidden="false" customHeight="false" outlineLevel="0" collapsed="false">
      <c r="A295" s="221" t="n">
        <v>294</v>
      </c>
      <c r="B295" s="221" t="n">
        <v>1024</v>
      </c>
    </row>
    <row r="296" customFormat="false" ht="14.25" hidden="false" customHeight="false" outlineLevel="0" collapsed="false">
      <c r="A296" s="221" t="n">
        <v>295</v>
      </c>
      <c r="B296" s="221" t="n">
        <v>1024</v>
      </c>
    </row>
    <row r="297" customFormat="false" ht="14.25" hidden="false" customHeight="false" outlineLevel="0" collapsed="false">
      <c r="A297" s="221" t="n">
        <v>296</v>
      </c>
      <c r="B297" s="221" t="n">
        <v>1024</v>
      </c>
    </row>
    <row r="298" customFormat="false" ht="14.25" hidden="false" customHeight="false" outlineLevel="0" collapsed="false">
      <c r="A298" s="221" t="n">
        <v>297</v>
      </c>
      <c r="B298" s="221" t="n">
        <v>1024</v>
      </c>
    </row>
    <row r="299" customFormat="false" ht="14.25" hidden="false" customHeight="false" outlineLevel="0" collapsed="false">
      <c r="A299" s="221" t="n">
        <v>298</v>
      </c>
      <c r="B299" s="221" t="n">
        <v>1024</v>
      </c>
    </row>
    <row r="300" customFormat="false" ht="14.25" hidden="false" customHeight="false" outlineLevel="0" collapsed="false">
      <c r="A300" s="221" t="n">
        <v>299</v>
      </c>
      <c r="B300" s="221" t="n">
        <v>1024</v>
      </c>
    </row>
    <row r="301" customFormat="false" ht="14.25" hidden="false" customHeight="false" outlineLevel="0" collapsed="false">
      <c r="A301" s="221" t="n">
        <v>300</v>
      </c>
      <c r="B301" s="221" t="n">
        <v>1024</v>
      </c>
    </row>
    <row r="302" customFormat="false" ht="14.25" hidden="false" customHeight="false" outlineLevel="0" collapsed="false">
      <c r="A302" s="221" t="n">
        <v>301</v>
      </c>
      <c r="B302" s="221" t="n">
        <v>1024</v>
      </c>
    </row>
    <row r="303" customFormat="false" ht="14.25" hidden="false" customHeight="false" outlineLevel="0" collapsed="false">
      <c r="A303" s="221" t="n">
        <v>302</v>
      </c>
      <c r="B303" s="221" t="n">
        <v>1024</v>
      </c>
    </row>
    <row r="304" customFormat="false" ht="14.25" hidden="false" customHeight="false" outlineLevel="0" collapsed="false">
      <c r="A304" s="221" t="n">
        <v>303</v>
      </c>
      <c r="B304" s="221" t="n">
        <v>1024</v>
      </c>
    </row>
    <row r="305" customFormat="false" ht="14.25" hidden="false" customHeight="false" outlineLevel="0" collapsed="false">
      <c r="A305" s="221" t="n">
        <v>304</v>
      </c>
      <c r="B305" s="221" t="n">
        <v>1024</v>
      </c>
    </row>
    <row r="306" customFormat="false" ht="14.25" hidden="false" customHeight="false" outlineLevel="0" collapsed="false">
      <c r="A306" s="221" t="n">
        <v>305</v>
      </c>
      <c r="B306" s="221" t="n">
        <v>1024</v>
      </c>
    </row>
    <row r="307" customFormat="false" ht="14.25" hidden="false" customHeight="false" outlineLevel="0" collapsed="false">
      <c r="A307" s="221" t="n">
        <v>306</v>
      </c>
      <c r="B307" s="221" t="n">
        <v>1024</v>
      </c>
    </row>
    <row r="308" customFormat="false" ht="14.25" hidden="false" customHeight="false" outlineLevel="0" collapsed="false">
      <c r="A308" s="221" t="n">
        <v>307</v>
      </c>
      <c r="B308" s="221" t="n">
        <v>1024</v>
      </c>
    </row>
    <row r="309" customFormat="false" ht="14.25" hidden="false" customHeight="false" outlineLevel="0" collapsed="false">
      <c r="A309" s="221" t="n">
        <v>308</v>
      </c>
      <c r="B309" s="221" t="n">
        <v>1024</v>
      </c>
    </row>
    <row r="310" customFormat="false" ht="14.25" hidden="false" customHeight="false" outlineLevel="0" collapsed="false">
      <c r="A310" s="221" t="n">
        <v>309</v>
      </c>
      <c r="B310" s="221" t="n">
        <v>1024</v>
      </c>
    </row>
    <row r="311" customFormat="false" ht="14.25" hidden="false" customHeight="false" outlineLevel="0" collapsed="false">
      <c r="A311" s="221" t="n">
        <v>310</v>
      </c>
      <c r="B311" s="221" t="n">
        <v>1024</v>
      </c>
    </row>
    <row r="312" customFormat="false" ht="14.25" hidden="false" customHeight="false" outlineLevel="0" collapsed="false">
      <c r="A312" s="221" t="n">
        <v>311</v>
      </c>
      <c r="B312" s="221" t="n">
        <v>1024</v>
      </c>
    </row>
    <row r="313" customFormat="false" ht="14.25" hidden="false" customHeight="false" outlineLevel="0" collapsed="false">
      <c r="A313" s="221" t="n">
        <v>312</v>
      </c>
      <c r="B313" s="221" t="n">
        <v>1024</v>
      </c>
    </row>
    <row r="314" customFormat="false" ht="14.25" hidden="false" customHeight="false" outlineLevel="0" collapsed="false">
      <c r="A314" s="221" t="n">
        <v>313</v>
      </c>
      <c r="B314" s="221" t="n">
        <v>1024</v>
      </c>
    </row>
    <row r="315" customFormat="false" ht="14.25" hidden="false" customHeight="false" outlineLevel="0" collapsed="false">
      <c r="A315" s="221" t="n">
        <v>314</v>
      </c>
      <c r="B315" s="221" t="n">
        <v>1024</v>
      </c>
    </row>
    <row r="316" customFormat="false" ht="14.25" hidden="false" customHeight="false" outlineLevel="0" collapsed="false">
      <c r="A316" s="221" t="n">
        <v>315</v>
      </c>
      <c r="B316" s="221" t="n">
        <v>1024</v>
      </c>
    </row>
    <row r="317" customFormat="false" ht="14.25" hidden="false" customHeight="false" outlineLevel="0" collapsed="false">
      <c r="A317" s="221" t="n">
        <v>316</v>
      </c>
      <c r="B317" s="221" t="n">
        <v>1024</v>
      </c>
    </row>
    <row r="318" customFormat="false" ht="14.25" hidden="false" customHeight="false" outlineLevel="0" collapsed="false">
      <c r="A318" s="221" t="n">
        <v>317</v>
      </c>
      <c r="B318" s="221" t="n">
        <v>1024</v>
      </c>
    </row>
    <row r="319" customFormat="false" ht="14.25" hidden="false" customHeight="false" outlineLevel="0" collapsed="false">
      <c r="A319" s="221" t="n">
        <v>318</v>
      </c>
      <c r="B319" s="221" t="n">
        <v>1024</v>
      </c>
    </row>
    <row r="320" customFormat="false" ht="14.25" hidden="false" customHeight="false" outlineLevel="0" collapsed="false">
      <c r="A320" s="221" t="n">
        <v>319</v>
      </c>
      <c r="B320" s="221" t="n">
        <v>1024</v>
      </c>
    </row>
    <row r="321" customFormat="false" ht="14.25" hidden="false" customHeight="false" outlineLevel="0" collapsed="false">
      <c r="A321" s="221" t="n">
        <v>320</v>
      </c>
      <c r="B321" s="221" t="n">
        <v>1024</v>
      </c>
    </row>
    <row r="322" customFormat="false" ht="14.25" hidden="false" customHeight="false" outlineLevel="0" collapsed="false">
      <c r="A322" s="221" t="n">
        <v>321</v>
      </c>
      <c r="B322" s="221" t="n">
        <v>1024</v>
      </c>
    </row>
    <row r="323" customFormat="false" ht="14.25" hidden="false" customHeight="false" outlineLevel="0" collapsed="false">
      <c r="A323" s="221" t="n">
        <v>322</v>
      </c>
      <c r="B323" s="221" t="n">
        <v>1024</v>
      </c>
    </row>
    <row r="324" customFormat="false" ht="14.25" hidden="false" customHeight="false" outlineLevel="0" collapsed="false">
      <c r="A324" s="221" t="n">
        <v>323</v>
      </c>
      <c r="B324" s="221" t="n">
        <v>1024</v>
      </c>
    </row>
    <row r="325" customFormat="false" ht="14.25" hidden="false" customHeight="false" outlineLevel="0" collapsed="false">
      <c r="A325" s="221" t="n">
        <v>324</v>
      </c>
      <c r="B325" s="221" t="n">
        <v>1024</v>
      </c>
    </row>
    <row r="326" customFormat="false" ht="14.25" hidden="false" customHeight="false" outlineLevel="0" collapsed="false">
      <c r="A326" s="221" t="n">
        <v>325</v>
      </c>
      <c r="B326" s="221" t="n">
        <v>1024</v>
      </c>
    </row>
    <row r="327" customFormat="false" ht="14.25" hidden="false" customHeight="false" outlineLevel="0" collapsed="false">
      <c r="A327" s="221" t="n">
        <v>326</v>
      </c>
      <c r="B327" s="221" t="n">
        <v>1024</v>
      </c>
    </row>
    <row r="328" customFormat="false" ht="14.25" hidden="false" customHeight="false" outlineLevel="0" collapsed="false">
      <c r="A328" s="221" t="n">
        <v>327</v>
      </c>
      <c r="B328" s="221" t="n">
        <v>1024</v>
      </c>
    </row>
    <row r="329" customFormat="false" ht="14.25" hidden="false" customHeight="false" outlineLevel="0" collapsed="false">
      <c r="A329" s="221" t="n">
        <v>328</v>
      </c>
      <c r="B329" s="221" t="n">
        <v>1024</v>
      </c>
    </row>
    <row r="330" customFormat="false" ht="14.25" hidden="false" customHeight="false" outlineLevel="0" collapsed="false">
      <c r="A330" s="221" t="n">
        <v>329</v>
      </c>
      <c r="B330" s="221" t="n">
        <v>1024</v>
      </c>
    </row>
    <row r="331" customFormat="false" ht="14.25" hidden="false" customHeight="false" outlineLevel="0" collapsed="false">
      <c r="A331" s="221" t="n">
        <v>330</v>
      </c>
      <c r="B331" s="221" t="n">
        <v>1024</v>
      </c>
    </row>
    <row r="332" customFormat="false" ht="14.25" hidden="false" customHeight="false" outlineLevel="0" collapsed="false">
      <c r="A332" s="221" t="n">
        <v>331</v>
      </c>
      <c r="B332" s="221" t="n">
        <v>1024</v>
      </c>
    </row>
    <row r="333" customFormat="false" ht="14.25" hidden="false" customHeight="false" outlineLevel="0" collapsed="false">
      <c r="A333" s="221" t="n">
        <v>332</v>
      </c>
      <c r="B333" s="221" t="n">
        <v>1024</v>
      </c>
    </row>
    <row r="334" customFormat="false" ht="14.25" hidden="false" customHeight="false" outlineLevel="0" collapsed="false">
      <c r="A334" s="221" t="n">
        <v>333</v>
      </c>
      <c r="B334" s="221" t="n">
        <v>1024</v>
      </c>
    </row>
    <row r="335" customFormat="false" ht="14.25" hidden="false" customHeight="false" outlineLevel="0" collapsed="false">
      <c r="A335" s="221" t="n">
        <v>334</v>
      </c>
      <c r="B335" s="221" t="n">
        <v>1024</v>
      </c>
    </row>
    <row r="336" customFormat="false" ht="14.25" hidden="false" customHeight="false" outlineLevel="0" collapsed="false">
      <c r="A336" s="221" t="n">
        <v>335</v>
      </c>
      <c r="B336" s="221" t="n">
        <v>1024</v>
      </c>
    </row>
    <row r="337" customFormat="false" ht="14.25" hidden="false" customHeight="false" outlineLevel="0" collapsed="false">
      <c r="A337" s="221" t="n">
        <v>336</v>
      </c>
      <c r="B337" s="221" t="n">
        <v>1024</v>
      </c>
    </row>
    <row r="338" customFormat="false" ht="14.25" hidden="false" customHeight="false" outlineLevel="0" collapsed="false">
      <c r="A338" s="221" t="n">
        <v>337</v>
      </c>
      <c r="B338" s="221" t="n">
        <v>1024</v>
      </c>
    </row>
    <row r="339" customFormat="false" ht="14.25" hidden="false" customHeight="false" outlineLevel="0" collapsed="false">
      <c r="A339" s="221" t="n">
        <v>338</v>
      </c>
      <c r="B339" s="221" t="n">
        <v>1024</v>
      </c>
    </row>
    <row r="340" customFormat="false" ht="14.25" hidden="false" customHeight="false" outlineLevel="0" collapsed="false">
      <c r="A340" s="221" t="n">
        <v>339</v>
      </c>
      <c r="B340" s="221" t="n">
        <v>1024</v>
      </c>
    </row>
    <row r="341" customFormat="false" ht="14.25" hidden="false" customHeight="false" outlineLevel="0" collapsed="false">
      <c r="A341" s="221" t="n">
        <v>340</v>
      </c>
      <c r="B341" s="221" t="n">
        <v>1024</v>
      </c>
    </row>
    <row r="342" customFormat="false" ht="14.25" hidden="false" customHeight="false" outlineLevel="0" collapsed="false">
      <c r="A342" s="221" t="n">
        <v>341</v>
      </c>
      <c r="B342" s="221" t="n">
        <v>1024</v>
      </c>
    </row>
    <row r="343" customFormat="false" ht="14.25" hidden="false" customHeight="false" outlineLevel="0" collapsed="false">
      <c r="A343" s="221" t="n">
        <v>342</v>
      </c>
      <c r="B343" s="221" t="n">
        <v>1024</v>
      </c>
    </row>
    <row r="344" customFormat="false" ht="14.25" hidden="false" customHeight="false" outlineLevel="0" collapsed="false">
      <c r="A344" s="221" t="n">
        <v>343</v>
      </c>
      <c r="B344" s="221" t="n">
        <v>1024</v>
      </c>
    </row>
    <row r="345" customFormat="false" ht="14.25" hidden="false" customHeight="false" outlineLevel="0" collapsed="false">
      <c r="A345" s="221" t="n">
        <v>344</v>
      </c>
      <c r="B345" s="221" t="n">
        <v>1024</v>
      </c>
    </row>
    <row r="346" customFormat="false" ht="14.25" hidden="false" customHeight="false" outlineLevel="0" collapsed="false">
      <c r="A346" s="221" t="n">
        <v>345</v>
      </c>
      <c r="B346" s="221" t="n">
        <v>1024</v>
      </c>
    </row>
    <row r="347" customFormat="false" ht="14.25" hidden="false" customHeight="false" outlineLevel="0" collapsed="false">
      <c r="A347" s="221" t="n">
        <v>346</v>
      </c>
      <c r="B347" s="221" t="n">
        <v>1024</v>
      </c>
    </row>
    <row r="348" customFormat="false" ht="14.25" hidden="false" customHeight="false" outlineLevel="0" collapsed="false">
      <c r="A348" s="221" t="n">
        <v>347</v>
      </c>
      <c r="B348" s="221" t="n">
        <v>1024</v>
      </c>
    </row>
    <row r="349" customFormat="false" ht="14.25" hidden="false" customHeight="false" outlineLevel="0" collapsed="false">
      <c r="A349" s="221" t="n">
        <v>348</v>
      </c>
      <c r="B349" s="221" t="n">
        <v>1024</v>
      </c>
    </row>
    <row r="350" customFormat="false" ht="14.25" hidden="false" customHeight="false" outlineLevel="0" collapsed="false">
      <c r="A350" s="221" t="n">
        <v>349</v>
      </c>
      <c r="B350" s="221" t="n">
        <v>1024</v>
      </c>
    </row>
    <row r="351" customFormat="false" ht="14.25" hidden="false" customHeight="false" outlineLevel="0" collapsed="false">
      <c r="A351" s="221" t="n">
        <v>350</v>
      </c>
      <c r="B351" s="221" t="n">
        <v>1024</v>
      </c>
    </row>
    <row r="352" customFormat="false" ht="14.25" hidden="false" customHeight="false" outlineLevel="0" collapsed="false">
      <c r="A352" s="221" t="n">
        <v>351</v>
      </c>
      <c r="B352" s="221" t="n">
        <v>1024</v>
      </c>
    </row>
    <row r="353" customFormat="false" ht="14.25" hidden="false" customHeight="false" outlineLevel="0" collapsed="false">
      <c r="A353" s="221" t="n">
        <v>352</v>
      </c>
      <c r="B353" s="221" t="n">
        <v>1024</v>
      </c>
    </row>
    <row r="354" customFormat="false" ht="14.25" hidden="false" customHeight="false" outlineLevel="0" collapsed="false">
      <c r="A354" s="221" t="n">
        <v>353</v>
      </c>
      <c r="B354" s="221" t="n">
        <v>1024</v>
      </c>
    </row>
    <row r="355" customFormat="false" ht="14.25" hidden="false" customHeight="false" outlineLevel="0" collapsed="false">
      <c r="A355" s="221" t="n">
        <v>354</v>
      </c>
      <c r="B355" s="221" t="n">
        <v>1024</v>
      </c>
    </row>
    <row r="356" customFormat="false" ht="14.25" hidden="false" customHeight="false" outlineLevel="0" collapsed="false">
      <c r="A356" s="221" t="n">
        <v>355</v>
      </c>
      <c r="B356" s="221" t="n">
        <v>1024</v>
      </c>
    </row>
    <row r="357" customFormat="false" ht="14.25" hidden="false" customHeight="false" outlineLevel="0" collapsed="false">
      <c r="A357" s="221" t="n">
        <v>356</v>
      </c>
      <c r="B357" s="221" t="n">
        <v>1024</v>
      </c>
    </row>
    <row r="358" customFormat="false" ht="14.25" hidden="false" customHeight="false" outlineLevel="0" collapsed="false">
      <c r="A358" s="221" t="n">
        <v>357</v>
      </c>
      <c r="B358" s="221" t="n">
        <v>1024</v>
      </c>
    </row>
    <row r="359" customFormat="false" ht="14.25" hidden="false" customHeight="false" outlineLevel="0" collapsed="false">
      <c r="A359" s="221" t="n">
        <v>358</v>
      </c>
      <c r="B359" s="221" t="n">
        <v>1024</v>
      </c>
    </row>
    <row r="360" customFormat="false" ht="14.25" hidden="false" customHeight="false" outlineLevel="0" collapsed="false">
      <c r="A360" s="221" t="n">
        <v>359</v>
      </c>
      <c r="B360" s="221" t="n">
        <v>1024</v>
      </c>
    </row>
    <row r="361" customFormat="false" ht="14.25" hidden="false" customHeight="false" outlineLevel="0" collapsed="false">
      <c r="A361" s="221" t="n">
        <v>360</v>
      </c>
      <c r="B361" s="221" t="n">
        <v>1024</v>
      </c>
    </row>
    <row r="362" customFormat="false" ht="14.25" hidden="false" customHeight="false" outlineLevel="0" collapsed="false">
      <c r="A362" s="221" t="n">
        <v>361</v>
      </c>
      <c r="B362" s="221" t="n">
        <v>1024</v>
      </c>
    </row>
    <row r="363" customFormat="false" ht="14.25" hidden="false" customHeight="false" outlineLevel="0" collapsed="false">
      <c r="A363" s="221" t="n">
        <v>362</v>
      </c>
      <c r="B363" s="221" t="n">
        <v>1024</v>
      </c>
    </row>
    <row r="364" customFormat="false" ht="14.25" hidden="false" customHeight="false" outlineLevel="0" collapsed="false">
      <c r="A364" s="221" t="n">
        <v>363</v>
      </c>
      <c r="B364" s="221" t="n">
        <v>1024</v>
      </c>
    </row>
    <row r="365" customFormat="false" ht="14.25" hidden="false" customHeight="false" outlineLevel="0" collapsed="false">
      <c r="A365" s="221" t="n">
        <v>364</v>
      </c>
      <c r="B365" s="221" t="n">
        <v>1024</v>
      </c>
    </row>
    <row r="366" customFormat="false" ht="14.25" hidden="false" customHeight="false" outlineLevel="0" collapsed="false">
      <c r="A366" s="221" t="n">
        <v>365</v>
      </c>
      <c r="B366" s="221" t="n">
        <v>1024</v>
      </c>
    </row>
    <row r="367" customFormat="false" ht="14.25" hidden="false" customHeight="false" outlineLevel="0" collapsed="false">
      <c r="A367" s="221" t="n">
        <v>366</v>
      </c>
      <c r="B367" s="221" t="n">
        <v>1024</v>
      </c>
    </row>
    <row r="368" customFormat="false" ht="14.25" hidden="false" customHeight="false" outlineLevel="0" collapsed="false">
      <c r="A368" s="221" t="n">
        <v>367</v>
      </c>
      <c r="B368" s="221" t="n">
        <v>1024</v>
      </c>
    </row>
    <row r="369" customFormat="false" ht="14.25" hidden="false" customHeight="false" outlineLevel="0" collapsed="false">
      <c r="A369" s="221" t="n">
        <v>368</v>
      </c>
      <c r="B369" s="221" t="n">
        <v>1024</v>
      </c>
    </row>
    <row r="370" customFormat="false" ht="14.25" hidden="false" customHeight="false" outlineLevel="0" collapsed="false">
      <c r="A370" s="221" t="n">
        <v>369</v>
      </c>
      <c r="B370" s="221" t="n">
        <v>1024</v>
      </c>
    </row>
    <row r="371" customFormat="false" ht="14.25" hidden="false" customHeight="false" outlineLevel="0" collapsed="false">
      <c r="A371" s="221" t="n">
        <v>370</v>
      </c>
      <c r="B371" s="221" t="n">
        <v>1024</v>
      </c>
    </row>
    <row r="372" customFormat="false" ht="14.25" hidden="false" customHeight="false" outlineLevel="0" collapsed="false">
      <c r="A372" s="221" t="n">
        <v>371</v>
      </c>
      <c r="B372" s="221" t="n">
        <v>1024</v>
      </c>
    </row>
    <row r="373" customFormat="false" ht="14.25" hidden="false" customHeight="false" outlineLevel="0" collapsed="false">
      <c r="A373" s="221" t="n">
        <v>372</v>
      </c>
      <c r="B373" s="221" t="n">
        <v>1024</v>
      </c>
    </row>
    <row r="374" customFormat="false" ht="14.25" hidden="false" customHeight="false" outlineLevel="0" collapsed="false">
      <c r="A374" s="221" t="n">
        <v>373</v>
      </c>
      <c r="B374" s="221" t="n">
        <v>1024</v>
      </c>
    </row>
    <row r="375" customFormat="false" ht="14.25" hidden="false" customHeight="false" outlineLevel="0" collapsed="false">
      <c r="A375" s="221" t="n">
        <v>374</v>
      </c>
      <c r="B375" s="221" t="n">
        <v>1024</v>
      </c>
    </row>
    <row r="376" customFormat="false" ht="14.25" hidden="false" customHeight="false" outlineLevel="0" collapsed="false">
      <c r="A376" s="221" t="n">
        <v>375</v>
      </c>
      <c r="B376" s="221" t="n">
        <v>1024</v>
      </c>
    </row>
    <row r="377" customFormat="false" ht="14.25" hidden="false" customHeight="false" outlineLevel="0" collapsed="false">
      <c r="A377" s="221" t="n">
        <v>376</v>
      </c>
      <c r="B377" s="221" t="n">
        <v>1024</v>
      </c>
    </row>
    <row r="378" customFormat="false" ht="14.25" hidden="false" customHeight="false" outlineLevel="0" collapsed="false">
      <c r="A378" s="221" t="n">
        <v>377</v>
      </c>
      <c r="B378" s="221" t="n">
        <v>1024</v>
      </c>
    </row>
    <row r="379" customFormat="false" ht="14.25" hidden="false" customHeight="false" outlineLevel="0" collapsed="false">
      <c r="A379" s="221" t="n">
        <v>378</v>
      </c>
      <c r="B379" s="221" t="n">
        <v>1024</v>
      </c>
    </row>
    <row r="380" customFormat="false" ht="14.25" hidden="false" customHeight="false" outlineLevel="0" collapsed="false">
      <c r="A380" s="221" t="n">
        <v>379</v>
      </c>
      <c r="B380" s="221" t="n">
        <v>1024</v>
      </c>
    </row>
    <row r="381" customFormat="false" ht="14.25" hidden="false" customHeight="false" outlineLevel="0" collapsed="false">
      <c r="A381" s="221" t="n">
        <v>380</v>
      </c>
      <c r="B381" s="221" t="n">
        <v>1024</v>
      </c>
    </row>
    <row r="382" customFormat="false" ht="14.25" hidden="false" customHeight="false" outlineLevel="0" collapsed="false">
      <c r="A382" s="221" t="n">
        <v>381</v>
      </c>
      <c r="B382" s="221" t="n">
        <v>1024</v>
      </c>
    </row>
    <row r="383" customFormat="false" ht="14.25" hidden="false" customHeight="false" outlineLevel="0" collapsed="false">
      <c r="A383" s="221" t="n">
        <v>382</v>
      </c>
      <c r="B383" s="221" t="n">
        <v>1024</v>
      </c>
    </row>
    <row r="384" customFormat="false" ht="14.25" hidden="false" customHeight="false" outlineLevel="0" collapsed="false">
      <c r="A384" s="221" t="n">
        <v>383</v>
      </c>
      <c r="B384" s="221" t="n">
        <v>1024</v>
      </c>
    </row>
    <row r="385" customFormat="false" ht="14.25" hidden="false" customHeight="false" outlineLevel="0" collapsed="false">
      <c r="A385" s="221" t="n">
        <v>384</v>
      </c>
      <c r="B385" s="221" t="n">
        <v>1024</v>
      </c>
    </row>
    <row r="386" customFormat="false" ht="14.25" hidden="false" customHeight="false" outlineLevel="0" collapsed="false">
      <c r="A386" s="221" t="n">
        <v>385</v>
      </c>
      <c r="B386" s="221" t="n">
        <v>1024</v>
      </c>
    </row>
    <row r="387" customFormat="false" ht="14.25" hidden="false" customHeight="false" outlineLevel="0" collapsed="false">
      <c r="A387" s="221" t="n">
        <v>386</v>
      </c>
      <c r="B387" s="221" t="n">
        <v>1024</v>
      </c>
    </row>
    <row r="388" customFormat="false" ht="14.25" hidden="false" customHeight="false" outlineLevel="0" collapsed="false">
      <c r="A388" s="221" t="n">
        <v>387</v>
      </c>
      <c r="B388" s="221" t="n">
        <v>1024</v>
      </c>
    </row>
    <row r="389" customFormat="false" ht="14.25" hidden="false" customHeight="false" outlineLevel="0" collapsed="false">
      <c r="A389" s="221" t="n">
        <v>388</v>
      </c>
      <c r="B389" s="221" t="n">
        <v>1024</v>
      </c>
    </row>
    <row r="390" customFormat="false" ht="14.25" hidden="false" customHeight="false" outlineLevel="0" collapsed="false">
      <c r="A390" s="221" t="n">
        <v>389</v>
      </c>
      <c r="B390" s="221" t="n">
        <v>1024</v>
      </c>
    </row>
    <row r="391" customFormat="false" ht="14.25" hidden="false" customHeight="false" outlineLevel="0" collapsed="false">
      <c r="A391" s="221" t="n">
        <v>390</v>
      </c>
      <c r="B391" s="221" t="n">
        <v>1024</v>
      </c>
    </row>
    <row r="392" customFormat="false" ht="14.25" hidden="false" customHeight="false" outlineLevel="0" collapsed="false">
      <c r="A392" s="221" t="n">
        <v>391</v>
      </c>
      <c r="B392" s="221" t="n">
        <v>1024</v>
      </c>
    </row>
    <row r="393" customFormat="false" ht="14.25" hidden="false" customHeight="false" outlineLevel="0" collapsed="false">
      <c r="A393" s="221" t="n">
        <v>392</v>
      </c>
      <c r="B393" s="221" t="n">
        <v>1024</v>
      </c>
    </row>
    <row r="394" customFormat="false" ht="14.25" hidden="false" customHeight="false" outlineLevel="0" collapsed="false">
      <c r="A394" s="221" t="n">
        <v>393</v>
      </c>
      <c r="B394" s="221" t="n">
        <v>1024</v>
      </c>
    </row>
    <row r="395" customFormat="false" ht="14.25" hidden="false" customHeight="false" outlineLevel="0" collapsed="false">
      <c r="A395" s="221" t="n">
        <v>394</v>
      </c>
      <c r="B395" s="221" t="n">
        <v>1024</v>
      </c>
    </row>
    <row r="396" customFormat="false" ht="14.25" hidden="false" customHeight="false" outlineLevel="0" collapsed="false">
      <c r="A396" s="221" t="n">
        <v>395</v>
      </c>
      <c r="B396" s="221" t="n">
        <v>1024</v>
      </c>
    </row>
    <row r="397" customFormat="false" ht="14.25" hidden="false" customHeight="false" outlineLevel="0" collapsed="false">
      <c r="A397" s="221" t="n">
        <v>396</v>
      </c>
      <c r="B397" s="221" t="n">
        <v>1024</v>
      </c>
    </row>
    <row r="398" customFormat="false" ht="14.25" hidden="false" customHeight="false" outlineLevel="0" collapsed="false">
      <c r="A398" s="221" t="n">
        <v>397</v>
      </c>
      <c r="B398" s="221" t="n">
        <v>1024</v>
      </c>
    </row>
    <row r="399" customFormat="false" ht="14.25" hidden="false" customHeight="false" outlineLevel="0" collapsed="false">
      <c r="A399" s="221" t="n">
        <v>398</v>
      </c>
      <c r="B399" s="221" t="n">
        <v>1024</v>
      </c>
    </row>
    <row r="400" customFormat="false" ht="14.25" hidden="false" customHeight="false" outlineLevel="0" collapsed="false">
      <c r="A400" s="221" t="n">
        <v>399</v>
      </c>
      <c r="B400" s="221" t="n">
        <v>1024</v>
      </c>
    </row>
    <row r="401" customFormat="false" ht="14.25" hidden="false" customHeight="false" outlineLevel="0" collapsed="false">
      <c r="A401" s="221" t="n">
        <v>400</v>
      </c>
      <c r="B401" s="221" t="n">
        <v>1024</v>
      </c>
    </row>
    <row r="402" customFormat="false" ht="14.25" hidden="false" customHeight="false" outlineLevel="0" collapsed="false">
      <c r="A402" s="221" t="n">
        <v>401</v>
      </c>
      <c r="B402" s="221" t="n">
        <v>1024</v>
      </c>
    </row>
    <row r="403" customFormat="false" ht="14.25" hidden="false" customHeight="false" outlineLevel="0" collapsed="false">
      <c r="A403" s="221" t="n">
        <v>402</v>
      </c>
      <c r="B403" s="221" t="n">
        <v>1024</v>
      </c>
    </row>
    <row r="404" customFormat="false" ht="14.25" hidden="false" customHeight="false" outlineLevel="0" collapsed="false">
      <c r="A404" s="221" t="n">
        <v>403</v>
      </c>
      <c r="B404" s="221" t="n">
        <v>1024</v>
      </c>
    </row>
    <row r="405" customFormat="false" ht="14.25" hidden="false" customHeight="false" outlineLevel="0" collapsed="false">
      <c r="A405" s="221" t="n">
        <v>404</v>
      </c>
      <c r="B405" s="221" t="n">
        <v>1024</v>
      </c>
    </row>
    <row r="406" customFormat="false" ht="14.25" hidden="false" customHeight="false" outlineLevel="0" collapsed="false">
      <c r="A406" s="221" t="n">
        <v>405</v>
      </c>
      <c r="B406" s="221" t="n">
        <v>1024</v>
      </c>
    </row>
    <row r="407" customFormat="false" ht="14.25" hidden="false" customHeight="false" outlineLevel="0" collapsed="false">
      <c r="A407" s="221" t="n">
        <v>406</v>
      </c>
      <c r="B407" s="221" t="n">
        <v>1024</v>
      </c>
    </row>
    <row r="408" customFormat="false" ht="14.25" hidden="false" customHeight="false" outlineLevel="0" collapsed="false">
      <c r="A408" s="221" t="n">
        <v>407</v>
      </c>
      <c r="B408" s="221" t="n">
        <v>1024</v>
      </c>
    </row>
    <row r="409" customFormat="false" ht="14.25" hidden="false" customHeight="false" outlineLevel="0" collapsed="false">
      <c r="A409" s="221" t="n">
        <v>408</v>
      </c>
      <c r="B409" s="221" t="n">
        <v>1024</v>
      </c>
    </row>
    <row r="410" customFormat="false" ht="14.25" hidden="false" customHeight="false" outlineLevel="0" collapsed="false">
      <c r="A410" s="221" t="n">
        <v>409</v>
      </c>
      <c r="B410" s="221" t="n">
        <v>1024</v>
      </c>
    </row>
    <row r="411" customFormat="false" ht="14.25" hidden="false" customHeight="false" outlineLevel="0" collapsed="false">
      <c r="A411" s="221" t="n">
        <v>410</v>
      </c>
      <c r="B411" s="221" t="n">
        <v>1024</v>
      </c>
    </row>
    <row r="412" customFormat="false" ht="14.25" hidden="false" customHeight="false" outlineLevel="0" collapsed="false">
      <c r="A412" s="221" t="n">
        <v>411</v>
      </c>
      <c r="B412" s="221" t="n">
        <v>1024</v>
      </c>
    </row>
    <row r="413" customFormat="false" ht="14.25" hidden="false" customHeight="false" outlineLevel="0" collapsed="false">
      <c r="A413" s="221" t="n">
        <v>412</v>
      </c>
      <c r="B413" s="221" t="n">
        <v>1024</v>
      </c>
    </row>
    <row r="414" customFormat="false" ht="14.25" hidden="false" customHeight="false" outlineLevel="0" collapsed="false">
      <c r="A414" s="221" t="n">
        <v>413</v>
      </c>
      <c r="B414" s="221" t="n">
        <v>1024</v>
      </c>
    </row>
    <row r="415" customFormat="false" ht="14.25" hidden="false" customHeight="false" outlineLevel="0" collapsed="false">
      <c r="A415" s="221" t="n">
        <v>414</v>
      </c>
      <c r="B415" s="221" t="n">
        <v>1024</v>
      </c>
    </row>
    <row r="416" customFormat="false" ht="14.25" hidden="false" customHeight="false" outlineLevel="0" collapsed="false">
      <c r="A416" s="221" t="n">
        <v>415</v>
      </c>
      <c r="B416" s="221" t="n">
        <v>1024</v>
      </c>
    </row>
    <row r="417" customFormat="false" ht="14.25" hidden="false" customHeight="false" outlineLevel="0" collapsed="false">
      <c r="A417" s="221" t="n">
        <v>416</v>
      </c>
      <c r="B417" s="221" t="n">
        <v>1024</v>
      </c>
    </row>
    <row r="418" customFormat="false" ht="14.25" hidden="false" customHeight="false" outlineLevel="0" collapsed="false">
      <c r="A418" s="221" t="n">
        <v>417</v>
      </c>
      <c r="B418" s="221" t="n">
        <v>1024</v>
      </c>
    </row>
    <row r="419" customFormat="false" ht="14.25" hidden="false" customHeight="false" outlineLevel="0" collapsed="false">
      <c r="A419" s="221" t="n">
        <v>418</v>
      </c>
      <c r="B419" s="221" t="n">
        <v>1024</v>
      </c>
    </row>
    <row r="420" customFormat="false" ht="14.25" hidden="false" customHeight="false" outlineLevel="0" collapsed="false">
      <c r="A420" s="221" t="n">
        <v>419</v>
      </c>
      <c r="B420" s="221" t="n">
        <v>1024</v>
      </c>
    </row>
    <row r="421" customFormat="false" ht="14.25" hidden="false" customHeight="false" outlineLevel="0" collapsed="false">
      <c r="A421" s="221" t="n">
        <v>420</v>
      </c>
      <c r="B421" s="221" t="n">
        <v>1024</v>
      </c>
    </row>
    <row r="422" customFormat="false" ht="14.25" hidden="false" customHeight="false" outlineLevel="0" collapsed="false">
      <c r="A422" s="221" t="n">
        <v>421</v>
      </c>
      <c r="B422" s="221" t="n">
        <v>1024</v>
      </c>
    </row>
    <row r="423" customFormat="false" ht="14.25" hidden="false" customHeight="false" outlineLevel="0" collapsed="false">
      <c r="A423" s="221" t="n">
        <v>422</v>
      </c>
      <c r="B423" s="221" t="n">
        <v>1024</v>
      </c>
    </row>
    <row r="424" customFormat="false" ht="14.25" hidden="false" customHeight="false" outlineLevel="0" collapsed="false">
      <c r="A424" s="221" t="n">
        <v>423</v>
      </c>
      <c r="B424" s="221" t="n">
        <v>1024</v>
      </c>
    </row>
    <row r="425" customFormat="false" ht="14.25" hidden="false" customHeight="false" outlineLevel="0" collapsed="false">
      <c r="A425" s="221" t="n">
        <v>424</v>
      </c>
      <c r="B425" s="221" t="n">
        <v>1024</v>
      </c>
    </row>
    <row r="426" customFormat="false" ht="14.25" hidden="false" customHeight="false" outlineLevel="0" collapsed="false">
      <c r="A426" s="221" t="n">
        <v>425</v>
      </c>
      <c r="B426" s="221" t="n">
        <v>1024</v>
      </c>
    </row>
    <row r="427" customFormat="false" ht="14.25" hidden="false" customHeight="false" outlineLevel="0" collapsed="false">
      <c r="A427" s="221" t="n">
        <v>426</v>
      </c>
      <c r="B427" s="221" t="n">
        <v>1024</v>
      </c>
    </row>
    <row r="428" customFormat="false" ht="14.25" hidden="false" customHeight="false" outlineLevel="0" collapsed="false">
      <c r="A428" s="221" t="n">
        <v>427</v>
      </c>
      <c r="B428" s="221" t="n">
        <v>1024</v>
      </c>
    </row>
    <row r="429" customFormat="false" ht="14.25" hidden="false" customHeight="false" outlineLevel="0" collapsed="false">
      <c r="A429" s="221" t="n">
        <v>428</v>
      </c>
      <c r="B429" s="221" t="n">
        <v>1024</v>
      </c>
    </row>
    <row r="430" customFormat="false" ht="14.25" hidden="false" customHeight="false" outlineLevel="0" collapsed="false">
      <c r="A430" s="221" t="n">
        <v>429</v>
      </c>
      <c r="B430" s="221" t="n">
        <v>1024</v>
      </c>
    </row>
    <row r="431" customFormat="false" ht="14.25" hidden="false" customHeight="false" outlineLevel="0" collapsed="false">
      <c r="A431" s="221" t="n">
        <v>430</v>
      </c>
      <c r="B431" s="221" t="n">
        <v>1024</v>
      </c>
    </row>
    <row r="432" customFormat="false" ht="14.25" hidden="false" customHeight="false" outlineLevel="0" collapsed="false">
      <c r="A432" s="221" t="n">
        <v>431</v>
      </c>
      <c r="B432" s="221" t="n">
        <v>1024</v>
      </c>
    </row>
    <row r="433" customFormat="false" ht="14.25" hidden="false" customHeight="false" outlineLevel="0" collapsed="false">
      <c r="A433" s="221" t="n">
        <v>432</v>
      </c>
      <c r="B433" s="221" t="n">
        <v>1024</v>
      </c>
    </row>
    <row r="434" customFormat="false" ht="14.25" hidden="false" customHeight="false" outlineLevel="0" collapsed="false">
      <c r="A434" s="221" t="n">
        <v>433</v>
      </c>
      <c r="B434" s="221" t="n">
        <v>1024</v>
      </c>
    </row>
    <row r="435" customFormat="false" ht="14.25" hidden="false" customHeight="false" outlineLevel="0" collapsed="false">
      <c r="A435" s="221" t="n">
        <v>434</v>
      </c>
      <c r="B435" s="221" t="n">
        <v>1024</v>
      </c>
    </row>
    <row r="436" customFormat="false" ht="14.25" hidden="false" customHeight="false" outlineLevel="0" collapsed="false">
      <c r="A436" s="221" t="n">
        <v>435</v>
      </c>
      <c r="B436" s="221" t="n">
        <v>1024</v>
      </c>
    </row>
    <row r="437" customFormat="false" ht="14.25" hidden="false" customHeight="false" outlineLevel="0" collapsed="false">
      <c r="A437" s="221" t="n">
        <v>436</v>
      </c>
      <c r="B437" s="221" t="n">
        <v>1024</v>
      </c>
    </row>
    <row r="438" customFormat="false" ht="14.25" hidden="false" customHeight="false" outlineLevel="0" collapsed="false">
      <c r="A438" s="221" t="n">
        <v>437</v>
      </c>
      <c r="B438" s="221" t="n">
        <v>1024</v>
      </c>
    </row>
    <row r="439" customFormat="false" ht="14.25" hidden="false" customHeight="false" outlineLevel="0" collapsed="false">
      <c r="A439" s="221" t="n">
        <v>438</v>
      </c>
      <c r="B439" s="221" t="n">
        <v>1024</v>
      </c>
    </row>
    <row r="440" customFormat="false" ht="14.25" hidden="false" customHeight="false" outlineLevel="0" collapsed="false">
      <c r="A440" s="221" t="n">
        <v>439</v>
      </c>
      <c r="B440" s="221" t="n">
        <v>1024</v>
      </c>
    </row>
    <row r="441" customFormat="false" ht="14.25" hidden="false" customHeight="false" outlineLevel="0" collapsed="false">
      <c r="A441" s="221" t="n">
        <v>440</v>
      </c>
      <c r="B441" s="221" t="n">
        <v>1024</v>
      </c>
    </row>
    <row r="442" customFormat="false" ht="14.25" hidden="false" customHeight="false" outlineLevel="0" collapsed="false">
      <c r="A442" s="221" t="n">
        <v>441</v>
      </c>
      <c r="B442" s="221" t="n">
        <v>1024</v>
      </c>
    </row>
    <row r="443" customFormat="false" ht="14.25" hidden="false" customHeight="false" outlineLevel="0" collapsed="false">
      <c r="A443" s="221" t="n">
        <v>442</v>
      </c>
      <c r="B443" s="221" t="n">
        <v>1024</v>
      </c>
    </row>
    <row r="444" customFormat="false" ht="14.25" hidden="false" customHeight="false" outlineLevel="0" collapsed="false">
      <c r="A444" s="221" t="n">
        <v>443</v>
      </c>
      <c r="B444" s="221" t="n">
        <v>1024</v>
      </c>
    </row>
    <row r="445" customFormat="false" ht="14.25" hidden="false" customHeight="false" outlineLevel="0" collapsed="false">
      <c r="A445" s="221" t="n">
        <v>444</v>
      </c>
      <c r="B445" s="221" t="n">
        <v>1024</v>
      </c>
    </row>
    <row r="446" customFormat="false" ht="14.25" hidden="false" customHeight="false" outlineLevel="0" collapsed="false">
      <c r="A446" s="221" t="n">
        <v>445</v>
      </c>
      <c r="B446" s="221" t="n">
        <v>1024</v>
      </c>
    </row>
    <row r="447" customFormat="false" ht="14.25" hidden="false" customHeight="false" outlineLevel="0" collapsed="false">
      <c r="A447" s="221" t="n">
        <v>446</v>
      </c>
      <c r="B447" s="221" t="n">
        <v>1024</v>
      </c>
    </row>
    <row r="448" customFormat="false" ht="14.25" hidden="false" customHeight="false" outlineLevel="0" collapsed="false">
      <c r="A448" s="221" t="n">
        <v>447</v>
      </c>
      <c r="B448" s="221" t="n">
        <v>1024</v>
      </c>
    </row>
    <row r="449" customFormat="false" ht="14.25" hidden="false" customHeight="false" outlineLevel="0" collapsed="false">
      <c r="A449" s="221" t="n">
        <v>448</v>
      </c>
      <c r="B449" s="221" t="n">
        <v>1024</v>
      </c>
    </row>
    <row r="450" customFormat="false" ht="14.25" hidden="false" customHeight="false" outlineLevel="0" collapsed="false">
      <c r="A450" s="221" t="n">
        <v>449</v>
      </c>
      <c r="B450" s="221" t="n">
        <v>1024</v>
      </c>
    </row>
    <row r="451" customFormat="false" ht="14.25" hidden="false" customHeight="false" outlineLevel="0" collapsed="false">
      <c r="A451" s="221" t="n">
        <v>450</v>
      </c>
      <c r="B451" s="221" t="n">
        <v>1024</v>
      </c>
    </row>
    <row r="452" customFormat="false" ht="14.25" hidden="false" customHeight="false" outlineLevel="0" collapsed="false">
      <c r="A452" s="221" t="n">
        <v>451</v>
      </c>
      <c r="B452" s="221" t="n">
        <v>1024</v>
      </c>
    </row>
    <row r="453" customFormat="false" ht="14.25" hidden="false" customHeight="false" outlineLevel="0" collapsed="false">
      <c r="A453" s="221" t="n">
        <v>452</v>
      </c>
      <c r="B453" s="221" t="n">
        <v>1024</v>
      </c>
    </row>
    <row r="454" customFormat="false" ht="14.25" hidden="false" customHeight="false" outlineLevel="0" collapsed="false">
      <c r="A454" s="221" t="n">
        <v>453</v>
      </c>
      <c r="B454" s="221" t="n">
        <v>1024</v>
      </c>
    </row>
    <row r="455" customFormat="false" ht="14.25" hidden="false" customHeight="false" outlineLevel="0" collapsed="false">
      <c r="A455" s="221" t="n">
        <v>454</v>
      </c>
      <c r="B455" s="221" t="n">
        <v>1024</v>
      </c>
    </row>
    <row r="456" customFormat="false" ht="14.25" hidden="false" customHeight="false" outlineLevel="0" collapsed="false">
      <c r="A456" s="221" t="n">
        <v>455</v>
      </c>
      <c r="B456" s="221" t="n">
        <v>1024</v>
      </c>
    </row>
    <row r="457" customFormat="false" ht="14.25" hidden="false" customHeight="false" outlineLevel="0" collapsed="false">
      <c r="A457" s="221" t="n">
        <v>456</v>
      </c>
      <c r="B457" s="221" t="n">
        <v>1024</v>
      </c>
    </row>
    <row r="458" customFormat="false" ht="14.25" hidden="false" customHeight="false" outlineLevel="0" collapsed="false">
      <c r="A458" s="221" t="n">
        <v>457</v>
      </c>
      <c r="B458" s="221" t="n">
        <v>1024</v>
      </c>
    </row>
    <row r="459" customFormat="false" ht="14.25" hidden="false" customHeight="false" outlineLevel="0" collapsed="false">
      <c r="A459" s="221" t="n">
        <v>458</v>
      </c>
      <c r="B459" s="221" t="n">
        <v>1024</v>
      </c>
    </row>
    <row r="460" customFormat="false" ht="14.25" hidden="false" customHeight="false" outlineLevel="0" collapsed="false">
      <c r="A460" s="221" t="n">
        <v>459</v>
      </c>
      <c r="B460" s="221" t="n">
        <v>1024</v>
      </c>
    </row>
    <row r="461" customFormat="false" ht="14.25" hidden="false" customHeight="false" outlineLevel="0" collapsed="false">
      <c r="A461" s="221" t="n">
        <v>460</v>
      </c>
      <c r="B461" s="221" t="n">
        <v>1024</v>
      </c>
    </row>
    <row r="462" customFormat="false" ht="14.25" hidden="false" customHeight="false" outlineLevel="0" collapsed="false">
      <c r="A462" s="221" t="n">
        <v>461</v>
      </c>
      <c r="B462" s="221" t="n">
        <v>1024</v>
      </c>
    </row>
    <row r="463" customFormat="false" ht="14.25" hidden="false" customHeight="false" outlineLevel="0" collapsed="false">
      <c r="A463" s="221" t="n">
        <v>462</v>
      </c>
      <c r="B463" s="221" t="n">
        <v>1024</v>
      </c>
    </row>
    <row r="464" customFormat="false" ht="14.25" hidden="false" customHeight="false" outlineLevel="0" collapsed="false">
      <c r="A464" s="221" t="n">
        <v>463</v>
      </c>
      <c r="B464" s="221" t="n">
        <v>1024</v>
      </c>
    </row>
    <row r="465" customFormat="false" ht="14.25" hidden="false" customHeight="false" outlineLevel="0" collapsed="false">
      <c r="A465" s="221" t="n">
        <v>464</v>
      </c>
      <c r="B465" s="221" t="n">
        <v>1024</v>
      </c>
    </row>
    <row r="466" customFormat="false" ht="14.25" hidden="false" customHeight="false" outlineLevel="0" collapsed="false">
      <c r="A466" s="221" t="n">
        <v>465</v>
      </c>
      <c r="B466" s="221" t="n">
        <v>1024</v>
      </c>
    </row>
    <row r="467" customFormat="false" ht="14.25" hidden="false" customHeight="false" outlineLevel="0" collapsed="false">
      <c r="A467" s="221" t="n">
        <v>466</v>
      </c>
      <c r="B467" s="221" t="n">
        <v>1024</v>
      </c>
    </row>
    <row r="468" customFormat="false" ht="14.25" hidden="false" customHeight="false" outlineLevel="0" collapsed="false">
      <c r="A468" s="221" t="n">
        <v>467</v>
      </c>
      <c r="B468" s="221" t="n">
        <v>1024</v>
      </c>
    </row>
    <row r="469" customFormat="false" ht="14.25" hidden="false" customHeight="false" outlineLevel="0" collapsed="false">
      <c r="A469" s="221" t="n">
        <v>468</v>
      </c>
      <c r="B469" s="221" t="n">
        <v>1024</v>
      </c>
    </row>
    <row r="470" customFormat="false" ht="14.25" hidden="false" customHeight="false" outlineLevel="0" collapsed="false">
      <c r="A470" s="221" t="n">
        <v>469</v>
      </c>
      <c r="B470" s="221" t="n">
        <v>1024</v>
      </c>
    </row>
    <row r="471" customFormat="false" ht="14.25" hidden="false" customHeight="false" outlineLevel="0" collapsed="false">
      <c r="A471" s="221" t="n">
        <v>470</v>
      </c>
      <c r="B471" s="221" t="n">
        <v>1024</v>
      </c>
    </row>
    <row r="472" customFormat="false" ht="14.25" hidden="false" customHeight="false" outlineLevel="0" collapsed="false">
      <c r="A472" s="221" t="n">
        <v>471</v>
      </c>
      <c r="B472" s="221" t="n">
        <v>1024</v>
      </c>
    </row>
    <row r="473" customFormat="false" ht="14.25" hidden="false" customHeight="false" outlineLevel="0" collapsed="false">
      <c r="A473" s="221" t="n">
        <v>472</v>
      </c>
      <c r="B473" s="221" t="n">
        <v>1024</v>
      </c>
    </row>
    <row r="474" customFormat="false" ht="14.25" hidden="false" customHeight="false" outlineLevel="0" collapsed="false">
      <c r="A474" s="221" t="n">
        <v>473</v>
      </c>
      <c r="B474" s="221" t="n">
        <v>1024</v>
      </c>
    </row>
    <row r="475" customFormat="false" ht="14.25" hidden="false" customHeight="false" outlineLevel="0" collapsed="false">
      <c r="A475" s="221" t="n">
        <v>474</v>
      </c>
      <c r="B475" s="221" t="n">
        <v>1024</v>
      </c>
    </row>
    <row r="476" customFormat="false" ht="14.25" hidden="false" customHeight="false" outlineLevel="0" collapsed="false">
      <c r="A476" s="221" t="n">
        <v>475</v>
      </c>
      <c r="B476" s="221" t="n">
        <v>1024</v>
      </c>
    </row>
    <row r="477" customFormat="false" ht="14.25" hidden="false" customHeight="false" outlineLevel="0" collapsed="false">
      <c r="A477" s="221" t="n">
        <v>476</v>
      </c>
      <c r="B477" s="221" t="n">
        <v>1024</v>
      </c>
    </row>
    <row r="478" customFormat="false" ht="14.25" hidden="false" customHeight="false" outlineLevel="0" collapsed="false">
      <c r="A478" s="221" t="n">
        <v>477</v>
      </c>
      <c r="B478" s="221" t="n">
        <v>1024</v>
      </c>
    </row>
    <row r="479" customFormat="false" ht="14.25" hidden="false" customHeight="false" outlineLevel="0" collapsed="false">
      <c r="A479" s="221" t="n">
        <v>478</v>
      </c>
      <c r="B479" s="221" t="n">
        <v>1024</v>
      </c>
    </row>
    <row r="480" customFormat="false" ht="14.25" hidden="false" customHeight="false" outlineLevel="0" collapsed="false">
      <c r="A480" s="221" t="n">
        <v>479</v>
      </c>
      <c r="B480" s="221" t="n">
        <v>1024</v>
      </c>
    </row>
    <row r="481" customFormat="false" ht="14.25" hidden="false" customHeight="false" outlineLevel="0" collapsed="false">
      <c r="A481" s="221" t="n">
        <v>480</v>
      </c>
      <c r="B481" s="221" t="n">
        <v>1024</v>
      </c>
    </row>
    <row r="482" customFormat="false" ht="14.25" hidden="false" customHeight="false" outlineLevel="0" collapsed="false">
      <c r="A482" s="221" t="n">
        <v>481</v>
      </c>
      <c r="B482" s="221" t="n">
        <v>1024</v>
      </c>
    </row>
    <row r="483" customFormat="false" ht="14.25" hidden="false" customHeight="false" outlineLevel="0" collapsed="false">
      <c r="A483" s="221" t="n">
        <v>482</v>
      </c>
      <c r="B483" s="221" t="n">
        <v>1024</v>
      </c>
    </row>
    <row r="484" customFormat="false" ht="14.25" hidden="false" customHeight="false" outlineLevel="0" collapsed="false">
      <c r="A484" s="221" t="n">
        <v>483</v>
      </c>
      <c r="B484" s="221" t="n">
        <v>1024</v>
      </c>
    </row>
    <row r="485" customFormat="false" ht="14.25" hidden="false" customHeight="false" outlineLevel="0" collapsed="false">
      <c r="A485" s="221" t="n">
        <v>484</v>
      </c>
      <c r="B485" s="221" t="n">
        <v>1024</v>
      </c>
    </row>
    <row r="486" customFormat="false" ht="14.25" hidden="false" customHeight="false" outlineLevel="0" collapsed="false">
      <c r="A486" s="221" t="n">
        <v>485</v>
      </c>
      <c r="B486" s="221" t="n">
        <v>1024</v>
      </c>
    </row>
    <row r="487" customFormat="false" ht="14.25" hidden="false" customHeight="false" outlineLevel="0" collapsed="false">
      <c r="A487" s="221" t="n">
        <v>486</v>
      </c>
      <c r="B487" s="221" t="n">
        <v>1024</v>
      </c>
    </row>
    <row r="488" customFormat="false" ht="14.25" hidden="false" customHeight="false" outlineLevel="0" collapsed="false">
      <c r="A488" s="221" t="n">
        <v>487</v>
      </c>
      <c r="B488" s="221" t="n">
        <v>1024</v>
      </c>
    </row>
    <row r="489" customFormat="false" ht="14.25" hidden="false" customHeight="false" outlineLevel="0" collapsed="false">
      <c r="A489" s="221" t="n">
        <v>488</v>
      </c>
      <c r="B489" s="221" t="n">
        <v>1024</v>
      </c>
    </row>
    <row r="490" customFormat="false" ht="14.25" hidden="false" customHeight="false" outlineLevel="0" collapsed="false">
      <c r="A490" s="221" t="n">
        <v>489</v>
      </c>
      <c r="B490" s="221" t="n">
        <v>1024</v>
      </c>
    </row>
    <row r="491" customFormat="false" ht="14.25" hidden="false" customHeight="false" outlineLevel="0" collapsed="false">
      <c r="A491" s="221" t="n">
        <v>490</v>
      </c>
      <c r="B491" s="221" t="n">
        <v>1024</v>
      </c>
    </row>
    <row r="492" customFormat="false" ht="14.25" hidden="false" customHeight="false" outlineLevel="0" collapsed="false">
      <c r="A492" s="221" t="n">
        <v>491</v>
      </c>
      <c r="B492" s="221" t="n">
        <v>1024</v>
      </c>
    </row>
    <row r="493" customFormat="false" ht="14.25" hidden="false" customHeight="false" outlineLevel="0" collapsed="false">
      <c r="A493" s="221" t="n">
        <v>492</v>
      </c>
      <c r="B493" s="221" t="n">
        <v>1024</v>
      </c>
    </row>
    <row r="494" customFormat="false" ht="14.25" hidden="false" customHeight="false" outlineLevel="0" collapsed="false">
      <c r="A494" s="221" t="n">
        <v>493</v>
      </c>
      <c r="B494" s="221" t="n">
        <v>1024</v>
      </c>
    </row>
    <row r="495" customFormat="false" ht="14.25" hidden="false" customHeight="false" outlineLevel="0" collapsed="false">
      <c r="A495" s="221" t="n">
        <v>494</v>
      </c>
      <c r="B495" s="221" t="n">
        <v>1024</v>
      </c>
    </row>
    <row r="496" customFormat="false" ht="14.25" hidden="false" customHeight="false" outlineLevel="0" collapsed="false">
      <c r="A496" s="221" t="n">
        <v>495</v>
      </c>
      <c r="B496" s="221" t="n">
        <v>1024</v>
      </c>
    </row>
    <row r="497" customFormat="false" ht="14.25" hidden="false" customHeight="false" outlineLevel="0" collapsed="false">
      <c r="A497" s="221" t="n">
        <v>496</v>
      </c>
      <c r="B497" s="221" t="n">
        <v>1024</v>
      </c>
    </row>
    <row r="498" customFormat="false" ht="14.25" hidden="false" customHeight="false" outlineLevel="0" collapsed="false">
      <c r="A498" s="221" t="n">
        <v>497</v>
      </c>
      <c r="B498" s="221" t="n">
        <v>1024</v>
      </c>
    </row>
    <row r="499" customFormat="false" ht="14.25" hidden="false" customHeight="false" outlineLevel="0" collapsed="false">
      <c r="A499" s="221" t="n">
        <v>498</v>
      </c>
      <c r="B499" s="221" t="n">
        <v>1024</v>
      </c>
    </row>
    <row r="500" customFormat="false" ht="14.25" hidden="false" customHeight="false" outlineLevel="0" collapsed="false">
      <c r="A500" s="221" t="n">
        <v>499</v>
      </c>
      <c r="B500" s="221" t="n">
        <v>1024</v>
      </c>
    </row>
    <row r="501" customFormat="false" ht="14.25" hidden="false" customHeight="false" outlineLevel="0" collapsed="false">
      <c r="A501" s="221" t="n">
        <v>500</v>
      </c>
      <c r="B501" s="221" t="n">
        <v>1024</v>
      </c>
    </row>
    <row r="502" customFormat="false" ht="14.25" hidden="false" customHeight="false" outlineLevel="0" collapsed="false">
      <c r="A502" s="221" t="n">
        <v>501</v>
      </c>
      <c r="B502" s="221" t="n">
        <v>1024</v>
      </c>
    </row>
    <row r="503" customFormat="false" ht="14.25" hidden="false" customHeight="false" outlineLevel="0" collapsed="false">
      <c r="A503" s="221" t="n">
        <v>502</v>
      </c>
      <c r="B503" s="221" t="n">
        <v>1024</v>
      </c>
    </row>
    <row r="504" customFormat="false" ht="14.25" hidden="false" customHeight="false" outlineLevel="0" collapsed="false">
      <c r="A504" s="221" t="n">
        <v>503</v>
      </c>
      <c r="B504" s="221" t="n">
        <v>1024</v>
      </c>
    </row>
    <row r="505" customFormat="false" ht="14.25" hidden="false" customHeight="false" outlineLevel="0" collapsed="false">
      <c r="A505" s="221" t="n">
        <v>504</v>
      </c>
      <c r="B505" s="221" t="n">
        <v>1024</v>
      </c>
    </row>
    <row r="506" customFormat="false" ht="14.25" hidden="false" customHeight="false" outlineLevel="0" collapsed="false">
      <c r="A506" s="221" t="n">
        <v>505</v>
      </c>
      <c r="B506" s="221" t="n">
        <v>1024</v>
      </c>
    </row>
    <row r="507" customFormat="false" ht="14.25" hidden="false" customHeight="false" outlineLevel="0" collapsed="false">
      <c r="A507" s="221" t="n">
        <v>506</v>
      </c>
      <c r="B507" s="221" t="n">
        <v>1024</v>
      </c>
    </row>
    <row r="508" customFormat="false" ht="14.25" hidden="false" customHeight="false" outlineLevel="0" collapsed="false">
      <c r="A508" s="221" t="n">
        <v>507</v>
      </c>
      <c r="B508" s="221" t="n">
        <v>1024</v>
      </c>
    </row>
    <row r="509" customFormat="false" ht="14.25" hidden="false" customHeight="false" outlineLevel="0" collapsed="false">
      <c r="A509" s="221" t="n">
        <v>508</v>
      </c>
      <c r="B509" s="221" t="n">
        <v>1024</v>
      </c>
    </row>
    <row r="510" customFormat="false" ht="14.25" hidden="false" customHeight="false" outlineLevel="0" collapsed="false">
      <c r="A510" s="221" t="n">
        <v>509</v>
      </c>
      <c r="B510" s="221" t="n">
        <v>1024</v>
      </c>
    </row>
    <row r="511" customFormat="false" ht="14.25" hidden="false" customHeight="false" outlineLevel="0" collapsed="false">
      <c r="A511" s="221" t="n">
        <v>510</v>
      </c>
      <c r="B511" s="221" t="n">
        <v>1024</v>
      </c>
    </row>
    <row r="512" customFormat="false" ht="14.25" hidden="false" customHeight="false" outlineLevel="0" collapsed="false">
      <c r="A512" s="221" t="n">
        <v>511</v>
      </c>
      <c r="B512" s="221" t="n">
        <v>1024</v>
      </c>
    </row>
    <row r="513" customFormat="false" ht="14.25" hidden="false" customHeight="false" outlineLevel="0" collapsed="false">
      <c r="A513" s="221" t="n">
        <v>512</v>
      </c>
      <c r="B513" s="221" t="n">
        <v>1024</v>
      </c>
    </row>
    <row r="514" customFormat="false" ht="14.25" hidden="false" customHeight="false" outlineLevel="0" collapsed="false">
      <c r="A514" s="221" t="n">
        <v>513</v>
      </c>
      <c r="B514" s="221" t="n">
        <v>1024</v>
      </c>
    </row>
    <row r="515" customFormat="false" ht="14.25" hidden="false" customHeight="false" outlineLevel="0" collapsed="false">
      <c r="A515" s="221" t="n">
        <v>514</v>
      </c>
      <c r="B515" s="221" t="n">
        <v>1024</v>
      </c>
    </row>
    <row r="516" customFormat="false" ht="14.25" hidden="false" customHeight="false" outlineLevel="0" collapsed="false">
      <c r="A516" s="221" t="n">
        <v>515</v>
      </c>
      <c r="B516" s="221" t="n">
        <v>1024</v>
      </c>
    </row>
    <row r="517" customFormat="false" ht="14.25" hidden="false" customHeight="false" outlineLevel="0" collapsed="false">
      <c r="A517" s="221" t="n">
        <v>516</v>
      </c>
      <c r="B517" s="221" t="n">
        <v>1024</v>
      </c>
    </row>
    <row r="518" customFormat="false" ht="14.25" hidden="false" customHeight="false" outlineLevel="0" collapsed="false">
      <c r="A518" s="221" t="n">
        <v>517</v>
      </c>
      <c r="B518" s="221" t="n">
        <v>1024</v>
      </c>
    </row>
    <row r="519" customFormat="false" ht="14.25" hidden="false" customHeight="false" outlineLevel="0" collapsed="false">
      <c r="A519" s="221" t="n">
        <v>518</v>
      </c>
      <c r="B519" s="221" t="n">
        <v>1024</v>
      </c>
    </row>
    <row r="520" customFormat="false" ht="14.25" hidden="false" customHeight="false" outlineLevel="0" collapsed="false">
      <c r="A520" s="221" t="n">
        <v>519</v>
      </c>
      <c r="B520" s="221" t="n">
        <v>1024</v>
      </c>
    </row>
    <row r="521" customFormat="false" ht="14.25" hidden="false" customHeight="false" outlineLevel="0" collapsed="false">
      <c r="A521" s="221" t="n">
        <v>520</v>
      </c>
      <c r="B521" s="221" t="n">
        <v>1024</v>
      </c>
    </row>
    <row r="522" customFormat="false" ht="14.25" hidden="false" customHeight="false" outlineLevel="0" collapsed="false">
      <c r="A522" s="221" t="n">
        <v>521</v>
      </c>
      <c r="B522" s="221" t="n">
        <v>1024</v>
      </c>
    </row>
    <row r="523" customFormat="false" ht="14.25" hidden="false" customHeight="false" outlineLevel="0" collapsed="false">
      <c r="A523" s="221" t="n">
        <v>522</v>
      </c>
      <c r="B523" s="221" t="n">
        <v>1024</v>
      </c>
    </row>
    <row r="524" customFormat="false" ht="14.25" hidden="false" customHeight="false" outlineLevel="0" collapsed="false">
      <c r="A524" s="221" t="n">
        <v>523</v>
      </c>
      <c r="B524" s="221" t="n">
        <v>1024</v>
      </c>
    </row>
    <row r="525" customFormat="false" ht="14.25" hidden="false" customHeight="false" outlineLevel="0" collapsed="false">
      <c r="A525" s="221" t="n">
        <v>524</v>
      </c>
      <c r="B525" s="221" t="n">
        <v>1024</v>
      </c>
    </row>
    <row r="526" customFormat="false" ht="14.25" hidden="false" customHeight="false" outlineLevel="0" collapsed="false">
      <c r="A526" s="221" t="n">
        <v>525</v>
      </c>
      <c r="B526" s="221" t="n">
        <v>1024</v>
      </c>
    </row>
    <row r="527" customFormat="false" ht="14.25" hidden="false" customHeight="false" outlineLevel="0" collapsed="false">
      <c r="A527" s="221" t="n">
        <v>526</v>
      </c>
      <c r="B527" s="221" t="n">
        <v>1024</v>
      </c>
    </row>
    <row r="528" customFormat="false" ht="14.25" hidden="false" customHeight="false" outlineLevel="0" collapsed="false">
      <c r="A528" s="221" t="n">
        <v>527</v>
      </c>
      <c r="B528" s="221" t="n">
        <v>1024</v>
      </c>
    </row>
    <row r="529" customFormat="false" ht="14.25" hidden="false" customHeight="false" outlineLevel="0" collapsed="false">
      <c r="A529" s="221" t="n">
        <v>528</v>
      </c>
      <c r="B529" s="221" t="n">
        <v>1024</v>
      </c>
    </row>
    <row r="530" customFormat="false" ht="14.25" hidden="false" customHeight="false" outlineLevel="0" collapsed="false">
      <c r="A530" s="221" t="n">
        <v>529</v>
      </c>
      <c r="B530" s="221" t="n">
        <v>1024</v>
      </c>
    </row>
    <row r="531" customFormat="false" ht="14.25" hidden="false" customHeight="false" outlineLevel="0" collapsed="false">
      <c r="A531" s="221" t="n">
        <v>530</v>
      </c>
      <c r="B531" s="221" t="n">
        <v>1024</v>
      </c>
    </row>
    <row r="532" customFormat="false" ht="14.25" hidden="false" customHeight="false" outlineLevel="0" collapsed="false">
      <c r="A532" s="221" t="n">
        <v>531</v>
      </c>
      <c r="B532" s="221" t="n">
        <v>1024</v>
      </c>
    </row>
    <row r="533" customFormat="false" ht="14.25" hidden="false" customHeight="false" outlineLevel="0" collapsed="false">
      <c r="A533" s="221" t="n">
        <v>532</v>
      </c>
      <c r="B533" s="221" t="n">
        <v>1024</v>
      </c>
    </row>
    <row r="534" customFormat="false" ht="14.25" hidden="false" customHeight="false" outlineLevel="0" collapsed="false">
      <c r="A534" s="221" t="n">
        <v>533</v>
      </c>
      <c r="B534" s="221" t="n">
        <v>1024</v>
      </c>
    </row>
    <row r="535" customFormat="false" ht="14.25" hidden="false" customHeight="false" outlineLevel="0" collapsed="false">
      <c r="A535" s="221" t="n">
        <v>534</v>
      </c>
      <c r="B535" s="221" t="n">
        <v>1024</v>
      </c>
    </row>
    <row r="536" customFormat="false" ht="14.25" hidden="false" customHeight="false" outlineLevel="0" collapsed="false">
      <c r="A536" s="221" t="n">
        <v>535</v>
      </c>
      <c r="B536" s="221" t="n">
        <v>1024</v>
      </c>
    </row>
    <row r="537" customFormat="false" ht="14.25" hidden="false" customHeight="false" outlineLevel="0" collapsed="false">
      <c r="A537" s="221" t="n">
        <v>536</v>
      </c>
      <c r="B537" s="221" t="n">
        <v>1024</v>
      </c>
    </row>
    <row r="538" customFormat="false" ht="14.25" hidden="false" customHeight="false" outlineLevel="0" collapsed="false">
      <c r="A538" s="221" t="n">
        <v>537</v>
      </c>
      <c r="B538" s="221" t="n">
        <v>1024</v>
      </c>
    </row>
    <row r="539" customFormat="false" ht="14.25" hidden="false" customHeight="false" outlineLevel="0" collapsed="false">
      <c r="A539" s="221" t="n">
        <v>538</v>
      </c>
      <c r="B539" s="221" t="n">
        <v>1024</v>
      </c>
    </row>
    <row r="540" customFormat="false" ht="14.25" hidden="false" customHeight="false" outlineLevel="0" collapsed="false">
      <c r="A540" s="221" t="n">
        <v>539</v>
      </c>
      <c r="B540" s="221" t="n">
        <v>1024</v>
      </c>
    </row>
    <row r="541" customFormat="false" ht="14.25" hidden="false" customHeight="false" outlineLevel="0" collapsed="false">
      <c r="A541" s="221" t="n">
        <v>540</v>
      </c>
      <c r="B541" s="221" t="n">
        <v>1024</v>
      </c>
    </row>
    <row r="542" customFormat="false" ht="14.25" hidden="false" customHeight="false" outlineLevel="0" collapsed="false">
      <c r="A542" s="221" t="n">
        <v>541</v>
      </c>
      <c r="B542" s="221" t="n">
        <v>1024</v>
      </c>
    </row>
    <row r="543" customFormat="false" ht="14.25" hidden="false" customHeight="false" outlineLevel="0" collapsed="false">
      <c r="A543" s="221" t="n">
        <v>542</v>
      </c>
      <c r="B543" s="221" t="n">
        <v>1024</v>
      </c>
    </row>
    <row r="544" customFormat="false" ht="14.25" hidden="false" customHeight="false" outlineLevel="0" collapsed="false">
      <c r="A544" s="221" t="n">
        <v>543</v>
      </c>
      <c r="B544" s="221" t="n">
        <v>1024</v>
      </c>
    </row>
    <row r="545" customFormat="false" ht="14.25" hidden="false" customHeight="false" outlineLevel="0" collapsed="false">
      <c r="A545" s="221" t="n">
        <v>544</v>
      </c>
      <c r="B545" s="221" t="n">
        <v>1024</v>
      </c>
    </row>
    <row r="546" customFormat="false" ht="14.25" hidden="false" customHeight="false" outlineLevel="0" collapsed="false">
      <c r="A546" s="221" t="n">
        <v>545</v>
      </c>
      <c r="B546" s="221" t="n">
        <v>1024</v>
      </c>
    </row>
    <row r="547" customFormat="false" ht="14.25" hidden="false" customHeight="false" outlineLevel="0" collapsed="false">
      <c r="A547" s="221" t="n">
        <v>546</v>
      </c>
      <c r="B547" s="221" t="n">
        <v>1024</v>
      </c>
    </row>
    <row r="548" customFormat="false" ht="14.25" hidden="false" customHeight="false" outlineLevel="0" collapsed="false">
      <c r="A548" s="221" t="n">
        <v>547</v>
      </c>
      <c r="B548" s="221" t="n">
        <v>1024</v>
      </c>
    </row>
    <row r="549" customFormat="false" ht="14.25" hidden="false" customHeight="false" outlineLevel="0" collapsed="false">
      <c r="A549" s="221" t="n">
        <v>548</v>
      </c>
      <c r="B549" s="221" t="n">
        <v>1024</v>
      </c>
    </row>
    <row r="550" customFormat="false" ht="14.25" hidden="false" customHeight="false" outlineLevel="0" collapsed="false">
      <c r="A550" s="221" t="n">
        <v>549</v>
      </c>
      <c r="B550" s="221" t="n">
        <v>1024</v>
      </c>
    </row>
    <row r="551" customFormat="false" ht="14.25" hidden="false" customHeight="false" outlineLevel="0" collapsed="false">
      <c r="A551" s="221" t="n">
        <v>550</v>
      </c>
      <c r="B551" s="221" t="n">
        <v>1024</v>
      </c>
    </row>
    <row r="552" customFormat="false" ht="14.25" hidden="false" customHeight="false" outlineLevel="0" collapsed="false">
      <c r="A552" s="221" t="n">
        <v>551</v>
      </c>
      <c r="B552" s="221" t="n">
        <v>1024</v>
      </c>
    </row>
    <row r="553" customFormat="false" ht="14.25" hidden="false" customHeight="false" outlineLevel="0" collapsed="false">
      <c r="A553" s="221" t="n">
        <v>552</v>
      </c>
      <c r="B553" s="221" t="n">
        <v>1024</v>
      </c>
    </row>
    <row r="554" customFormat="false" ht="14.25" hidden="false" customHeight="false" outlineLevel="0" collapsed="false">
      <c r="A554" s="221" t="n">
        <v>553</v>
      </c>
      <c r="B554" s="221" t="n">
        <v>1024</v>
      </c>
    </row>
    <row r="555" customFormat="false" ht="14.25" hidden="false" customHeight="false" outlineLevel="0" collapsed="false">
      <c r="A555" s="221" t="n">
        <v>554</v>
      </c>
      <c r="B555" s="221" t="n">
        <v>1024</v>
      </c>
    </row>
    <row r="556" customFormat="false" ht="14.25" hidden="false" customHeight="false" outlineLevel="0" collapsed="false">
      <c r="A556" s="221" t="n">
        <v>555</v>
      </c>
      <c r="B556" s="221" t="n">
        <v>1024</v>
      </c>
    </row>
    <row r="557" customFormat="false" ht="14.25" hidden="false" customHeight="false" outlineLevel="0" collapsed="false">
      <c r="A557" s="221" t="n">
        <v>556</v>
      </c>
      <c r="B557" s="221" t="n">
        <v>1024</v>
      </c>
    </row>
    <row r="558" customFormat="false" ht="14.25" hidden="false" customHeight="false" outlineLevel="0" collapsed="false">
      <c r="A558" s="221" t="n">
        <v>557</v>
      </c>
      <c r="B558" s="221" t="n">
        <v>1024</v>
      </c>
    </row>
    <row r="559" customFormat="false" ht="14.25" hidden="false" customHeight="false" outlineLevel="0" collapsed="false">
      <c r="A559" s="221" t="n">
        <v>558</v>
      </c>
      <c r="B559" s="221" t="n">
        <v>1024</v>
      </c>
    </row>
    <row r="560" customFormat="false" ht="14.25" hidden="false" customHeight="false" outlineLevel="0" collapsed="false">
      <c r="A560" s="221" t="n">
        <v>559</v>
      </c>
      <c r="B560" s="221" t="n">
        <v>1024</v>
      </c>
    </row>
    <row r="561" customFormat="false" ht="14.25" hidden="false" customHeight="false" outlineLevel="0" collapsed="false">
      <c r="A561" s="221" t="n">
        <v>560</v>
      </c>
      <c r="B561" s="221" t="n">
        <v>1024</v>
      </c>
    </row>
    <row r="562" customFormat="false" ht="14.25" hidden="false" customHeight="false" outlineLevel="0" collapsed="false">
      <c r="A562" s="221" t="n">
        <v>561</v>
      </c>
      <c r="B562" s="221" t="n">
        <v>1024</v>
      </c>
    </row>
    <row r="563" customFormat="false" ht="14.25" hidden="false" customHeight="false" outlineLevel="0" collapsed="false">
      <c r="A563" s="221" t="n">
        <v>562</v>
      </c>
      <c r="B563" s="221" t="n">
        <v>1024</v>
      </c>
    </row>
    <row r="564" customFormat="false" ht="14.25" hidden="false" customHeight="false" outlineLevel="0" collapsed="false">
      <c r="A564" s="221" t="n">
        <v>563</v>
      </c>
      <c r="B564" s="221" t="n">
        <v>1024</v>
      </c>
    </row>
    <row r="565" customFormat="false" ht="14.25" hidden="false" customHeight="false" outlineLevel="0" collapsed="false">
      <c r="A565" s="221" t="n">
        <v>564</v>
      </c>
      <c r="B565" s="221" t="n">
        <v>1024</v>
      </c>
    </row>
    <row r="566" customFormat="false" ht="14.25" hidden="false" customHeight="false" outlineLevel="0" collapsed="false">
      <c r="A566" s="221" t="n">
        <v>565</v>
      </c>
      <c r="B566" s="221" t="n">
        <v>1024</v>
      </c>
    </row>
    <row r="567" customFormat="false" ht="14.25" hidden="false" customHeight="false" outlineLevel="0" collapsed="false">
      <c r="A567" s="221" t="n">
        <v>566</v>
      </c>
      <c r="B567" s="221" t="n">
        <v>1024</v>
      </c>
    </row>
    <row r="568" customFormat="false" ht="14.25" hidden="false" customHeight="false" outlineLevel="0" collapsed="false">
      <c r="A568" s="221" t="n">
        <v>567</v>
      </c>
      <c r="B568" s="221" t="n">
        <v>1024</v>
      </c>
    </row>
    <row r="569" customFormat="false" ht="14.25" hidden="false" customHeight="false" outlineLevel="0" collapsed="false">
      <c r="A569" s="221" t="n">
        <v>568</v>
      </c>
      <c r="B569" s="221" t="n">
        <v>1024</v>
      </c>
    </row>
    <row r="570" customFormat="false" ht="14.25" hidden="false" customHeight="false" outlineLevel="0" collapsed="false">
      <c r="A570" s="221" t="n">
        <v>569</v>
      </c>
      <c r="B570" s="221" t="n">
        <v>1024</v>
      </c>
    </row>
    <row r="571" customFormat="false" ht="14.25" hidden="false" customHeight="false" outlineLevel="0" collapsed="false">
      <c r="A571" s="221" t="n">
        <v>570</v>
      </c>
      <c r="B571" s="221" t="n">
        <v>1024</v>
      </c>
    </row>
    <row r="572" customFormat="false" ht="14.25" hidden="false" customHeight="false" outlineLevel="0" collapsed="false">
      <c r="A572" s="221" t="n">
        <v>571</v>
      </c>
      <c r="B572" s="221" t="n">
        <v>1024</v>
      </c>
    </row>
    <row r="573" customFormat="false" ht="14.25" hidden="false" customHeight="false" outlineLevel="0" collapsed="false">
      <c r="A573" s="221" t="n">
        <v>572</v>
      </c>
      <c r="B573" s="221" t="n">
        <v>1024</v>
      </c>
    </row>
    <row r="574" customFormat="false" ht="14.25" hidden="false" customHeight="false" outlineLevel="0" collapsed="false">
      <c r="A574" s="221" t="n">
        <v>573</v>
      </c>
      <c r="B574" s="221" t="n">
        <v>1024</v>
      </c>
    </row>
    <row r="575" customFormat="false" ht="14.25" hidden="false" customHeight="false" outlineLevel="0" collapsed="false">
      <c r="A575" s="221" t="n">
        <v>574</v>
      </c>
      <c r="B575" s="221" t="n">
        <v>1024</v>
      </c>
    </row>
    <row r="576" customFormat="false" ht="14.25" hidden="false" customHeight="false" outlineLevel="0" collapsed="false">
      <c r="A576" s="221" t="n">
        <v>575</v>
      </c>
      <c r="B576" s="221" t="n">
        <v>1024</v>
      </c>
    </row>
    <row r="577" customFormat="false" ht="14.25" hidden="false" customHeight="false" outlineLevel="0" collapsed="false">
      <c r="A577" s="221" t="n">
        <v>576</v>
      </c>
      <c r="B577" s="221" t="n">
        <v>1024</v>
      </c>
    </row>
    <row r="578" customFormat="false" ht="14.25" hidden="false" customHeight="false" outlineLevel="0" collapsed="false">
      <c r="A578" s="221" t="n">
        <v>577</v>
      </c>
      <c r="B578" s="221" t="n">
        <v>1024</v>
      </c>
    </row>
    <row r="579" customFormat="false" ht="14.25" hidden="false" customHeight="false" outlineLevel="0" collapsed="false">
      <c r="A579" s="221" t="n">
        <v>578</v>
      </c>
      <c r="B579" s="221" t="n">
        <v>1024</v>
      </c>
    </row>
    <row r="580" customFormat="false" ht="14.25" hidden="false" customHeight="false" outlineLevel="0" collapsed="false">
      <c r="A580" s="221" t="n">
        <v>579</v>
      </c>
      <c r="B580" s="221" t="n">
        <v>1024</v>
      </c>
    </row>
    <row r="581" customFormat="false" ht="14.25" hidden="false" customHeight="false" outlineLevel="0" collapsed="false">
      <c r="A581" s="221" t="n">
        <v>580</v>
      </c>
      <c r="B581" s="221" t="n">
        <v>1024</v>
      </c>
    </row>
    <row r="582" customFormat="false" ht="14.25" hidden="false" customHeight="false" outlineLevel="0" collapsed="false">
      <c r="A582" s="221" t="n">
        <v>581</v>
      </c>
      <c r="B582" s="221" t="n">
        <v>1024</v>
      </c>
    </row>
    <row r="583" customFormat="false" ht="14.25" hidden="false" customHeight="false" outlineLevel="0" collapsed="false">
      <c r="A583" s="221" t="n">
        <v>582</v>
      </c>
      <c r="B583" s="221" t="n">
        <v>1024</v>
      </c>
    </row>
    <row r="584" customFormat="false" ht="14.25" hidden="false" customHeight="false" outlineLevel="0" collapsed="false">
      <c r="A584" s="221" t="n">
        <v>583</v>
      </c>
      <c r="B584" s="221" t="n">
        <v>1024</v>
      </c>
    </row>
    <row r="585" customFormat="false" ht="14.25" hidden="false" customHeight="false" outlineLevel="0" collapsed="false">
      <c r="A585" s="221" t="n">
        <v>584</v>
      </c>
      <c r="B585" s="221" t="n">
        <v>1024</v>
      </c>
    </row>
    <row r="586" customFormat="false" ht="14.25" hidden="false" customHeight="false" outlineLevel="0" collapsed="false">
      <c r="A586" s="221" t="n">
        <v>585</v>
      </c>
      <c r="B586" s="221" t="n">
        <v>1024</v>
      </c>
    </row>
    <row r="587" customFormat="false" ht="14.25" hidden="false" customHeight="false" outlineLevel="0" collapsed="false">
      <c r="A587" s="221" t="n">
        <v>586</v>
      </c>
      <c r="B587" s="221" t="n">
        <v>1024</v>
      </c>
    </row>
    <row r="588" customFormat="false" ht="14.25" hidden="false" customHeight="false" outlineLevel="0" collapsed="false">
      <c r="A588" s="221" t="n">
        <v>587</v>
      </c>
      <c r="B588" s="221" t="n">
        <v>1024</v>
      </c>
    </row>
    <row r="589" customFormat="false" ht="14.25" hidden="false" customHeight="false" outlineLevel="0" collapsed="false">
      <c r="A589" s="221" t="n">
        <v>588</v>
      </c>
      <c r="B589" s="221" t="n">
        <v>1024</v>
      </c>
    </row>
    <row r="590" customFormat="false" ht="14.25" hidden="false" customHeight="false" outlineLevel="0" collapsed="false">
      <c r="A590" s="221" t="n">
        <v>589</v>
      </c>
      <c r="B590" s="221" t="n">
        <v>1024</v>
      </c>
    </row>
    <row r="591" customFormat="false" ht="14.25" hidden="false" customHeight="false" outlineLevel="0" collapsed="false">
      <c r="A591" s="221" t="n">
        <v>590</v>
      </c>
      <c r="B591" s="221" t="n">
        <v>1024</v>
      </c>
    </row>
    <row r="592" customFormat="false" ht="14.25" hidden="false" customHeight="false" outlineLevel="0" collapsed="false">
      <c r="A592" s="221" t="n">
        <v>591</v>
      </c>
      <c r="B592" s="221" t="n">
        <v>1024</v>
      </c>
    </row>
    <row r="593" customFormat="false" ht="14.25" hidden="false" customHeight="false" outlineLevel="0" collapsed="false">
      <c r="A593" s="221" t="n">
        <v>592</v>
      </c>
      <c r="B593" s="221" t="n">
        <v>1024</v>
      </c>
    </row>
    <row r="594" customFormat="false" ht="14.25" hidden="false" customHeight="false" outlineLevel="0" collapsed="false">
      <c r="A594" s="221" t="n">
        <v>593</v>
      </c>
      <c r="B594" s="221" t="n">
        <v>1024</v>
      </c>
    </row>
    <row r="595" customFormat="false" ht="14.25" hidden="false" customHeight="false" outlineLevel="0" collapsed="false">
      <c r="A595" s="221" t="n">
        <v>594</v>
      </c>
      <c r="B595" s="221" t="n">
        <v>1024</v>
      </c>
    </row>
    <row r="596" customFormat="false" ht="14.25" hidden="false" customHeight="false" outlineLevel="0" collapsed="false">
      <c r="A596" s="221" t="n">
        <v>595</v>
      </c>
      <c r="B596" s="221" t="n">
        <v>1024</v>
      </c>
    </row>
    <row r="597" customFormat="false" ht="14.25" hidden="false" customHeight="false" outlineLevel="0" collapsed="false">
      <c r="A597" s="221" t="n">
        <v>596</v>
      </c>
      <c r="B597" s="221" t="n">
        <v>1024</v>
      </c>
    </row>
    <row r="598" customFormat="false" ht="14.25" hidden="false" customHeight="false" outlineLevel="0" collapsed="false">
      <c r="A598" s="221" t="n">
        <v>597</v>
      </c>
      <c r="B598" s="221" t="n">
        <v>1024</v>
      </c>
    </row>
    <row r="599" customFormat="false" ht="14.25" hidden="false" customHeight="false" outlineLevel="0" collapsed="false">
      <c r="A599" s="221" t="n">
        <v>598</v>
      </c>
      <c r="B599" s="221" t="n">
        <v>1024</v>
      </c>
    </row>
    <row r="600" customFormat="false" ht="14.25" hidden="false" customHeight="false" outlineLevel="0" collapsed="false">
      <c r="A600" s="221" t="n">
        <v>599</v>
      </c>
      <c r="B600" s="221" t="n">
        <v>1024</v>
      </c>
    </row>
    <row r="601" customFormat="false" ht="14.25" hidden="false" customHeight="false" outlineLevel="0" collapsed="false">
      <c r="A601" s="221" t="n">
        <v>600</v>
      </c>
      <c r="B601" s="221" t="n">
        <v>1024</v>
      </c>
    </row>
    <row r="602" customFormat="false" ht="14.25" hidden="false" customHeight="false" outlineLevel="0" collapsed="false">
      <c r="A602" s="221" t="n">
        <v>601</v>
      </c>
      <c r="B602" s="221" t="n">
        <v>1024</v>
      </c>
    </row>
    <row r="603" customFormat="false" ht="14.25" hidden="false" customHeight="false" outlineLevel="0" collapsed="false">
      <c r="A603" s="221" t="n">
        <v>602</v>
      </c>
      <c r="B603" s="221" t="n">
        <v>1024</v>
      </c>
    </row>
    <row r="604" customFormat="false" ht="14.25" hidden="false" customHeight="false" outlineLevel="0" collapsed="false">
      <c r="A604" s="221" t="n">
        <v>603</v>
      </c>
      <c r="B604" s="221" t="n">
        <v>1024</v>
      </c>
    </row>
    <row r="605" customFormat="false" ht="14.25" hidden="false" customHeight="false" outlineLevel="0" collapsed="false">
      <c r="A605" s="221" t="n">
        <v>604</v>
      </c>
      <c r="B605" s="221" t="n">
        <v>1024</v>
      </c>
    </row>
    <row r="606" customFormat="false" ht="14.25" hidden="false" customHeight="false" outlineLevel="0" collapsed="false">
      <c r="A606" s="221" t="n">
        <v>605</v>
      </c>
      <c r="B606" s="221" t="n">
        <v>1024</v>
      </c>
    </row>
    <row r="607" customFormat="false" ht="14.25" hidden="false" customHeight="false" outlineLevel="0" collapsed="false">
      <c r="A607" s="221" t="n">
        <v>606</v>
      </c>
      <c r="B607" s="221" t="n">
        <v>1024</v>
      </c>
    </row>
    <row r="608" customFormat="false" ht="14.25" hidden="false" customHeight="false" outlineLevel="0" collapsed="false">
      <c r="A608" s="221" t="n">
        <v>607</v>
      </c>
      <c r="B608" s="221" t="n">
        <v>1024</v>
      </c>
    </row>
    <row r="609" customFormat="false" ht="14.25" hidden="false" customHeight="false" outlineLevel="0" collapsed="false">
      <c r="A609" s="221" t="n">
        <v>608</v>
      </c>
      <c r="B609" s="221" t="n">
        <v>1024</v>
      </c>
    </row>
    <row r="610" customFormat="false" ht="14.25" hidden="false" customHeight="false" outlineLevel="0" collapsed="false">
      <c r="A610" s="221" t="n">
        <v>609</v>
      </c>
      <c r="B610" s="221" t="n">
        <v>1024</v>
      </c>
    </row>
    <row r="611" customFormat="false" ht="14.25" hidden="false" customHeight="false" outlineLevel="0" collapsed="false">
      <c r="A611" s="221" t="n">
        <v>610</v>
      </c>
      <c r="B611" s="221" t="n">
        <v>1024</v>
      </c>
    </row>
    <row r="612" customFormat="false" ht="14.25" hidden="false" customHeight="false" outlineLevel="0" collapsed="false">
      <c r="A612" s="221" t="n">
        <v>611</v>
      </c>
      <c r="B612" s="221" t="n">
        <v>1024</v>
      </c>
    </row>
    <row r="613" customFormat="false" ht="14.25" hidden="false" customHeight="false" outlineLevel="0" collapsed="false">
      <c r="A613" s="221" t="n">
        <v>612</v>
      </c>
      <c r="B613" s="221" t="n">
        <v>1024</v>
      </c>
    </row>
    <row r="614" customFormat="false" ht="14.25" hidden="false" customHeight="false" outlineLevel="0" collapsed="false">
      <c r="A614" s="221" t="n">
        <v>613</v>
      </c>
      <c r="B614" s="221" t="n">
        <v>1024</v>
      </c>
    </row>
    <row r="615" customFormat="false" ht="14.25" hidden="false" customHeight="false" outlineLevel="0" collapsed="false">
      <c r="A615" s="221" t="n">
        <v>614</v>
      </c>
      <c r="B615" s="221" t="n">
        <v>1024</v>
      </c>
    </row>
    <row r="616" customFormat="false" ht="14.25" hidden="false" customHeight="false" outlineLevel="0" collapsed="false">
      <c r="A616" s="221" t="n">
        <v>615</v>
      </c>
      <c r="B616" s="221" t="n">
        <v>1024</v>
      </c>
    </row>
    <row r="617" customFormat="false" ht="14.25" hidden="false" customHeight="false" outlineLevel="0" collapsed="false">
      <c r="A617" s="221" t="n">
        <v>616</v>
      </c>
      <c r="B617" s="221" t="n">
        <v>1024</v>
      </c>
    </row>
    <row r="618" customFormat="false" ht="14.25" hidden="false" customHeight="false" outlineLevel="0" collapsed="false">
      <c r="A618" s="221" t="n">
        <v>617</v>
      </c>
      <c r="B618" s="221" t="n">
        <v>1024</v>
      </c>
    </row>
    <row r="619" customFormat="false" ht="14.25" hidden="false" customHeight="false" outlineLevel="0" collapsed="false">
      <c r="A619" s="221" t="n">
        <v>618</v>
      </c>
      <c r="B619" s="221" t="n">
        <v>1024</v>
      </c>
    </row>
    <row r="620" customFormat="false" ht="14.25" hidden="false" customHeight="false" outlineLevel="0" collapsed="false">
      <c r="A620" s="221" t="n">
        <v>619</v>
      </c>
      <c r="B620" s="221" t="n">
        <v>1024</v>
      </c>
    </row>
    <row r="621" customFormat="false" ht="14.25" hidden="false" customHeight="false" outlineLevel="0" collapsed="false">
      <c r="A621" s="221" t="n">
        <v>620</v>
      </c>
      <c r="B621" s="221" t="n">
        <v>1024</v>
      </c>
    </row>
    <row r="622" customFormat="false" ht="14.25" hidden="false" customHeight="false" outlineLevel="0" collapsed="false">
      <c r="A622" s="221" t="n">
        <v>621</v>
      </c>
      <c r="B622" s="221" t="n">
        <v>1024</v>
      </c>
    </row>
    <row r="623" customFormat="false" ht="14.25" hidden="false" customHeight="false" outlineLevel="0" collapsed="false">
      <c r="A623" s="221" t="n">
        <v>622</v>
      </c>
      <c r="B623" s="221" t="n">
        <v>1024</v>
      </c>
    </row>
    <row r="624" customFormat="false" ht="14.25" hidden="false" customHeight="false" outlineLevel="0" collapsed="false">
      <c r="A624" s="221" t="n">
        <v>623</v>
      </c>
      <c r="B624" s="221" t="n">
        <v>1024</v>
      </c>
    </row>
    <row r="625" customFormat="false" ht="14.25" hidden="false" customHeight="false" outlineLevel="0" collapsed="false">
      <c r="A625" s="221" t="n">
        <v>624</v>
      </c>
      <c r="B625" s="221" t="n">
        <v>1024</v>
      </c>
    </row>
    <row r="626" customFormat="false" ht="14.25" hidden="false" customHeight="false" outlineLevel="0" collapsed="false">
      <c r="A626" s="221" t="n">
        <v>625</v>
      </c>
      <c r="B626" s="221" t="n">
        <v>1024</v>
      </c>
    </row>
    <row r="627" customFormat="false" ht="14.25" hidden="false" customHeight="false" outlineLevel="0" collapsed="false">
      <c r="A627" s="221" t="n">
        <v>626</v>
      </c>
      <c r="B627" s="221" t="n">
        <v>1024</v>
      </c>
    </row>
    <row r="628" customFormat="false" ht="14.25" hidden="false" customHeight="false" outlineLevel="0" collapsed="false">
      <c r="A628" s="221" t="n">
        <v>627</v>
      </c>
      <c r="B628" s="221" t="n">
        <v>1024</v>
      </c>
    </row>
    <row r="629" customFormat="false" ht="14.25" hidden="false" customHeight="false" outlineLevel="0" collapsed="false">
      <c r="A629" s="221" t="n">
        <v>628</v>
      </c>
      <c r="B629" s="221" t="n">
        <v>1024</v>
      </c>
    </row>
    <row r="630" customFormat="false" ht="14.25" hidden="false" customHeight="false" outlineLevel="0" collapsed="false">
      <c r="A630" s="221" t="n">
        <v>629</v>
      </c>
      <c r="B630" s="221" t="n">
        <v>1024</v>
      </c>
    </row>
    <row r="631" customFormat="false" ht="14.25" hidden="false" customHeight="false" outlineLevel="0" collapsed="false">
      <c r="A631" s="221" t="n">
        <v>630</v>
      </c>
      <c r="B631" s="221" t="n">
        <v>1024</v>
      </c>
    </row>
    <row r="632" customFormat="false" ht="14.25" hidden="false" customHeight="false" outlineLevel="0" collapsed="false">
      <c r="A632" s="221" t="n">
        <v>631</v>
      </c>
      <c r="B632" s="221" t="n">
        <v>1024</v>
      </c>
    </row>
    <row r="633" customFormat="false" ht="14.25" hidden="false" customHeight="false" outlineLevel="0" collapsed="false">
      <c r="A633" s="221" t="n">
        <v>632</v>
      </c>
      <c r="B633" s="221" t="n">
        <v>1024</v>
      </c>
    </row>
    <row r="634" customFormat="false" ht="14.25" hidden="false" customHeight="false" outlineLevel="0" collapsed="false">
      <c r="A634" s="221" t="n">
        <v>633</v>
      </c>
      <c r="B634" s="221" t="n">
        <v>1024</v>
      </c>
    </row>
    <row r="635" customFormat="false" ht="14.25" hidden="false" customHeight="false" outlineLevel="0" collapsed="false">
      <c r="A635" s="221" t="n">
        <v>634</v>
      </c>
      <c r="B635" s="221" t="n">
        <v>1024</v>
      </c>
    </row>
    <row r="636" customFormat="false" ht="14.25" hidden="false" customHeight="false" outlineLevel="0" collapsed="false">
      <c r="A636" s="221" t="n">
        <v>635</v>
      </c>
      <c r="B636" s="221" t="n">
        <v>1024</v>
      </c>
    </row>
    <row r="637" customFormat="false" ht="14.25" hidden="false" customHeight="false" outlineLevel="0" collapsed="false">
      <c r="A637" s="221" t="n">
        <v>636</v>
      </c>
      <c r="B637" s="221" t="n">
        <v>1024</v>
      </c>
    </row>
    <row r="638" customFormat="false" ht="14.25" hidden="false" customHeight="false" outlineLevel="0" collapsed="false">
      <c r="A638" s="221" t="n">
        <v>637</v>
      </c>
      <c r="B638" s="221" t="n">
        <v>1024</v>
      </c>
    </row>
    <row r="639" customFormat="false" ht="14.25" hidden="false" customHeight="false" outlineLevel="0" collapsed="false">
      <c r="A639" s="221" t="n">
        <v>638</v>
      </c>
      <c r="B639" s="221" t="n">
        <v>1024</v>
      </c>
    </row>
    <row r="640" customFormat="false" ht="14.25" hidden="false" customHeight="false" outlineLevel="0" collapsed="false">
      <c r="A640" s="221" t="n">
        <v>639</v>
      </c>
      <c r="B640" s="221" t="n">
        <v>1024</v>
      </c>
    </row>
    <row r="641" customFormat="false" ht="14.25" hidden="false" customHeight="false" outlineLevel="0" collapsed="false">
      <c r="A641" s="221" t="n">
        <v>640</v>
      </c>
      <c r="B641" s="221" t="n">
        <v>1024</v>
      </c>
    </row>
    <row r="642" customFormat="false" ht="14.25" hidden="false" customHeight="false" outlineLevel="0" collapsed="false">
      <c r="A642" s="221" t="n">
        <v>641</v>
      </c>
      <c r="B642" s="221" t="n">
        <v>1024</v>
      </c>
    </row>
    <row r="643" customFormat="false" ht="14.25" hidden="false" customHeight="false" outlineLevel="0" collapsed="false">
      <c r="A643" s="221" t="n">
        <v>642</v>
      </c>
      <c r="B643" s="221" t="n">
        <v>1024</v>
      </c>
    </row>
    <row r="644" customFormat="false" ht="14.25" hidden="false" customHeight="false" outlineLevel="0" collapsed="false">
      <c r="A644" s="221" t="n">
        <v>643</v>
      </c>
      <c r="B644" s="221" t="n">
        <v>1024</v>
      </c>
    </row>
    <row r="645" customFormat="false" ht="14.25" hidden="false" customHeight="false" outlineLevel="0" collapsed="false">
      <c r="A645" s="221" t="n">
        <v>644</v>
      </c>
      <c r="B645" s="221" t="n">
        <v>1024</v>
      </c>
    </row>
    <row r="646" customFormat="false" ht="14.25" hidden="false" customHeight="false" outlineLevel="0" collapsed="false">
      <c r="A646" s="221" t="n">
        <v>645</v>
      </c>
      <c r="B646" s="221" t="n">
        <v>1024</v>
      </c>
    </row>
    <row r="647" customFormat="false" ht="14.25" hidden="false" customHeight="false" outlineLevel="0" collapsed="false">
      <c r="A647" s="221" t="n">
        <v>646</v>
      </c>
      <c r="B647" s="221" t="n">
        <v>1024</v>
      </c>
    </row>
    <row r="648" customFormat="false" ht="14.25" hidden="false" customHeight="false" outlineLevel="0" collapsed="false">
      <c r="A648" s="221" t="n">
        <v>647</v>
      </c>
      <c r="B648" s="221" t="n">
        <v>1024</v>
      </c>
    </row>
    <row r="649" customFormat="false" ht="14.25" hidden="false" customHeight="false" outlineLevel="0" collapsed="false">
      <c r="A649" s="221" t="n">
        <v>648</v>
      </c>
      <c r="B649" s="221" t="n">
        <v>1024</v>
      </c>
    </row>
    <row r="650" customFormat="false" ht="14.25" hidden="false" customHeight="false" outlineLevel="0" collapsed="false">
      <c r="A650" s="221" t="n">
        <v>649</v>
      </c>
      <c r="B650" s="221" t="n">
        <v>1024</v>
      </c>
    </row>
    <row r="651" customFormat="false" ht="14.25" hidden="false" customHeight="false" outlineLevel="0" collapsed="false">
      <c r="A651" s="221" t="n">
        <v>650</v>
      </c>
      <c r="B651" s="221" t="n">
        <v>1024</v>
      </c>
    </row>
    <row r="652" customFormat="false" ht="14.25" hidden="false" customHeight="false" outlineLevel="0" collapsed="false">
      <c r="A652" s="221" t="n">
        <v>651</v>
      </c>
      <c r="B652" s="221" t="n">
        <v>1024</v>
      </c>
    </row>
    <row r="653" customFormat="false" ht="14.25" hidden="false" customHeight="false" outlineLevel="0" collapsed="false">
      <c r="A653" s="221" t="n">
        <v>652</v>
      </c>
      <c r="B653" s="221" t="n">
        <v>1024</v>
      </c>
    </row>
    <row r="654" customFormat="false" ht="14.25" hidden="false" customHeight="false" outlineLevel="0" collapsed="false">
      <c r="A654" s="221" t="n">
        <v>653</v>
      </c>
      <c r="B654" s="221" t="n">
        <v>1024</v>
      </c>
    </row>
    <row r="655" customFormat="false" ht="14.25" hidden="false" customHeight="false" outlineLevel="0" collapsed="false">
      <c r="A655" s="221" t="n">
        <v>654</v>
      </c>
      <c r="B655" s="221" t="n">
        <v>1024</v>
      </c>
    </row>
    <row r="656" customFormat="false" ht="14.25" hidden="false" customHeight="false" outlineLevel="0" collapsed="false">
      <c r="A656" s="221" t="n">
        <v>655</v>
      </c>
      <c r="B656" s="221" t="n">
        <v>1024</v>
      </c>
    </row>
    <row r="657" customFormat="false" ht="14.25" hidden="false" customHeight="false" outlineLevel="0" collapsed="false">
      <c r="A657" s="221" t="n">
        <v>656</v>
      </c>
      <c r="B657" s="221" t="n">
        <v>1024</v>
      </c>
    </row>
    <row r="658" customFormat="false" ht="14.25" hidden="false" customHeight="false" outlineLevel="0" collapsed="false">
      <c r="A658" s="221" t="n">
        <v>657</v>
      </c>
      <c r="B658" s="221" t="n">
        <v>1024</v>
      </c>
    </row>
    <row r="659" customFormat="false" ht="14.25" hidden="false" customHeight="false" outlineLevel="0" collapsed="false">
      <c r="A659" s="221" t="n">
        <v>658</v>
      </c>
      <c r="B659" s="221" t="n">
        <v>1024</v>
      </c>
    </row>
    <row r="660" customFormat="false" ht="14.25" hidden="false" customHeight="false" outlineLevel="0" collapsed="false">
      <c r="A660" s="221" t="n">
        <v>659</v>
      </c>
      <c r="B660" s="221" t="n">
        <v>1024</v>
      </c>
    </row>
    <row r="661" customFormat="false" ht="14.25" hidden="false" customHeight="false" outlineLevel="0" collapsed="false">
      <c r="A661" s="221" t="n">
        <v>660</v>
      </c>
      <c r="B661" s="221" t="n">
        <v>1024</v>
      </c>
    </row>
    <row r="662" customFormat="false" ht="14.25" hidden="false" customHeight="false" outlineLevel="0" collapsed="false">
      <c r="A662" s="221" t="n">
        <v>661</v>
      </c>
      <c r="B662" s="221" t="n">
        <v>1024</v>
      </c>
    </row>
    <row r="663" customFormat="false" ht="14.25" hidden="false" customHeight="false" outlineLevel="0" collapsed="false">
      <c r="A663" s="221" t="n">
        <v>662</v>
      </c>
      <c r="B663" s="221" t="n">
        <v>1024</v>
      </c>
    </row>
    <row r="664" customFormat="false" ht="14.25" hidden="false" customHeight="false" outlineLevel="0" collapsed="false">
      <c r="A664" s="221" t="n">
        <v>663</v>
      </c>
      <c r="B664" s="221" t="n">
        <v>1024</v>
      </c>
    </row>
    <row r="665" customFormat="false" ht="14.25" hidden="false" customHeight="false" outlineLevel="0" collapsed="false">
      <c r="A665" s="221" t="n">
        <v>664</v>
      </c>
      <c r="B665" s="221" t="n">
        <v>1024</v>
      </c>
    </row>
    <row r="666" customFormat="false" ht="14.25" hidden="false" customHeight="false" outlineLevel="0" collapsed="false">
      <c r="A666" s="221" t="n">
        <v>665</v>
      </c>
      <c r="B666" s="221" t="n">
        <v>1024</v>
      </c>
    </row>
    <row r="667" customFormat="false" ht="14.25" hidden="false" customHeight="false" outlineLevel="0" collapsed="false">
      <c r="A667" s="221" t="n">
        <v>666</v>
      </c>
      <c r="B667" s="221" t="n">
        <v>1024</v>
      </c>
    </row>
    <row r="668" customFormat="false" ht="14.25" hidden="false" customHeight="false" outlineLevel="0" collapsed="false">
      <c r="A668" s="221" t="n">
        <v>667</v>
      </c>
      <c r="B668" s="221" t="n">
        <v>1024</v>
      </c>
    </row>
    <row r="669" customFormat="false" ht="14.25" hidden="false" customHeight="false" outlineLevel="0" collapsed="false">
      <c r="A669" s="221" t="n">
        <v>668</v>
      </c>
      <c r="B669" s="221" t="n">
        <v>1024</v>
      </c>
    </row>
    <row r="670" customFormat="false" ht="14.25" hidden="false" customHeight="false" outlineLevel="0" collapsed="false">
      <c r="A670" s="221" t="n">
        <v>669</v>
      </c>
      <c r="B670" s="221" t="n">
        <v>1024</v>
      </c>
    </row>
    <row r="671" customFormat="false" ht="14.25" hidden="false" customHeight="false" outlineLevel="0" collapsed="false">
      <c r="A671" s="221" t="n">
        <v>670</v>
      </c>
      <c r="B671" s="221" t="n">
        <v>1024</v>
      </c>
    </row>
    <row r="672" customFormat="false" ht="14.25" hidden="false" customHeight="false" outlineLevel="0" collapsed="false">
      <c r="A672" s="221" t="n">
        <v>671</v>
      </c>
      <c r="B672" s="221" t="n">
        <v>1024</v>
      </c>
    </row>
    <row r="673" customFormat="false" ht="14.25" hidden="false" customHeight="false" outlineLevel="0" collapsed="false">
      <c r="A673" s="221" t="n">
        <v>672</v>
      </c>
      <c r="B673" s="221" t="n">
        <v>1024</v>
      </c>
    </row>
    <row r="674" customFormat="false" ht="14.25" hidden="false" customHeight="false" outlineLevel="0" collapsed="false">
      <c r="A674" s="221" t="n">
        <v>673</v>
      </c>
      <c r="B674" s="221" t="n">
        <v>1024</v>
      </c>
    </row>
    <row r="675" customFormat="false" ht="14.25" hidden="false" customHeight="false" outlineLevel="0" collapsed="false">
      <c r="A675" s="221" t="n">
        <v>674</v>
      </c>
      <c r="B675" s="221" t="n">
        <v>1024</v>
      </c>
    </row>
    <row r="676" customFormat="false" ht="14.25" hidden="false" customHeight="false" outlineLevel="0" collapsed="false">
      <c r="A676" s="221" t="n">
        <v>675</v>
      </c>
      <c r="B676" s="221" t="n">
        <v>1024</v>
      </c>
    </row>
    <row r="677" customFormat="false" ht="14.25" hidden="false" customHeight="false" outlineLevel="0" collapsed="false">
      <c r="A677" s="221" t="n">
        <v>676</v>
      </c>
      <c r="B677" s="221" t="n">
        <v>1024</v>
      </c>
    </row>
    <row r="678" customFormat="false" ht="14.25" hidden="false" customHeight="false" outlineLevel="0" collapsed="false">
      <c r="A678" s="221" t="n">
        <v>677</v>
      </c>
      <c r="B678" s="221" t="n">
        <v>1024</v>
      </c>
    </row>
    <row r="679" customFormat="false" ht="14.25" hidden="false" customHeight="false" outlineLevel="0" collapsed="false">
      <c r="A679" s="221" t="n">
        <v>678</v>
      </c>
      <c r="B679" s="221" t="n">
        <v>1024</v>
      </c>
    </row>
    <row r="680" customFormat="false" ht="14.25" hidden="false" customHeight="false" outlineLevel="0" collapsed="false">
      <c r="A680" s="221" t="n">
        <v>679</v>
      </c>
      <c r="B680" s="221" t="n">
        <v>1024</v>
      </c>
    </row>
    <row r="681" customFormat="false" ht="14.25" hidden="false" customHeight="false" outlineLevel="0" collapsed="false">
      <c r="A681" s="221" t="n">
        <v>680</v>
      </c>
      <c r="B681" s="221" t="n">
        <v>1024</v>
      </c>
    </row>
    <row r="682" customFormat="false" ht="14.25" hidden="false" customHeight="false" outlineLevel="0" collapsed="false">
      <c r="A682" s="221" t="n">
        <v>681</v>
      </c>
      <c r="B682" s="221" t="n">
        <v>1024</v>
      </c>
    </row>
    <row r="683" customFormat="false" ht="14.25" hidden="false" customHeight="false" outlineLevel="0" collapsed="false">
      <c r="A683" s="221" t="n">
        <v>682</v>
      </c>
      <c r="B683" s="221" t="n">
        <v>1024</v>
      </c>
    </row>
    <row r="684" customFormat="false" ht="14.25" hidden="false" customHeight="false" outlineLevel="0" collapsed="false">
      <c r="A684" s="221" t="n">
        <v>683</v>
      </c>
      <c r="B684" s="221" t="n">
        <v>1024</v>
      </c>
    </row>
    <row r="685" customFormat="false" ht="14.25" hidden="false" customHeight="false" outlineLevel="0" collapsed="false">
      <c r="A685" s="221" t="n">
        <v>684</v>
      </c>
      <c r="B685" s="221" t="n">
        <v>1024</v>
      </c>
    </row>
    <row r="686" customFormat="false" ht="14.25" hidden="false" customHeight="false" outlineLevel="0" collapsed="false">
      <c r="A686" s="221" t="n">
        <v>685</v>
      </c>
      <c r="B686" s="221" t="n">
        <v>1024</v>
      </c>
    </row>
    <row r="687" customFormat="false" ht="14.25" hidden="false" customHeight="false" outlineLevel="0" collapsed="false">
      <c r="A687" s="221" t="n">
        <v>686</v>
      </c>
      <c r="B687" s="221" t="n">
        <v>1024</v>
      </c>
    </row>
    <row r="688" customFormat="false" ht="14.25" hidden="false" customHeight="false" outlineLevel="0" collapsed="false">
      <c r="A688" s="221" t="n">
        <v>687</v>
      </c>
      <c r="B688" s="221" t="n">
        <v>1024</v>
      </c>
    </row>
    <row r="689" customFormat="false" ht="14.25" hidden="false" customHeight="false" outlineLevel="0" collapsed="false">
      <c r="A689" s="221" t="n">
        <v>688</v>
      </c>
      <c r="B689" s="221" t="n">
        <v>1024</v>
      </c>
    </row>
    <row r="690" customFormat="false" ht="14.25" hidden="false" customHeight="false" outlineLevel="0" collapsed="false">
      <c r="A690" s="221" t="n">
        <v>689</v>
      </c>
      <c r="B690" s="221" t="n">
        <v>1024</v>
      </c>
    </row>
    <row r="691" customFormat="false" ht="14.25" hidden="false" customHeight="false" outlineLevel="0" collapsed="false">
      <c r="A691" s="221" t="n">
        <v>690</v>
      </c>
      <c r="B691" s="221" t="n">
        <v>1024</v>
      </c>
    </row>
    <row r="692" customFormat="false" ht="14.25" hidden="false" customHeight="false" outlineLevel="0" collapsed="false">
      <c r="A692" s="221" t="n">
        <v>691</v>
      </c>
      <c r="B692" s="221" t="n">
        <v>1024</v>
      </c>
    </row>
    <row r="693" customFormat="false" ht="14.25" hidden="false" customHeight="false" outlineLevel="0" collapsed="false">
      <c r="A693" s="221" t="n">
        <v>692</v>
      </c>
      <c r="B693" s="221" t="n">
        <v>1024</v>
      </c>
    </row>
    <row r="694" customFormat="false" ht="14.25" hidden="false" customHeight="false" outlineLevel="0" collapsed="false">
      <c r="A694" s="221" t="n">
        <v>693</v>
      </c>
      <c r="B694" s="221" t="n">
        <v>1024</v>
      </c>
    </row>
    <row r="695" customFormat="false" ht="14.25" hidden="false" customHeight="false" outlineLevel="0" collapsed="false">
      <c r="A695" s="221" t="n">
        <v>694</v>
      </c>
      <c r="B695" s="221" t="n">
        <v>1024</v>
      </c>
    </row>
    <row r="696" customFormat="false" ht="14.25" hidden="false" customHeight="false" outlineLevel="0" collapsed="false">
      <c r="A696" s="221" t="n">
        <v>695</v>
      </c>
      <c r="B696" s="221" t="n">
        <v>1024</v>
      </c>
    </row>
    <row r="697" customFormat="false" ht="14.25" hidden="false" customHeight="false" outlineLevel="0" collapsed="false">
      <c r="A697" s="221" t="n">
        <v>696</v>
      </c>
      <c r="B697" s="221" t="n">
        <v>1024</v>
      </c>
    </row>
    <row r="698" customFormat="false" ht="14.25" hidden="false" customHeight="false" outlineLevel="0" collapsed="false">
      <c r="A698" s="221" t="n">
        <v>697</v>
      </c>
      <c r="B698" s="221" t="n">
        <v>1024</v>
      </c>
    </row>
    <row r="699" customFormat="false" ht="14.25" hidden="false" customHeight="false" outlineLevel="0" collapsed="false">
      <c r="A699" s="221" t="n">
        <v>698</v>
      </c>
      <c r="B699" s="221" t="n">
        <v>1024</v>
      </c>
    </row>
    <row r="700" customFormat="false" ht="14.25" hidden="false" customHeight="false" outlineLevel="0" collapsed="false">
      <c r="A700" s="221" t="n">
        <v>699</v>
      </c>
      <c r="B700" s="221" t="n">
        <v>1024</v>
      </c>
    </row>
    <row r="701" customFormat="false" ht="14.25" hidden="false" customHeight="false" outlineLevel="0" collapsed="false">
      <c r="A701" s="221" t="n">
        <v>700</v>
      </c>
      <c r="B701" s="221" t="n">
        <v>1024</v>
      </c>
    </row>
    <row r="702" customFormat="false" ht="14.25" hidden="false" customHeight="false" outlineLevel="0" collapsed="false">
      <c r="A702" s="221" t="n">
        <v>701</v>
      </c>
      <c r="B702" s="221" t="n">
        <v>1024</v>
      </c>
    </row>
    <row r="703" customFormat="false" ht="14.25" hidden="false" customHeight="false" outlineLevel="0" collapsed="false">
      <c r="A703" s="221" t="n">
        <v>702</v>
      </c>
      <c r="B703" s="221" t="n">
        <v>1024</v>
      </c>
    </row>
    <row r="704" customFormat="false" ht="14.25" hidden="false" customHeight="false" outlineLevel="0" collapsed="false">
      <c r="A704" s="221" t="n">
        <v>703</v>
      </c>
      <c r="B704" s="221" t="n">
        <v>1024</v>
      </c>
    </row>
    <row r="705" customFormat="false" ht="14.25" hidden="false" customHeight="false" outlineLevel="0" collapsed="false">
      <c r="A705" s="221" t="n">
        <v>704</v>
      </c>
      <c r="B705" s="221" t="n">
        <v>1024</v>
      </c>
    </row>
    <row r="706" customFormat="false" ht="14.25" hidden="false" customHeight="false" outlineLevel="0" collapsed="false">
      <c r="A706" s="221" t="n">
        <v>705</v>
      </c>
      <c r="B706" s="221" t="n">
        <v>1024</v>
      </c>
    </row>
    <row r="707" customFormat="false" ht="14.25" hidden="false" customHeight="false" outlineLevel="0" collapsed="false">
      <c r="A707" s="221" t="n">
        <v>706</v>
      </c>
      <c r="B707" s="221" t="n">
        <v>1024</v>
      </c>
    </row>
    <row r="708" customFormat="false" ht="14.25" hidden="false" customHeight="false" outlineLevel="0" collapsed="false">
      <c r="A708" s="221" t="n">
        <v>707</v>
      </c>
      <c r="B708" s="221" t="n">
        <v>1024</v>
      </c>
    </row>
    <row r="709" customFormat="false" ht="14.25" hidden="false" customHeight="false" outlineLevel="0" collapsed="false">
      <c r="A709" s="221" t="n">
        <v>708</v>
      </c>
      <c r="B709" s="221" t="n">
        <v>1024</v>
      </c>
    </row>
    <row r="710" customFormat="false" ht="14.25" hidden="false" customHeight="false" outlineLevel="0" collapsed="false">
      <c r="A710" s="221" t="n">
        <v>709</v>
      </c>
      <c r="B710" s="221" t="n">
        <v>1024</v>
      </c>
    </row>
    <row r="711" customFormat="false" ht="14.25" hidden="false" customHeight="false" outlineLevel="0" collapsed="false">
      <c r="A711" s="221" t="n">
        <v>710</v>
      </c>
      <c r="B711" s="221" t="n">
        <v>1024</v>
      </c>
    </row>
    <row r="712" customFormat="false" ht="14.25" hidden="false" customHeight="false" outlineLevel="0" collapsed="false">
      <c r="A712" s="221" t="n">
        <v>711</v>
      </c>
      <c r="B712" s="221" t="n">
        <v>1024</v>
      </c>
    </row>
    <row r="713" customFormat="false" ht="14.25" hidden="false" customHeight="false" outlineLevel="0" collapsed="false">
      <c r="A713" s="221" t="n">
        <v>712</v>
      </c>
      <c r="B713" s="221" t="n">
        <v>1024</v>
      </c>
    </row>
    <row r="714" customFormat="false" ht="14.25" hidden="false" customHeight="false" outlineLevel="0" collapsed="false">
      <c r="A714" s="221" t="n">
        <v>713</v>
      </c>
      <c r="B714" s="221" t="n">
        <v>1024</v>
      </c>
    </row>
    <row r="715" customFormat="false" ht="14.25" hidden="false" customHeight="false" outlineLevel="0" collapsed="false">
      <c r="A715" s="221" t="n">
        <v>714</v>
      </c>
      <c r="B715" s="221" t="n">
        <v>1024</v>
      </c>
    </row>
    <row r="716" customFormat="false" ht="14.25" hidden="false" customHeight="false" outlineLevel="0" collapsed="false">
      <c r="A716" s="221" t="n">
        <v>715</v>
      </c>
      <c r="B716" s="221" t="n">
        <v>1024</v>
      </c>
    </row>
    <row r="717" customFormat="false" ht="14.25" hidden="false" customHeight="false" outlineLevel="0" collapsed="false">
      <c r="A717" s="221" t="n">
        <v>716</v>
      </c>
      <c r="B717" s="221" t="n">
        <v>1024</v>
      </c>
    </row>
    <row r="718" customFormat="false" ht="14.25" hidden="false" customHeight="false" outlineLevel="0" collapsed="false">
      <c r="A718" s="221" t="n">
        <v>717</v>
      </c>
      <c r="B718" s="221" t="n">
        <v>1024</v>
      </c>
    </row>
    <row r="719" customFormat="false" ht="14.25" hidden="false" customHeight="false" outlineLevel="0" collapsed="false">
      <c r="A719" s="221" t="n">
        <v>718</v>
      </c>
      <c r="B719" s="221" t="n">
        <v>1024</v>
      </c>
    </row>
    <row r="720" customFormat="false" ht="14.25" hidden="false" customHeight="false" outlineLevel="0" collapsed="false">
      <c r="A720" s="221" t="n">
        <v>719</v>
      </c>
      <c r="B720" s="221" t="n">
        <v>1024</v>
      </c>
    </row>
    <row r="721" customFormat="false" ht="14.25" hidden="false" customHeight="false" outlineLevel="0" collapsed="false">
      <c r="A721" s="221" t="n">
        <v>720</v>
      </c>
      <c r="B721" s="221" t="n">
        <v>1024</v>
      </c>
    </row>
    <row r="722" customFormat="false" ht="14.25" hidden="false" customHeight="false" outlineLevel="0" collapsed="false">
      <c r="A722" s="221" t="n">
        <v>721</v>
      </c>
      <c r="B722" s="221" t="n">
        <v>1024</v>
      </c>
    </row>
    <row r="723" customFormat="false" ht="14.25" hidden="false" customHeight="false" outlineLevel="0" collapsed="false">
      <c r="A723" s="221" t="n">
        <v>722</v>
      </c>
      <c r="B723" s="221" t="n">
        <v>1024</v>
      </c>
    </row>
    <row r="724" customFormat="false" ht="14.25" hidden="false" customHeight="false" outlineLevel="0" collapsed="false">
      <c r="A724" s="221" t="n">
        <v>723</v>
      </c>
      <c r="B724" s="221" t="n">
        <v>1024</v>
      </c>
    </row>
    <row r="725" customFormat="false" ht="14.25" hidden="false" customHeight="false" outlineLevel="0" collapsed="false">
      <c r="A725" s="221" t="n">
        <v>724</v>
      </c>
      <c r="B725" s="221" t="n">
        <v>1024</v>
      </c>
    </row>
    <row r="726" customFormat="false" ht="14.25" hidden="false" customHeight="false" outlineLevel="0" collapsed="false">
      <c r="A726" s="221" t="n">
        <v>725</v>
      </c>
      <c r="B726" s="221" t="n">
        <v>1024</v>
      </c>
    </row>
    <row r="727" customFormat="false" ht="14.25" hidden="false" customHeight="false" outlineLevel="0" collapsed="false">
      <c r="A727" s="221" t="n">
        <v>726</v>
      </c>
      <c r="B727" s="221" t="n">
        <v>1024</v>
      </c>
    </row>
    <row r="728" customFormat="false" ht="14.25" hidden="false" customHeight="false" outlineLevel="0" collapsed="false">
      <c r="A728" s="221" t="n">
        <v>727</v>
      </c>
      <c r="B728" s="221" t="n">
        <v>1024</v>
      </c>
    </row>
    <row r="729" customFormat="false" ht="14.25" hidden="false" customHeight="false" outlineLevel="0" collapsed="false">
      <c r="A729" s="221" t="n">
        <v>728</v>
      </c>
      <c r="B729" s="221" t="n">
        <v>1024</v>
      </c>
    </row>
    <row r="730" customFormat="false" ht="14.25" hidden="false" customHeight="false" outlineLevel="0" collapsed="false">
      <c r="A730" s="221" t="n">
        <v>729</v>
      </c>
      <c r="B730" s="221" t="n">
        <v>1024</v>
      </c>
    </row>
    <row r="731" customFormat="false" ht="14.25" hidden="false" customHeight="false" outlineLevel="0" collapsed="false">
      <c r="A731" s="221" t="n">
        <v>730</v>
      </c>
      <c r="B731" s="221" t="n">
        <v>1024</v>
      </c>
    </row>
    <row r="732" customFormat="false" ht="14.25" hidden="false" customHeight="false" outlineLevel="0" collapsed="false">
      <c r="A732" s="221" t="n">
        <v>731</v>
      </c>
      <c r="B732" s="221" t="n">
        <v>1024</v>
      </c>
    </row>
    <row r="733" customFormat="false" ht="14.25" hidden="false" customHeight="false" outlineLevel="0" collapsed="false">
      <c r="A733" s="221" t="n">
        <v>732</v>
      </c>
      <c r="B733" s="221" t="n">
        <v>1024</v>
      </c>
    </row>
    <row r="734" customFormat="false" ht="14.25" hidden="false" customHeight="false" outlineLevel="0" collapsed="false">
      <c r="A734" s="221" t="n">
        <v>733</v>
      </c>
      <c r="B734" s="221" t="n">
        <v>1024</v>
      </c>
    </row>
    <row r="735" customFormat="false" ht="14.25" hidden="false" customHeight="false" outlineLevel="0" collapsed="false">
      <c r="A735" s="221" t="n">
        <v>734</v>
      </c>
      <c r="B735" s="221" t="n">
        <v>1024</v>
      </c>
    </row>
    <row r="736" customFormat="false" ht="14.25" hidden="false" customHeight="false" outlineLevel="0" collapsed="false">
      <c r="A736" s="221" t="n">
        <v>735</v>
      </c>
      <c r="B736" s="221" t="n">
        <v>1024</v>
      </c>
    </row>
    <row r="737" customFormat="false" ht="14.25" hidden="false" customHeight="false" outlineLevel="0" collapsed="false">
      <c r="A737" s="221" t="n">
        <v>736</v>
      </c>
      <c r="B737" s="221" t="n">
        <v>1024</v>
      </c>
    </row>
    <row r="738" customFormat="false" ht="14.25" hidden="false" customHeight="false" outlineLevel="0" collapsed="false">
      <c r="A738" s="221" t="n">
        <v>737</v>
      </c>
      <c r="B738" s="221" t="n">
        <v>1024</v>
      </c>
    </row>
    <row r="739" customFormat="false" ht="14.25" hidden="false" customHeight="false" outlineLevel="0" collapsed="false">
      <c r="A739" s="221" t="n">
        <v>738</v>
      </c>
      <c r="B739" s="221" t="n">
        <v>1024</v>
      </c>
    </row>
    <row r="740" customFormat="false" ht="14.25" hidden="false" customHeight="false" outlineLevel="0" collapsed="false">
      <c r="A740" s="221" t="n">
        <v>739</v>
      </c>
      <c r="B740" s="221" t="n">
        <v>1024</v>
      </c>
    </row>
    <row r="741" customFormat="false" ht="14.25" hidden="false" customHeight="false" outlineLevel="0" collapsed="false">
      <c r="A741" s="221" t="n">
        <v>740</v>
      </c>
      <c r="B741" s="221" t="n">
        <v>1024</v>
      </c>
    </row>
    <row r="742" customFormat="false" ht="14.25" hidden="false" customHeight="false" outlineLevel="0" collapsed="false">
      <c r="A742" s="221" t="n">
        <v>741</v>
      </c>
      <c r="B742" s="221" t="n">
        <v>1024</v>
      </c>
    </row>
    <row r="743" customFormat="false" ht="14.25" hidden="false" customHeight="false" outlineLevel="0" collapsed="false">
      <c r="A743" s="221" t="n">
        <v>742</v>
      </c>
      <c r="B743" s="221" t="n">
        <v>1024</v>
      </c>
    </row>
    <row r="744" customFormat="false" ht="14.25" hidden="false" customHeight="false" outlineLevel="0" collapsed="false">
      <c r="A744" s="221" t="n">
        <v>743</v>
      </c>
      <c r="B744" s="221" t="n">
        <v>1024</v>
      </c>
    </row>
    <row r="745" customFormat="false" ht="14.25" hidden="false" customHeight="false" outlineLevel="0" collapsed="false">
      <c r="A745" s="221" t="n">
        <v>744</v>
      </c>
      <c r="B745" s="221" t="n">
        <v>1024</v>
      </c>
    </row>
    <row r="746" customFormat="false" ht="14.25" hidden="false" customHeight="false" outlineLevel="0" collapsed="false">
      <c r="A746" s="221" t="n">
        <v>745</v>
      </c>
      <c r="B746" s="221" t="n">
        <v>1024</v>
      </c>
    </row>
    <row r="747" customFormat="false" ht="14.25" hidden="false" customHeight="false" outlineLevel="0" collapsed="false">
      <c r="A747" s="221" t="n">
        <v>746</v>
      </c>
      <c r="B747" s="221" t="n">
        <v>1024</v>
      </c>
    </row>
    <row r="748" customFormat="false" ht="14.25" hidden="false" customHeight="false" outlineLevel="0" collapsed="false">
      <c r="A748" s="221" t="n">
        <v>747</v>
      </c>
      <c r="B748" s="221" t="n">
        <v>1024</v>
      </c>
    </row>
    <row r="749" customFormat="false" ht="14.25" hidden="false" customHeight="false" outlineLevel="0" collapsed="false">
      <c r="A749" s="221" t="n">
        <v>748</v>
      </c>
      <c r="B749" s="221" t="n">
        <v>1024</v>
      </c>
    </row>
    <row r="750" customFormat="false" ht="14.25" hidden="false" customHeight="false" outlineLevel="0" collapsed="false">
      <c r="A750" s="221" t="n">
        <v>749</v>
      </c>
      <c r="B750" s="221" t="n">
        <v>1024</v>
      </c>
    </row>
    <row r="751" customFormat="false" ht="14.25" hidden="false" customHeight="false" outlineLevel="0" collapsed="false">
      <c r="A751" s="221" t="n">
        <v>750</v>
      </c>
      <c r="B751" s="221" t="n">
        <v>1024</v>
      </c>
    </row>
    <row r="752" customFormat="false" ht="14.25" hidden="false" customHeight="false" outlineLevel="0" collapsed="false">
      <c r="A752" s="221" t="n">
        <v>751</v>
      </c>
      <c r="B752" s="221" t="n">
        <v>1024</v>
      </c>
    </row>
    <row r="753" customFormat="false" ht="14.25" hidden="false" customHeight="false" outlineLevel="0" collapsed="false">
      <c r="A753" s="221" t="n">
        <v>752</v>
      </c>
      <c r="B753" s="221" t="n">
        <v>1024</v>
      </c>
    </row>
    <row r="754" customFormat="false" ht="14.25" hidden="false" customHeight="false" outlineLevel="0" collapsed="false">
      <c r="A754" s="221" t="n">
        <v>753</v>
      </c>
      <c r="B754" s="221" t="n">
        <v>1024</v>
      </c>
    </row>
    <row r="755" customFormat="false" ht="14.25" hidden="false" customHeight="false" outlineLevel="0" collapsed="false">
      <c r="A755" s="221" t="n">
        <v>754</v>
      </c>
      <c r="B755" s="221" t="n">
        <v>1024</v>
      </c>
    </row>
    <row r="756" customFormat="false" ht="14.25" hidden="false" customHeight="false" outlineLevel="0" collapsed="false">
      <c r="A756" s="221" t="n">
        <v>755</v>
      </c>
      <c r="B756" s="221" t="n">
        <v>1024</v>
      </c>
    </row>
    <row r="757" customFormat="false" ht="14.25" hidden="false" customHeight="false" outlineLevel="0" collapsed="false">
      <c r="A757" s="221" t="n">
        <v>756</v>
      </c>
      <c r="B757" s="221" t="n">
        <v>1024</v>
      </c>
    </row>
    <row r="758" customFormat="false" ht="14.25" hidden="false" customHeight="false" outlineLevel="0" collapsed="false">
      <c r="A758" s="221" t="n">
        <v>757</v>
      </c>
      <c r="B758" s="221" t="n">
        <v>1024</v>
      </c>
    </row>
    <row r="759" customFormat="false" ht="14.25" hidden="false" customHeight="false" outlineLevel="0" collapsed="false">
      <c r="A759" s="221" t="n">
        <v>758</v>
      </c>
      <c r="B759" s="221" t="n">
        <v>1024</v>
      </c>
    </row>
    <row r="760" customFormat="false" ht="14.25" hidden="false" customHeight="false" outlineLevel="0" collapsed="false">
      <c r="A760" s="221" t="n">
        <v>759</v>
      </c>
      <c r="B760" s="221" t="n">
        <v>1024</v>
      </c>
    </row>
    <row r="761" customFormat="false" ht="14.25" hidden="false" customHeight="false" outlineLevel="0" collapsed="false">
      <c r="A761" s="221" t="n">
        <v>760</v>
      </c>
      <c r="B761" s="221" t="n">
        <v>1024</v>
      </c>
    </row>
    <row r="762" customFormat="false" ht="14.25" hidden="false" customHeight="false" outlineLevel="0" collapsed="false">
      <c r="A762" s="221" t="n">
        <v>761</v>
      </c>
      <c r="B762" s="221" t="n">
        <v>1024</v>
      </c>
    </row>
    <row r="763" customFormat="false" ht="14.25" hidden="false" customHeight="false" outlineLevel="0" collapsed="false">
      <c r="A763" s="221" t="n">
        <v>762</v>
      </c>
      <c r="B763" s="221" t="n">
        <v>1024</v>
      </c>
    </row>
    <row r="764" customFormat="false" ht="14.25" hidden="false" customHeight="false" outlineLevel="0" collapsed="false">
      <c r="A764" s="221" t="n">
        <v>763</v>
      </c>
      <c r="B764" s="221" t="n">
        <v>1024</v>
      </c>
    </row>
    <row r="765" customFormat="false" ht="14.25" hidden="false" customHeight="false" outlineLevel="0" collapsed="false">
      <c r="A765" s="221" t="n">
        <v>764</v>
      </c>
      <c r="B765" s="221" t="n">
        <v>1024</v>
      </c>
    </row>
    <row r="766" customFormat="false" ht="14.25" hidden="false" customHeight="false" outlineLevel="0" collapsed="false">
      <c r="A766" s="221" t="n">
        <v>765</v>
      </c>
      <c r="B766" s="221" t="n">
        <v>1024</v>
      </c>
    </row>
    <row r="767" customFormat="false" ht="14.25" hidden="false" customHeight="false" outlineLevel="0" collapsed="false">
      <c r="A767" s="221" t="n">
        <v>766</v>
      </c>
      <c r="B767" s="221" t="n">
        <v>1024</v>
      </c>
    </row>
    <row r="768" customFormat="false" ht="14.25" hidden="false" customHeight="false" outlineLevel="0" collapsed="false">
      <c r="A768" s="221" t="n">
        <v>767</v>
      </c>
      <c r="B768" s="221" t="n">
        <v>1024</v>
      </c>
    </row>
    <row r="769" customFormat="false" ht="14.25" hidden="false" customHeight="false" outlineLevel="0" collapsed="false">
      <c r="A769" s="221" t="n">
        <v>768</v>
      </c>
      <c r="B769" s="221" t="n">
        <v>1024</v>
      </c>
    </row>
    <row r="770" customFormat="false" ht="14.25" hidden="false" customHeight="false" outlineLevel="0" collapsed="false">
      <c r="A770" s="221" t="n">
        <v>769</v>
      </c>
      <c r="B770" s="221" t="n">
        <v>1024</v>
      </c>
    </row>
    <row r="771" customFormat="false" ht="14.25" hidden="false" customHeight="false" outlineLevel="0" collapsed="false">
      <c r="A771" s="221" t="n">
        <v>770</v>
      </c>
      <c r="B771" s="221" t="n">
        <v>1024</v>
      </c>
    </row>
    <row r="772" customFormat="false" ht="14.25" hidden="false" customHeight="false" outlineLevel="0" collapsed="false">
      <c r="A772" s="221" t="n">
        <v>771</v>
      </c>
      <c r="B772" s="221" t="n">
        <v>1024</v>
      </c>
    </row>
    <row r="773" customFormat="false" ht="14.25" hidden="false" customHeight="false" outlineLevel="0" collapsed="false">
      <c r="A773" s="221" t="n">
        <v>772</v>
      </c>
      <c r="B773" s="221" t="n">
        <v>1024</v>
      </c>
    </row>
    <row r="774" customFormat="false" ht="14.25" hidden="false" customHeight="false" outlineLevel="0" collapsed="false">
      <c r="A774" s="221" t="n">
        <v>773</v>
      </c>
      <c r="B774" s="221" t="n">
        <v>1024</v>
      </c>
    </row>
    <row r="775" customFormat="false" ht="14.25" hidden="false" customHeight="false" outlineLevel="0" collapsed="false">
      <c r="A775" s="221" t="n">
        <v>774</v>
      </c>
      <c r="B775" s="221" t="n">
        <v>1024</v>
      </c>
    </row>
    <row r="776" customFormat="false" ht="14.25" hidden="false" customHeight="false" outlineLevel="0" collapsed="false">
      <c r="A776" s="221" t="n">
        <v>775</v>
      </c>
      <c r="B776" s="221" t="n">
        <v>1024</v>
      </c>
    </row>
    <row r="777" customFormat="false" ht="14.25" hidden="false" customHeight="false" outlineLevel="0" collapsed="false">
      <c r="A777" s="221" t="n">
        <v>776</v>
      </c>
      <c r="B777" s="221" t="n">
        <v>1024</v>
      </c>
    </row>
    <row r="778" customFormat="false" ht="14.25" hidden="false" customHeight="false" outlineLevel="0" collapsed="false">
      <c r="A778" s="221" t="n">
        <v>777</v>
      </c>
      <c r="B778" s="221" t="n">
        <v>1024</v>
      </c>
    </row>
    <row r="779" customFormat="false" ht="14.25" hidden="false" customHeight="false" outlineLevel="0" collapsed="false">
      <c r="A779" s="221" t="n">
        <v>778</v>
      </c>
      <c r="B779" s="221" t="n">
        <v>1024</v>
      </c>
    </row>
    <row r="780" customFormat="false" ht="14.25" hidden="false" customHeight="false" outlineLevel="0" collapsed="false">
      <c r="A780" s="221" t="n">
        <v>779</v>
      </c>
      <c r="B780" s="221" t="n">
        <v>1024</v>
      </c>
    </row>
    <row r="781" customFormat="false" ht="14.25" hidden="false" customHeight="false" outlineLevel="0" collapsed="false">
      <c r="A781" s="221" t="n">
        <v>780</v>
      </c>
      <c r="B781" s="221" t="n">
        <v>1024</v>
      </c>
    </row>
    <row r="782" customFormat="false" ht="14.25" hidden="false" customHeight="false" outlineLevel="0" collapsed="false">
      <c r="A782" s="221" t="n">
        <v>781</v>
      </c>
      <c r="B782" s="221" t="n">
        <v>1024</v>
      </c>
    </row>
    <row r="783" customFormat="false" ht="14.25" hidden="false" customHeight="false" outlineLevel="0" collapsed="false">
      <c r="A783" s="221" t="n">
        <v>782</v>
      </c>
      <c r="B783" s="221" t="n">
        <v>1024</v>
      </c>
    </row>
    <row r="784" customFormat="false" ht="14.25" hidden="false" customHeight="false" outlineLevel="0" collapsed="false">
      <c r="A784" s="221" t="n">
        <v>783</v>
      </c>
      <c r="B784" s="221" t="n">
        <v>1024</v>
      </c>
    </row>
    <row r="785" customFormat="false" ht="14.25" hidden="false" customHeight="false" outlineLevel="0" collapsed="false">
      <c r="A785" s="221" t="n">
        <v>784</v>
      </c>
      <c r="B785" s="221" t="n">
        <v>1024</v>
      </c>
    </row>
    <row r="786" customFormat="false" ht="14.25" hidden="false" customHeight="false" outlineLevel="0" collapsed="false">
      <c r="A786" s="221" t="n">
        <v>785</v>
      </c>
      <c r="B786" s="221" t="n">
        <v>1024</v>
      </c>
    </row>
    <row r="787" customFormat="false" ht="14.25" hidden="false" customHeight="false" outlineLevel="0" collapsed="false">
      <c r="A787" s="221" t="n">
        <v>786</v>
      </c>
      <c r="B787" s="221" t="n">
        <v>1024</v>
      </c>
    </row>
    <row r="788" customFormat="false" ht="14.25" hidden="false" customHeight="false" outlineLevel="0" collapsed="false">
      <c r="A788" s="221" t="n">
        <v>787</v>
      </c>
      <c r="B788" s="221" t="n">
        <v>1024</v>
      </c>
    </row>
    <row r="789" customFormat="false" ht="14.25" hidden="false" customHeight="false" outlineLevel="0" collapsed="false">
      <c r="A789" s="221" t="n">
        <v>788</v>
      </c>
      <c r="B789" s="221" t="n">
        <v>1024</v>
      </c>
    </row>
    <row r="790" customFormat="false" ht="14.25" hidden="false" customHeight="false" outlineLevel="0" collapsed="false">
      <c r="A790" s="221" t="n">
        <v>789</v>
      </c>
      <c r="B790" s="221" t="n">
        <v>1024</v>
      </c>
    </row>
    <row r="791" customFormat="false" ht="14.25" hidden="false" customHeight="false" outlineLevel="0" collapsed="false">
      <c r="A791" s="221" t="n">
        <v>790</v>
      </c>
      <c r="B791" s="221" t="n">
        <v>1024</v>
      </c>
    </row>
    <row r="792" customFormat="false" ht="14.25" hidden="false" customHeight="false" outlineLevel="0" collapsed="false">
      <c r="A792" s="221" t="n">
        <v>791</v>
      </c>
      <c r="B792" s="221" t="n">
        <v>1024</v>
      </c>
    </row>
    <row r="793" customFormat="false" ht="14.25" hidden="false" customHeight="false" outlineLevel="0" collapsed="false">
      <c r="A793" s="221" t="n">
        <v>792</v>
      </c>
      <c r="B793" s="221" t="n">
        <v>1024</v>
      </c>
    </row>
    <row r="794" customFormat="false" ht="14.25" hidden="false" customHeight="false" outlineLevel="0" collapsed="false">
      <c r="A794" s="221" t="n">
        <v>793</v>
      </c>
      <c r="B794" s="221" t="n">
        <v>1024</v>
      </c>
    </row>
    <row r="795" customFormat="false" ht="14.25" hidden="false" customHeight="false" outlineLevel="0" collapsed="false">
      <c r="A795" s="221" t="n">
        <v>794</v>
      </c>
      <c r="B795" s="221" t="n">
        <v>1024</v>
      </c>
    </row>
    <row r="796" customFormat="false" ht="14.25" hidden="false" customHeight="false" outlineLevel="0" collapsed="false">
      <c r="A796" s="221" t="n">
        <v>795</v>
      </c>
      <c r="B796" s="221" t="n">
        <v>1024</v>
      </c>
    </row>
    <row r="797" customFormat="false" ht="14.25" hidden="false" customHeight="false" outlineLevel="0" collapsed="false">
      <c r="A797" s="221" t="n">
        <v>796</v>
      </c>
      <c r="B797" s="221" t="n">
        <v>1024</v>
      </c>
    </row>
    <row r="798" customFormat="false" ht="14.25" hidden="false" customHeight="false" outlineLevel="0" collapsed="false">
      <c r="A798" s="221" t="n">
        <v>797</v>
      </c>
      <c r="B798" s="221" t="n">
        <v>1024</v>
      </c>
    </row>
    <row r="799" customFormat="false" ht="14.25" hidden="false" customHeight="false" outlineLevel="0" collapsed="false">
      <c r="A799" s="221" t="n">
        <v>798</v>
      </c>
      <c r="B799" s="221" t="n">
        <v>1024</v>
      </c>
    </row>
    <row r="800" customFormat="false" ht="14.25" hidden="false" customHeight="false" outlineLevel="0" collapsed="false">
      <c r="A800" s="221" t="n">
        <v>799</v>
      </c>
      <c r="B800" s="221" t="n">
        <v>1024</v>
      </c>
    </row>
    <row r="801" customFormat="false" ht="14.25" hidden="false" customHeight="false" outlineLevel="0" collapsed="false">
      <c r="A801" s="221" t="n">
        <v>800</v>
      </c>
      <c r="B801" s="221" t="n">
        <v>1024</v>
      </c>
    </row>
    <row r="802" customFormat="false" ht="14.25" hidden="false" customHeight="false" outlineLevel="0" collapsed="false">
      <c r="A802" s="221" t="n">
        <v>801</v>
      </c>
      <c r="B802" s="221" t="n">
        <v>1024</v>
      </c>
    </row>
    <row r="803" customFormat="false" ht="14.25" hidden="false" customHeight="false" outlineLevel="0" collapsed="false">
      <c r="A803" s="221" t="n">
        <v>802</v>
      </c>
      <c r="B803" s="221" t="n">
        <v>1024</v>
      </c>
    </row>
    <row r="804" customFormat="false" ht="14.25" hidden="false" customHeight="false" outlineLevel="0" collapsed="false">
      <c r="A804" s="221" t="n">
        <v>803</v>
      </c>
      <c r="B804" s="221" t="n">
        <v>1024</v>
      </c>
    </row>
    <row r="805" customFormat="false" ht="14.25" hidden="false" customHeight="false" outlineLevel="0" collapsed="false">
      <c r="A805" s="221" t="n">
        <v>804</v>
      </c>
      <c r="B805" s="221" t="n">
        <v>1024</v>
      </c>
    </row>
    <row r="806" customFormat="false" ht="14.25" hidden="false" customHeight="false" outlineLevel="0" collapsed="false">
      <c r="A806" s="221" t="n">
        <v>805</v>
      </c>
      <c r="B806" s="221" t="n">
        <v>1024</v>
      </c>
    </row>
    <row r="807" customFormat="false" ht="14.25" hidden="false" customHeight="false" outlineLevel="0" collapsed="false">
      <c r="A807" s="221" t="n">
        <v>806</v>
      </c>
      <c r="B807" s="221" t="n">
        <v>1024</v>
      </c>
    </row>
    <row r="808" customFormat="false" ht="14.25" hidden="false" customHeight="false" outlineLevel="0" collapsed="false">
      <c r="A808" s="221" t="n">
        <v>807</v>
      </c>
      <c r="B808" s="221" t="n">
        <v>1024</v>
      </c>
    </row>
    <row r="809" customFormat="false" ht="14.25" hidden="false" customHeight="false" outlineLevel="0" collapsed="false">
      <c r="A809" s="221" t="n">
        <v>808</v>
      </c>
      <c r="B809" s="221" t="n">
        <v>1024</v>
      </c>
    </row>
    <row r="810" customFormat="false" ht="14.25" hidden="false" customHeight="false" outlineLevel="0" collapsed="false">
      <c r="A810" s="221" t="n">
        <v>809</v>
      </c>
      <c r="B810" s="221" t="n">
        <v>1024</v>
      </c>
    </row>
    <row r="811" customFormat="false" ht="14.25" hidden="false" customHeight="false" outlineLevel="0" collapsed="false">
      <c r="A811" s="221" t="n">
        <v>810</v>
      </c>
      <c r="B811" s="221" t="n">
        <v>1024</v>
      </c>
    </row>
    <row r="812" customFormat="false" ht="14.25" hidden="false" customHeight="false" outlineLevel="0" collapsed="false">
      <c r="A812" s="221" t="n">
        <v>811</v>
      </c>
      <c r="B812" s="221" t="n">
        <v>1024</v>
      </c>
    </row>
    <row r="813" customFormat="false" ht="14.25" hidden="false" customHeight="false" outlineLevel="0" collapsed="false">
      <c r="A813" s="221" t="n">
        <v>812</v>
      </c>
      <c r="B813" s="221" t="n">
        <v>1024</v>
      </c>
    </row>
    <row r="814" customFormat="false" ht="14.25" hidden="false" customHeight="false" outlineLevel="0" collapsed="false">
      <c r="A814" s="221" t="n">
        <v>813</v>
      </c>
      <c r="B814" s="221" t="n">
        <v>1024</v>
      </c>
    </row>
    <row r="815" customFormat="false" ht="14.25" hidden="false" customHeight="false" outlineLevel="0" collapsed="false">
      <c r="A815" s="221" t="n">
        <v>814</v>
      </c>
      <c r="B815" s="221" t="n">
        <v>1024</v>
      </c>
    </row>
    <row r="816" customFormat="false" ht="14.25" hidden="false" customHeight="false" outlineLevel="0" collapsed="false">
      <c r="A816" s="221" t="n">
        <v>815</v>
      </c>
      <c r="B816" s="221" t="n">
        <v>1024</v>
      </c>
    </row>
    <row r="817" customFormat="false" ht="14.25" hidden="false" customHeight="false" outlineLevel="0" collapsed="false">
      <c r="A817" s="221" t="n">
        <v>816</v>
      </c>
      <c r="B817" s="221" t="n">
        <v>1024</v>
      </c>
    </row>
    <row r="818" customFormat="false" ht="14.25" hidden="false" customHeight="false" outlineLevel="0" collapsed="false">
      <c r="A818" s="221" t="n">
        <v>817</v>
      </c>
      <c r="B818" s="221" t="n">
        <v>1024</v>
      </c>
    </row>
    <row r="819" customFormat="false" ht="14.25" hidden="false" customHeight="false" outlineLevel="0" collapsed="false">
      <c r="A819" s="221" t="n">
        <v>818</v>
      </c>
      <c r="B819" s="221" t="n">
        <v>1024</v>
      </c>
    </row>
    <row r="820" customFormat="false" ht="14.25" hidden="false" customHeight="false" outlineLevel="0" collapsed="false">
      <c r="A820" s="221" t="n">
        <v>819</v>
      </c>
      <c r="B820" s="221" t="n">
        <v>1024</v>
      </c>
    </row>
    <row r="821" customFormat="false" ht="14.25" hidden="false" customHeight="false" outlineLevel="0" collapsed="false">
      <c r="A821" s="221" t="n">
        <v>820</v>
      </c>
      <c r="B821" s="221" t="n">
        <v>1024</v>
      </c>
    </row>
    <row r="822" customFormat="false" ht="14.25" hidden="false" customHeight="false" outlineLevel="0" collapsed="false">
      <c r="A822" s="221" t="n">
        <v>821</v>
      </c>
      <c r="B822" s="221" t="n">
        <v>1024</v>
      </c>
    </row>
    <row r="823" customFormat="false" ht="14.25" hidden="false" customHeight="false" outlineLevel="0" collapsed="false">
      <c r="A823" s="221" t="n">
        <v>822</v>
      </c>
      <c r="B823" s="221" t="n">
        <v>1024</v>
      </c>
    </row>
    <row r="824" customFormat="false" ht="14.25" hidden="false" customHeight="false" outlineLevel="0" collapsed="false">
      <c r="A824" s="221" t="n">
        <v>823</v>
      </c>
      <c r="B824" s="221" t="n">
        <v>1024</v>
      </c>
    </row>
    <row r="825" customFormat="false" ht="14.25" hidden="false" customHeight="false" outlineLevel="0" collapsed="false">
      <c r="A825" s="221" t="n">
        <v>824</v>
      </c>
      <c r="B825" s="221" t="n">
        <v>1024</v>
      </c>
    </row>
    <row r="826" customFormat="false" ht="14.25" hidden="false" customHeight="false" outlineLevel="0" collapsed="false">
      <c r="A826" s="221" t="n">
        <v>825</v>
      </c>
      <c r="B826" s="221" t="n">
        <v>1024</v>
      </c>
    </row>
    <row r="827" customFormat="false" ht="14.25" hidden="false" customHeight="false" outlineLevel="0" collapsed="false">
      <c r="A827" s="221" t="n">
        <v>826</v>
      </c>
      <c r="B827" s="221" t="n">
        <v>1024</v>
      </c>
    </row>
    <row r="828" customFormat="false" ht="14.25" hidden="false" customHeight="false" outlineLevel="0" collapsed="false">
      <c r="A828" s="221" t="n">
        <v>827</v>
      </c>
      <c r="B828" s="221" t="n">
        <v>1024</v>
      </c>
    </row>
    <row r="829" customFormat="false" ht="14.25" hidden="false" customHeight="false" outlineLevel="0" collapsed="false">
      <c r="A829" s="221" t="n">
        <v>828</v>
      </c>
      <c r="B829" s="221" t="n">
        <v>1024</v>
      </c>
    </row>
    <row r="830" customFormat="false" ht="14.25" hidden="false" customHeight="false" outlineLevel="0" collapsed="false">
      <c r="A830" s="221" t="n">
        <v>829</v>
      </c>
      <c r="B830" s="221" t="n">
        <v>1024</v>
      </c>
    </row>
    <row r="831" customFormat="false" ht="14.25" hidden="false" customHeight="false" outlineLevel="0" collapsed="false">
      <c r="A831" s="221" t="n">
        <v>830</v>
      </c>
      <c r="B831" s="221" t="n">
        <v>1024</v>
      </c>
    </row>
    <row r="832" customFormat="false" ht="14.25" hidden="false" customHeight="false" outlineLevel="0" collapsed="false">
      <c r="A832" s="221" t="n">
        <v>831</v>
      </c>
      <c r="B832" s="221" t="n">
        <v>1024</v>
      </c>
    </row>
    <row r="833" customFormat="false" ht="14.25" hidden="false" customHeight="false" outlineLevel="0" collapsed="false">
      <c r="A833" s="221" t="n">
        <v>832</v>
      </c>
      <c r="B833" s="221" t="n">
        <v>1024</v>
      </c>
    </row>
    <row r="834" customFormat="false" ht="14.25" hidden="false" customHeight="false" outlineLevel="0" collapsed="false">
      <c r="A834" s="221" t="n">
        <v>833</v>
      </c>
      <c r="B834" s="221" t="n">
        <v>1024</v>
      </c>
    </row>
    <row r="835" customFormat="false" ht="14.25" hidden="false" customHeight="false" outlineLevel="0" collapsed="false">
      <c r="A835" s="221" t="n">
        <v>834</v>
      </c>
      <c r="B835" s="221" t="n">
        <v>1024</v>
      </c>
    </row>
    <row r="836" customFormat="false" ht="14.25" hidden="false" customHeight="false" outlineLevel="0" collapsed="false">
      <c r="A836" s="221" t="n">
        <v>835</v>
      </c>
      <c r="B836" s="221" t="n">
        <v>1024</v>
      </c>
    </row>
    <row r="837" customFormat="false" ht="14.25" hidden="false" customHeight="false" outlineLevel="0" collapsed="false">
      <c r="A837" s="221" t="n">
        <v>836</v>
      </c>
      <c r="B837" s="221" t="n">
        <v>1024</v>
      </c>
    </row>
    <row r="838" customFormat="false" ht="14.25" hidden="false" customHeight="false" outlineLevel="0" collapsed="false">
      <c r="A838" s="221" t="n">
        <v>837</v>
      </c>
      <c r="B838" s="221" t="n">
        <v>1024</v>
      </c>
    </row>
    <row r="839" customFormat="false" ht="14.25" hidden="false" customHeight="false" outlineLevel="0" collapsed="false">
      <c r="A839" s="221" t="n">
        <v>838</v>
      </c>
      <c r="B839" s="221" t="n">
        <v>1024</v>
      </c>
    </row>
    <row r="840" customFormat="false" ht="14.25" hidden="false" customHeight="false" outlineLevel="0" collapsed="false">
      <c r="A840" s="221" t="n">
        <v>839</v>
      </c>
      <c r="B840" s="221" t="n">
        <v>1024</v>
      </c>
    </row>
    <row r="841" customFormat="false" ht="14.25" hidden="false" customHeight="false" outlineLevel="0" collapsed="false">
      <c r="A841" s="221" t="n">
        <v>840</v>
      </c>
      <c r="B841" s="221" t="n">
        <v>1024</v>
      </c>
    </row>
    <row r="842" customFormat="false" ht="14.25" hidden="false" customHeight="false" outlineLevel="0" collapsed="false">
      <c r="A842" s="221" t="n">
        <v>841</v>
      </c>
      <c r="B842" s="221" t="n">
        <v>1024</v>
      </c>
    </row>
    <row r="843" customFormat="false" ht="14.25" hidden="false" customHeight="false" outlineLevel="0" collapsed="false">
      <c r="A843" s="221" t="n">
        <v>842</v>
      </c>
      <c r="B843" s="221" t="n">
        <v>1024</v>
      </c>
    </row>
    <row r="844" customFormat="false" ht="14.25" hidden="false" customHeight="false" outlineLevel="0" collapsed="false">
      <c r="A844" s="221" t="n">
        <v>843</v>
      </c>
      <c r="B844" s="221" t="n">
        <v>1024</v>
      </c>
    </row>
    <row r="845" customFormat="false" ht="14.25" hidden="false" customHeight="false" outlineLevel="0" collapsed="false">
      <c r="A845" s="221" t="n">
        <v>844</v>
      </c>
      <c r="B845" s="221" t="n">
        <v>1024</v>
      </c>
    </row>
    <row r="846" customFormat="false" ht="14.25" hidden="false" customHeight="false" outlineLevel="0" collapsed="false">
      <c r="A846" s="221" t="n">
        <v>845</v>
      </c>
      <c r="B846" s="221" t="n">
        <v>1024</v>
      </c>
    </row>
    <row r="847" customFormat="false" ht="14.25" hidden="false" customHeight="false" outlineLevel="0" collapsed="false">
      <c r="A847" s="221" t="n">
        <v>846</v>
      </c>
      <c r="B847" s="221" t="n">
        <v>1024</v>
      </c>
    </row>
    <row r="848" customFormat="false" ht="14.25" hidden="false" customHeight="false" outlineLevel="0" collapsed="false">
      <c r="A848" s="221" t="n">
        <v>847</v>
      </c>
      <c r="B848" s="221" t="n">
        <v>1024</v>
      </c>
    </row>
    <row r="849" customFormat="false" ht="14.25" hidden="false" customHeight="false" outlineLevel="0" collapsed="false">
      <c r="A849" s="221" t="n">
        <v>848</v>
      </c>
      <c r="B849" s="221" t="n">
        <v>1024</v>
      </c>
    </row>
    <row r="850" customFormat="false" ht="14.25" hidden="false" customHeight="false" outlineLevel="0" collapsed="false">
      <c r="A850" s="221" t="n">
        <v>849</v>
      </c>
      <c r="B850" s="221" t="n">
        <v>1024</v>
      </c>
    </row>
    <row r="851" customFormat="false" ht="14.25" hidden="false" customHeight="false" outlineLevel="0" collapsed="false">
      <c r="A851" s="221" t="n">
        <v>850</v>
      </c>
      <c r="B851" s="221" t="n">
        <v>1024</v>
      </c>
    </row>
    <row r="852" customFormat="false" ht="14.25" hidden="false" customHeight="false" outlineLevel="0" collapsed="false">
      <c r="A852" s="221" t="n">
        <v>851</v>
      </c>
      <c r="B852" s="221" t="n">
        <v>1024</v>
      </c>
    </row>
    <row r="853" customFormat="false" ht="14.25" hidden="false" customHeight="false" outlineLevel="0" collapsed="false">
      <c r="A853" s="221" t="n">
        <v>852</v>
      </c>
      <c r="B853" s="221" t="n">
        <v>1024</v>
      </c>
    </row>
    <row r="854" customFormat="false" ht="14.25" hidden="false" customHeight="false" outlineLevel="0" collapsed="false">
      <c r="A854" s="221" t="n">
        <v>853</v>
      </c>
      <c r="B854" s="221" t="n">
        <v>1024</v>
      </c>
    </row>
    <row r="855" customFormat="false" ht="14.25" hidden="false" customHeight="false" outlineLevel="0" collapsed="false">
      <c r="A855" s="221" t="n">
        <v>854</v>
      </c>
      <c r="B855" s="221" t="n">
        <v>1024</v>
      </c>
    </row>
    <row r="856" customFormat="false" ht="14.25" hidden="false" customHeight="false" outlineLevel="0" collapsed="false">
      <c r="A856" s="221" t="n">
        <v>855</v>
      </c>
      <c r="B856" s="221" t="n">
        <v>1024</v>
      </c>
    </row>
    <row r="857" customFormat="false" ht="14.25" hidden="false" customHeight="false" outlineLevel="0" collapsed="false">
      <c r="A857" s="221" t="n">
        <v>856</v>
      </c>
      <c r="B857" s="221" t="n">
        <v>1024</v>
      </c>
    </row>
    <row r="858" customFormat="false" ht="14.25" hidden="false" customHeight="false" outlineLevel="0" collapsed="false">
      <c r="A858" s="221" t="n">
        <v>857</v>
      </c>
      <c r="B858" s="221" t="n">
        <v>1024</v>
      </c>
    </row>
    <row r="859" customFormat="false" ht="14.25" hidden="false" customHeight="false" outlineLevel="0" collapsed="false">
      <c r="A859" s="221" t="n">
        <v>858</v>
      </c>
      <c r="B859" s="221" t="n">
        <v>1024</v>
      </c>
    </row>
    <row r="860" customFormat="false" ht="14.25" hidden="false" customHeight="false" outlineLevel="0" collapsed="false">
      <c r="A860" s="221" t="n">
        <v>859</v>
      </c>
      <c r="B860" s="221" t="n">
        <v>1024</v>
      </c>
    </row>
    <row r="861" customFormat="false" ht="14.25" hidden="false" customHeight="false" outlineLevel="0" collapsed="false">
      <c r="A861" s="221" t="n">
        <v>860</v>
      </c>
      <c r="B861" s="221" t="n">
        <v>1024</v>
      </c>
    </row>
    <row r="862" customFormat="false" ht="14.25" hidden="false" customHeight="false" outlineLevel="0" collapsed="false">
      <c r="A862" s="221" t="n">
        <v>861</v>
      </c>
      <c r="B862" s="221" t="n">
        <v>1024</v>
      </c>
    </row>
    <row r="863" customFormat="false" ht="14.25" hidden="false" customHeight="false" outlineLevel="0" collapsed="false">
      <c r="A863" s="221" t="n">
        <v>862</v>
      </c>
      <c r="B863" s="221" t="n">
        <v>1024</v>
      </c>
    </row>
    <row r="864" customFormat="false" ht="14.25" hidden="false" customHeight="false" outlineLevel="0" collapsed="false">
      <c r="A864" s="221" t="n">
        <v>863</v>
      </c>
      <c r="B864" s="221" t="n">
        <v>1024</v>
      </c>
    </row>
    <row r="865" customFormat="false" ht="14.25" hidden="false" customHeight="false" outlineLevel="0" collapsed="false">
      <c r="A865" s="221" t="n">
        <v>864</v>
      </c>
      <c r="B865" s="221" t="n">
        <v>1024</v>
      </c>
    </row>
    <row r="866" customFormat="false" ht="14.25" hidden="false" customHeight="false" outlineLevel="0" collapsed="false">
      <c r="A866" s="221" t="n">
        <v>865</v>
      </c>
      <c r="B866" s="221" t="n">
        <v>1024</v>
      </c>
    </row>
    <row r="867" customFormat="false" ht="14.25" hidden="false" customHeight="false" outlineLevel="0" collapsed="false">
      <c r="A867" s="221" t="n">
        <v>866</v>
      </c>
      <c r="B867" s="221" t="n">
        <v>1024</v>
      </c>
    </row>
    <row r="868" customFormat="false" ht="14.25" hidden="false" customHeight="false" outlineLevel="0" collapsed="false">
      <c r="A868" s="221" t="n">
        <v>867</v>
      </c>
      <c r="B868" s="221" t="n">
        <v>1024</v>
      </c>
    </row>
    <row r="869" customFormat="false" ht="14.25" hidden="false" customHeight="false" outlineLevel="0" collapsed="false">
      <c r="A869" s="221" t="n">
        <v>868</v>
      </c>
      <c r="B869" s="221" t="n">
        <v>1024</v>
      </c>
    </row>
    <row r="870" customFormat="false" ht="14.25" hidden="false" customHeight="false" outlineLevel="0" collapsed="false">
      <c r="A870" s="221" t="n">
        <v>869</v>
      </c>
      <c r="B870" s="221" t="n">
        <v>1024</v>
      </c>
    </row>
    <row r="871" customFormat="false" ht="14.25" hidden="false" customHeight="false" outlineLevel="0" collapsed="false">
      <c r="A871" s="221" t="n">
        <v>870</v>
      </c>
      <c r="B871" s="221" t="n">
        <v>1024</v>
      </c>
    </row>
    <row r="872" customFormat="false" ht="14.25" hidden="false" customHeight="false" outlineLevel="0" collapsed="false">
      <c r="A872" s="221" t="n">
        <v>871</v>
      </c>
      <c r="B872" s="221" t="n">
        <v>1024</v>
      </c>
    </row>
    <row r="873" customFormat="false" ht="14.25" hidden="false" customHeight="false" outlineLevel="0" collapsed="false">
      <c r="A873" s="221" t="n">
        <v>872</v>
      </c>
      <c r="B873" s="221" t="n">
        <v>1024</v>
      </c>
    </row>
    <row r="874" customFormat="false" ht="14.25" hidden="false" customHeight="false" outlineLevel="0" collapsed="false">
      <c r="A874" s="221" t="n">
        <v>873</v>
      </c>
      <c r="B874" s="221" t="n">
        <v>1024</v>
      </c>
    </row>
    <row r="875" customFormat="false" ht="14.25" hidden="false" customHeight="false" outlineLevel="0" collapsed="false">
      <c r="A875" s="221" t="n">
        <v>874</v>
      </c>
      <c r="B875" s="221" t="n">
        <v>1024</v>
      </c>
    </row>
    <row r="876" customFormat="false" ht="14.25" hidden="false" customHeight="false" outlineLevel="0" collapsed="false">
      <c r="A876" s="221" t="n">
        <v>875</v>
      </c>
      <c r="B876" s="221" t="n">
        <v>1024</v>
      </c>
    </row>
    <row r="877" customFormat="false" ht="14.25" hidden="false" customHeight="false" outlineLevel="0" collapsed="false">
      <c r="A877" s="221" t="n">
        <v>876</v>
      </c>
      <c r="B877" s="221" t="n">
        <v>1024</v>
      </c>
    </row>
    <row r="878" customFormat="false" ht="14.25" hidden="false" customHeight="false" outlineLevel="0" collapsed="false">
      <c r="A878" s="221" t="n">
        <v>877</v>
      </c>
      <c r="B878" s="221" t="n">
        <v>1024</v>
      </c>
    </row>
    <row r="879" customFormat="false" ht="14.25" hidden="false" customHeight="false" outlineLevel="0" collapsed="false">
      <c r="A879" s="221" t="n">
        <v>878</v>
      </c>
      <c r="B879" s="221" t="n">
        <v>1024</v>
      </c>
    </row>
    <row r="880" customFormat="false" ht="14.25" hidden="false" customHeight="false" outlineLevel="0" collapsed="false">
      <c r="A880" s="221" t="n">
        <v>879</v>
      </c>
      <c r="B880" s="221" t="n">
        <v>1024</v>
      </c>
    </row>
    <row r="881" customFormat="false" ht="14.25" hidden="false" customHeight="false" outlineLevel="0" collapsed="false">
      <c r="A881" s="221" t="n">
        <v>880</v>
      </c>
      <c r="B881" s="221" t="n">
        <v>1024</v>
      </c>
    </row>
    <row r="882" customFormat="false" ht="14.25" hidden="false" customHeight="false" outlineLevel="0" collapsed="false">
      <c r="A882" s="221" t="n">
        <v>881</v>
      </c>
      <c r="B882" s="221" t="n">
        <v>1024</v>
      </c>
    </row>
    <row r="883" customFormat="false" ht="14.25" hidden="false" customHeight="false" outlineLevel="0" collapsed="false">
      <c r="A883" s="221" t="n">
        <v>882</v>
      </c>
      <c r="B883" s="221" t="n">
        <v>1024</v>
      </c>
    </row>
    <row r="884" customFormat="false" ht="14.25" hidden="false" customHeight="false" outlineLevel="0" collapsed="false">
      <c r="A884" s="221" t="n">
        <v>883</v>
      </c>
      <c r="B884" s="221" t="n">
        <v>1024</v>
      </c>
    </row>
    <row r="885" customFormat="false" ht="14.25" hidden="false" customHeight="false" outlineLevel="0" collapsed="false">
      <c r="A885" s="221" t="n">
        <v>884</v>
      </c>
      <c r="B885" s="221" t="n">
        <v>1024</v>
      </c>
    </row>
    <row r="886" customFormat="false" ht="14.25" hidden="false" customHeight="false" outlineLevel="0" collapsed="false">
      <c r="A886" s="221" t="n">
        <v>885</v>
      </c>
      <c r="B886" s="221" t="n">
        <v>1024</v>
      </c>
    </row>
    <row r="887" customFormat="false" ht="14.25" hidden="false" customHeight="false" outlineLevel="0" collapsed="false">
      <c r="A887" s="221" t="n">
        <v>886</v>
      </c>
      <c r="B887" s="221" t="n">
        <v>1024</v>
      </c>
    </row>
    <row r="888" customFormat="false" ht="14.25" hidden="false" customHeight="false" outlineLevel="0" collapsed="false">
      <c r="A888" s="221" t="n">
        <v>887</v>
      </c>
      <c r="B888" s="221" t="n">
        <v>1024</v>
      </c>
    </row>
    <row r="889" customFormat="false" ht="14.25" hidden="false" customHeight="false" outlineLevel="0" collapsed="false">
      <c r="A889" s="221" t="n">
        <v>888</v>
      </c>
      <c r="B889" s="221" t="n">
        <v>1024</v>
      </c>
    </row>
    <row r="890" customFormat="false" ht="14.25" hidden="false" customHeight="false" outlineLevel="0" collapsed="false">
      <c r="A890" s="221" t="n">
        <v>889</v>
      </c>
      <c r="B890" s="221" t="n">
        <v>1024</v>
      </c>
    </row>
    <row r="891" customFormat="false" ht="14.25" hidden="false" customHeight="false" outlineLevel="0" collapsed="false">
      <c r="A891" s="221" t="n">
        <v>890</v>
      </c>
      <c r="B891" s="221" t="n">
        <v>1024</v>
      </c>
    </row>
    <row r="892" customFormat="false" ht="14.25" hidden="false" customHeight="false" outlineLevel="0" collapsed="false">
      <c r="A892" s="221" t="n">
        <v>891</v>
      </c>
      <c r="B892" s="221" t="n">
        <v>1024</v>
      </c>
    </row>
    <row r="893" customFormat="false" ht="14.25" hidden="false" customHeight="false" outlineLevel="0" collapsed="false">
      <c r="A893" s="221" t="n">
        <v>892</v>
      </c>
      <c r="B893" s="221" t="n">
        <v>1024</v>
      </c>
    </row>
    <row r="894" customFormat="false" ht="14.25" hidden="false" customHeight="false" outlineLevel="0" collapsed="false">
      <c r="A894" s="221" t="n">
        <v>893</v>
      </c>
      <c r="B894" s="221" t="n">
        <v>1024</v>
      </c>
    </row>
    <row r="895" customFormat="false" ht="14.25" hidden="false" customHeight="false" outlineLevel="0" collapsed="false">
      <c r="A895" s="221" t="n">
        <v>894</v>
      </c>
      <c r="B895" s="221" t="n">
        <v>1024</v>
      </c>
    </row>
    <row r="896" customFormat="false" ht="14.25" hidden="false" customHeight="false" outlineLevel="0" collapsed="false">
      <c r="A896" s="221" t="n">
        <v>895</v>
      </c>
      <c r="B896" s="221" t="n">
        <v>1024</v>
      </c>
    </row>
    <row r="897" customFormat="false" ht="14.25" hidden="false" customHeight="false" outlineLevel="0" collapsed="false">
      <c r="A897" s="221" t="n">
        <v>896</v>
      </c>
      <c r="B897" s="221" t="n">
        <v>1024</v>
      </c>
    </row>
    <row r="898" customFormat="false" ht="14.25" hidden="false" customHeight="false" outlineLevel="0" collapsed="false">
      <c r="A898" s="221" t="n">
        <v>897</v>
      </c>
      <c r="B898" s="221" t="n">
        <v>1024</v>
      </c>
    </row>
    <row r="899" customFormat="false" ht="14.25" hidden="false" customHeight="false" outlineLevel="0" collapsed="false">
      <c r="A899" s="221" t="n">
        <v>898</v>
      </c>
      <c r="B899" s="221" t="n">
        <v>1024</v>
      </c>
    </row>
    <row r="900" customFormat="false" ht="14.25" hidden="false" customHeight="false" outlineLevel="0" collapsed="false">
      <c r="A900" s="221" t="n">
        <v>899</v>
      </c>
      <c r="B900" s="221" t="n">
        <v>1024</v>
      </c>
    </row>
    <row r="901" customFormat="false" ht="14.25" hidden="false" customHeight="false" outlineLevel="0" collapsed="false">
      <c r="A901" s="221" t="n">
        <v>900</v>
      </c>
      <c r="B901" s="221" t="n">
        <v>1024</v>
      </c>
    </row>
    <row r="902" customFormat="false" ht="14.25" hidden="false" customHeight="false" outlineLevel="0" collapsed="false">
      <c r="A902" s="221" t="n">
        <v>901</v>
      </c>
      <c r="B902" s="221" t="n">
        <v>1024</v>
      </c>
    </row>
    <row r="903" customFormat="false" ht="14.25" hidden="false" customHeight="false" outlineLevel="0" collapsed="false">
      <c r="A903" s="221" t="n">
        <v>902</v>
      </c>
      <c r="B903" s="221" t="n">
        <v>1024</v>
      </c>
    </row>
    <row r="904" customFormat="false" ht="14.25" hidden="false" customHeight="false" outlineLevel="0" collapsed="false">
      <c r="A904" s="221" t="n">
        <v>903</v>
      </c>
      <c r="B904" s="221" t="n">
        <v>1024</v>
      </c>
    </row>
    <row r="905" customFormat="false" ht="14.25" hidden="false" customHeight="false" outlineLevel="0" collapsed="false">
      <c r="A905" s="221" t="n">
        <v>904</v>
      </c>
      <c r="B905" s="221" t="n">
        <v>1024</v>
      </c>
    </row>
    <row r="906" customFormat="false" ht="14.25" hidden="false" customHeight="false" outlineLevel="0" collapsed="false">
      <c r="A906" s="221" t="n">
        <v>905</v>
      </c>
      <c r="B906" s="221" t="n">
        <v>1024</v>
      </c>
    </row>
    <row r="907" customFormat="false" ht="14.25" hidden="false" customHeight="false" outlineLevel="0" collapsed="false">
      <c r="A907" s="221" t="n">
        <v>906</v>
      </c>
      <c r="B907" s="221" t="n">
        <v>1024</v>
      </c>
    </row>
    <row r="908" customFormat="false" ht="14.25" hidden="false" customHeight="false" outlineLevel="0" collapsed="false">
      <c r="A908" s="221" t="n">
        <v>907</v>
      </c>
      <c r="B908" s="221" t="n">
        <v>1024</v>
      </c>
    </row>
    <row r="909" customFormat="false" ht="14.25" hidden="false" customHeight="false" outlineLevel="0" collapsed="false">
      <c r="A909" s="221" t="n">
        <v>908</v>
      </c>
      <c r="B909" s="221" t="n">
        <v>1024</v>
      </c>
    </row>
    <row r="910" customFormat="false" ht="14.25" hidden="false" customHeight="false" outlineLevel="0" collapsed="false">
      <c r="A910" s="221" t="n">
        <v>909</v>
      </c>
      <c r="B910" s="221" t="n">
        <v>1024</v>
      </c>
    </row>
    <row r="911" customFormat="false" ht="14.25" hidden="false" customHeight="false" outlineLevel="0" collapsed="false">
      <c r="A911" s="221" t="n">
        <v>910</v>
      </c>
      <c r="B911" s="221" t="n">
        <v>1024</v>
      </c>
    </row>
    <row r="912" customFormat="false" ht="14.25" hidden="false" customHeight="false" outlineLevel="0" collapsed="false">
      <c r="A912" s="221" t="n">
        <v>911</v>
      </c>
      <c r="B912" s="221" t="n">
        <v>1024</v>
      </c>
    </row>
    <row r="913" customFormat="false" ht="14.25" hidden="false" customHeight="false" outlineLevel="0" collapsed="false">
      <c r="A913" s="221" t="n">
        <v>912</v>
      </c>
      <c r="B913" s="221" t="n">
        <v>1024</v>
      </c>
    </row>
    <row r="914" customFormat="false" ht="14.25" hidden="false" customHeight="false" outlineLevel="0" collapsed="false">
      <c r="A914" s="221" t="n">
        <v>913</v>
      </c>
      <c r="B914" s="221" t="n">
        <v>1024</v>
      </c>
    </row>
    <row r="915" customFormat="false" ht="14.25" hidden="false" customHeight="false" outlineLevel="0" collapsed="false">
      <c r="A915" s="221" t="n">
        <v>914</v>
      </c>
      <c r="B915" s="221" t="n">
        <v>1024</v>
      </c>
    </row>
    <row r="916" customFormat="false" ht="14.25" hidden="false" customHeight="false" outlineLevel="0" collapsed="false">
      <c r="A916" s="221" t="n">
        <v>915</v>
      </c>
      <c r="B916" s="221" t="n">
        <v>1024</v>
      </c>
    </row>
    <row r="917" customFormat="false" ht="14.25" hidden="false" customHeight="false" outlineLevel="0" collapsed="false">
      <c r="A917" s="221" t="n">
        <v>916</v>
      </c>
      <c r="B917" s="221" t="n">
        <v>1024</v>
      </c>
    </row>
    <row r="918" customFormat="false" ht="14.25" hidden="false" customHeight="false" outlineLevel="0" collapsed="false">
      <c r="A918" s="221" t="n">
        <v>917</v>
      </c>
      <c r="B918" s="221" t="n">
        <v>1024</v>
      </c>
    </row>
    <row r="919" customFormat="false" ht="14.25" hidden="false" customHeight="false" outlineLevel="0" collapsed="false">
      <c r="A919" s="221" t="n">
        <v>918</v>
      </c>
      <c r="B919" s="221" t="n">
        <v>1024</v>
      </c>
    </row>
    <row r="920" customFormat="false" ht="14.25" hidden="false" customHeight="false" outlineLevel="0" collapsed="false">
      <c r="A920" s="221" t="n">
        <v>919</v>
      </c>
      <c r="B920" s="221" t="n">
        <v>1024</v>
      </c>
    </row>
    <row r="921" customFormat="false" ht="14.25" hidden="false" customHeight="false" outlineLevel="0" collapsed="false">
      <c r="A921" s="221" t="n">
        <v>920</v>
      </c>
      <c r="B921" s="221" t="n">
        <v>1024</v>
      </c>
    </row>
    <row r="922" customFormat="false" ht="14.25" hidden="false" customHeight="false" outlineLevel="0" collapsed="false">
      <c r="A922" s="221" t="n">
        <v>921</v>
      </c>
      <c r="B922" s="221" t="n">
        <v>1024</v>
      </c>
    </row>
    <row r="923" customFormat="false" ht="14.25" hidden="false" customHeight="false" outlineLevel="0" collapsed="false">
      <c r="A923" s="221" t="n">
        <v>922</v>
      </c>
      <c r="B923" s="221" t="n">
        <v>1024</v>
      </c>
    </row>
    <row r="924" customFormat="false" ht="14.25" hidden="false" customHeight="false" outlineLevel="0" collapsed="false">
      <c r="A924" s="221" t="n">
        <v>923</v>
      </c>
      <c r="B924" s="221" t="n">
        <v>1024</v>
      </c>
    </row>
    <row r="925" customFormat="false" ht="14.25" hidden="false" customHeight="false" outlineLevel="0" collapsed="false">
      <c r="A925" s="221" t="n">
        <v>924</v>
      </c>
      <c r="B925" s="221" t="n">
        <v>1024</v>
      </c>
    </row>
    <row r="926" customFormat="false" ht="14.25" hidden="false" customHeight="false" outlineLevel="0" collapsed="false">
      <c r="A926" s="221" t="n">
        <v>925</v>
      </c>
      <c r="B926" s="221" t="n">
        <v>1024</v>
      </c>
    </row>
    <row r="927" customFormat="false" ht="14.25" hidden="false" customHeight="false" outlineLevel="0" collapsed="false">
      <c r="A927" s="221" t="n">
        <v>926</v>
      </c>
      <c r="B927" s="221" t="n">
        <v>1024</v>
      </c>
    </row>
    <row r="928" customFormat="false" ht="14.25" hidden="false" customHeight="false" outlineLevel="0" collapsed="false">
      <c r="A928" s="221" t="n">
        <v>927</v>
      </c>
      <c r="B928" s="221" t="n">
        <v>1024</v>
      </c>
    </row>
    <row r="929" customFormat="false" ht="14.25" hidden="false" customHeight="false" outlineLevel="0" collapsed="false">
      <c r="A929" s="221" t="n">
        <v>928</v>
      </c>
      <c r="B929" s="221" t="n">
        <v>1024</v>
      </c>
    </row>
    <row r="930" customFormat="false" ht="14.25" hidden="false" customHeight="false" outlineLevel="0" collapsed="false">
      <c r="A930" s="221" t="n">
        <v>929</v>
      </c>
      <c r="B930" s="221" t="n">
        <v>1024</v>
      </c>
    </row>
    <row r="931" customFormat="false" ht="14.25" hidden="false" customHeight="false" outlineLevel="0" collapsed="false">
      <c r="A931" s="221" t="n">
        <v>930</v>
      </c>
      <c r="B931" s="221" t="n">
        <v>1024</v>
      </c>
    </row>
    <row r="932" customFormat="false" ht="14.25" hidden="false" customHeight="false" outlineLevel="0" collapsed="false">
      <c r="A932" s="221" t="n">
        <v>931</v>
      </c>
      <c r="B932" s="221" t="n">
        <v>1024</v>
      </c>
    </row>
    <row r="933" customFormat="false" ht="14.25" hidden="false" customHeight="false" outlineLevel="0" collapsed="false">
      <c r="A933" s="221" t="n">
        <v>932</v>
      </c>
      <c r="B933" s="221" t="n">
        <v>1024</v>
      </c>
    </row>
    <row r="934" customFormat="false" ht="14.25" hidden="false" customHeight="false" outlineLevel="0" collapsed="false">
      <c r="A934" s="221" t="n">
        <v>933</v>
      </c>
      <c r="B934" s="221" t="n">
        <v>1024</v>
      </c>
    </row>
    <row r="935" customFormat="false" ht="14.25" hidden="false" customHeight="false" outlineLevel="0" collapsed="false">
      <c r="A935" s="221" t="n">
        <v>934</v>
      </c>
      <c r="B935" s="221" t="n">
        <v>1024</v>
      </c>
    </row>
    <row r="936" customFormat="false" ht="14.25" hidden="false" customHeight="false" outlineLevel="0" collapsed="false">
      <c r="A936" s="221" t="n">
        <v>935</v>
      </c>
      <c r="B936" s="221" t="n">
        <v>1024</v>
      </c>
    </row>
    <row r="937" customFormat="false" ht="14.25" hidden="false" customHeight="false" outlineLevel="0" collapsed="false">
      <c r="A937" s="221" t="n">
        <v>936</v>
      </c>
      <c r="B937" s="221" t="n">
        <v>1024</v>
      </c>
    </row>
    <row r="938" customFormat="false" ht="14.25" hidden="false" customHeight="false" outlineLevel="0" collapsed="false">
      <c r="A938" s="221" t="n">
        <v>937</v>
      </c>
      <c r="B938" s="221" t="n">
        <v>1024</v>
      </c>
    </row>
    <row r="939" customFormat="false" ht="14.25" hidden="false" customHeight="false" outlineLevel="0" collapsed="false">
      <c r="A939" s="221" t="n">
        <v>938</v>
      </c>
      <c r="B939" s="221" t="n">
        <v>1024</v>
      </c>
    </row>
    <row r="940" customFormat="false" ht="14.25" hidden="false" customHeight="false" outlineLevel="0" collapsed="false">
      <c r="A940" s="221" t="n">
        <v>939</v>
      </c>
      <c r="B940" s="221" t="n">
        <v>1024</v>
      </c>
    </row>
    <row r="941" customFormat="false" ht="14.25" hidden="false" customHeight="false" outlineLevel="0" collapsed="false">
      <c r="A941" s="221" t="n">
        <v>940</v>
      </c>
      <c r="B941" s="221" t="n">
        <v>1024</v>
      </c>
    </row>
    <row r="942" customFormat="false" ht="14.25" hidden="false" customHeight="false" outlineLevel="0" collapsed="false">
      <c r="A942" s="221" t="n">
        <v>941</v>
      </c>
      <c r="B942" s="221" t="n">
        <v>1024</v>
      </c>
    </row>
    <row r="943" customFormat="false" ht="14.25" hidden="false" customHeight="false" outlineLevel="0" collapsed="false">
      <c r="A943" s="221" t="n">
        <v>942</v>
      </c>
      <c r="B943" s="221" t="n">
        <v>1024</v>
      </c>
    </row>
    <row r="944" customFormat="false" ht="14.25" hidden="false" customHeight="false" outlineLevel="0" collapsed="false">
      <c r="A944" s="221" t="n">
        <v>943</v>
      </c>
      <c r="B944" s="221" t="n">
        <v>1024</v>
      </c>
    </row>
    <row r="945" customFormat="false" ht="14.25" hidden="false" customHeight="false" outlineLevel="0" collapsed="false">
      <c r="A945" s="221" t="n">
        <v>944</v>
      </c>
      <c r="B945" s="221" t="n">
        <v>1024</v>
      </c>
    </row>
    <row r="946" customFormat="false" ht="14.25" hidden="false" customHeight="false" outlineLevel="0" collapsed="false">
      <c r="A946" s="221" t="n">
        <v>945</v>
      </c>
      <c r="B946" s="221" t="n">
        <v>1024</v>
      </c>
    </row>
    <row r="947" customFormat="false" ht="14.25" hidden="false" customHeight="false" outlineLevel="0" collapsed="false">
      <c r="A947" s="221" t="n">
        <v>946</v>
      </c>
      <c r="B947" s="221" t="n">
        <v>1024</v>
      </c>
    </row>
    <row r="948" customFormat="false" ht="14.25" hidden="false" customHeight="false" outlineLevel="0" collapsed="false">
      <c r="A948" s="221" t="n">
        <v>947</v>
      </c>
      <c r="B948" s="221" t="n">
        <v>1024</v>
      </c>
    </row>
    <row r="949" customFormat="false" ht="14.25" hidden="false" customHeight="false" outlineLevel="0" collapsed="false">
      <c r="A949" s="221" t="n">
        <v>948</v>
      </c>
      <c r="B949" s="221" t="n">
        <v>1024</v>
      </c>
    </row>
    <row r="950" customFormat="false" ht="14.25" hidden="false" customHeight="false" outlineLevel="0" collapsed="false">
      <c r="A950" s="221" t="n">
        <v>949</v>
      </c>
      <c r="B950" s="221" t="n">
        <v>1024</v>
      </c>
    </row>
    <row r="951" customFormat="false" ht="14.25" hidden="false" customHeight="false" outlineLevel="0" collapsed="false">
      <c r="A951" s="221" t="n">
        <v>950</v>
      </c>
      <c r="B951" s="221" t="n">
        <v>1024</v>
      </c>
    </row>
    <row r="952" customFormat="false" ht="14.25" hidden="false" customHeight="false" outlineLevel="0" collapsed="false">
      <c r="A952" s="221" t="n">
        <v>951</v>
      </c>
      <c r="B952" s="221" t="n">
        <v>1024</v>
      </c>
    </row>
    <row r="953" customFormat="false" ht="14.25" hidden="false" customHeight="false" outlineLevel="0" collapsed="false">
      <c r="A953" s="221" t="n">
        <v>952</v>
      </c>
      <c r="B953" s="221" t="n">
        <v>1024</v>
      </c>
    </row>
    <row r="954" customFormat="false" ht="14.25" hidden="false" customHeight="false" outlineLevel="0" collapsed="false">
      <c r="A954" s="221" t="n">
        <v>953</v>
      </c>
      <c r="B954" s="221" t="n">
        <v>1024</v>
      </c>
    </row>
    <row r="955" customFormat="false" ht="14.25" hidden="false" customHeight="false" outlineLevel="0" collapsed="false">
      <c r="A955" s="221" t="n">
        <v>954</v>
      </c>
      <c r="B955" s="221" t="n">
        <v>1024</v>
      </c>
    </row>
    <row r="956" customFormat="false" ht="14.25" hidden="false" customHeight="false" outlineLevel="0" collapsed="false">
      <c r="A956" s="221" t="n">
        <v>955</v>
      </c>
      <c r="B956" s="221" t="n">
        <v>1024</v>
      </c>
    </row>
    <row r="957" customFormat="false" ht="14.25" hidden="false" customHeight="false" outlineLevel="0" collapsed="false">
      <c r="A957" s="221" t="n">
        <v>956</v>
      </c>
      <c r="B957" s="221" t="n">
        <v>1024</v>
      </c>
    </row>
    <row r="958" customFormat="false" ht="14.25" hidden="false" customHeight="false" outlineLevel="0" collapsed="false">
      <c r="A958" s="221" t="n">
        <v>957</v>
      </c>
      <c r="B958" s="221" t="n">
        <v>1024</v>
      </c>
    </row>
    <row r="959" customFormat="false" ht="14.25" hidden="false" customHeight="false" outlineLevel="0" collapsed="false">
      <c r="A959" s="221" t="n">
        <v>958</v>
      </c>
      <c r="B959" s="221" t="n">
        <v>1024</v>
      </c>
    </row>
    <row r="960" customFormat="false" ht="14.25" hidden="false" customHeight="false" outlineLevel="0" collapsed="false">
      <c r="A960" s="221" t="n">
        <v>959</v>
      </c>
      <c r="B960" s="221" t="n">
        <v>1024</v>
      </c>
    </row>
    <row r="961" customFormat="false" ht="14.25" hidden="false" customHeight="false" outlineLevel="0" collapsed="false">
      <c r="A961" s="221" t="n">
        <v>960</v>
      </c>
      <c r="B961" s="221" t="n">
        <v>1024</v>
      </c>
    </row>
    <row r="962" customFormat="false" ht="14.25" hidden="false" customHeight="false" outlineLevel="0" collapsed="false">
      <c r="A962" s="221" t="n">
        <v>961</v>
      </c>
      <c r="B962" s="221" t="n">
        <v>1024</v>
      </c>
    </row>
    <row r="963" customFormat="false" ht="14.25" hidden="false" customHeight="false" outlineLevel="0" collapsed="false">
      <c r="A963" s="221" t="n">
        <v>962</v>
      </c>
      <c r="B963" s="221" t="n">
        <v>1024</v>
      </c>
    </row>
    <row r="964" customFormat="false" ht="14.25" hidden="false" customHeight="false" outlineLevel="0" collapsed="false">
      <c r="A964" s="221" t="n">
        <v>963</v>
      </c>
      <c r="B964" s="221" t="n">
        <v>1024</v>
      </c>
    </row>
    <row r="965" customFormat="false" ht="14.25" hidden="false" customHeight="false" outlineLevel="0" collapsed="false">
      <c r="A965" s="221" t="n">
        <v>964</v>
      </c>
      <c r="B965" s="221" t="n">
        <v>1024</v>
      </c>
    </row>
    <row r="966" customFormat="false" ht="14.25" hidden="false" customHeight="false" outlineLevel="0" collapsed="false">
      <c r="A966" s="221" t="n">
        <v>965</v>
      </c>
      <c r="B966" s="221" t="n">
        <v>1024</v>
      </c>
    </row>
    <row r="967" customFormat="false" ht="14.25" hidden="false" customHeight="false" outlineLevel="0" collapsed="false">
      <c r="A967" s="221" t="n">
        <v>966</v>
      </c>
      <c r="B967" s="221" t="n">
        <v>1024</v>
      </c>
    </row>
    <row r="968" customFormat="false" ht="14.25" hidden="false" customHeight="false" outlineLevel="0" collapsed="false">
      <c r="A968" s="221" t="n">
        <v>967</v>
      </c>
      <c r="B968" s="221" t="n">
        <v>1024</v>
      </c>
    </row>
    <row r="969" customFormat="false" ht="14.25" hidden="false" customHeight="false" outlineLevel="0" collapsed="false">
      <c r="A969" s="221" t="n">
        <v>968</v>
      </c>
      <c r="B969" s="221" t="n">
        <v>1024</v>
      </c>
    </row>
    <row r="970" customFormat="false" ht="14.25" hidden="false" customHeight="false" outlineLevel="0" collapsed="false">
      <c r="A970" s="221" t="n">
        <v>969</v>
      </c>
      <c r="B970" s="221" t="n">
        <v>1024</v>
      </c>
    </row>
    <row r="971" customFormat="false" ht="14.25" hidden="false" customHeight="false" outlineLevel="0" collapsed="false">
      <c r="A971" s="221" t="n">
        <v>970</v>
      </c>
      <c r="B971" s="221" t="n">
        <v>1024</v>
      </c>
    </row>
    <row r="972" customFormat="false" ht="14.25" hidden="false" customHeight="false" outlineLevel="0" collapsed="false">
      <c r="A972" s="221" t="n">
        <v>971</v>
      </c>
      <c r="B972" s="221" t="n">
        <v>1024</v>
      </c>
    </row>
    <row r="973" customFormat="false" ht="14.25" hidden="false" customHeight="false" outlineLevel="0" collapsed="false">
      <c r="A973" s="221" t="n">
        <v>972</v>
      </c>
      <c r="B973" s="221" t="n">
        <v>1024</v>
      </c>
    </row>
    <row r="974" customFormat="false" ht="14.25" hidden="false" customHeight="false" outlineLevel="0" collapsed="false">
      <c r="A974" s="221" t="n">
        <v>973</v>
      </c>
      <c r="B974" s="221" t="n">
        <v>1024</v>
      </c>
    </row>
    <row r="975" customFormat="false" ht="14.25" hidden="false" customHeight="false" outlineLevel="0" collapsed="false">
      <c r="A975" s="221" t="n">
        <v>974</v>
      </c>
      <c r="B975" s="221" t="n">
        <v>1024</v>
      </c>
    </row>
    <row r="976" customFormat="false" ht="14.25" hidden="false" customHeight="false" outlineLevel="0" collapsed="false">
      <c r="A976" s="221" t="n">
        <v>975</v>
      </c>
      <c r="B976" s="221" t="n">
        <v>1024</v>
      </c>
    </row>
    <row r="977" customFormat="false" ht="14.25" hidden="false" customHeight="false" outlineLevel="0" collapsed="false">
      <c r="A977" s="221" t="n">
        <v>976</v>
      </c>
      <c r="B977" s="221" t="n">
        <v>1024</v>
      </c>
    </row>
    <row r="978" customFormat="false" ht="14.25" hidden="false" customHeight="false" outlineLevel="0" collapsed="false">
      <c r="A978" s="221" t="n">
        <v>977</v>
      </c>
      <c r="B978" s="221" t="n">
        <v>1024</v>
      </c>
    </row>
    <row r="979" customFormat="false" ht="14.25" hidden="false" customHeight="false" outlineLevel="0" collapsed="false">
      <c r="A979" s="221" t="n">
        <v>978</v>
      </c>
      <c r="B979" s="221" t="n">
        <v>1024</v>
      </c>
    </row>
    <row r="980" customFormat="false" ht="14.25" hidden="false" customHeight="false" outlineLevel="0" collapsed="false">
      <c r="A980" s="221" t="n">
        <v>979</v>
      </c>
      <c r="B980" s="221" t="n">
        <v>1024</v>
      </c>
    </row>
    <row r="981" customFormat="false" ht="14.25" hidden="false" customHeight="false" outlineLevel="0" collapsed="false">
      <c r="A981" s="221" t="n">
        <v>980</v>
      </c>
      <c r="B981" s="221" t="n">
        <v>1024</v>
      </c>
    </row>
    <row r="982" customFormat="false" ht="14.25" hidden="false" customHeight="false" outlineLevel="0" collapsed="false">
      <c r="A982" s="221" t="n">
        <v>981</v>
      </c>
      <c r="B982" s="221" t="n">
        <v>1024</v>
      </c>
    </row>
    <row r="983" customFormat="false" ht="14.25" hidden="false" customHeight="false" outlineLevel="0" collapsed="false">
      <c r="A983" s="221" t="n">
        <v>982</v>
      </c>
      <c r="B983" s="221" t="n">
        <v>1024</v>
      </c>
    </row>
    <row r="984" customFormat="false" ht="14.25" hidden="false" customHeight="false" outlineLevel="0" collapsed="false">
      <c r="A984" s="221" t="n">
        <v>983</v>
      </c>
      <c r="B984" s="221" t="n">
        <v>1024</v>
      </c>
    </row>
    <row r="985" customFormat="false" ht="14.25" hidden="false" customHeight="false" outlineLevel="0" collapsed="false">
      <c r="A985" s="221" t="n">
        <v>984</v>
      </c>
      <c r="B985" s="221" t="n">
        <v>1024</v>
      </c>
    </row>
    <row r="986" customFormat="false" ht="14.25" hidden="false" customHeight="false" outlineLevel="0" collapsed="false">
      <c r="A986" s="221" t="n">
        <v>985</v>
      </c>
      <c r="B986" s="221" t="n">
        <v>1024</v>
      </c>
    </row>
    <row r="987" customFormat="false" ht="14.25" hidden="false" customHeight="false" outlineLevel="0" collapsed="false">
      <c r="A987" s="221" t="n">
        <v>986</v>
      </c>
      <c r="B987" s="221" t="n">
        <v>1024</v>
      </c>
    </row>
    <row r="988" customFormat="false" ht="14.25" hidden="false" customHeight="false" outlineLevel="0" collapsed="false">
      <c r="A988" s="221" t="n">
        <v>987</v>
      </c>
      <c r="B988" s="221" t="n">
        <v>1024</v>
      </c>
    </row>
    <row r="989" customFormat="false" ht="14.25" hidden="false" customHeight="false" outlineLevel="0" collapsed="false">
      <c r="A989" s="221" t="n">
        <v>988</v>
      </c>
      <c r="B989" s="221" t="n">
        <v>1024</v>
      </c>
    </row>
    <row r="990" customFormat="false" ht="14.25" hidden="false" customHeight="false" outlineLevel="0" collapsed="false">
      <c r="A990" s="221" t="n">
        <v>989</v>
      </c>
      <c r="B990" s="221" t="n">
        <v>1024</v>
      </c>
    </row>
    <row r="991" customFormat="false" ht="14.25" hidden="false" customHeight="false" outlineLevel="0" collapsed="false">
      <c r="A991" s="221" t="n">
        <v>990</v>
      </c>
      <c r="B991" s="221" t="n">
        <v>1024</v>
      </c>
    </row>
    <row r="992" customFormat="false" ht="14.25" hidden="false" customHeight="false" outlineLevel="0" collapsed="false">
      <c r="A992" s="221" t="n">
        <v>991</v>
      </c>
      <c r="B992" s="221" t="n">
        <v>1024</v>
      </c>
    </row>
    <row r="993" customFormat="false" ht="14.25" hidden="false" customHeight="false" outlineLevel="0" collapsed="false">
      <c r="A993" s="221" t="n">
        <v>992</v>
      </c>
      <c r="B993" s="221" t="n">
        <v>1024</v>
      </c>
    </row>
    <row r="994" customFormat="false" ht="14.25" hidden="false" customHeight="false" outlineLevel="0" collapsed="false">
      <c r="A994" s="221" t="n">
        <v>993</v>
      </c>
      <c r="B994" s="221" t="n">
        <v>1024</v>
      </c>
    </row>
    <row r="995" customFormat="false" ht="14.25" hidden="false" customHeight="false" outlineLevel="0" collapsed="false">
      <c r="A995" s="221" t="n">
        <v>994</v>
      </c>
      <c r="B995" s="221" t="n">
        <v>1024</v>
      </c>
    </row>
    <row r="996" customFormat="false" ht="14.25" hidden="false" customHeight="false" outlineLevel="0" collapsed="false">
      <c r="A996" s="221" t="n">
        <v>995</v>
      </c>
      <c r="B996" s="221" t="n">
        <v>1024</v>
      </c>
    </row>
    <row r="997" customFormat="false" ht="14.25" hidden="false" customHeight="false" outlineLevel="0" collapsed="false">
      <c r="A997" s="221" t="n">
        <v>996</v>
      </c>
      <c r="B997" s="221" t="n">
        <v>1024</v>
      </c>
    </row>
    <row r="998" customFormat="false" ht="14.25" hidden="false" customHeight="false" outlineLevel="0" collapsed="false">
      <c r="A998" s="221" t="n">
        <v>997</v>
      </c>
      <c r="B998" s="221" t="n">
        <v>1024</v>
      </c>
    </row>
    <row r="999" customFormat="false" ht="14.25" hidden="false" customHeight="false" outlineLevel="0" collapsed="false">
      <c r="A999" s="221" t="n">
        <v>998</v>
      </c>
      <c r="B999" s="221" t="n">
        <v>1024</v>
      </c>
    </row>
    <row r="1000" customFormat="false" ht="14.25" hidden="false" customHeight="false" outlineLevel="0" collapsed="false">
      <c r="A1000" s="221" t="n">
        <v>999</v>
      </c>
      <c r="B1000" s="221" t="n">
        <v>1024</v>
      </c>
    </row>
    <row r="1001" customFormat="false" ht="14.25" hidden="false" customHeight="false" outlineLevel="0" collapsed="false">
      <c r="A1001" s="221" t="n">
        <v>1000</v>
      </c>
      <c r="B1001" s="221" t="n">
        <v>1024</v>
      </c>
    </row>
    <row r="1002" customFormat="false" ht="14.25" hidden="false" customHeight="false" outlineLevel="0" collapsed="false">
      <c r="A1002" s="221" t="n">
        <v>1001</v>
      </c>
      <c r="B1002" s="221" t="n">
        <v>1024</v>
      </c>
    </row>
    <row r="1003" customFormat="false" ht="14.25" hidden="false" customHeight="false" outlineLevel="0" collapsed="false">
      <c r="A1003" s="221" t="n">
        <v>1002</v>
      </c>
      <c r="B1003" s="221" t="n">
        <v>1024</v>
      </c>
    </row>
    <row r="1004" customFormat="false" ht="14.25" hidden="false" customHeight="false" outlineLevel="0" collapsed="false">
      <c r="A1004" s="221" t="n">
        <v>1003</v>
      </c>
      <c r="B1004" s="221" t="n">
        <v>1024</v>
      </c>
    </row>
    <row r="1005" customFormat="false" ht="14.25" hidden="false" customHeight="false" outlineLevel="0" collapsed="false">
      <c r="A1005" s="221" t="n">
        <v>1004</v>
      </c>
      <c r="B1005" s="221" t="n">
        <v>1024</v>
      </c>
    </row>
    <row r="1006" customFormat="false" ht="14.25" hidden="false" customHeight="false" outlineLevel="0" collapsed="false">
      <c r="A1006" s="221" t="n">
        <v>1005</v>
      </c>
      <c r="B1006" s="221" t="n">
        <v>1024</v>
      </c>
    </row>
    <row r="1007" customFormat="false" ht="14.25" hidden="false" customHeight="false" outlineLevel="0" collapsed="false">
      <c r="A1007" s="221" t="n">
        <v>1006</v>
      </c>
      <c r="B1007" s="221" t="n">
        <v>1024</v>
      </c>
    </row>
    <row r="1008" customFormat="false" ht="14.25" hidden="false" customHeight="false" outlineLevel="0" collapsed="false">
      <c r="A1008" s="221" t="n">
        <v>1007</v>
      </c>
      <c r="B1008" s="221" t="n">
        <v>1024</v>
      </c>
    </row>
    <row r="1009" customFormat="false" ht="14.25" hidden="false" customHeight="false" outlineLevel="0" collapsed="false">
      <c r="A1009" s="221" t="n">
        <v>1008</v>
      </c>
      <c r="B1009" s="221" t="n">
        <v>1024</v>
      </c>
    </row>
    <row r="1010" customFormat="false" ht="14.25" hidden="false" customHeight="false" outlineLevel="0" collapsed="false">
      <c r="A1010" s="221" t="n">
        <v>1009</v>
      </c>
      <c r="B1010" s="221" t="n">
        <v>1024</v>
      </c>
    </row>
    <row r="1011" customFormat="false" ht="14.25" hidden="false" customHeight="false" outlineLevel="0" collapsed="false">
      <c r="A1011" s="221" t="n">
        <v>1010</v>
      </c>
      <c r="B1011" s="221" t="n">
        <v>1024</v>
      </c>
    </row>
    <row r="1012" customFormat="false" ht="14.25" hidden="false" customHeight="false" outlineLevel="0" collapsed="false">
      <c r="A1012" s="221" t="n">
        <v>1011</v>
      </c>
      <c r="B1012" s="221" t="n">
        <v>1024</v>
      </c>
    </row>
    <row r="1013" customFormat="false" ht="14.25" hidden="false" customHeight="false" outlineLevel="0" collapsed="false">
      <c r="A1013" s="221" t="n">
        <v>1012</v>
      </c>
      <c r="B1013" s="221" t="n">
        <v>1024</v>
      </c>
    </row>
    <row r="1014" customFormat="false" ht="14.25" hidden="false" customHeight="false" outlineLevel="0" collapsed="false">
      <c r="A1014" s="221" t="n">
        <v>1013</v>
      </c>
      <c r="B1014" s="221" t="n">
        <v>1024</v>
      </c>
    </row>
    <row r="1015" customFormat="false" ht="14.25" hidden="false" customHeight="false" outlineLevel="0" collapsed="false">
      <c r="A1015" s="221" t="n">
        <v>1014</v>
      </c>
      <c r="B1015" s="221" t="n">
        <v>1024</v>
      </c>
    </row>
    <row r="1016" customFormat="false" ht="14.25" hidden="false" customHeight="false" outlineLevel="0" collapsed="false">
      <c r="A1016" s="221" t="n">
        <v>1015</v>
      </c>
      <c r="B1016" s="221" t="n">
        <v>1024</v>
      </c>
    </row>
    <row r="1017" customFormat="false" ht="14.25" hidden="false" customHeight="false" outlineLevel="0" collapsed="false">
      <c r="A1017" s="221" t="n">
        <v>1016</v>
      </c>
      <c r="B1017" s="221" t="n">
        <v>1024</v>
      </c>
    </row>
    <row r="1018" customFormat="false" ht="14.25" hidden="false" customHeight="false" outlineLevel="0" collapsed="false">
      <c r="A1018" s="221" t="n">
        <v>1017</v>
      </c>
      <c r="B1018" s="221" t="n">
        <v>1024</v>
      </c>
    </row>
    <row r="1019" customFormat="false" ht="14.25" hidden="false" customHeight="false" outlineLevel="0" collapsed="false">
      <c r="A1019" s="221" t="n">
        <v>1018</v>
      </c>
      <c r="B1019" s="221" t="n">
        <v>1024</v>
      </c>
    </row>
    <row r="1020" customFormat="false" ht="14.25" hidden="false" customHeight="false" outlineLevel="0" collapsed="false">
      <c r="A1020" s="221" t="n">
        <v>1019</v>
      </c>
      <c r="B1020" s="221" t="n">
        <v>1024</v>
      </c>
    </row>
    <row r="1021" customFormat="false" ht="14.25" hidden="false" customHeight="false" outlineLevel="0" collapsed="false">
      <c r="A1021" s="221" t="n">
        <v>1020</v>
      </c>
      <c r="B1021" s="221" t="n">
        <v>1024</v>
      </c>
    </row>
    <row r="1022" customFormat="false" ht="14.25" hidden="false" customHeight="false" outlineLevel="0" collapsed="false">
      <c r="A1022" s="221" t="n">
        <v>1021</v>
      </c>
      <c r="B1022" s="221" t="n">
        <v>1024</v>
      </c>
    </row>
    <row r="1023" customFormat="false" ht="14.25" hidden="false" customHeight="false" outlineLevel="0" collapsed="false">
      <c r="A1023" s="221" t="n">
        <v>1022</v>
      </c>
      <c r="B1023" s="221" t="n">
        <v>1024</v>
      </c>
    </row>
    <row r="1024" customFormat="false" ht="14.25" hidden="false" customHeight="false" outlineLevel="0" collapsed="false">
      <c r="A1024" s="221" t="n">
        <v>1023</v>
      </c>
      <c r="B1024" s="221" t="n">
        <v>1024</v>
      </c>
    </row>
  </sheetData>
  <mergeCells count="1">
    <mergeCell ref="D5:E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LibreOffice/25.2.3.2$Linux_X86_64 LibreOffice_project/bbb074479178df812d175f709636b368952c2ce3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2026-07-27T21:52:24Z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