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ain\Downloads\"/>
    </mc:Choice>
  </mc:AlternateContent>
  <xr:revisionPtr revIDLastSave="0" documentId="13_ncr:1_{9CF50CD5-236C-4548-9DF7-9B04A709F902}" xr6:coauthVersionLast="47" xr6:coauthVersionMax="47" xr10:uidLastSave="{00000000-0000-0000-0000-000000000000}"/>
  <bookViews>
    <workbookView xWindow="-103" yWindow="-103" windowWidth="24892" windowHeight="15634" tabRatio="617" xr2:uid="{00000000-000D-0000-FFFF-FFFF00000000}"/>
  </bookViews>
  <sheets>
    <sheet name="Design Worksheet_BAT" sheetId="5" r:id="rId1"/>
    <sheet name="SOA Calculations" sheetId="6" state="veryHidden" r:id="rId2"/>
    <sheet name="Design Calculations" sheetId="3" state="veryHidden" r:id="rId3"/>
    <sheet name="Datasheet Parameters" sheetId="1" state="veryHidden" r:id="rId4"/>
    <sheet name="Variables" sheetId="2" state="veryHidden" r:id="rId5"/>
    <sheet name="Resistor Table" sheetId="4" state="veryHidden" r:id="rId6"/>
    <sheet name="Sheet1" sheetId="7" state="veryHidden" r:id="rId7"/>
  </sheets>
  <definedNames>
    <definedName name="_xleta.POWER" hidden="1" xlm="1">#NAME?</definedName>
    <definedName name="_xleta.TIME" hidden="1" xlm="1">#NAME?</definedName>
    <definedName name="ActR1">'Design Calculations'!$H$8</definedName>
    <definedName name="ActR2">'Design Calculations'!$H$7</definedName>
    <definedName name="ActR4">'Design Calculations'!$H$24</definedName>
    <definedName name="ActR7">'Design Calculations'!$H$37</definedName>
    <definedName name="ActR7_sw">'Design Calculations'!$Q$38</definedName>
    <definedName name="ActR8">'Design Calculations'!$H$38</definedName>
    <definedName name="ActR9_sw">'Design Calculations'!$Q$37</definedName>
    <definedName name="CapTol">'Design Worksheet_BAT'!$B$64</definedName>
    <definedName name="CSTol">'Design Worksheet_BAT'!$C$2</definedName>
    <definedName name="FB">Variables!$D$39</definedName>
    <definedName name="Fbinact">Variables!$D$38</definedName>
    <definedName name="Fbinactmax">Variables!$F$38</definedName>
    <definedName name="Fbinactmin">Variables!$B$38</definedName>
    <definedName name="Fbmax">Variables!$F$39</definedName>
    <definedName name="Fbmin">Variables!$B$39</definedName>
    <definedName name="Gain">Variables!$D$20</definedName>
    <definedName name="IGATEDN">Variables!$D$28</definedName>
    <definedName name="IGATEDNmax">Variables!$F$28</definedName>
    <definedName name="IGATEDNmin">Variables!$B$28</definedName>
    <definedName name="IGATEUP">Variables!$D$30</definedName>
    <definedName name="IGATEUPFLT">Variables!$D$31</definedName>
    <definedName name="IGATEUPFLTmax">Variables!$F$31</definedName>
    <definedName name="IGATEUPFLTmin">Variables!$B$31</definedName>
    <definedName name="IGATEUPmax">Variables!$F$30</definedName>
    <definedName name="IGATEUPmin">Variables!$B$30</definedName>
    <definedName name="IPOR">Variables!$D$53</definedName>
    <definedName name="IPORmax">Variables!$F$53</definedName>
    <definedName name="IPORmin">Variables!$B$53</definedName>
    <definedName name="IRPFG">Variables!$D$24</definedName>
    <definedName name="IRPFGmax">Variables!$F$24</definedName>
    <definedName name="IRPFGmin">Variables!$B$24</definedName>
    <definedName name="Isense">Variables!$D$9</definedName>
    <definedName name="Isensemax">Variables!$F$9</definedName>
    <definedName name="Isensemin">Variables!$B$9</definedName>
    <definedName name="Ov">Variables!$D$5</definedName>
    <definedName name="Ovhyst">Variables!$D$6</definedName>
    <definedName name="Ovhystmax">Variables!$F$6</definedName>
    <definedName name="Ovhystmin">Variables!$B$6</definedName>
    <definedName name="Ovmax">Variables!$F$5</definedName>
    <definedName name="Ovmin">Variables!$B$5</definedName>
    <definedName name="PGHyst">Variables!$D$59</definedName>
    <definedName name="PGHystmax">Variables!$F$59</definedName>
    <definedName name="PGHystmin">Variables!$B$59</definedName>
    <definedName name="ResTol">'Design Worksheet_BAT'!$C$3</definedName>
    <definedName name="revLink">Variables!$F$61</definedName>
    <definedName name="revName">Variables!$D$61</definedName>
    <definedName name="revText">Variables!$B$62</definedName>
    <definedName name="revTool">Variables!$B$61</definedName>
    <definedName name="Set_OC">'Design Calculations'!$B$19</definedName>
    <definedName name="Set_OV">'Design Calculations'!$B$3</definedName>
    <definedName name="Set_R3">'Design Calculations'!$B$4</definedName>
    <definedName name="Set_R5">'Design Calculations'!$B$23</definedName>
    <definedName name="Set_R8">'Design Calculations'!$K$34</definedName>
    <definedName name="Set_R9">'Design Calculations'!$B$34</definedName>
    <definedName name="Set_Rs">'Design Calculations'!$B$20</definedName>
    <definedName name="Set_TimerOff">'Design Calculations'!$B$53</definedName>
    <definedName name="Set_UV">'Design Calculations'!$B$2</definedName>
    <definedName name="SOC">Variables!$D$44</definedName>
    <definedName name="SOCmax">Variables!$F$44</definedName>
    <definedName name="SOCmin">Variables!$B$44</definedName>
    <definedName name="Tamb">'Design Worksheet_BAT'!$B$101</definedName>
    <definedName name="ThetaJA">'Design Worksheet_BAT'!$B$102</definedName>
    <definedName name="TimeOffmax">Variables!$F$54</definedName>
    <definedName name="TimerOff">Variables!$D$54</definedName>
    <definedName name="TimerOffH">Variables!$D$55</definedName>
    <definedName name="TimerOffHmax">Variables!$F$55</definedName>
    <definedName name="TimerOffHmin">Variables!$B$55</definedName>
    <definedName name="TimerOffmin">Variables!$B$54</definedName>
    <definedName name="TimerUp">Variables!$D$48</definedName>
    <definedName name="TimerUpmax">Variables!$F$48</definedName>
    <definedName name="TimerUpmin">Variables!$B$48</definedName>
    <definedName name="Tinit">'Design Calculations'!$B$47</definedName>
    <definedName name="TJmax">'Design Worksheet_BAT'!$B$100</definedName>
    <definedName name="UV">Variables!$D$1</definedName>
    <definedName name="Uvhyst">Variables!$D$2</definedName>
    <definedName name="Uvhystmax">Variables!$F$2</definedName>
    <definedName name="Uvhystmin">Variables!$B$2</definedName>
    <definedName name="UVLOfall">Variables!$B$14</definedName>
    <definedName name="UVLOhyst">Variables!$D$15</definedName>
    <definedName name="UVLOrise">Variables!$F$13</definedName>
    <definedName name="Uvmax">Variables!$F$1</definedName>
    <definedName name="Uvmin">Variables!$B$1</definedName>
    <definedName name="Vcap">Variables!$D$12</definedName>
    <definedName name="Vcapmax">Variables!$F$12</definedName>
    <definedName name="Vcapmin">Variables!$B$12</definedName>
    <definedName name="VCBOS">Variables!$D$41</definedName>
    <definedName name="VCBOSmax">Variables!$F$41</definedName>
    <definedName name="VCBOSmin">Variables!$B$41</definedName>
    <definedName name="VCLref">Variables!$D$19</definedName>
    <definedName name="Vgate">Variables!$D$27</definedName>
    <definedName name="Vgatemax">Variables!$F$27</definedName>
    <definedName name="Vgatemin">Variables!$B$27</definedName>
    <definedName name="VI">'Design Calculations'!$B$22</definedName>
    <definedName name="VISET">Variables!$D$18</definedName>
    <definedName name="VISETmax">Variables!$F$18</definedName>
    <definedName name="VISETmin">Variables!$B$18</definedName>
    <definedName name="VOFLB">'Design Calculations'!$B$36</definedName>
    <definedName name="VOPG">'Design Calculations'!$B$33</definedName>
    <definedName name="Vout">'Design Calculations'!$B$32</definedName>
    <definedName name="VPG">Variables!$D$58</definedName>
    <definedName name="VPGmax">Variables!$F$58</definedName>
    <definedName name="VPGmin">Variables!$B$58</definedName>
    <definedName name="VRPFG">Variables!$D$23</definedName>
    <definedName name="VRPFGmax">Variables!$F$23</definedName>
    <definedName name="VRPFGmin">Variables!$B$23</definedName>
    <definedName name="VsenseCL">Variables!$D$34</definedName>
    <definedName name="VsenseCLmax">Variables!$F$34</definedName>
    <definedName name="VsenseCLmin">Variables!$B$34</definedName>
    <definedName name="VtimeH">Variables!$D$49</definedName>
    <definedName name="VtimeHmax">Variables!$F$49</definedName>
    <definedName name="VtimeHmin">Variables!$B$49</definedName>
    <definedName name="VtimeL">Variables!$D$50</definedName>
    <definedName name="VtimeLmax">Variables!$F$50</definedName>
    <definedName name="VtimeLmin">Variables!$B$50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17" i="5" l="1"/>
  <c r="B19" i="3"/>
  <c r="B20" i="3"/>
  <c r="B111" i="5"/>
  <c r="B104" i="5"/>
  <c r="B53" i="3"/>
  <c r="B47" i="3"/>
  <c r="D53" i="2"/>
  <c r="D55" i="2"/>
  <c r="AA41" i="6"/>
  <c r="AB41" i="6"/>
  <c r="AC41" i="6"/>
  <c r="AD41" i="6"/>
  <c r="AA42" i="6"/>
  <c r="AB42" i="6"/>
  <c r="W82" i="6"/>
  <c r="AC42" i="6"/>
  <c r="W83" i="6" s="1"/>
  <c r="AD42" i="6"/>
  <c r="W84" i="6" s="1"/>
  <c r="AA43" i="6"/>
  <c r="AB43" i="6"/>
  <c r="AC43" i="6"/>
  <c r="AD43" i="6"/>
  <c r="AA44" i="6"/>
  <c r="V81" i="6" s="1"/>
  <c r="AB44" i="6"/>
  <c r="V82" i="6" s="1"/>
  <c r="AC44" i="6"/>
  <c r="V83" i="6" s="1"/>
  <c r="AD44" i="6"/>
  <c r="V84" i="6"/>
  <c r="AA45" i="6"/>
  <c r="AB45" i="6"/>
  <c r="AC45" i="6"/>
  <c r="AD45" i="6"/>
  <c r="AA46" i="6"/>
  <c r="AB46" i="6"/>
  <c r="AC46" i="6"/>
  <c r="AD46" i="6"/>
  <c r="AA47" i="6"/>
  <c r="AB47" i="6"/>
  <c r="AC47" i="6"/>
  <c r="AD47" i="6"/>
  <c r="AA48" i="6"/>
  <c r="AB48" i="6"/>
  <c r="AC48" i="6"/>
  <c r="AD48" i="6"/>
  <c r="AA49" i="6"/>
  <c r="AB49" i="6"/>
  <c r="U82" i="6"/>
  <c r="AC49" i="6"/>
  <c r="U83" i="6"/>
  <c r="AD49" i="6"/>
  <c r="AA50" i="6"/>
  <c r="AB50" i="6"/>
  <c r="AC50" i="6"/>
  <c r="AD50" i="6"/>
  <c r="AA51" i="6"/>
  <c r="AB51" i="6"/>
  <c r="AC51" i="6"/>
  <c r="AD51" i="6"/>
  <c r="AA52" i="6"/>
  <c r="AB52" i="6"/>
  <c r="AC52" i="6"/>
  <c r="AD52" i="6"/>
  <c r="AA53" i="6"/>
  <c r="AB53" i="6"/>
  <c r="AC53" i="6"/>
  <c r="AD53" i="6"/>
  <c r="AA54" i="6"/>
  <c r="AB54" i="6"/>
  <c r="AC54" i="6"/>
  <c r="AD54" i="6"/>
  <c r="AA55" i="6"/>
  <c r="AB55" i="6"/>
  <c r="AC55" i="6"/>
  <c r="AD55" i="6"/>
  <c r="AA56" i="6"/>
  <c r="AB56" i="6"/>
  <c r="AC56" i="6"/>
  <c r="AD56" i="6"/>
  <c r="AA57" i="6"/>
  <c r="AB57" i="6"/>
  <c r="AC57" i="6"/>
  <c r="AD57" i="6"/>
  <c r="AA58" i="6"/>
  <c r="AB58" i="6"/>
  <c r="AC58" i="6"/>
  <c r="AD58" i="6"/>
  <c r="AA59" i="6"/>
  <c r="T81" i="6" s="1"/>
  <c r="AB59" i="6"/>
  <c r="T82" i="6"/>
  <c r="AC59" i="6"/>
  <c r="AD59" i="6"/>
  <c r="T84" i="6" s="1"/>
  <c r="AA60" i="6"/>
  <c r="AB60" i="6"/>
  <c r="AC60" i="6"/>
  <c r="AD60" i="6"/>
  <c r="AA61" i="6"/>
  <c r="AB61" i="6"/>
  <c r="AC61" i="6"/>
  <c r="AD61" i="6"/>
  <c r="AA62" i="6"/>
  <c r="AB62" i="6"/>
  <c r="AC62" i="6"/>
  <c r="AD62" i="6"/>
  <c r="AA63" i="6"/>
  <c r="AB63" i="6"/>
  <c r="AC63" i="6"/>
  <c r="AD63" i="6"/>
  <c r="AA64" i="6"/>
  <c r="AB64" i="6"/>
  <c r="AC64" i="6"/>
  <c r="AD64" i="6"/>
  <c r="AA65" i="6"/>
  <c r="AB65" i="6"/>
  <c r="AC65" i="6"/>
  <c r="AD65" i="6"/>
  <c r="AA66" i="6"/>
  <c r="AB66" i="6"/>
  <c r="AC66" i="6"/>
  <c r="AD66" i="6"/>
  <c r="AA67" i="6"/>
  <c r="AB67" i="6"/>
  <c r="AC67" i="6"/>
  <c r="AD67" i="6"/>
  <c r="AA68" i="6"/>
  <c r="AB68" i="6"/>
  <c r="AC68" i="6"/>
  <c r="AD68" i="6"/>
  <c r="AA69" i="6"/>
  <c r="S81" i="6"/>
  <c r="AB69" i="6"/>
  <c r="S82" i="6"/>
  <c r="AC69" i="6"/>
  <c r="S83" i="6" s="1"/>
  <c r="AD69" i="6"/>
  <c r="S84" i="6"/>
  <c r="AA70" i="6"/>
  <c r="AB70" i="6"/>
  <c r="AC70" i="6"/>
  <c r="AD70" i="6"/>
  <c r="AA71" i="6"/>
  <c r="AB71" i="6"/>
  <c r="AC71" i="6"/>
  <c r="AD71" i="6"/>
  <c r="AA72" i="6"/>
  <c r="AB72" i="6"/>
  <c r="AC72" i="6"/>
  <c r="AD72" i="6"/>
  <c r="AA73" i="6"/>
  <c r="AB73" i="6"/>
  <c r="AC73" i="6"/>
  <c r="AD73" i="6"/>
  <c r="AA74" i="6"/>
  <c r="AB74" i="6"/>
  <c r="AC74" i="6"/>
  <c r="AD74" i="6"/>
  <c r="AA75" i="6"/>
  <c r="AB75" i="6"/>
  <c r="AC75" i="6"/>
  <c r="AD75" i="6"/>
  <c r="AA76" i="6"/>
  <c r="AB76" i="6"/>
  <c r="AC76" i="6"/>
  <c r="AD76" i="6"/>
  <c r="AA77" i="6"/>
  <c r="AB77" i="6"/>
  <c r="AC77" i="6"/>
  <c r="AD77" i="6"/>
  <c r="AA78" i="6"/>
  <c r="AB78" i="6"/>
  <c r="AC78" i="6"/>
  <c r="AD78" i="6"/>
  <c r="AA79" i="6"/>
  <c r="AB79" i="6"/>
  <c r="R82" i="6" s="1"/>
  <c r="AC79" i="6"/>
  <c r="R83" i="6" s="1"/>
  <c r="AD79" i="6"/>
  <c r="R84" i="6" s="1"/>
  <c r="AA80" i="6"/>
  <c r="AB80" i="6"/>
  <c r="AC80" i="6"/>
  <c r="AD80" i="6"/>
  <c r="AA81" i="6"/>
  <c r="AB81" i="6"/>
  <c r="AC81" i="6"/>
  <c r="AD81" i="6"/>
  <c r="AA82" i="6"/>
  <c r="AB82" i="6"/>
  <c r="AC82" i="6"/>
  <c r="AD82" i="6"/>
  <c r="AA83" i="6"/>
  <c r="AB83" i="6"/>
  <c r="AC83" i="6"/>
  <c r="AD83" i="6"/>
  <c r="AA84" i="6"/>
  <c r="AB84" i="6"/>
  <c r="AC84" i="6"/>
  <c r="AD84" i="6"/>
  <c r="AA85" i="6"/>
  <c r="AB85" i="6"/>
  <c r="AC85" i="6"/>
  <c r="AD85" i="6"/>
  <c r="AA86" i="6"/>
  <c r="AB86" i="6"/>
  <c r="AC86" i="6"/>
  <c r="AD86" i="6"/>
  <c r="AA87" i="6"/>
  <c r="AB87" i="6"/>
  <c r="AC87" i="6"/>
  <c r="AD87" i="6"/>
  <c r="AA88" i="6"/>
  <c r="AB88" i="6"/>
  <c r="AC88" i="6"/>
  <c r="AD88" i="6"/>
  <c r="AA89" i="6"/>
  <c r="AB89" i="6"/>
  <c r="AC89" i="6"/>
  <c r="AD89" i="6"/>
  <c r="AA90" i="6"/>
  <c r="AB90" i="6"/>
  <c r="AC90" i="6"/>
  <c r="AD90" i="6"/>
  <c r="AA91" i="6"/>
  <c r="AB91" i="6"/>
  <c r="AC91" i="6"/>
  <c r="AD91" i="6"/>
  <c r="AA92" i="6"/>
  <c r="AB92" i="6"/>
  <c r="AC92" i="6"/>
  <c r="AD92" i="6"/>
  <c r="AA93" i="6"/>
  <c r="AB93" i="6"/>
  <c r="AC93" i="6"/>
  <c r="AD93" i="6"/>
  <c r="AA94" i="6"/>
  <c r="Q81" i="6"/>
  <c r="AB94" i="6"/>
  <c r="Q82" i="6" s="1"/>
  <c r="AC94" i="6"/>
  <c r="Q83" i="6" s="1"/>
  <c r="AD94" i="6"/>
  <c r="Q84" i="6" s="1"/>
  <c r="AA95" i="6"/>
  <c r="AB95" i="6"/>
  <c r="AC95" i="6"/>
  <c r="AD95" i="6"/>
  <c r="AA96" i="6"/>
  <c r="AB96" i="6"/>
  <c r="AC96" i="6"/>
  <c r="AD96" i="6"/>
  <c r="AA97" i="6"/>
  <c r="AB97" i="6"/>
  <c r="AC97" i="6"/>
  <c r="AD97" i="6"/>
  <c r="AA98" i="6"/>
  <c r="AB98" i="6"/>
  <c r="AC98" i="6"/>
  <c r="AD98" i="6"/>
  <c r="AA99" i="6"/>
  <c r="AB99" i="6"/>
  <c r="AC99" i="6"/>
  <c r="AD99" i="6"/>
  <c r="AC40" i="6"/>
  <c r="AB40" i="6"/>
  <c r="X81" i="6"/>
  <c r="AA40" i="6"/>
  <c r="AD40" i="6"/>
  <c r="X84" i="6"/>
  <c r="B36" i="3"/>
  <c r="C98" i="3" s="1"/>
  <c r="B194" i="7" s="1"/>
  <c r="N194" i="7" s="1"/>
  <c r="D20" i="2"/>
  <c r="B33" i="3"/>
  <c r="B34" i="3"/>
  <c r="D58" i="2"/>
  <c r="B23" i="3"/>
  <c r="D12" i="2"/>
  <c r="B12" i="7"/>
  <c r="E12" i="7"/>
  <c r="A232" i="7"/>
  <c r="G232" i="7"/>
  <c r="K34" i="3"/>
  <c r="A231" i="7"/>
  <c r="G231" i="7"/>
  <c r="A230" i="7"/>
  <c r="G230" i="7"/>
  <c r="A229" i="7"/>
  <c r="G229" i="7"/>
  <c r="A228" i="7"/>
  <c r="G228" i="7"/>
  <c r="A227" i="7"/>
  <c r="G227" i="7"/>
  <c r="A226" i="7"/>
  <c r="G226" i="7"/>
  <c r="A225" i="7"/>
  <c r="G225" i="7"/>
  <c r="A224" i="7"/>
  <c r="G224" i="7"/>
  <c r="A223" i="7"/>
  <c r="G223" i="7"/>
  <c r="A222" i="7"/>
  <c r="G222" i="7"/>
  <c r="A221" i="7"/>
  <c r="G221" i="7"/>
  <c r="A220" i="7"/>
  <c r="G220" i="7"/>
  <c r="A219" i="7"/>
  <c r="G219" i="7"/>
  <c r="A218" i="7"/>
  <c r="G218" i="7"/>
  <c r="A217" i="7"/>
  <c r="G217" i="7"/>
  <c r="A216" i="7"/>
  <c r="G216" i="7"/>
  <c r="A215" i="7"/>
  <c r="G215" i="7"/>
  <c r="A214" i="7"/>
  <c r="G214" i="7"/>
  <c r="A213" i="7"/>
  <c r="G213" i="7"/>
  <c r="A212" i="7"/>
  <c r="G212" i="7"/>
  <c r="A211" i="7"/>
  <c r="G211" i="7"/>
  <c r="A210" i="7"/>
  <c r="G210" i="7"/>
  <c r="A209" i="7"/>
  <c r="G209" i="7"/>
  <c r="A208" i="7"/>
  <c r="G208" i="7"/>
  <c r="A207" i="7"/>
  <c r="G207" i="7"/>
  <c r="A206" i="7"/>
  <c r="G206" i="7"/>
  <c r="A205" i="7"/>
  <c r="G205" i="7"/>
  <c r="A204" i="7"/>
  <c r="G204" i="7"/>
  <c r="A203" i="7"/>
  <c r="G203" i="7"/>
  <c r="A202" i="7"/>
  <c r="G202" i="7"/>
  <c r="A201" i="7"/>
  <c r="G201" i="7"/>
  <c r="A200" i="7"/>
  <c r="G200" i="7"/>
  <c r="A199" i="7"/>
  <c r="G199" i="7"/>
  <c r="A198" i="7"/>
  <c r="G198" i="7"/>
  <c r="A197" i="7"/>
  <c r="G197" i="7"/>
  <c r="A196" i="7"/>
  <c r="G196" i="7"/>
  <c r="A195" i="7"/>
  <c r="G195" i="7"/>
  <c r="A194" i="7"/>
  <c r="G194" i="7"/>
  <c r="A193" i="7"/>
  <c r="G193" i="7"/>
  <c r="A192" i="7"/>
  <c r="G192" i="7"/>
  <c r="A191" i="7"/>
  <c r="G191" i="7"/>
  <c r="A190" i="7"/>
  <c r="G190" i="7"/>
  <c r="A189" i="7"/>
  <c r="G189" i="7"/>
  <c r="A188" i="7"/>
  <c r="G188" i="7"/>
  <c r="A187" i="7"/>
  <c r="G187" i="7"/>
  <c r="A186" i="7"/>
  <c r="G186" i="7"/>
  <c r="A185" i="7"/>
  <c r="G185" i="7"/>
  <c r="A184" i="7"/>
  <c r="G184" i="7"/>
  <c r="A183" i="7"/>
  <c r="G183" i="7"/>
  <c r="A182" i="7"/>
  <c r="G182" i="7"/>
  <c r="A181" i="7"/>
  <c r="G181" i="7"/>
  <c r="A180" i="7"/>
  <c r="G180" i="7"/>
  <c r="A179" i="7"/>
  <c r="G179" i="7"/>
  <c r="A178" i="7"/>
  <c r="G178" i="7"/>
  <c r="A177" i="7"/>
  <c r="G177" i="7"/>
  <c r="A176" i="7"/>
  <c r="G176" i="7"/>
  <c r="A175" i="7"/>
  <c r="G175" i="7"/>
  <c r="A174" i="7"/>
  <c r="G174" i="7"/>
  <c r="A173" i="7"/>
  <c r="G173" i="7"/>
  <c r="A172" i="7"/>
  <c r="G172" i="7"/>
  <c r="A171" i="7"/>
  <c r="G171" i="7"/>
  <c r="A170" i="7"/>
  <c r="G170" i="7"/>
  <c r="A169" i="7"/>
  <c r="G169" i="7"/>
  <c r="A168" i="7"/>
  <c r="G168" i="7"/>
  <c r="A167" i="7"/>
  <c r="G167" i="7"/>
  <c r="A166" i="7"/>
  <c r="G166" i="7"/>
  <c r="A165" i="7"/>
  <c r="G165" i="7"/>
  <c r="A164" i="7"/>
  <c r="G164" i="7"/>
  <c r="A163" i="7"/>
  <c r="G163" i="7"/>
  <c r="A162" i="7"/>
  <c r="G162" i="7"/>
  <c r="A161" i="7"/>
  <c r="G161" i="7"/>
  <c r="A160" i="7"/>
  <c r="G160" i="7"/>
  <c r="A159" i="7"/>
  <c r="G159" i="7"/>
  <c r="A158" i="7"/>
  <c r="G158" i="7"/>
  <c r="A157" i="7"/>
  <c r="G157" i="7"/>
  <c r="A156" i="7"/>
  <c r="G156" i="7"/>
  <c r="A155" i="7"/>
  <c r="G155" i="7"/>
  <c r="A154" i="7"/>
  <c r="G154" i="7"/>
  <c r="A153" i="7"/>
  <c r="G153" i="7"/>
  <c r="A152" i="7"/>
  <c r="G152" i="7"/>
  <c r="A151" i="7"/>
  <c r="G151" i="7"/>
  <c r="A150" i="7"/>
  <c r="G150" i="7"/>
  <c r="A149" i="7"/>
  <c r="G149" i="7"/>
  <c r="A148" i="7"/>
  <c r="G148" i="7"/>
  <c r="A147" i="7"/>
  <c r="G147" i="7"/>
  <c r="A146" i="7"/>
  <c r="G146" i="7"/>
  <c r="A145" i="7"/>
  <c r="G145" i="7"/>
  <c r="A144" i="7"/>
  <c r="G144" i="7"/>
  <c r="A143" i="7"/>
  <c r="G143" i="7"/>
  <c r="A142" i="7"/>
  <c r="G142" i="7"/>
  <c r="A141" i="7"/>
  <c r="G141" i="7"/>
  <c r="A140" i="7"/>
  <c r="G140" i="7"/>
  <c r="A139" i="7"/>
  <c r="G139" i="7"/>
  <c r="A138" i="7"/>
  <c r="G138" i="7"/>
  <c r="A137" i="7"/>
  <c r="G137" i="7"/>
  <c r="A136" i="7"/>
  <c r="G136" i="7"/>
  <c r="A135" i="7"/>
  <c r="G135" i="7"/>
  <c r="A134" i="7"/>
  <c r="G134" i="7"/>
  <c r="A133" i="7"/>
  <c r="G133" i="7"/>
  <c r="A132" i="7"/>
  <c r="G132" i="7"/>
  <c r="A131" i="7"/>
  <c r="G131" i="7"/>
  <c r="A130" i="7"/>
  <c r="G130" i="7"/>
  <c r="A129" i="7"/>
  <c r="G129" i="7"/>
  <c r="A128" i="7"/>
  <c r="G128" i="7"/>
  <c r="A127" i="7"/>
  <c r="G127" i="7"/>
  <c r="A126" i="7"/>
  <c r="G126" i="7"/>
  <c r="A125" i="7"/>
  <c r="G125" i="7"/>
  <c r="A124" i="7"/>
  <c r="G124" i="7"/>
  <c r="A123" i="7"/>
  <c r="G123" i="7"/>
  <c r="A122" i="7"/>
  <c r="G122" i="7"/>
  <c r="A121" i="7"/>
  <c r="G121" i="7"/>
  <c r="A120" i="7"/>
  <c r="G120" i="7"/>
  <c r="A119" i="7"/>
  <c r="G119" i="7"/>
  <c r="A118" i="7"/>
  <c r="G118" i="7"/>
  <c r="A117" i="7"/>
  <c r="G117" i="7"/>
  <c r="A116" i="7"/>
  <c r="G116" i="7"/>
  <c r="A115" i="7"/>
  <c r="G115" i="7"/>
  <c r="A114" i="7"/>
  <c r="G114" i="7"/>
  <c r="A113" i="7"/>
  <c r="G113" i="7"/>
  <c r="A112" i="7"/>
  <c r="G112" i="7"/>
  <c r="A111" i="7"/>
  <c r="G111" i="7"/>
  <c r="A110" i="7"/>
  <c r="G110" i="7"/>
  <c r="A109" i="7"/>
  <c r="G109" i="7"/>
  <c r="A108" i="7"/>
  <c r="G108" i="7"/>
  <c r="A107" i="7"/>
  <c r="G107" i="7"/>
  <c r="A106" i="7"/>
  <c r="G106" i="7"/>
  <c r="A105" i="7"/>
  <c r="G105" i="7"/>
  <c r="A104" i="7"/>
  <c r="G104" i="7"/>
  <c r="A103" i="7"/>
  <c r="G103" i="7"/>
  <c r="A102" i="7"/>
  <c r="G102" i="7"/>
  <c r="A101" i="7"/>
  <c r="G101" i="7"/>
  <c r="A100" i="7"/>
  <c r="G100" i="7"/>
  <c r="A99" i="7"/>
  <c r="G99" i="7"/>
  <c r="A98" i="7"/>
  <c r="G98" i="7"/>
  <c r="A97" i="7"/>
  <c r="G97" i="7"/>
  <c r="A96" i="7"/>
  <c r="G96" i="7"/>
  <c r="A95" i="7"/>
  <c r="G95" i="7"/>
  <c r="A94" i="7"/>
  <c r="G94" i="7"/>
  <c r="A93" i="7"/>
  <c r="G93" i="7"/>
  <c r="A92" i="7"/>
  <c r="G92" i="7"/>
  <c r="A91" i="7"/>
  <c r="G91" i="7"/>
  <c r="A90" i="7"/>
  <c r="G90" i="7"/>
  <c r="A89" i="7"/>
  <c r="G89" i="7"/>
  <c r="A88" i="7"/>
  <c r="G88" i="7"/>
  <c r="A87" i="7"/>
  <c r="G87" i="7"/>
  <c r="A86" i="7"/>
  <c r="G86" i="7"/>
  <c r="A85" i="7"/>
  <c r="G85" i="7"/>
  <c r="A84" i="7"/>
  <c r="G84" i="7"/>
  <c r="A83" i="7"/>
  <c r="G83" i="7"/>
  <c r="A82" i="7"/>
  <c r="G82" i="7"/>
  <c r="A81" i="7"/>
  <c r="G81" i="7"/>
  <c r="A80" i="7"/>
  <c r="G80" i="7"/>
  <c r="A79" i="7"/>
  <c r="G79" i="7"/>
  <c r="A78" i="7"/>
  <c r="G78" i="7"/>
  <c r="A77" i="7"/>
  <c r="G77" i="7"/>
  <c r="A76" i="7"/>
  <c r="G76" i="7"/>
  <c r="A75" i="7"/>
  <c r="G75" i="7"/>
  <c r="A74" i="7"/>
  <c r="G74" i="7"/>
  <c r="A73" i="7"/>
  <c r="G73" i="7"/>
  <c r="A72" i="7"/>
  <c r="G72" i="7"/>
  <c r="A71" i="7"/>
  <c r="G71" i="7"/>
  <c r="A70" i="7"/>
  <c r="G70" i="7"/>
  <c r="A69" i="7"/>
  <c r="G69" i="7"/>
  <c r="A68" i="7"/>
  <c r="G68" i="7"/>
  <c r="A67" i="7"/>
  <c r="G67" i="7"/>
  <c r="A66" i="7"/>
  <c r="G66" i="7"/>
  <c r="A65" i="7"/>
  <c r="G65" i="7"/>
  <c r="A64" i="7"/>
  <c r="G64" i="7"/>
  <c r="A63" i="7"/>
  <c r="G63" i="7"/>
  <c r="A62" i="7"/>
  <c r="G62" i="7"/>
  <c r="A61" i="7"/>
  <c r="G61" i="7"/>
  <c r="A60" i="7"/>
  <c r="G60" i="7"/>
  <c r="A59" i="7"/>
  <c r="G59" i="7"/>
  <c r="A58" i="7"/>
  <c r="G58" i="7"/>
  <c r="A57" i="7"/>
  <c r="G57" i="7"/>
  <c r="A56" i="7"/>
  <c r="G56" i="7"/>
  <c r="A55" i="7"/>
  <c r="G55" i="7"/>
  <c r="A54" i="7"/>
  <c r="G54" i="7"/>
  <c r="A53" i="7"/>
  <c r="G53" i="7"/>
  <c r="A52" i="7"/>
  <c r="G52" i="7"/>
  <c r="A51" i="7"/>
  <c r="G51" i="7"/>
  <c r="A50" i="7"/>
  <c r="G50" i="7"/>
  <c r="A49" i="7"/>
  <c r="G49" i="7"/>
  <c r="A48" i="7"/>
  <c r="G48" i="7"/>
  <c r="A47" i="7"/>
  <c r="G47" i="7"/>
  <c r="A46" i="7"/>
  <c r="G46" i="7"/>
  <c r="A45" i="7"/>
  <c r="G45" i="7"/>
  <c r="A44" i="7"/>
  <c r="G44" i="7"/>
  <c r="A43" i="7"/>
  <c r="G43" i="7"/>
  <c r="A42" i="7"/>
  <c r="G42" i="7"/>
  <c r="A41" i="7"/>
  <c r="G41" i="7"/>
  <c r="A40" i="7"/>
  <c r="G40" i="7"/>
  <c r="A39" i="7"/>
  <c r="G39" i="7"/>
  <c r="A38" i="7"/>
  <c r="G38" i="7"/>
  <c r="A37" i="7"/>
  <c r="G37" i="7"/>
  <c r="A36" i="7"/>
  <c r="G36" i="7"/>
  <c r="A35" i="7"/>
  <c r="G35" i="7"/>
  <c r="A34" i="7"/>
  <c r="G34" i="7"/>
  <c r="A33" i="7"/>
  <c r="G33" i="7"/>
  <c r="A32" i="7"/>
  <c r="G32" i="7"/>
  <c r="A31" i="7"/>
  <c r="G31" i="7"/>
  <c r="A30" i="7"/>
  <c r="G30" i="7"/>
  <c r="A29" i="7"/>
  <c r="G29" i="7"/>
  <c r="A28" i="7"/>
  <c r="G28" i="7"/>
  <c r="A27" i="7"/>
  <c r="G27" i="7"/>
  <c r="A26" i="7"/>
  <c r="G26" i="7"/>
  <c r="A25" i="7"/>
  <c r="G25" i="7"/>
  <c r="A24" i="7"/>
  <c r="G24" i="7"/>
  <c r="A23" i="7"/>
  <c r="G23" i="7"/>
  <c r="A22" i="7"/>
  <c r="G22" i="7"/>
  <c r="A21" i="7"/>
  <c r="G21" i="7"/>
  <c r="A20" i="7"/>
  <c r="G20" i="7"/>
  <c r="A19" i="7"/>
  <c r="G19" i="7"/>
  <c r="A18" i="7"/>
  <c r="G18" i="7"/>
  <c r="A17" i="7"/>
  <c r="G17" i="7"/>
  <c r="A16" i="7"/>
  <c r="G16" i="7"/>
  <c r="A15" i="7"/>
  <c r="G15" i="7"/>
  <c r="A14" i="7"/>
  <c r="G14" i="7"/>
  <c r="A13" i="7"/>
  <c r="G13" i="7"/>
  <c r="A2" i="7"/>
  <c r="B2" i="7"/>
  <c r="C2" i="7"/>
  <c r="D2" i="7"/>
  <c r="E2" i="7"/>
  <c r="F2" i="7"/>
  <c r="G2" i="7"/>
  <c r="A3" i="7"/>
  <c r="B3" i="7"/>
  <c r="C3" i="7"/>
  <c r="D3" i="7"/>
  <c r="E3" i="7"/>
  <c r="F3" i="7"/>
  <c r="G3" i="7"/>
  <c r="A4" i="7"/>
  <c r="B4" i="7"/>
  <c r="C4" i="7"/>
  <c r="D4" i="7"/>
  <c r="E4" i="7"/>
  <c r="F4" i="7"/>
  <c r="G4" i="7"/>
  <c r="A5" i="7"/>
  <c r="B5" i="7"/>
  <c r="C5" i="7"/>
  <c r="D5" i="7"/>
  <c r="E5" i="7"/>
  <c r="F5" i="7"/>
  <c r="G5" i="7"/>
  <c r="A6" i="7"/>
  <c r="B6" i="7"/>
  <c r="C6" i="7"/>
  <c r="D6" i="7"/>
  <c r="E6" i="7"/>
  <c r="F6" i="7"/>
  <c r="G6" i="7"/>
  <c r="A7" i="7"/>
  <c r="B7" i="7"/>
  <c r="C7" i="7"/>
  <c r="D7" i="7"/>
  <c r="E7" i="7"/>
  <c r="F7" i="7"/>
  <c r="G7" i="7"/>
  <c r="A8" i="7"/>
  <c r="B8" i="7"/>
  <c r="C8" i="7"/>
  <c r="D8" i="7"/>
  <c r="E8" i="7"/>
  <c r="F8" i="7"/>
  <c r="G8" i="7"/>
  <c r="A9" i="7"/>
  <c r="B9" i="7"/>
  <c r="C9" i="7"/>
  <c r="D9" i="7"/>
  <c r="E9" i="7"/>
  <c r="F9" i="7"/>
  <c r="G9" i="7"/>
  <c r="A10" i="7"/>
  <c r="B10" i="7"/>
  <c r="C10" i="7"/>
  <c r="D10" i="7"/>
  <c r="E10" i="7"/>
  <c r="F10" i="7"/>
  <c r="G10" i="7"/>
  <c r="A11" i="7"/>
  <c r="B11" i="7"/>
  <c r="C11" i="7"/>
  <c r="D11" i="7"/>
  <c r="E11" i="7"/>
  <c r="F11" i="7"/>
  <c r="G11" i="7"/>
  <c r="A12" i="7"/>
  <c r="C12" i="7"/>
  <c r="D12" i="7"/>
  <c r="F12" i="7"/>
  <c r="G12" i="7"/>
  <c r="I1" i="7"/>
  <c r="J1" i="7"/>
  <c r="K1" i="7"/>
  <c r="B1" i="7"/>
  <c r="C1" i="7"/>
  <c r="D1" i="7"/>
  <c r="E1" i="7"/>
  <c r="F1" i="7"/>
  <c r="G1" i="7"/>
  <c r="H1" i="7"/>
  <c r="A1" i="7"/>
  <c r="B12" i="2"/>
  <c r="F5" i="2"/>
  <c r="B4" i="3"/>
  <c r="B3" i="3"/>
  <c r="D5" i="2"/>
  <c r="B2" i="3"/>
  <c r="D1" i="2"/>
  <c r="F12" i="2"/>
  <c r="U84" i="6"/>
  <c r="X83" i="6"/>
  <c r="T83" i="6"/>
  <c r="U81" i="6"/>
  <c r="R81" i="6"/>
  <c r="F55" i="2"/>
  <c r="B53" i="2"/>
  <c r="A224" i="6"/>
  <c r="A225" i="6"/>
  <c r="A226" i="6"/>
  <c r="A227" i="6"/>
  <c r="A228" i="6"/>
  <c r="A229" i="6"/>
  <c r="A230" i="6"/>
  <c r="A231" i="6"/>
  <c r="A232" i="6"/>
  <c r="A233" i="6"/>
  <c r="A234" i="6"/>
  <c r="B55" i="2"/>
  <c r="F53" i="2"/>
  <c r="D54" i="2"/>
  <c r="F54" i="2"/>
  <c r="B54" i="2"/>
  <c r="G3" i="6"/>
  <c r="F3" i="6"/>
  <c r="E3" i="6"/>
  <c r="B224" i="6"/>
  <c r="C224" i="6"/>
  <c r="B225" i="6"/>
  <c r="C225" i="6"/>
  <c r="B226" i="6"/>
  <c r="C226" i="6"/>
  <c r="B227" i="6"/>
  <c r="C227" i="6"/>
  <c r="B228" i="6"/>
  <c r="C228" i="6"/>
  <c r="B229" i="6"/>
  <c r="C229" i="6"/>
  <c r="B230" i="6"/>
  <c r="C230" i="6"/>
  <c r="B231" i="6"/>
  <c r="C231" i="6"/>
  <c r="B232" i="6"/>
  <c r="C232" i="6"/>
  <c r="B233" i="6"/>
  <c r="C233" i="6"/>
  <c r="B234" i="6"/>
  <c r="C234" i="6"/>
  <c r="C3" i="6"/>
  <c r="B3" i="6"/>
  <c r="A3" i="6"/>
  <c r="B58" i="2"/>
  <c r="F58" i="2"/>
  <c r="B5" i="2"/>
  <c r="B1" i="2"/>
  <c r="F1" i="2"/>
  <c r="J40" i="3"/>
  <c r="J39" i="3"/>
  <c r="A57" i="5" s="1"/>
  <c r="A54" i="5"/>
  <c r="A73" i="5"/>
  <c r="A74" i="5"/>
  <c r="A41" i="5"/>
  <c r="A45" i="5"/>
  <c r="A42" i="5"/>
  <c r="A48" i="5"/>
  <c r="A66" i="5"/>
  <c r="A67" i="5"/>
  <c r="A68" i="5"/>
  <c r="A40" i="5"/>
  <c r="A27" i="5"/>
  <c r="A28" i="5"/>
  <c r="A29" i="5"/>
  <c r="A32" i="5"/>
  <c r="A26" i="5"/>
  <c r="A9" i="5"/>
  <c r="A8" i="5"/>
  <c r="A7" i="5"/>
  <c r="A6" i="5"/>
  <c r="J33" i="3"/>
  <c r="F59" i="2"/>
  <c r="D59" i="2"/>
  <c r="B59" i="2"/>
  <c r="F50" i="2"/>
  <c r="D50" i="2"/>
  <c r="B50" i="2"/>
  <c r="F49" i="2"/>
  <c r="D49" i="2"/>
  <c r="B49" i="2"/>
  <c r="F48" i="2"/>
  <c r="D48" i="2"/>
  <c r="B48" i="2"/>
  <c r="F45" i="2"/>
  <c r="D45" i="2"/>
  <c r="B45" i="2"/>
  <c r="F44" i="2"/>
  <c r="D44" i="2"/>
  <c r="B44" i="2"/>
  <c r="F41" i="2"/>
  <c r="D41" i="2"/>
  <c r="B41" i="2"/>
  <c r="F40" i="2"/>
  <c r="D40" i="2"/>
  <c r="B40" i="2"/>
  <c r="F39" i="2"/>
  <c r="D39" i="2"/>
  <c r="B39" i="2"/>
  <c r="F38" i="2"/>
  <c r="D38" i="2"/>
  <c r="B38" i="2"/>
  <c r="F37" i="2"/>
  <c r="D37" i="2"/>
  <c r="B37" i="2"/>
  <c r="F36" i="2"/>
  <c r="D36" i="2"/>
  <c r="B36" i="2"/>
  <c r="F35" i="2"/>
  <c r="D35" i="2"/>
  <c r="B35" i="2"/>
  <c r="F34" i="2"/>
  <c r="D34" i="2"/>
  <c r="B34" i="2"/>
  <c r="F31" i="2"/>
  <c r="D31" i="2"/>
  <c r="B31" i="2"/>
  <c r="F30" i="2"/>
  <c r="D30" i="2"/>
  <c r="B30" i="2"/>
  <c r="F28" i="2"/>
  <c r="D28" i="2"/>
  <c r="B28" i="2"/>
  <c r="F27" i="2"/>
  <c r="D27" i="2"/>
  <c r="B27" i="2"/>
  <c r="F24" i="2"/>
  <c r="D24" i="2"/>
  <c r="B24" i="2"/>
  <c r="F23" i="2"/>
  <c r="D23" i="2"/>
  <c r="B23" i="2"/>
  <c r="D19" i="2"/>
  <c r="F18" i="2"/>
  <c r="D18" i="2"/>
  <c r="B18" i="2"/>
  <c r="D15" i="2"/>
  <c r="B14" i="2"/>
  <c r="F13" i="2"/>
  <c r="F9" i="2"/>
  <c r="D9" i="2"/>
  <c r="B9" i="2"/>
  <c r="F6" i="2"/>
  <c r="D6" i="2"/>
  <c r="B6" i="2"/>
  <c r="F2" i="2"/>
  <c r="D2" i="2"/>
  <c r="B2" i="2"/>
  <c r="B539" i="7"/>
  <c r="N539" i="7" s="1"/>
  <c r="B547" i="7"/>
  <c r="N547" i="7" s="1"/>
  <c r="B589" i="7"/>
  <c r="N589" i="7" s="1"/>
  <c r="B593" i="7"/>
  <c r="N593" i="7" s="1"/>
  <c r="B622" i="7"/>
  <c r="N622" i="7" s="1"/>
  <c r="B54" i="3"/>
  <c r="B56" i="3" s="1"/>
  <c r="C179" i="3"/>
  <c r="B123" i="6" s="1"/>
  <c r="B74" i="5"/>
  <c r="B57" i="3"/>
  <c r="N12" i="7"/>
  <c r="W81" i="6"/>
  <c r="X82" i="6"/>
  <c r="B1085" i="7"/>
  <c r="N1085" i="7" s="1"/>
  <c r="B1093" i="7"/>
  <c r="N1093" i="7" s="1"/>
  <c r="B77" i="5"/>
  <c r="B81" i="5"/>
  <c r="B1077" i="7" l="1"/>
  <c r="N1077" i="7" s="1"/>
  <c r="B467" i="7"/>
  <c r="N467" i="7" s="1"/>
  <c r="B1071" i="7"/>
  <c r="N1071" i="7" s="1"/>
  <c r="B457" i="7"/>
  <c r="N457" i="7" s="1"/>
  <c r="B481" i="7"/>
  <c r="N481" i="7" s="1"/>
  <c r="B419" i="7"/>
  <c r="N419" i="7" s="1"/>
  <c r="B429" i="7"/>
  <c r="N429" i="7" s="1"/>
  <c r="B416" i="7"/>
  <c r="N416" i="7" s="1"/>
  <c r="B527" i="7"/>
  <c r="N527" i="7" s="1"/>
  <c r="C258" i="3"/>
  <c r="B202" i="6" s="1"/>
  <c r="B314" i="7"/>
  <c r="N314" i="7" s="1"/>
  <c r="C215" i="3"/>
  <c r="B159" i="6" s="1"/>
  <c r="I182" i="3"/>
  <c r="H110" i="7" s="1"/>
  <c r="I286" i="3"/>
  <c r="F230" i="6" s="1"/>
  <c r="C195" i="3"/>
  <c r="B97" i="7" s="1"/>
  <c r="N97" i="7" s="1"/>
  <c r="B760" i="7"/>
  <c r="N760" i="7" s="1"/>
  <c r="I247" i="3"/>
  <c r="F191" i="6" s="1"/>
  <c r="C238" i="3"/>
  <c r="B54" i="7" s="1"/>
  <c r="N54" i="7" s="1"/>
  <c r="B601" i="7"/>
  <c r="N601" i="7" s="1"/>
  <c r="I224" i="3"/>
  <c r="H68" i="7" s="1"/>
  <c r="B1449" i="7"/>
  <c r="N1449" i="7" s="1"/>
  <c r="B415" i="7"/>
  <c r="N415" i="7" s="1"/>
  <c r="I208" i="3"/>
  <c r="H84" i="7" s="1"/>
  <c r="B1321" i="7"/>
  <c r="N1321" i="7" s="1"/>
  <c r="B886" i="7"/>
  <c r="N886" i="7" s="1"/>
  <c r="B1638" i="7"/>
  <c r="N1638" i="7" s="1"/>
  <c r="B656" i="7"/>
  <c r="N656" i="7" s="1"/>
  <c r="B867" i="7"/>
  <c r="N867" i="7" s="1"/>
  <c r="B1629" i="7"/>
  <c r="N1629" i="7" s="1"/>
  <c r="B1562" i="7"/>
  <c r="N1562" i="7" s="1"/>
  <c r="B857" i="7"/>
  <c r="N857" i="7" s="1"/>
  <c r="B1615" i="7"/>
  <c r="N1615" i="7" s="1"/>
  <c r="B620" i="7"/>
  <c r="N620" i="7" s="1"/>
  <c r="B1539" i="7"/>
  <c r="N1539" i="7" s="1"/>
  <c r="B532" i="7"/>
  <c r="N532" i="7" s="1"/>
  <c r="B661" i="7"/>
  <c r="N661" i="7" s="1"/>
  <c r="B790" i="7"/>
  <c r="N790" i="7" s="1"/>
  <c r="B775" i="7"/>
  <c r="N775" i="7" s="1"/>
  <c r="B876" i="7"/>
  <c r="N876" i="7" s="1"/>
  <c r="B744" i="7"/>
  <c r="N744" i="7" s="1"/>
  <c r="B1352" i="7"/>
  <c r="N1352" i="7" s="1"/>
  <c r="B720" i="7"/>
  <c r="N720" i="7" s="1"/>
  <c r="B631" i="7"/>
  <c r="N631" i="7" s="1"/>
  <c r="B1063" i="7"/>
  <c r="N1063" i="7" s="1"/>
  <c r="B678" i="7"/>
  <c r="N678" i="7" s="1"/>
  <c r="I228" i="3"/>
  <c r="H64" i="7" s="1"/>
  <c r="B1206" i="7"/>
  <c r="N1206" i="7" s="1"/>
  <c r="B1523" i="7"/>
  <c r="N1523" i="7" s="1"/>
  <c r="B1524" i="7"/>
  <c r="N1524" i="7" s="1"/>
  <c r="B579" i="7"/>
  <c r="N579" i="7" s="1"/>
  <c r="B418" i="7"/>
  <c r="N418" i="7" s="1"/>
  <c r="C141" i="3"/>
  <c r="B151" i="7" s="1"/>
  <c r="N151" i="7" s="1"/>
  <c r="B1494" i="7"/>
  <c r="N1494" i="7" s="1"/>
  <c r="B1056" i="7"/>
  <c r="N1056" i="7" s="1"/>
  <c r="B668" i="7"/>
  <c r="N668" i="7" s="1"/>
  <c r="B795" i="7"/>
  <c r="N795" i="7" s="1"/>
  <c r="B321" i="7"/>
  <c r="N321" i="7" s="1"/>
  <c r="B612" i="7"/>
  <c r="N612" i="7" s="1"/>
  <c r="B1173" i="7"/>
  <c r="N1173" i="7" s="1"/>
  <c r="B1497" i="7"/>
  <c r="N1497" i="7" s="1"/>
  <c r="B910" i="7"/>
  <c r="N910" i="7" s="1"/>
  <c r="B555" i="7"/>
  <c r="N555" i="7" s="1"/>
  <c r="B411" i="7"/>
  <c r="N411" i="7" s="1"/>
  <c r="C193" i="3"/>
  <c r="B99" i="7" s="1"/>
  <c r="N99" i="7" s="1"/>
  <c r="B1339" i="7"/>
  <c r="N1339" i="7" s="1"/>
  <c r="B1049" i="7"/>
  <c r="N1049" i="7" s="1"/>
  <c r="B513" i="7"/>
  <c r="N513" i="7" s="1"/>
  <c r="B770" i="7"/>
  <c r="N770" i="7" s="1"/>
  <c r="B915" i="7"/>
  <c r="N915" i="7" s="1"/>
  <c r="I284" i="3"/>
  <c r="H6" i="7" s="1"/>
  <c r="B1249" i="7"/>
  <c r="N1249" i="7" s="1"/>
  <c r="B1482" i="7"/>
  <c r="N1482" i="7" s="1"/>
  <c r="B906" i="7"/>
  <c r="N906" i="7" s="1"/>
  <c r="B550" i="7"/>
  <c r="N550" i="7" s="1"/>
  <c r="B396" i="7"/>
  <c r="N396" i="7" s="1"/>
  <c r="B258" i="7"/>
  <c r="N258" i="7" s="1"/>
  <c r="B1315" i="7"/>
  <c r="N1315" i="7" s="1"/>
  <c r="B1033" i="7"/>
  <c r="N1033" i="7" s="1"/>
  <c r="B277" i="7"/>
  <c r="N277" i="7" s="1"/>
  <c r="B686" i="7"/>
  <c r="N686" i="7" s="1"/>
  <c r="B901" i="7"/>
  <c r="N901" i="7" s="1"/>
  <c r="C144" i="3"/>
  <c r="B88" i="6" s="1"/>
  <c r="B1367" i="7"/>
  <c r="N1367" i="7" s="1"/>
  <c r="B682" i="7"/>
  <c r="N682" i="7" s="1"/>
  <c r="B903" i="7"/>
  <c r="N903" i="7" s="1"/>
  <c r="B538" i="7"/>
  <c r="N538" i="7" s="1"/>
  <c r="B361" i="7"/>
  <c r="N361" i="7" s="1"/>
  <c r="C102" i="3"/>
  <c r="B190" i="7" s="1"/>
  <c r="N190" i="7" s="1"/>
  <c r="B861" i="7"/>
  <c r="N861" i="7" s="1"/>
  <c r="B1025" i="7"/>
  <c r="N1025" i="7" s="1"/>
  <c r="B927" i="7"/>
  <c r="N927" i="7" s="1"/>
  <c r="C100" i="3"/>
  <c r="B192" i="7" s="1"/>
  <c r="N192" i="7" s="1"/>
  <c r="B869" i="7"/>
  <c r="N869" i="7" s="1"/>
  <c r="B784" i="7"/>
  <c r="N784" i="7" s="1"/>
  <c r="B1483" i="7"/>
  <c r="N1483" i="7" s="1"/>
  <c r="C65" i="3"/>
  <c r="B227" i="7" s="1"/>
  <c r="N227" i="7" s="1"/>
  <c r="B899" i="7"/>
  <c r="N899" i="7" s="1"/>
  <c r="B448" i="7"/>
  <c r="N448" i="7" s="1"/>
  <c r="B354" i="7"/>
  <c r="N354" i="7" s="1"/>
  <c r="C220" i="3"/>
  <c r="B164" i="6" s="1"/>
  <c r="B1550" i="7"/>
  <c r="N1550" i="7" s="1"/>
  <c r="B1017" i="7"/>
  <c r="N1017" i="7" s="1"/>
  <c r="B905" i="7"/>
  <c r="N905" i="7" s="1"/>
  <c r="C131" i="3"/>
  <c r="B161" i="7" s="1"/>
  <c r="N161" i="7" s="1"/>
  <c r="B848" i="7"/>
  <c r="N848" i="7" s="1"/>
  <c r="B774" i="7"/>
  <c r="N774" i="7" s="1"/>
  <c r="I225" i="3"/>
  <c r="F169" i="6" s="1"/>
  <c r="B1540" i="7"/>
  <c r="N1540" i="7" s="1"/>
  <c r="I290" i="3"/>
  <c r="H12" i="7" s="1"/>
  <c r="B881" i="7"/>
  <c r="N881" i="7" s="1"/>
  <c r="B438" i="7"/>
  <c r="N438" i="7" s="1"/>
  <c r="B339" i="7"/>
  <c r="N339" i="7" s="1"/>
  <c r="C211" i="3"/>
  <c r="B155" i="6" s="1"/>
  <c r="B450" i="7"/>
  <c r="N450" i="7" s="1"/>
  <c r="B951" i="7"/>
  <c r="N951" i="7" s="1"/>
  <c r="B822" i="7"/>
  <c r="N822" i="7" s="1"/>
  <c r="B853" i="7"/>
  <c r="N853" i="7" s="1"/>
  <c r="C172" i="3"/>
  <c r="B116" i="6" s="1"/>
  <c r="B1055" i="7"/>
  <c r="N1055" i="7" s="1"/>
  <c r="B486" i="7"/>
  <c r="N486" i="7" s="1"/>
  <c r="B806" i="7"/>
  <c r="N806" i="7" s="1"/>
  <c r="B1235" i="7"/>
  <c r="N1235" i="7" s="1"/>
  <c r="B272" i="7"/>
  <c r="N272" i="7" s="1"/>
  <c r="B1548" i="7"/>
  <c r="N1548" i="7" s="1"/>
  <c r="B866" i="7"/>
  <c r="N866" i="7" s="1"/>
  <c r="B664" i="7"/>
  <c r="N664" i="7" s="1"/>
  <c r="B578" i="7"/>
  <c r="N578" i="7" s="1"/>
  <c r="B847" i="7"/>
  <c r="N847" i="7" s="1"/>
  <c r="B1619" i="7"/>
  <c r="N1619" i="7" s="1"/>
  <c r="B1028" i="7"/>
  <c r="N1028" i="7" s="1"/>
  <c r="B1453" i="7"/>
  <c r="N1453" i="7" s="1"/>
  <c r="B765" i="7"/>
  <c r="N765" i="7" s="1"/>
  <c r="B535" i="7"/>
  <c r="N535" i="7" s="1"/>
  <c r="B823" i="7"/>
  <c r="N823" i="7" s="1"/>
  <c r="I199" i="3"/>
  <c r="F143" i="6" s="1"/>
  <c r="B1012" i="7"/>
  <c r="N1012" i="7" s="1"/>
  <c r="B825" i="7"/>
  <c r="N825" i="7" s="1"/>
  <c r="B371" i="7"/>
  <c r="N371" i="7" s="1"/>
  <c r="B387" i="7"/>
  <c r="N387" i="7" s="1"/>
  <c r="C68" i="3"/>
  <c r="B224" i="7" s="1"/>
  <c r="N224" i="7" s="1"/>
  <c r="B820" i="7"/>
  <c r="N820" i="7" s="1"/>
  <c r="B540" i="7"/>
  <c r="N540" i="7" s="1"/>
  <c r="I215" i="3"/>
  <c r="H77" i="7" s="1"/>
  <c r="B803" i="7"/>
  <c r="N803" i="7" s="1"/>
  <c r="B548" i="7"/>
  <c r="N548" i="7" s="1"/>
  <c r="B636" i="7"/>
  <c r="N636" i="7" s="1"/>
  <c r="B695" i="7"/>
  <c r="N695" i="7" s="1"/>
  <c r="B327" i="7"/>
  <c r="N327" i="7" s="1"/>
  <c r="C114" i="3"/>
  <c r="B178" i="7" s="1"/>
  <c r="N178" i="7" s="1"/>
  <c r="B1622" i="7"/>
  <c r="N1622" i="7" s="1"/>
  <c r="B817" i="7"/>
  <c r="N817" i="7" s="1"/>
  <c r="B722" i="7"/>
  <c r="N722" i="7" s="1"/>
  <c r="B536" i="7"/>
  <c r="N536" i="7" s="1"/>
  <c r="I249" i="3"/>
  <c r="H43" i="7" s="1"/>
  <c r="B981" i="7"/>
  <c r="N981" i="7" s="1"/>
  <c r="B782" i="7"/>
  <c r="N782" i="7" s="1"/>
  <c r="B500" i="7"/>
  <c r="N500" i="7" s="1"/>
  <c r="B508" i="7"/>
  <c r="N508" i="7" s="1"/>
  <c r="B923" i="7"/>
  <c r="N923" i="7" s="1"/>
  <c r="B677" i="7"/>
  <c r="N677" i="7" s="1"/>
  <c r="B246" i="7"/>
  <c r="N246" i="7" s="1"/>
  <c r="C70" i="3"/>
  <c r="B222" i="7" s="1"/>
  <c r="N222" i="7" s="1"/>
  <c r="I75" i="3"/>
  <c r="F19" i="6" s="1"/>
  <c r="B776" i="7"/>
  <c r="N776" i="7" s="1"/>
  <c r="B713" i="7"/>
  <c r="N713" i="7" s="1"/>
  <c r="B478" i="7"/>
  <c r="N478" i="7" s="1"/>
  <c r="B1323" i="7"/>
  <c r="N1323" i="7" s="1"/>
  <c r="I180" i="3"/>
  <c r="F124" i="6" s="1"/>
  <c r="B1504" i="7"/>
  <c r="N1504" i="7" s="1"/>
  <c r="B322" i="7"/>
  <c r="N322" i="7" s="1"/>
  <c r="B599" i="7"/>
  <c r="N599" i="7" s="1"/>
  <c r="B551" i="7"/>
  <c r="N551" i="7" s="1"/>
  <c r="B310" i="7"/>
  <c r="N310" i="7" s="1"/>
  <c r="B666" i="7"/>
  <c r="N666" i="7" s="1"/>
  <c r="B856" i="7"/>
  <c r="N856" i="7" s="1"/>
  <c r="B591" i="7"/>
  <c r="N591" i="7" s="1"/>
  <c r="B1592" i="7"/>
  <c r="N1592" i="7" s="1"/>
  <c r="C147" i="3"/>
  <c r="B91" i="6" s="1"/>
  <c r="B1189" i="7"/>
  <c r="N1189" i="7" s="1"/>
  <c r="I261" i="3"/>
  <c r="H31" i="7" s="1"/>
  <c r="B611" i="7"/>
  <c r="N611" i="7" s="1"/>
  <c r="B1219" i="7"/>
  <c r="N1219" i="7" s="1"/>
  <c r="B1600" i="7"/>
  <c r="N1600" i="7" s="1"/>
  <c r="B788" i="7"/>
  <c r="N788" i="7" s="1"/>
  <c r="B746" i="7"/>
  <c r="N746" i="7" s="1"/>
  <c r="B779" i="7"/>
  <c r="N779" i="7" s="1"/>
  <c r="B714" i="7"/>
  <c r="N714" i="7" s="1"/>
  <c r="B519" i="7"/>
  <c r="N519" i="7" s="1"/>
  <c r="B986" i="7"/>
  <c r="N986" i="7" s="1"/>
  <c r="B740" i="7"/>
  <c r="N740" i="7" s="1"/>
  <c r="I209" i="3"/>
  <c r="H83" i="7" s="1"/>
  <c r="B1182" i="7"/>
  <c r="N1182" i="7" s="1"/>
  <c r="B355" i="7"/>
  <c r="N355" i="7" s="1"/>
  <c r="B603" i="7"/>
  <c r="N603" i="7" s="1"/>
  <c r="B580" i="7"/>
  <c r="N580" i="7" s="1"/>
  <c r="B324" i="7"/>
  <c r="N324" i="7" s="1"/>
  <c r="B669" i="7"/>
  <c r="N669" i="7" s="1"/>
  <c r="B871" i="7"/>
  <c r="N871" i="7" s="1"/>
  <c r="B504" i="7"/>
  <c r="N504" i="7" s="1"/>
  <c r="I162" i="3"/>
  <c r="C126" i="3"/>
  <c r="B166" i="7" s="1"/>
  <c r="N166" i="7" s="1"/>
  <c r="B1127" i="7"/>
  <c r="N1127" i="7" s="1"/>
  <c r="I221" i="3"/>
  <c r="F165" i="6" s="1"/>
  <c r="B629" i="7"/>
  <c r="N629" i="7" s="1"/>
  <c r="B938" i="7"/>
  <c r="N938" i="7" s="1"/>
  <c r="B1337" i="7"/>
  <c r="N1337" i="7" s="1"/>
  <c r="B815" i="7"/>
  <c r="N815" i="7" s="1"/>
  <c r="B766" i="7"/>
  <c r="N766" i="7" s="1"/>
  <c r="B840" i="7"/>
  <c r="N840" i="7" s="1"/>
  <c r="B750" i="7"/>
  <c r="N750" i="7" s="1"/>
  <c r="B558" i="7"/>
  <c r="N558" i="7" s="1"/>
  <c r="B994" i="7"/>
  <c r="N994" i="7" s="1"/>
  <c r="B781" i="7"/>
  <c r="N781" i="7" s="1"/>
  <c r="B1259" i="7"/>
  <c r="N1259" i="7" s="1"/>
  <c r="B985" i="7"/>
  <c r="N985" i="7" s="1"/>
  <c r="B368" i="7"/>
  <c r="N368" i="7" s="1"/>
  <c r="B624" i="7"/>
  <c r="N624" i="7" s="1"/>
  <c r="B590" i="7"/>
  <c r="N590" i="7" s="1"/>
  <c r="B330" i="7"/>
  <c r="N330" i="7" s="1"/>
  <c r="B690" i="7"/>
  <c r="N690" i="7" s="1"/>
  <c r="B874" i="7"/>
  <c r="N874" i="7" s="1"/>
  <c r="B406" i="7"/>
  <c r="N406" i="7" s="1"/>
  <c r="I163" i="3"/>
  <c r="F107" i="6" s="1"/>
  <c r="C78" i="3"/>
  <c r="B22" i="6" s="1"/>
  <c r="B1001" i="7"/>
  <c r="N1001" i="7" s="1"/>
  <c r="I173" i="3"/>
  <c r="F117" i="6" s="1"/>
  <c r="B643" i="7"/>
  <c r="N643" i="7" s="1"/>
  <c r="C216" i="3"/>
  <c r="B160" i="6" s="1"/>
  <c r="B1157" i="7"/>
  <c r="N1157" i="7" s="1"/>
  <c r="B827" i="7"/>
  <c r="N827" i="7" s="1"/>
  <c r="B786" i="7"/>
  <c r="N786" i="7" s="1"/>
  <c r="B885" i="7"/>
  <c r="N885" i="7" s="1"/>
  <c r="B811" i="7"/>
  <c r="N811" i="7" s="1"/>
  <c r="B608" i="7"/>
  <c r="N608" i="7" s="1"/>
  <c r="B1002" i="7"/>
  <c r="N1002" i="7" s="1"/>
  <c r="B824" i="7"/>
  <c r="N824" i="7" s="1"/>
  <c r="B1386" i="7"/>
  <c r="N1386" i="7" s="1"/>
  <c r="B833" i="7"/>
  <c r="N833" i="7" s="1"/>
  <c r="B408" i="7"/>
  <c r="N408" i="7" s="1"/>
  <c r="C166" i="3"/>
  <c r="B126" i="7" s="1"/>
  <c r="N126" i="7" s="1"/>
  <c r="B594" i="7"/>
  <c r="N594" i="7" s="1"/>
  <c r="B374" i="7"/>
  <c r="N374" i="7" s="1"/>
  <c r="B696" i="7"/>
  <c r="N696" i="7" s="1"/>
  <c r="B877" i="7"/>
  <c r="N877" i="7" s="1"/>
  <c r="I198" i="3"/>
  <c r="F142" i="6" s="1"/>
  <c r="I190" i="3"/>
  <c r="F134" i="6" s="1"/>
  <c r="C67" i="3"/>
  <c r="B11" i="6" s="1"/>
  <c r="B791" i="7"/>
  <c r="N791" i="7" s="1"/>
  <c r="I115" i="3"/>
  <c r="H177" i="7" s="1"/>
  <c r="I164" i="3"/>
  <c r="F108" i="6" s="1"/>
  <c r="B660" i="7"/>
  <c r="N660" i="7" s="1"/>
  <c r="B313" i="7"/>
  <c r="N313" i="7" s="1"/>
  <c r="B1418" i="7"/>
  <c r="N1418" i="7" s="1"/>
  <c r="C158" i="3"/>
  <c r="B102" i="6" s="1"/>
  <c r="B498" i="7"/>
  <c r="N498" i="7" s="1"/>
  <c r="B471" i="7"/>
  <c r="N471" i="7" s="1"/>
  <c r="B252" i="7"/>
  <c r="N252" i="7" s="1"/>
  <c r="B725" i="7"/>
  <c r="N725" i="7" s="1"/>
  <c r="I160" i="3"/>
  <c r="H132" i="7" s="1"/>
  <c r="B1031" i="7"/>
  <c r="N1031" i="7" s="1"/>
  <c r="I234" i="3"/>
  <c r="F178" i="6" s="1"/>
  <c r="B320" i="7"/>
  <c r="N320" i="7" s="1"/>
  <c r="B421" i="7"/>
  <c r="N421" i="7" s="1"/>
  <c r="B257" i="7"/>
  <c r="N257" i="7" s="1"/>
  <c r="B794" i="7"/>
  <c r="N794" i="7" s="1"/>
  <c r="C173" i="3"/>
  <c r="B117" i="6" s="1"/>
  <c r="B685" i="7"/>
  <c r="N685" i="7" s="1"/>
  <c r="B829" i="7"/>
  <c r="N829" i="7" s="1"/>
  <c r="B837" i="7"/>
  <c r="N837" i="7" s="1"/>
  <c r="B821" i="7"/>
  <c r="N821" i="7" s="1"/>
  <c r="B888" i="7"/>
  <c r="N888" i="7" s="1"/>
  <c r="B1120" i="7"/>
  <c r="N1120" i="7" s="1"/>
  <c r="I90" i="3"/>
  <c r="H202" i="7" s="1"/>
  <c r="C174" i="3"/>
  <c r="B118" i="7" s="1"/>
  <c r="N118" i="7" s="1"/>
  <c r="B505" i="7"/>
  <c r="N505" i="7" s="1"/>
  <c r="B497" i="7"/>
  <c r="N497" i="7" s="1"/>
  <c r="B261" i="7"/>
  <c r="N261" i="7" s="1"/>
  <c r="B728" i="7"/>
  <c r="N728" i="7" s="1"/>
  <c r="B1190" i="7"/>
  <c r="N1190" i="7" s="1"/>
  <c r="B1174" i="7"/>
  <c r="N1174" i="7" s="1"/>
  <c r="I241" i="3"/>
  <c r="H51" i="7" s="1"/>
  <c r="B968" i="7"/>
  <c r="N968" i="7" s="1"/>
  <c r="B451" i="7"/>
  <c r="N451" i="7" s="1"/>
  <c r="B306" i="7"/>
  <c r="N306" i="7" s="1"/>
  <c r="B805" i="7"/>
  <c r="N805" i="7" s="1"/>
  <c r="B350" i="7"/>
  <c r="N350" i="7" s="1"/>
  <c r="B749" i="7"/>
  <c r="N749" i="7" s="1"/>
  <c r="B849" i="7"/>
  <c r="N849" i="7" s="1"/>
  <c r="B256" i="7"/>
  <c r="N256" i="7" s="1"/>
  <c r="B863" i="7"/>
  <c r="N863" i="7" s="1"/>
  <c r="B908" i="7"/>
  <c r="N908" i="7" s="1"/>
  <c r="B287" i="7"/>
  <c r="N287" i="7" s="1"/>
  <c r="I168" i="3"/>
  <c r="F112" i="6" s="1"/>
  <c r="C263" i="3"/>
  <c r="B207" i="6" s="1"/>
  <c r="B512" i="7"/>
  <c r="N512" i="7" s="1"/>
  <c r="B507" i="7"/>
  <c r="N507" i="7" s="1"/>
  <c r="B389" i="7"/>
  <c r="N389" i="7" s="1"/>
  <c r="B745" i="7"/>
  <c r="N745" i="7" s="1"/>
  <c r="B1142" i="7"/>
  <c r="N1142" i="7" s="1"/>
  <c r="B1205" i="7"/>
  <c r="N1205" i="7" s="1"/>
  <c r="I242" i="3"/>
  <c r="F186" i="6" s="1"/>
  <c r="B1032" i="7"/>
  <c r="N1032" i="7" s="1"/>
  <c r="B473" i="7"/>
  <c r="N473" i="7" s="1"/>
  <c r="B335" i="7"/>
  <c r="N335" i="7" s="1"/>
  <c r="C132" i="3"/>
  <c r="B76" i="6" s="1"/>
  <c r="B469" i="7"/>
  <c r="N469" i="7" s="1"/>
  <c r="B835" i="7"/>
  <c r="N835" i="7" s="1"/>
  <c r="I187" i="3"/>
  <c r="F131" i="6" s="1"/>
  <c r="B334" i="7"/>
  <c r="N334" i="7" s="1"/>
  <c r="B909" i="7"/>
  <c r="N909" i="7" s="1"/>
  <c r="B925" i="7"/>
  <c r="N925" i="7" s="1"/>
  <c r="B422" i="7"/>
  <c r="N422" i="7" s="1"/>
  <c r="I185" i="3"/>
  <c r="H107" i="7" s="1"/>
  <c r="B247" i="7"/>
  <c r="N247" i="7" s="1"/>
  <c r="B530" i="7"/>
  <c r="N530" i="7" s="1"/>
  <c r="B511" i="7"/>
  <c r="N511" i="7" s="1"/>
  <c r="B395" i="7"/>
  <c r="N395" i="7" s="1"/>
  <c r="B752" i="7"/>
  <c r="N752" i="7" s="1"/>
  <c r="B1264" i="7"/>
  <c r="N1264" i="7" s="1"/>
  <c r="B1220" i="7"/>
  <c r="N1220" i="7" s="1"/>
  <c r="C167" i="3"/>
  <c r="B125" i="7" s="1"/>
  <c r="N125" i="7" s="1"/>
  <c r="B1111" i="7"/>
  <c r="N1111" i="7" s="1"/>
  <c r="B495" i="7"/>
  <c r="N495" i="7" s="1"/>
  <c r="B370" i="7"/>
  <c r="N370" i="7" s="1"/>
  <c r="C84" i="3"/>
  <c r="B208" i="7" s="1"/>
  <c r="N208" i="7" s="1"/>
  <c r="B553" i="7"/>
  <c r="N553" i="7" s="1"/>
  <c r="B846" i="7"/>
  <c r="N846" i="7" s="1"/>
  <c r="I255" i="3"/>
  <c r="H37" i="7" s="1"/>
  <c r="B399" i="7"/>
  <c r="N399" i="7" s="1"/>
  <c r="C229" i="3"/>
  <c r="B173" i="6" s="1"/>
  <c r="B935" i="7"/>
  <c r="N935" i="7" s="1"/>
  <c r="B518" i="7"/>
  <c r="N518" i="7" s="1"/>
  <c r="I178" i="3"/>
  <c r="F122" i="6" s="1"/>
  <c r="C266" i="3"/>
  <c r="B210" i="6" s="1"/>
  <c r="B563" i="7"/>
  <c r="N563" i="7" s="1"/>
  <c r="B623" i="7"/>
  <c r="N623" i="7" s="1"/>
  <c r="B453" i="7"/>
  <c r="N453" i="7" s="1"/>
  <c r="B783" i="7"/>
  <c r="N783" i="7" s="1"/>
  <c r="I72" i="3"/>
  <c r="F16" i="6" s="1"/>
  <c r="B1353" i="7"/>
  <c r="N1353" i="7" s="1"/>
  <c r="B1509" i="7"/>
  <c r="N1509" i="7" s="1"/>
  <c r="B1294" i="7"/>
  <c r="N1294" i="7" s="1"/>
  <c r="B602" i="7"/>
  <c r="N602" i="7" s="1"/>
  <c r="B460" i="7"/>
  <c r="N460" i="7" s="1"/>
  <c r="I229" i="3"/>
  <c r="F173" i="6" s="1"/>
  <c r="B545" i="7"/>
  <c r="N545" i="7" s="1"/>
  <c r="B879" i="7"/>
  <c r="N879" i="7" s="1"/>
  <c r="I281" i="3"/>
  <c r="F225" i="6" s="1"/>
  <c r="B541" i="7"/>
  <c r="N541" i="7" s="1"/>
  <c r="B681" i="7"/>
  <c r="N681" i="7" s="1"/>
  <c r="B962" i="7"/>
  <c r="N962" i="7" s="1"/>
  <c r="B864" i="7"/>
  <c r="N864" i="7" s="1"/>
  <c r="B1595" i="7"/>
  <c r="N1595" i="7" s="1"/>
  <c r="B236" i="7"/>
  <c r="N236" i="7" s="1"/>
  <c r="B570" i="7"/>
  <c r="N570" i="7" s="1"/>
  <c r="B632" i="7"/>
  <c r="N632" i="7" s="1"/>
  <c r="B484" i="7"/>
  <c r="N484" i="7" s="1"/>
  <c r="B789" i="7"/>
  <c r="N789" i="7" s="1"/>
  <c r="B1383" i="7"/>
  <c r="N1383" i="7" s="1"/>
  <c r="B1382" i="7"/>
  <c r="N1382" i="7" s="1"/>
  <c r="I88" i="3"/>
  <c r="F32" i="6" s="1"/>
  <c r="B1368" i="7"/>
  <c r="N1368" i="7" s="1"/>
  <c r="B621" i="7"/>
  <c r="N621" i="7" s="1"/>
  <c r="B483" i="7"/>
  <c r="N483" i="7" s="1"/>
  <c r="B1637" i="7"/>
  <c r="N1637" i="7" s="1"/>
  <c r="B630" i="7"/>
  <c r="N630" i="7" s="1"/>
  <c r="B890" i="7"/>
  <c r="N890" i="7" s="1"/>
  <c r="B1279" i="7"/>
  <c r="N1279" i="7" s="1"/>
  <c r="B583" i="7"/>
  <c r="N583" i="7" s="1"/>
  <c r="B797" i="7"/>
  <c r="N797" i="7" s="1"/>
  <c r="B970" i="7"/>
  <c r="N970" i="7" s="1"/>
  <c r="B907" i="7"/>
  <c r="N907" i="7" s="1"/>
  <c r="B1082" i="7"/>
  <c r="N1082" i="7" s="1"/>
  <c r="B1489" i="7"/>
  <c r="N1489" i="7" s="1"/>
  <c r="B333" i="7"/>
  <c r="N333" i="7" s="1"/>
  <c r="B573" i="7"/>
  <c r="N573" i="7" s="1"/>
  <c r="B638" i="7"/>
  <c r="N638" i="7" s="1"/>
  <c r="B496" i="7"/>
  <c r="N496" i="7" s="1"/>
  <c r="B793" i="7"/>
  <c r="N793" i="7" s="1"/>
  <c r="B1234" i="7"/>
  <c r="N1234" i="7" s="1"/>
  <c r="I195" i="3"/>
  <c r="F139" i="6" s="1"/>
  <c r="I91" i="3"/>
  <c r="F35" i="6" s="1"/>
  <c r="B1599" i="7"/>
  <c r="N1599" i="7" s="1"/>
  <c r="B639" i="7"/>
  <c r="N639" i="7" s="1"/>
  <c r="B503" i="7"/>
  <c r="N503" i="7" s="1"/>
  <c r="B1510" i="7"/>
  <c r="N1510" i="7" s="1"/>
  <c r="B704" i="7"/>
  <c r="N704" i="7" s="1"/>
  <c r="B900" i="7"/>
  <c r="N900" i="7" s="1"/>
  <c r="C135" i="3"/>
  <c r="B157" i="7" s="1"/>
  <c r="B1414" i="7"/>
  <c r="N1414" i="7" s="1"/>
  <c r="B297" i="7"/>
  <c r="N297" i="7" s="1"/>
  <c r="B978" i="7"/>
  <c r="N978" i="7" s="1"/>
  <c r="B934" i="7"/>
  <c r="N934" i="7" s="1"/>
  <c r="B1188" i="7"/>
  <c r="N1188" i="7" s="1"/>
  <c r="B1406" i="7"/>
  <c r="N1406" i="7" s="1"/>
  <c r="B366" i="7"/>
  <c r="N366" i="7" s="1"/>
  <c r="B592" i="7"/>
  <c r="N592" i="7" s="1"/>
  <c r="B655" i="7"/>
  <c r="N655" i="7" s="1"/>
  <c r="B506" i="7"/>
  <c r="N506" i="7" s="1"/>
  <c r="B813" i="7"/>
  <c r="N813" i="7" s="1"/>
  <c r="B1000" i="7"/>
  <c r="N1000" i="7" s="1"/>
  <c r="I256" i="3"/>
  <c r="H36" i="7" s="1"/>
  <c r="I120" i="3"/>
  <c r="F64" i="6" s="1"/>
  <c r="I104" i="3"/>
  <c r="F48" i="6" s="1"/>
  <c r="B653" i="7"/>
  <c r="N653" i="7" s="1"/>
  <c r="B522" i="7"/>
  <c r="N522" i="7" s="1"/>
  <c r="B463" i="7"/>
  <c r="N463" i="7" s="1"/>
  <c r="B730" i="7"/>
  <c r="N730" i="7" s="1"/>
  <c r="B918" i="7"/>
  <c r="N918" i="7" s="1"/>
  <c r="B564" i="7"/>
  <c r="N564" i="7" s="1"/>
  <c r="C87" i="3"/>
  <c r="B31" i="6" s="1"/>
  <c r="B364" i="7"/>
  <c r="N364" i="7" s="1"/>
  <c r="B1009" i="7"/>
  <c r="N1009" i="7" s="1"/>
  <c r="B950" i="7"/>
  <c r="N950" i="7" s="1"/>
  <c r="B1270" i="7"/>
  <c r="N1270" i="7" s="1"/>
  <c r="B1044" i="7"/>
  <c r="N1044" i="7" s="1"/>
  <c r="B377" i="7"/>
  <c r="N377" i="7" s="1"/>
  <c r="B854" i="7"/>
  <c r="N854" i="7" s="1"/>
  <c r="B836" i="7"/>
  <c r="N836" i="7" s="1"/>
  <c r="B764" i="7"/>
  <c r="N764" i="7" s="1"/>
  <c r="B1338" i="7"/>
  <c r="N1338" i="7" s="1"/>
  <c r="B282" i="7"/>
  <c r="N282" i="7" s="1"/>
  <c r="B943" i="7"/>
  <c r="N943" i="7" s="1"/>
  <c r="B754" i="7"/>
  <c r="N754" i="7" s="1"/>
  <c r="B850" i="7"/>
  <c r="N850" i="7" s="1"/>
  <c r="B1042" i="7"/>
  <c r="N1042" i="7" s="1"/>
  <c r="B780" i="7"/>
  <c r="N780" i="7" s="1"/>
  <c r="I71" i="3"/>
  <c r="H221" i="7" s="1"/>
  <c r="C181" i="3"/>
  <c r="B111" i="7" s="1"/>
  <c r="N111" i="7" s="1"/>
  <c r="B633" i="7"/>
  <c r="N633" i="7" s="1"/>
  <c r="C109" i="3"/>
  <c r="B53" i="6" s="1"/>
  <c r="C197" i="3"/>
  <c r="B141" i="6" s="1"/>
  <c r="B596" i="7"/>
  <c r="N596" i="7" s="1"/>
  <c r="B726" i="7"/>
  <c r="N726" i="7" s="1"/>
  <c r="B587" i="7"/>
  <c r="N587" i="7" s="1"/>
  <c r="B769" i="7"/>
  <c r="N769" i="7" s="1"/>
  <c r="B807" i="7"/>
  <c r="N807" i="7" s="1"/>
  <c r="B1584" i="7"/>
  <c r="N1584" i="7" s="1"/>
  <c r="C274" i="3"/>
  <c r="B698" i="7"/>
  <c r="N698" i="7" s="1"/>
  <c r="B1616" i="7"/>
  <c r="N1616" i="7" s="1"/>
  <c r="C196" i="3"/>
  <c r="B96" i="7" s="1"/>
  <c r="N96" i="7" s="1"/>
  <c r="C243" i="3"/>
  <c r="B187" i="6" s="1"/>
  <c r="B743" i="7"/>
  <c r="N743" i="7" s="1"/>
  <c r="B969" i="7"/>
  <c r="N969" i="7" s="1"/>
  <c r="B242" i="7"/>
  <c r="N242" i="7" s="1"/>
  <c r="B845" i="7"/>
  <c r="N845" i="7" s="1"/>
  <c r="B727" i="7"/>
  <c r="N727" i="7" s="1"/>
  <c r="B937" i="7"/>
  <c r="N937" i="7" s="1"/>
  <c r="C125" i="3"/>
  <c r="B69" i="6" s="1"/>
  <c r="I131" i="3"/>
  <c r="H161" i="7" s="1"/>
  <c r="B711" i="7"/>
  <c r="N711" i="7" s="1"/>
  <c r="B872" i="7"/>
  <c r="N872" i="7" s="1"/>
  <c r="B997" i="7"/>
  <c r="N997" i="7" s="1"/>
  <c r="C151" i="3"/>
  <c r="B141" i="7" s="1"/>
  <c r="N141" i="7" s="1"/>
  <c r="B965" i="7"/>
  <c r="N965" i="7" s="1"/>
  <c r="B763" i="7"/>
  <c r="N763" i="7" s="1"/>
  <c r="B459" i="7"/>
  <c r="N459" i="7" s="1"/>
  <c r="B464" i="7"/>
  <c r="N464" i="7" s="1"/>
  <c r="B911" i="7"/>
  <c r="N911" i="7" s="1"/>
  <c r="I83" i="3"/>
  <c r="F27" i="6" s="1"/>
  <c r="I123" i="3"/>
  <c r="H169" i="7" s="1"/>
  <c r="I159" i="3"/>
  <c r="F103" i="6" s="1"/>
  <c r="B755" i="7"/>
  <c r="N755" i="7" s="1"/>
  <c r="B694" i="7"/>
  <c r="N694" i="7" s="1"/>
  <c r="B475" i="7"/>
  <c r="N475" i="7" s="1"/>
  <c r="B447" i="7"/>
  <c r="N447" i="7" s="1"/>
  <c r="B672" i="7"/>
  <c r="N672" i="7" s="1"/>
  <c r="B741" i="7"/>
  <c r="N741" i="7" s="1"/>
  <c r="B757" i="7"/>
  <c r="N757" i="7" s="1"/>
  <c r="B407" i="7"/>
  <c r="N407" i="7" s="1"/>
  <c r="B880" i="7"/>
  <c r="N880" i="7" s="1"/>
  <c r="B562" i="7"/>
  <c r="N562" i="7" s="1"/>
  <c r="I283" i="3"/>
  <c r="F227" i="6" s="1"/>
  <c r="B1468" i="7"/>
  <c r="N1468" i="7" s="1"/>
  <c r="I165" i="3"/>
  <c r="F109" i="6" s="1"/>
  <c r="B717" i="7"/>
  <c r="N717" i="7" s="1"/>
  <c r="B691" i="7"/>
  <c r="N691" i="7" s="1"/>
  <c r="B465" i="7"/>
  <c r="N465" i="7" s="1"/>
  <c r="I207" i="3"/>
  <c r="H85" i="7" s="1"/>
  <c r="B606" i="7"/>
  <c r="N606" i="7" s="1"/>
  <c r="B708" i="7"/>
  <c r="N708" i="7" s="1"/>
  <c r="B615" i="7"/>
  <c r="N615" i="7" s="1"/>
  <c r="B342" i="7"/>
  <c r="N342" i="7" s="1"/>
  <c r="B858" i="7"/>
  <c r="N858" i="7" s="1"/>
  <c r="B544" i="7"/>
  <c r="N544" i="7" s="1"/>
  <c r="C106" i="3"/>
  <c r="B186" i="7" s="1"/>
  <c r="N186" i="7" s="1"/>
  <c r="B1427" i="7"/>
  <c r="N1427" i="7" s="1"/>
  <c r="C112" i="3"/>
  <c r="B56" i="6" s="1"/>
  <c r="B702" i="7"/>
  <c r="N702" i="7" s="1"/>
  <c r="B684" i="7"/>
  <c r="N684" i="7" s="1"/>
  <c r="B445" i="7"/>
  <c r="N445" i="7" s="1"/>
  <c r="I240" i="3"/>
  <c r="H52" i="7" s="1"/>
  <c r="B1109" i="7"/>
  <c r="N1109" i="7" s="1"/>
  <c r="B674" i="7"/>
  <c r="N674" i="7" s="1"/>
  <c r="B446" i="7"/>
  <c r="N446" i="7" s="1"/>
  <c r="B268" i="7"/>
  <c r="N268" i="7" s="1"/>
  <c r="B832" i="7"/>
  <c r="N832" i="7" s="1"/>
  <c r="B435" i="7"/>
  <c r="N435" i="7" s="1"/>
  <c r="C80" i="3"/>
  <c r="B24" i="6" s="1"/>
  <c r="I166" i="3"/>
  <c r="H126" i="7" s="1"/>
  <c r="I282" i="3"/>
  <c r="H4" i="7" s="1"/>
  <c r="B658" i="7"/>
  <c r="N658" i="7" s="1"/>
  <c r="B667" i="7"/>
  <c r="N667" i="7" s="1"/>
  <c r="B442" i="7"/>
  <c r="N442" i="7" s="1"/>
  <c r="I113" i="3"/>
  <c r="H179" i="7" s="1"/>
  <c r="B1101" i="7"/>
  <c r="N1101" i="7" s="1"/>
  <c r="B642" i="7"/>
  <c r="N642" i="7" s="1"/>
  <c r="C157" i="3"/>
  <c r="B135" i="7" s="1"/>
  <c r="N135" i="7" s="1"/>
  <c r="B926" i="7"/>
  <c r="N926" i="7" s="1"/>
  <c r="B816" i="7"/>
  <c r="N816" i="7" s="1"/>
  <c r="B400" i="7"/>
  <c r="N400" i="7" s="1"/>
  <c r="C116" i="3"/>
  <c r="B60" i="6" s="1"/>
  <c r="I112" i="3"/>
  <c r="F56" i="6" s="1"/>
  <c r="I251" i="3"/>
  <c r="H41" i="7" s="1"/>
  <c r="B634" i="7"/>
  <c r="N634" i="7" s="1"/>
  <c r="B663" i="7"/>
  <c r="N663" i="7" s="1"/>
  <c r="B436" i="7"/>
  <c r="N436" i="7" s="1"/>
  <c r="B1501" i="7"/>
  <c r="N1501" i="7" s="1"/>
  <c r="B1251" i="7"/>
  <c r="N1251" i="7" s="1"/>
  <c r="B964" i="7"/>
  <c r="N964" i="7" s="1"/>
  <c r="B441" i="7"/>
  <c r="N441" i="7" s="1"/>
  <c r="B692" i="7"/>
  <c r="N692" i="7" s="1"/>
  <c r="B1105" i="7"/>
  <c r="N1105" i="7" s="1"/>
  <c r="B1126" i="7"/>
  <c r="N1126" i="7" s="1"/>
  <c r="B1229" i="7"/>
  <c r="N1229" i="7" s="1"/>
  <c r="B1336" i="7"/>
  <c r="N1336" i="7" s="1"/>
  <c r="B1409" i="7"/>
  <c r="N1409" i="7" s="1"/>
  <c r="B1516" i="7"/>
  <c r="N1516" i="7" s="1"/>
  <c r="B597" i="7"/>
  <c r="N597" i="7" s="1"/>
  <c r="B972" i="7"/>
  <c r="N972" i="7" s="1"/>
  <c r="B1125" i="7"/>
  <c r="N1125" i="7" s="1"/>
  <c r="B1211" i="7"/>
  <c r="N1211" i="7" s="1"/>
  <c r="B1285" i="7"/>
  <c r="N1285" i="7" s="1"/>
  <c r="B1342" i="7"/>
  <c r="N1342" i="7" s="1"/>
  <c r="B1412" i="7"/>
  <c r="N1412" i="7" s="1"/>
  <c r="B1466" i="7"/>
  <c r="N1466" i="7" s="1"/>
  <c r="B1533" i="7"/>
  <c r="N1533" i="7" s="1"/>
  <c r="B723" i="7"/>
  <c r="N723" i="7" s="1"/>
  <c r="B1115" i="7"/>
  <c r="N1115" i="7" s="1"/>
  <c r="B1260" i="7"/>
  <c r="N1260" i="7" s="1"/>
  <c r="B1387" i="7"/>
  <c r="N1387" i="7" s="1"/>
  <c r="B1507" i="7"/>
  <c r="N1507" i="7" s="1"/>
  <c r="B1598" i="7"/>
  <c r="N1598" i="7" s="1"/>
  <c r="I81" i="3"/>
  <c r="F25" i="6" s="1"/>
  <c r="I145" i="3"/>
  <c r="H147" i="7" s="1"/>
  <c r="C256" i="3"/>
  <c r="B200" i="6" s="1"/>
  <c r="B1007" i="7"/>
  <c r="N1007" i="7" s="1"/>
  <c r="B1201" i="7"/>
  <c r="N1201" i="7" s="1"/>
  <c r="B1327" i="7"/>
  <c r="N1327" i="7" s="1"/>
  <c r="B1456" i="7"/>
  <c r="N1456" i="7" s="1"/>
  <c r="B1581" i="7"/>
  <c r="N1581" i="7" s="1"/>
  <c r="I61" i="3"/>
  <c r="H231" i="7" s="1"/>
  <c r="I122" i="3"/>
  <c r="H170" i="7" s="1"/>
  <c r="I201" i="3"/>
  <c r="F145" i="6" s="1"/>
  <c r="C140" i="3"/>
  <c r="B152" i="7" s="1"/>
  <c r="N152" i="7" s="1"/>
  <c r="I272" i="3"/>
  <c r="F216" i="6" s="1"/>
  <c r="I223" i="3"/>
  <c r="F167" i="6" s="1"/>
  <c r="I170" i="3"/>
  <c r="F114" i="6" s="1"/>
  <c r="I103" i="3"/>
  <c r="F47" i="6" s="1"/>
  <c r="B1633" i="7"/>
  <c r="N1633" i="7" s="1"/>
  <c r="B1547" i="7"/>
  <c r="N1547" i="7" s="1"/>
  <c r="B1390" i="7"/>
  <c r="N1390" i="7" s="1"/>
  <c r="B1271" i="7"/>
  <c r="N1271" i="7" s="1"/>
  <c r="B1133" i="7"/>
  <c r="N1133" i="7" s="1"/>
  <c r="B914" i="7"/>
  <c r="N914" i="7" s="1"/>
  <c r="C119" i="3"/>
  <c r="B63" i="6" s="1"/>
  <c r="C187" i="3"/>
  <c r="B131" i="6" s="1"/>
  <c r="I259" i="3"/>
  <c r="F203" i="6" s="1"/>
  <c r="I235" i="3"/>
  <c r="H57" i="7" s="1"/>
  <c r="I191" i="3"/>
  <c r="H101" i="7" s="1"/>
  <c r="I124" i="3"/>
  <c r="H168" i="7" s="1"/>
  <c r="K33" i="3"/>
  <c r="B1588" i="7"/>
  <c r="N1588" i="7" s="1"/>
  <c r="B1490" i="7"/>
  <c r="N1490" i="7" s="1"/>
  <c r="B1375" i="7"/>
  <c r="N1375" i="7" s="1"/>
  <c r="B1241" i="7"/>
  <c r="N1241" i="7" s="1"/>
  <c r="B1121" i="7"/>
  <c r="N1121" i="7" s="1"/>
  <c r="B751" i="7"/>
  <c r="N751" i="7" s="1"/>
  <c r="C105" i="3"/>
  <c r="B49" i="6" s="1"/>
  <c r="C156" i="3"/>
  <c r="B100" i="6" s="1"/>
  <c r="C188" i="3"/>
  <c r="B132" i="6" s="1"/>
  <c r="C223" i="3"/>
  <c r="B69" i="7" s="1"/>
  <c r="N69" i="7" s="1"/>
  <c r="C255" i="3"/>
  <c r="B199" i="6" s="1"/>
  <c r="C69" i="3"/>
  <c r="B223" i="7" s="1"/>
  <c r="N223" i="7" s="1"/>
  <c r="C134" i="3"/>
  <c r="B78" i="6" s="1"/>
  <c r="C178" i="3"/>
  <c r="B114" i="7" s="1"/>
  <c r="N114" i="7" s="1"/>
  <c r="C219" i="3"/>
  <c r="B163" i="6" s="1"/>
  <c r="C250" i="3"/>
  <c r="B42" i="7" s="1"/>
  <c r="N42" i="7" s="1"/>
  <c r="B233" i="7"/>
  <c r="N233" i="7" s="1"/>
  <c r="B262" i="7"/>
  <c r="N262" i="7" s="1"/>
  <c r="B296" i="7"/>
  <c r="N296" i="7" s="1"/>
  <c r="C162" i="3"/>
  <c r="B130" i="7" s="1"/>
  <c r="N130" i="7" s="1"/>
  <c r="C232" i="3"/>
  <c r="B60" i="7" s="1"/>
  <c r="N60" i="7" s="1"/>
  <c r="B245" i="7"/>
  <c r="N245" i="7" s="1"/>
  <c r="B285" i="7"/>
  <c r="N285" i="7" s="1"/>
  <c r="B319" i="7"/>
  <c r="N319" i="7" s="1"/>
  <c r="B352" i="7"/>
  <c r="N352" i="7" s="1"/>
  <c r="B381" i="7"/>
  <c r="N381" i="7" s="1"/>
  <c r="B420" i="7"/>
  <c r="N420" i="7" s="1"/>
  <c r="C89" i="3"/>
  <c r="C212" i="3"/>
  <c r="B80" i="7" s="1"/>
  <c r="N80" i="7" s="1"/>
  <c r="C265" i="3"/>
  <c r="B27" i="7" s="1"/>
  <c r="N27" i="7" s="1"/>
  <c r="B259" i="7"/>
  <c r="N259" i="7" s="1"/>
  <c r="B303" i="7"/>
  <c r="N303" i="7" s="1"/>
  <c r="B340" i="7"/>
  <c r="N340" i="7" s="1"/>
  <c r="B372" i="7"/>
  <c r="N372" i="7" s="1"/>
  <c r="B724" i="7"/>
  <c r="N724" i="7" s="1"/>
  <c r="C202" i="3"/>
  <c r="B146" i="6" s="1"/>
  <c r="B1132" i="7"/>
  <c r="N1132" i="7" s="1"/>
  <c r="B1255" i="7"/>
  <c r="N1255" i="7" s="1"/>
  <c r="B1343" i="7"/>
  <c r="N1343" i="7" s="1"/>
  <c r="B1432" i="7"/>
  <c r="N1432" i="7" s="1"/>
  <c r="B1534" i="7"/>
  <c r="N1534" i="7" s="1"/>
  <c r="B665" i="7"/>
  <c r="N665" i="7" s="1"/>
  <c r="B1011" i="7"/>
  <c r="N1011" i="7" s="1"/>
  <c r="B1143" i="7"/>
  <c r="N1143" i="7" s="1"/>
  <c r="B1218" i="7"/>
  <c r="N1218" i="7" s="1"/>
  <c r="B1300" i="7"/>
  <c r="N1300" i="7" s="1"/>
  <c r="B1358" i="7"/>
  <c r="N1358" i="7" s="1"/>
  <c r="B1425" i="7"/>
  <c r="N1425" i="7" s="1"/>
  <c r="B1480" i="7"/>
  <c r="N1480" i="7" s="1"/>
  <c r="B1549" i="7"/>
  <c r="N1549" i="7" s="1"/>
  <c r="B930" i="7"/>
  <c r="N930" i="7" s="1"/>
  <c r="B1162" i="7"/>
  <c r="N1162" i="7" s="1"/>
  <c r="B1292" i="7"/>
  <c r="N1292" i="7" s="1"/>
  <c r="B1424" i="7"/>
  <c r="N1424" i="7" s="1"/>
  <c r="B1536" i="7"/>
  <c r="N1536" i="7" s="1"/>
  <c r="B1614" i="7"/>
  <c r="N1614" i="7" s="1"/>
  <c r="I97" i="3"/>
  <c r="F41" i="6" s="1"/>
  <c r="I167" i="3"/>
  <c r="H125" i="7" s="1"/>
  <c r="B572" i="7"/>
  <c r="N572" i="7" s="1"/>
  <c r="B1065" i="7"/>
  <c r="N1065" i="7" s="1"/>
  <c r="B1209" i="7"/>
  <c r="N1209" i="7" s="1"/>
  <c r="B1333" i="7"/>
  <c r="N1333" i="7" s="1"/>
  <c r="B1464" i="7"/>
  <c r="N1464" i="7" s="1"/>
  <c r="B1585" i="7"/>
  <c r="N1585" i="7" s="1"/>
  <c r="I65" i="3"/>
  <c r="F9" i="6" s="1"/>
  <c r="I126" i="3"/>
  <c r="F70" i="6" s="1"/>
  <c r="I202" i="3"/>
  <c r="F146" i="6" s="1"/>
  <c r="C63" i="3"/>
  <c r="B7" i="6" s="1"/>
  <c r="I260" i="3"/>
  <c r="F204" i="6" s="1"/>
  <c r="I219" i="3"/>
  <c r="F163" i="6" s="1"/>
  <c r="I155" i="3"/>
  <c r="F99" i="6" s="1"/>
  <c r="I95" i="3"/>
  <c r="H197" i="7" s="1"/>
  <c r="B1625" i="7"/>
  <c r="N1625" i="7" s="1"/>
  <c r="B1531" i="7"/>
  <c r="N1531" i="7" s="1"/>
  <c r="B1374" i="7"/>
  <c r="N1374" i="7" s="1"/>
  <c r="B1256" i="7"/>
  <c r="N1256" i="7" s="1"/>
  <c r="B1119" i="7"/>
  <c r="N1119" i="7" s="1"/>
  <c r="B830" i="7"/>
  <c r="N830" i="7" s="1"/>
  <c r="C136" i="3"/>
  <c r="B156" i="7" s="1"/>
  <c r="N156" i="7" s="1"/>
  <c r="C203" i="3"/>
  <c r="B147" i="6" s="1"/>
  <c r="I258" i="3"/>
  <c r="H34" i="7" s="1"/>
  <c r="I231" i="3"/>
  <c r="F175" i="6" s="1"/>
  <c r="I183" i="3"/>
  <c r="F127" i="6" s="1"/>
  <c r="I116" i="3"/>
  <c r="H176" i="7" s="1"/>
  <c r="B1642" i="7"/>
  <c r="N1642" i="7" s="1"/>
  <c r="B1580" i="7"/>
  <c r="N1580" i="7" s="1"/>
  <c r="B1475" i="7"/>
  <c r="N1475" i="7" s="1"/>
  <c r="B1361" i="7"/>
  <c r="N1361" i="7" s="1"/>
  <c r="B1227" i="7"/>
  <c r="N1227" i="7" s="1"/>
  <c r="B1100" i="7"/>
  <c r="N1100" i="7" s="1"/>
  <c r="B625" i="7"/>
  <c r="N625" i="7" s="1"/>
  <c r="C110" i="3"/>
  <c r="B182" i="7" s="1"/>
  <c r="N182" i="7" s="1"/>
  <c r="C160" i="3"/>
  <c r="B104" i="6" s="1"/>
  <c r="C192" i="3"/>
  <c r="B100" i="7" s="1"/>
  <c r="N100" i="7" s="1"/>
  <c r="C227" i="3"/>
  <c r="B65" i="7" s="1"/>
  <c r="N65" i="7" s="1"/>
  <c r="C261" i="3"/>
  <c r="B205" i="6" s="1"/>
  <c r="C79" i="3"/>
  <c r="B213" i="7" s="1"/>
  <c r="N213" i="7" s="1"/>
  <c r="C145" i="3"/>
  <c r="B147" i="7" s="1"/>
  <c r="N147" i="7" s="1"/>
  <c r="C182" i="3"/>
  <c r="B126" i="6" s="1"/>
  <c r="C222" i="3"/>
  <c r="B70" i="7" s="1"/>
  <c r="N70" i="7" s="1"/>
  <c r="C254" i="3"/>
  <c r="B38" i="7" s="1"/>
  <c r="N38" i="7" s="1"/>
  <c r="B237" i="7"/>
  <c r="N237" i="7" s="1"/>
  <c r="B266" i="7"/>
  <c r="N266" i="7" s="1"/>
  <c r="B299" i="7"/>
  <c r="N299" i="7" s="1"/>
  <c r="C170" i="3"/>
  <c r="B122" i="7" s="1"/>
  <c r="N122" i="7" s="1"/>
  <c r="C239" i="3"/>
  <c r="B53" i="7" s="1"/>
  <c r="N53" i="7" s="1"/>
  <c r="B250" i="7"/>
  <c r="N250" i="7" s="1"/>
  <c r="B290" i="7"/>
  <c r="N290" i="7" s="1"/>
  <c r="B323" i="7"/>
  <c r="N323" i="7" s="1"/>
  <c r="B356" i="7"/>
  <c r="N356" i="7" s="1"/>
  <c r="B385" i="7"/>
  <c r="N385" i="7" s="1"/>
  <c r="B424" i="7"/>
  <c r="N424" i="7" s="1"/>
  <c r="C107" i="3"/>
  <c r="B51" i="6" s="1"/>
  <c r="C218" i="3"/>
  <c r="B162" i="6" s="1"/>
  <c r="C271" i="3"/>
  <c r="B21" i="7" s="1"/>
  <c r="N21" i="7" s="1"/>
  <c r="B264" i="7"/>
  <c r="N264" i="7" s="1"/>
  <c r="B307" i="7"/>
  <c r="N307" i="7" s="1"/>
  <c r="B343" i="7"/>
  <c r="N343" i="7" s="1"/>
  <c r="B376" i="7"/>
  <c r="N376" i="7" s="1"/>
  <c r="B773" i="7"/>
  <c r="N773" i="7" s="1"/>
  <c r="B358" i="7"/>
  <c r="N358" i="7" s="1"/>
  <c r="B1136" i="7"/>
  <c r="N1136" i="7" s="1"/>
  <c r="B1258" i="7"/>
  <c r="N1258" i="7" s="1"/>
  <c r="B1347" i="7"/>
  <c r="N1347" i="7" s="1"/>
  <c r="B1441" i="7"/>
  <c r="N1441" i="7" s="1"/>
  <c r="B1538" i="7"/>
  <c r="N1538" i="7" s="1"/>
  <c r="B700" i="7"/>
  <c r="N700" i="7" s="1"/>
  <c r="B1027" i="7"/>
  <c r="N1027" i="7" s="1"/>
  <c r="B1147" i="7"/>
  <c r="N1147" i="7" s="1"/>
  <c r="B1221" i="7"/>
  <c r="N1221" i="7" s="1"/>
  <c r="B1304" i="7"/>
  <c r="N1304" i="7" s="1"/>
  <c r="B1362" i="7"/>
  <c r="N1362" i="7" s="1"/>
  <c r="B1428" i="7"/>
  <c r="N1428" i="7" s="1"/>
  <c r="B1484" i="7"/>
  <c r="N1484" i="7" s="1"/>
  <c r="B1552" i="7"/>
  <c r="N1552" i="7" s="1"/>
  <c r="B946" i="7"/>
  <c r="N946" i="7" s="1"/>
  <c r="B1170" i="7"/>
  <c r="N1170" i="7" s="1"/>
  <c r="B1299" i="7"/>
  <c r="N1299" i="7" s="1"/>
  <c r="B1430" i="7"/>
  <c r="N1430" i="7" s="1"/>
  <c r="B1544" i="7"/>
  <c r="N1544" i="7" s="1"/>
  <c r="B1618" i="7"/>
  <c r="N1618" i="7" s="1"/>
  <c r="I101" i="3"/>
  <c r="F45" i="6" s="1"/>
  <c r="I171" i="3"/>
  <c r="F115" i="6" s="1"/>
  <c r="B649" i="7"/>
  <c r="N649" i="7" s="1"/>
  <c r="B1094" i="7"/>
  <c r="N1094" i="7" s="1"/>
  <c r="B1223" i="7"/>
  <c r="N1223" i="7" s="1"/>
  <c r="B1348" i="7"/>
  <c r="N1348" i="7" s="1"/>
  <c r="B1478" i="7"/>
  <c r="N1478" i="7" s="1"/>
  <c r="B1593" i="7"/>
  <c r="N1593" i="7" s="1"/>
  <c r="I74" i="3"/>
  <c r="I134" i="3"/>
  <c r="I210" i="3"/>
  <c r="C121" i="3"/>
  <c r="B171" i="7" s="1"/>
  <c r="N171" i="7" s="1"/>
  <c r="I254" i="3"/>
  <c r="F198" i="6" s="1"/>
  <c r="I216" i="3"/>
  <c r="I151" i="3"/>
  <c r="I87" i="3"/>
  <c r="F31" i="6" s="1"/>
  <c r="B1611" i="7"/>
  <c r="N1611" i="7" s="1"/>
  <c r="B1517" i="7"/>
  <c r="N1517" i="7" s="1"/>
  <c r="B1360" i="7"/>
  <c r="N1360" i="7" s="1"/>
  <c r="B1240" i="7"/>
  <c r="N1240" i="7" s="1"/>
  <c r="B1099" i="7"/>
  <c r="N1099" i="7" s="1"/>
  <c r="B747" i="7"/>
  <c r="N747" i="7" s="1"/>
  <c r="C60" i="3"/>
  <c r="B232" i="7" s="1"/>
  <c r="N232" i="7" s="1"/>
  <c r="I280" i="3"/>
  <c r="F224" i="6" s="1"/>
  <c r="I257" i="3"/>
  <c r="H35" i="7" s="1"/>
  <c r="I226" i="3"/>
  <c r="I177" i="3"/>
  <c r="I108" i="3"/>
  <c r="B1634" i="7"/>
  <c r="N1634" i="7" s="1"/>
  <c r="B1573" i="7"/>
  <c r="N1573" i="7" s="1"/>
  <c r="B1461" i="7"/>
  <c r="N1461" i="7" s="1"/>
  <c r="B1345" i="7"/>
  <c r="N1345" i="7" s="1"/>
  <c r="B1213" i="7"/>
  <c r="N1213" i="7" s="1"/>
  <c r="B1073" i="7"/>
  <c r="N1073" i="7" s="1"/>
  <c r="B456" i="7"/>
  <c r="N456" i="7" s="1"/>
  <c r="C115" i="3"/>
  <c r="B59" i="6" s="1"/>
  <c r="C165" i="3"/>
  <c r="C198" i="3"/>
  <c r="C230" i="3"/>
  <c r="B62" i="7" s="1"/>
  <c r="N62" i="7" s="1"/>
  <c r="C264" i="3"/>
  <c r="B208" i="6" s="1"/>
  <c r="C86" i="3"/>
  <c r="B206" i="7" s="1"/>
  <c r="N206" i="7" s="1"/>
  <c r="C149" i="3"/>
  <c r="C186" i="3"/>
  <c r="B106" i="7" s="1"/>
  <c r="N106" i="7" s="1"/>
  <c r="C226" i="3"/>
  <c r="B66" i="7" s="1"/>
  <c r="N66" i="7" s="1"/>
  <c r="C257" i="3"/>
  <c r="B201" i="6" s="1"/>
  <c r="B240" i="7"/>
  <c r="N240" i="7" s="1"/>
  <c r="B269" i="7"/>
  <c r="N269" i="7" s="1"/>
  <c r="B305" i="7"/>
  <c r="N305" i="7" s="1"/>
  <c r="C177" i="3"/>
  <c r="B115" i="7" s="1"/>
  <c r="N115" i="7" s="1"/>
  <c r="C253" i="3"/>
  <c r="B197" i="6" s="1"/>
  <c r="B255" i="7"/>
  <c r="N255" i="7" s="1"/>
  <c r="B295" i="7"/>
  <c r="N295" i="7" s="1"/>
  <c r="B326" i="7"/>
  <c r="N326" i="7" s="1"/>
  <c r="B359" i="7"/>
  <c r="N359" i="7" s="1"/>
  <c r="B392" i="7"/>
  <c r="N392" i="7" s="1"/>
  <c r="B428" i="7"/>
  <c r="N428" i="7" s="1"/>
  <c r="C117" i="3"/>
  <c r="B175" i="7" s="1"/>
  <c r="N175" i="7" s="1"/>
  <c r="C224" i="3"/>
  <c r="B168" i="6" s="1"/>
  <c r="C278" i="3"/>
  <c r="B222" i="6" s="1"/>
  <c r="B273" i="7"/>
  <c r="N273" i="7" s="1"/>
  <c r="B311" i="7"/>
  <c r="N311" i="7" s="1"/>
  <c r="B347" i="7"/>
  <c r="N347" i="7" s="1"/>
  <c r="B380" i="7"/>
  <c r="N380" i="7" s="1"/>
  <c r="B898" i="7"/>
  <c r="N898" i="7" s="1"/>
  <c r="B843" i="7"/>
  <c r="N843" i="7" s="1"/>
  <c r="B1164" i="7"/>
  <c r="N1164" i="7" s="1"/>
  <c r="B1266" i="7"/>
  <c r="N1266" i="7" s="1"/>
  <c r="B1366" i="7"/>
  <c r="N1366" i="7" s="1"/>
  <c r="B1459" i="7"/>
  <c r="N1459" i="7" s="1"/>
  <c r="B1546" i="7"/>
  <c r="N1546" i="7" s="1"/>
  <c r="B819" i="7"/>
  <c r="N819" i="7" s="1"/>
  <c r="B1061" i="7"/>
  <c r="N1061" i="7" s="1"/>
  <c r="B1155" i="7"/>
  <c r="N1155" i="7" s="1"/>
  <c r="B1242" i="7"/>
  <c r="N1242" i="7" s="1"/>
  <c r="B1311" i="7"/>
  <c r="N1311" i="7" s="1"/>
  <c r="B1376" i="7"/>
  <c r="N1376" i="7" s="1"/>
  <c r="B1434" i="7"/>
  <c r="N1434" i="7" s="1"/>
  <c r="B1491" i="7"/>
  <c r="N1491" i="7" s="1"/>
  <c r="B1559" i="7"/>
  <c r="N1559" i="7" s="1"/>
  <c r="B977" i="7"/>
  <c r="N977" i="7" s="1"/>
  <c r="B1186" i="7"/>
  <c r="N1186" i="7" s="1"/>
  <c r="B1314" i="7"/>
  <c r="N1314" i="7" s="1"/>
  <c r="B1442" i="7"/>
  <c r="N1442" i="7" s="1"/>
  <c r="B1558" i="7"/>
  <c r="N1558" i="7" s="1"/>
  <c r="B1624" i="7"/>
  <c r="N1624" i="7" s="1"/>
  <c r="I109" i="3"/>
  <c r="H183" i="7" s="1"/>
  <c r="I179" i="3"/>
  <c r="F123" i="6" s="1"/>
  <c r="B767" i="7"/>
  <c r="N767" i="7" s="1"/>
  <c r="B1104" i="7"/>
  <c r="N1104" i="7" s="1"/>
  <c r="B1230" i="7"/>
  <c r="N1230" i="7" s="1"/>
  <c r="B1356" i="7"/>
  <c r="N1356" i="7" s="1"/>
  <c r="B1492" i="7"/>
  <c r="N1492" i="7" s="1"/>
  <c r="B1597" i="7"/>
  <c r="N1597" i="7" s="1"/>
  <c r="I78" i="3"/>
  <c r="I138" i="3"/>
  <c r="F82" i="6" s="1"/>
  <c r="I214" i="3"/>
  <c r="C142" i="3"/>
  <c r="I246" i="3"/>
  <c r="I213" i="3"/>
  <c r="I143" i="3"/>
  <c r="F87" i="6" s="1"/>
  <c r="I79" i="3"/>
  <c r="B1603" i="7"/>
  <c r="N1603" i="7" s="1"/>
  <c r="B1503" i="7"/>
  <c r="N1503" i="7" s="1"/>
  <c r="B1344" i="7"/>
  <c r="N1344" i="7" s="1"/>
  <c r="B1226" i="7"/>
  <c r="N1226" i="7" s="1"/>
  <c r="B1072" i="7"/>
  <c r="N1072" i="7" s="1"/>
  <c r="B616" i="7"/>
  <c r="N616" i="7" s="1"/>
  <c r="C85" i="3"/>
  <c r="I279" i="3"/>
  <c r="I253" i="3"/>
  <c r="I222" i="3"/>
  <c r="H70" i="7" s="1"/>
  <c r="I169" i="3"/>
  <c r="F113" i="6" s="1"/>
  <c r="I100" i="3"/>
  <c r="H192" i="7" s="1"/>
  <c r="B1626" i="7"/>
  <c r="N1626" i="7" s="1"/>
  <c r="B1561" i="7"/>
  <c r="N1561" i="7" s="1"/>
  <c r="B1445" i="7"/>
  <c r="N1445" i="7" s="1"/>
  <c r="B1331" i="7"/>
  <c r="N1331" i="7" s="1"/>
  <c r="B1198" i="7"/>
  <c r="N1198" i="7" s="1"/>
  <c r="B1016" i="7"/>
  <c r="N1016" i="7" s="1"/>
  <c r="C73" i="3"/>
  <c r="C123" i="3"/>
  <c r="B67" i="6" s="1"/>
  <c r="C169" i="3"/>
  <c r="C208" i="3"/>
  <c r="B84" i="7" s="1"/>
  <c r="N84" i="7" s="1"/>
  <c r="C237" i="3"/>
  <c r="C267" i="3"/>
  <c r="B211" i="6" s="1"/>
  <c r="C97" i="3"/>
  <c r="B195" i="7" s="1"/>
  <c r="N195" i="7" s="1"/>
  <c r="C154" i="3"/>
  <c r="B98" i="6" s="1"/>
  <c r="C190" i="3"/>
  <c r="B134" i="6" s="1"/>
  <c r="C233" i="3"/>
  <c r="B177" i="6" s="1"/>
  <c r="C260" i="3"/>
  <c r="B32" i="7" s="1"/>
  <c r="N32" i="7" s="1"/>
  <c r="B243" i="7"/>
  <c r="N243" i="7" s="1"/>
  <c r="B276" i="7"/>
  <c r="N276" i="7" s="1"/>
  <c r="B309" i="7"/>
  <c r="N309" i="7" s="1"/>
  <c r="C185" i="3"/>
  <c r="B107" i="7" s="1"/>
  <c r="N107" i="7" s="1"/>
  <c r="C259" i="3"/>
  <c r="B33" i="7" s="1"/>
  <c r="N33" i="7" s="1"/>
  <c r="B260" i="7"/>
  <c r="N260" i="7" s="1"/>
  <c r="B300" i="7"/>
  <c r="N300" i="7" s="1"/>
  <c r="B329" i="7"/>
  <c r="N329" i="7" s="1"/>
  <c r="B363" i="7"/>
  <c r="N363" i="7" s="1"/>
  <c r="B398" i="7"/>
  <c r="N398" i="7" s="1"/>
  <c r="B431" i="7"/>
  <c r="N431" i="7" s="1"/>
  <c r="C133" i="3"/>
  <c r="B159" i="7" s="1"/>
  <c r="N159" i="7" s="1"/>
  <c r="C231" i="3"/>
  <c r="B61" i="7" s="1"/>
  <c r="N61" i="7" s="1"/>
  <c r="B235" i="7"/>
  <c r="N235" i="7" s="1"/>
  <c r="B278" i="7"/>
  <c r="N278" i="7" s="1"/>
  <c r="B315" i="7"/>
  <c r="N315" i="7" s="1"/>
  <c r="B351" i="7"/>
  <c r="N351" i="7" s="1"/>
  <c r="B384" i="7"/>
  <c r="N384" i="7" s="1"/>
  <c r="B990" i="7"/>
  <c r="N990" i="7" s="1"/>
  <c r="B1020" i="7"/>
  <c r="N1020" i="7" s="1"/>
  <c r="B1196" i="7"/>
  <c r="N1196" i="7" s="1"/>
  <c r="B1290" i="7"/>
  <c r="N1290" i="7" s="1"/>
  <c r="B1393" i="7"/>
  <c r="N1393" i="7" s="1"/>
  <c r="B1477" i="7"/>
  <c r="N1477" i="7" s="1"/>
  <c r="B1567" i="7"/>
  <c r="N1567" i="7" s="1"/>
  <c r="B941" i="7"/>
  <c r="N941" i="7" s="1"/>
  <c r="B1083" i="7"/>
  <c r="N1083" i="7" s="1"/>
  <c r="B1179" i="7"/>
  <c r="N1179" i="7" s="1"/>
  <c r="B1269" i="7"/>
  <c r="N1269" i="7" s="1"/>
  <c r="B1329" i="7"/>
  <c r="N1329" i="7" s="1"/>
  <c r="B1396" i="7"/>
  <c r="N1396" i="7" s="1"/>
  <c r="B1450" i="7"/>
  <c r="N1450" i="7" s="1"/>
  <c r="B1511" i="7"/>
  <c r="N1511" i="7" s="1"/>
  <c r="B393" i="7"/>
  <c r="N393" i="7" s="1"/>
  <c r="B1066" i="7"/>
  <c r="N1066" i="7" s="1"/>
  <c r="B1224" i="7"/>
  <c r="N1224" i="7" s="1"/>
  <c r="B1357" i="7"/>
  <c r="N1357" i="7" s="1"/>
  <c r="B1479" i="7"/>
  <c r="N1479" i="7" s="1"/>
  <c r="B1582" i="7"/>
  <c r="N1582" i="7" s="1"/>
  <c r="I64" i="3"/>
  <c r="H228" i="7" s="1"/>
  <c r="I129" i="3"/>
  <c r="H163" i="7" s="1"/>
  <c r="I196" i="3"/>
  <c r="F140" i="6" s="1"/>
  <c r="B945" i="7"/>
  <c r="N945" i="7" s="1"/>
  <c r="B1145" i="7"/>
  <c r="N1145" i="7" s="1"/>
  <c r="B1267" i="7"/>
  <c r="N1267" i="7" s="1"/>
  <c r="B1394" i="7"/>
  <c r="N1394" i="7" s="1"/>
  <c r="B1527" i="7"/>
  <c r="N1527" i="7" s="1"/>
  <c r="B1617" i="7"/>
  <c r="N1617" i="7" s="1"/>
  <c r="I94" i="3"/>
  <c r="F38" i="6" s="1"/>
  <c r="I172" i="3"/>
  <c r="H120" i="7" s="1"/>
  <c r="C104" i="3"/>
  <c r="B48" i="6" s="1"/>
  <c r="I289" i="3"/>
  <c r="I236" i="3"/>
  <c r="I194" i="3"/>
  <c r="I127" i="3"/>
  <c r="F71" i="6" s="1"/>
  <c r="I62" i="3"/>
  <c r="H230" i="7" s="1"/>
  <c r="B1587" i="7"/>
  <c r="N1587" i="7" s="1"/>
  <c r="B1474" i="7"/>
  <c r="N1474" i="7" s="1"/>
  <c r="B1317" i="7"/>
  <c r="N1317" i="7" s="1"/>
  <c r="B1181" i="7"/>
  <c r="N1181" i="7" s="1"/>
  <c r="B1015" i="7"/>
  <c r="N1015" i="7" s="1"/>
  <c r="C92" i="3"/>
  <c r="B36" i="6" s="1"/>
  <c r="C137" i="3"/>
  <c r="B155" i="7" s="1"/>
  <c r="N155" i="7" s="1"/>
  <c r="I271" i="3"/>
  <c r="H21" i="7" s="1"/>
  <c r="I245" i="3"/>
  <c r="F189" i="6" s="1"/>
  <c r="I212" i="3"/>
  <c r="H80" i="7" s="1"/>
  <c r="I148" i="3"/>
  <c r="I84" i="3"/>
  <c r="F28" i="6" s="1"/>
  <c r="B1612" i="7"/>
  <c r="N1612" i="7" s="1"/>
  <c r="B1532" i="7"/>
  <c r="N1532" i="7" s="1"/>
  <c r="B1421" i="7"/>
  <c r="N1421" i="7" s="1"/>
  <c r="B1303" i="7"/>
  <c r="N1303" i="7" s="1"/>
  <c r="B1166" i="7"/>
  <c r="N1166" i="7" s="1"/>
  <c r="B954" i="7"/>
  <c r="N954" i="7" s="1"/>
  <c r="C90" i="3"/>
  <c r="B34" i="6" s="1"/>
  <c r="C139" i="3"/>
  <c r="B153" i="7" s="1"/>
  <c r="N153" i="7" s="1"/>
  <c r="C176" i="3"/>
  <c r="B116" i="7" s="1"/>
  <c r="N116" i="7" s="1"/>
  <c r="C214" i="3"/>
  <c r="B78" i="7" s="1"/>
  <c r="N78" i="7" s="1"/>
  <c r="C245" i="3"/>
  <c r="B47" i="7" s="1"/>
  <c r="N47" i="7" s="1"/>
  <c r="C277" i="3"/>
  <c r="B221" i="6" s="1"/>
  <c r="C111" i="3"/>
  <c r="B55" i="6" s="1"/>
  <c r="C164" i="3"/>
  <c r="B128" i="7" s="1"/>
  <c r="N128" i="7" s="1"/>
  <c r="C204" i="3"/>
  <c r="B88" i="7" s="1"/>
  <c r="N88" i="7" s="1"/>
  <c r="C240" i="3"/>
  <c r="B52" i="7" s="1"/>
  <c r="N52" i="7" s="1"/>
  <c r="C269" i="3"/>
  <c r="B23" i="7" s="1"/>
  <c r="N23" i="7" s="1"/>
  <c r="B251" i="7"/>
  <c r="N251" i="7" s="1"/>
  <c r="B284" i="7"/>
  <c r="N284" i="7" s="1"/>
  <c r="C118" i="3"/>
  <c r="B62" i="6" s="1"/>
  <c r="C200" i="3"/>
  <c r="B144" i="6" s="1"/>
  <c r="C272" i="3"/>
  <c r="B20" i="7" s="1"/>
  <c r="N20" i="7" s="1"/>
  <c r="B270" i="7"/>
  <c r="N270" i="7" s="1"/>
  <c r="B308" i="7"/>
  <c r="N308" i="7" s="1"/>
  <c r="B337" i="7"/>
  <c r="N337" i="7" s="1"/>
  <c r="B369" i="7"/>
  <c r="N369" i="7" s="1"/>
  <c r="B405" i="7"/>
  <c r="N405" i="7" s="1"/>
  <c r="B437" i="7"/>
  <c r="N437" i="7" s="1"/>
  <c r="C152" i="3"/>
  <c r="B140" i="7" s="1"/>
  <c r="N140" i="7" s="1"/>
  <c r="C246" i="3"/>
  <c r="B46" i="7" s="1"/>
  <c r="N46" i="7" s="1"/>
  <c r="B244" i="7"/>
  <c r="N244" i="7" s="1"/>
  <c r="B289" i="7"/>
  <c r="N289" i="7" s="1"/>
  <c r="B325" i="7"/>
  <c r="N325" i="7" s="1"/>
  <c r="B362" i="7"/>
  <c r="N362" i="7" s="1"/>
  <c r="B391" i="7"/>
  <c r="N391" i="7" s="1"/>
  <c r="B998" i="7"/>
  <c r="N998" i="7" s="1"/>
  <c r="B1036" i="7"/>
  <c r="N1036" i="7" s="1"/>
  <c r="B1200" i="7"/>
  <c r="N1200" i="7" s="1"/>
  <c r="B1301" i="7"/>
  <c r="N1301" i="7" s="1"/>
  <c r="B1397" i="7"/>
  <c r="N1397" i="7" s="1"/>
  <c r="B1481" i="7"/>
  <c r="N1481" i="7" s="1"/>
  <c r="B275" i="7"/>
  <c r="N275" i="7" s="1"/>
  <c r="B949" i="7"/>
  <c r="N949" i="7" s="1"/>
  <c r="B1091" i="7"/>
  <c r="N1091" i="7" s="1"/>
  <c r="B1187" i="7"/>
  <c r="N1187" i="7" s="1"/>
  <c r="B1273" i="7"/>
  <c r="N1273" i="7" s="1"/>
  <c r="B1332" i="7"/>
  <c r="N1332" i="7" s="1"/>
  <c r="B1400" i="7"/>
  <c r="N1400" i="7" s="1"/>
  <c r="B1454" i="7"/>
  <c r="N1454" i="7" s="1"/>
  <c r="B1515" i="7"/>
  <c r="N1515" i="7" s="1"/>
  <c r="B499" i="7"/>
  <c r="N499" i="7" s="1"/>
  <c r="B1080" i="7"/>
  <c r="N1080" i="7" s="1"/>
  <c r="B1231" i="7"/>
  <c r="N1231" i="7" s="1"/>
  <c r="B1365" i="7"/>
  <c r="N1365" i="7" s="1"/>
  <c r="B1486" i="7"/>
  <c r="N1486" i="7" s="1"/>
  <c r="B1586" i="7"/>
  <c r="N1586" i="7" s="1"/>
  <c r="I68" i="3"/>
  <c r="H224" i="7" s="1"/>
  <c r="I133" i="3"/>
  <c r="H159" i="7" s="1"/>
  <c r="I200" i="3"/>
  <c r="F144" i="6" s="1"/>
  <c r="B960" i="7"/>
  <c r="N960" i="7" s="1"/>
  <c r="B1161" i="7"/>
  <c r="N1161" i="7" s="1"/>
  <c r="B1283" i="7"/>
  <c r="N1283" i="7" s="1"/>
  <c r="B1410" i="7"/>
  <c r="N1410" i="7" s="1"/>
  <c r="B1543" i="7"/>
  <c r="N1543" i="7" s="1"/>
  <c r="B1623" i="7"/>
  <c r="N1623" i="7" s="1"/>
  <c r="I102" i="3"/>
  <c r="I181" i="3"/>
  <c r="F125" i="6" s="1"/>
  <c r="C72" i="3"/>
  <c r="B16" i="6" s="1"/>
  <c r="I287" i="3"/>
  <c r="H9" i="7" s="1"/>
  <c r="I232" i="3"/>
  <c r="F176" i="6" s="1"/>
  <c r="I186" i="3"/>
  <c r="H106" i="7" s="1"/>
  <c r="I119" i="3"/>
  <c r="F63" i="6" s="1"/>
  <c r="I60" i="3"/>
  <c r="H232" i="7" s="1"/>
  <c r="B1579" i="7"/>
  <c r="N1579" i="7" s="1"/>
  <c r="B1460" i="7"/>
  <c r="N1460" i="7" s="1"/>
  <c r="B1302" i="7"/>
  <c r="N1302" i="7" s="1"/>
  <c r="B1165" i="7"/>
  <c r="N1165" i="7" s="1"/>
  <c r="B984" i="7"/>
  <c r="N984" i="7" s="1"/>
  <c r="C77" i="3"/>
  <c r="B215" i="7" s="1"/>
  <c r="N215" i="7" s="1"/>
  <c r="C155" i="3"/>
  <c r="B137" i="7" s="1"/>
  <c r="N137" i="7" s="1"/>
  <c r="I267" i="3"/>
  <c r="H25" i="7" s="1"/>
  <c r="I243" i="3"/>
  <c r="F187" i="6" s="1"/>
  <c r="I204" i="3"/>
  <c r="H88" i="7" s="1"/>
  <c r="I140" i="3"/>
  <c r="F84" i="6" s="1"/>
  <c r="I76" i="3"/>
  <c r="B1604" i="7"/>
  <c r="N1604" i="7" s="1"/>
  <c r="B1518" i="7"/>
  <c r="N1518" i="7" s="1"/>
  <c r="B1407" i="7"/>
  <c r="N1407" i="7" s="1"/>
  <c r="B1288" i="7"/>
  <c r="N1288" i="7" s="1"/>
  <c r="B1150" i="7"/>
  <c r="N1150" i="7" s="1"/>
  <c r="B916" i="7"/>
  <c r="N916" i="7" s="1"/>
  <c r="C95" i="3"/>
  <c r="B39" i="6" s="1"/>
  <c r="C146" i="3"/>
  <c r="B90" i="6" s="1"/>
  <c r="C180" i="3"/>
  <c r="B112" i="7" s="1"/>
  <c r="N112" i="7" s="1"/>
  <c r="C217" i="3"/>
  <c r="B161" i="6" s="1"/>
  <c r="C248" i="3"/>
  <c r="B192" i="6" s="1"/>
  <c r="B1243" i="7"/>
  <c r="N1243" i="7" s="1"/>
  <c r="C122" i="3"/>
  <c r="B66" i="6" s="1"/>
  <c r="C168" i="3"/>
  <c r="B112" i="6" s="1"/>
  <c r="C206" i="3"/>
  <c r="B86" i="7" s="1"/>
  <c r="N86" i="7" s="1"/>
  <c r="C244" i="3"/>
  <c r="B188" i="6" s="1"/>
  <c r="C273" i="3"/>
  <c r="B19" i="7" s="1"/>
  <c r="N19" i="7" s="1"/>
  <c r="B254" i="7"/>
  <c r="N254" i="7" s="1"/>
  <c r="B288" i="7"/>
  <c r="N288" i="7" s="1"/>
  <c r="C143" i="3"/>
  <c r="B87" i="6" s="1"/>
  <c r="C213" i="3"/>
  <c r="B157" i="6" s="1"/>
  <c r="C279" i="3"/>
  <c r="B223" i="6" s="1"/>
  <c r="B274" i="7"/>
  <c r="N274" i="7" s="1"/>
  <c r="B312" i="7"/>
  <c r="N312" i="7" s="1"/>
  <c r="B344" i="7"/>
  <c r="N344" i="7" s="1"/>
  <c r="B373" i="7"/>
  <c r="N373" i="7" s="1"/>
  <c r="B409" i="7"/>
  <c r="N409" i="7" s="1"/>
  <c r="B440" i="7"/>
  <c r="N440" i="7" s="1"/>
  <c r="C161" i="3"/>
  <c r="B131" i="7" s="1"/>
  <c r="N131" i="7" s="1"/>
  <c r="C252" i="3"/>
  <c r="B40" i="7" s="1"/>
  <c r="N40" i="7" s="1"/>
  <c r="B249" i="7"/>
  <c r="N249" i="7" s="1"/>
  <c r="B294" i="7"/>
  <c r="N294" i="7" s="1"/>
  <c r="B332" i="7"/>
  <c r="N332" i="7" s="1"/>
  <c r="B365" i="7"/>
  <c r="N365" i="7" s="1"/>
  <c r="B394" i="7"/>
  <c r="N394" i="7" s="1"/>
  <c r="B974" i="7"/>
  <c r="N974" i="7" s="1"/>
  <c r="B1373" i="7"/>
  <c r="N1373" i="7" s="1"/>
  <c r="B1069" i="7"/>
  <c r="N1069" i="7" s="1"/>
  <c r="B1380" i="7"/>
  <c r="N1380" i="7" s="1"/>
  <c r="B993" i="7"/>
  <c r="N993" i="7" s="1"/>
  <c r="B1565" i="7"/>
  <c r="N1565" i="7" s="1"/>
  <c r="B808" i="7"/>
  <c r="N808" i="7" s="1"/>
  <c r="B1520" i="7"/>
  <c r="N1520" i="7" s="1"/>
  <c r="C120" i="3"/>
  <c r="B172" i="7" s="1"/>
  <c r="N172" i="7" s="1"/>
  <c r="I135" i="3"/>
  <c r="F79" i="6" s="1"/>
  <c r="B1330" i="7"/>
  <c r="N1330" i="7" s="1"/>
  <c r="C113" i="3"/>
  <c r="B57" i="6" s="1"/>
  <c r="I154" i="3"/>
  <c r="H138" i="7" s="1"/>
  <c r="B1433" i="7"/>
  <c r="N1433" i="7" s="1"/>
  <c r="C81" i="3"/>
  <c r="B25" i="6" s="1"/>
  <c r="C241" i="3"/>
  <c r="B51" i="7" s="1"/>
  <c r="N51" i="7" s="1"/>
  <c r="C194" i="3"/>
  <c r="B138" i="6" s="1"/>
  <c r="B280" i="7"/>
  <c r="N280" i="7" s="1"/>
  <c r="B265" i="7"/>
  <c r="N265" i="7" s="1"/>
  <c r="B402" i="7"/>
  <c r="N402" i="7" s="1"/>
  <c r="B239" i="7"/>
  <c r="N239" i="7" s="1"/>
  <c r="B388" i="7"/>
  <c r="N388" i="7" s="1"/>
  <c r="B423" i="7"/>
  <c r="N423" i="7" s="1"/>
  <c r="B452" i="7"/>
  <c r="N452" i="7" s="1"/>
  <c r="B482" i="7"/>
  <c r="N482" i="7" s="1"/>
  <c r="B516" i="7"/>
  <c r="N516" i="7" s="1"/>
  <c r="B546" i="7"/>
  <c r="N546" i="7" s="1"/>
  <c r="B577" i="7"/>
  <c r="N577" i="7" s="1"/>
  <c r="B607" i="7"/>
  <c r="N607" i="7" s="1"/>
  <c r="C221" i="3"/>
  <c r="B165" i="6" s="1"/>
  <c r="B293" i="7"/>
  <c r="N293" i="7" s="1"/>
  <c r="B367" i="7"/>
  <c r="N367" i="7" s="1"/>
  <c r="B426" i="7"/>
  <c r="N426" i="7" s="1"/>
  <c r="B476" i="7"/>
  <c r="N476" i="7" s="1"/>
  <c r="B517" i="7"/>
  <c r="N517" i="7" s="1"/>
  <c r="B561" i="7"/>
  <c r="N561" i="7" s="1"/>
  <c r="B600" i="7"/>
  <c r="N600" i="7" s="1"/>
  <c r="B641" i="7"/>
  <c r="N641" i="7" s="1"/>
  <c r="B670" i="7"/>
  <c r="N670" i="7" s="1"/>
  <c r="B699" i="7"/>
  <c r="N699" i="7" s="1"/>
  <c r="B729" i="7"/>
  <c r="N729" i="7" s="1"/>
  <c r="C209" i="3"/>
  <c r="B83" i="7" s="1"/>
  <c r="N83" i="7" s="1"/>
  <c r="B271" i="7"/>
  <c r="N271" i="7" s="1"/>
  <c r="B338" i="7"/>
  <c r="N338" i="7" s="1"/>
  <c r="B410" i="7"/>
  <c r="N410" i="7" s="1"/>
  <c r="B466" i="7"/>
  <c r="N466" i="7" s="1"/>
  <c r="B510" i="7"/>
  <c r="N510" i="7" s="1"/>
  <c r="B560" i="7"/>
  <c r="N560" i="7" s="1"/>
  <c r="B598" i="7"/>
  <c r="N598" i="7" s="1"/>
  <c r="B637" i="7"/>
  <c r="N637" i="7" s="1"/>
  <c r="B675" i="7"/>
  <c r="N675" i="7" s="1"/>
  <c r="B705" i="7"/>
  <c r="N705" i="7" s="1"/>
  <c r="B732" i="7"/>
  <c r="N732" i="7" s="1"/>
  <c r="B759" i="7"/>
  <c r="N759" i="7" s="1"/>
  <c r="B796" i="7"/>
  <c r="N796" i="7" s="1"/>
  <c r="B826" i="7"/>
  <c r="N826" i="7" s="1"/>
  <c r="B859" i="7"/>
  <c r="N859" i="7" s="1"/>
  <c r="B884" i="7"/>
  <c r="N884" i="7" s="1"/>
  <c r="B913" i="7"/>
  <c r="N913" i="7" s="1"/>
  <c r="I158" i="3"/>
  <c r="F102" i="6" s="1"/>
  <c r="B341" i="7"/>
  <c r="N341" i="7" s="1"/>
  <c r="C163" i="3"/>
  <c r="B129" i="7" s="1"/>
  <c r="N129" i="7" s="1"/>
  <c r="B1568" i="7"/>
  <c r="N1568" i="7" s="1"/>
  <c r="B1058" i="7"/>
  <c r="N1058" i="7" s="1"/>
  <c r="B1263" i="7"/>
  <c r="N1263" i="7" s="1"/>
  <c r="I66" i="3"/>
  <c r="H226" i="7" s="1"/>
  <c r="I217" i="3"/>
  <c r="F161" i="6" s="1"/>
  <c r="B1399" i="7"/>
  <c r="N1399" i="7" s="1"/>
  <c r="B1555" i="7"/>
  <c r="N1555" i="7" s="1"/>
  <c r="I136" i="3"/>
  <c r="H156" i="7" s="1"/>
  <c r="I270" i="3"/>
  <c r="F214" i="6" s="1"/>
  <c r="C128" i="3"/>
  <c r="B72" i="6" s="1"/>
  <c r="B1554" i="7"/>
  <c r="N1554" i="7" s="1"/>
  <c r="I128" i="3"/>
  <c r="H164" i="7" s="1"/>
  <c r="C183" i="3"/>
  <c r="B109" i="7" s="1"/>
  <c r="N109" i="7" s="1"/>
  <c r="B1059" i="7"/>
  <c r="N1059" i="7" s="1"/>
  <c r="B1405" i="7"/>
  <c r="N1405" i="7" s="1"/>
  <c r="B1117" i="7"/>
  <c r="N1117" i="7" s="1"/>
  <c r="B1408" i="7"/>
  <c r="N1408" i="7" s="1"/>
  <c r="B1106" i="7"/>
  <c r="N1106" i="7" s="1"/>
  <c r="B1594" i="7"/>
  <c r="N1594" i="7" s="1"/>
  <c r="B992" i="7"/>
  <c r="N992" i="7" s="1"/>
  <c r="B1564" i="7"/>
  <c r="N1564" i="7" s="1"/>
  <c r="C61" i="3"/>
  <c r="B5" i="6" s="1"/>
  <c r="I111" i="3"/>
  <c r="H181" i="7" s="1"/>
  <c r="B1287" i="7"/>
  <c r="N1287" i="7" s="1"/>
  <c r="C171" i="3"/>
  <c r="B121" i="7" s="1"/>
  <c r="N121" i="7" s="1"/>
  <c r="I132" i="3"/>
  <c r="H160" i="7" s="1"/>
  <c r="B1391" i="7"/>
  <c r="N1391" i="7" s="1"/>
  <c r="C101" i="3"/>
  <c r="B45" i="6" s="1"/>
  <c r="C251" i="3"/>
  <c r="B41" i="7" s="1"/>
  <c r="C210" i="3"/>
  <c r="B154" i="6" s="1"/>
  <c r="B292" i="7"/>
  <c r="N292" i="7" s="1"/>
  <c r="B279" i="7"/>
  <c r="N279" i="7" s="1"/>
  <c r="B413" i="7"/>
  <c r="N413" i="7" s="1"/>
  <c r="B253" i="7"/>
  <c r="N253" i="7" s="1"/>
  <c r="B397" i="7"/>
  <c r="N397" i="7" s="1"/>
  <c r="B427" i="7"/>
  <c r="N427" i="7" s="1"/>
  <c r="B455" i="7"/>
  <c r="N455" i="7" s="1"/>
  <c r="B485" i="7"/>
  <c r="N485" i="7" s="1"/>
  <c r="B520" i="7"/>
  <c r="N520" i="7" s="1"/>
  <c r="B552" i="7"/>
  <c r="N552" i="7" s="1"/>
  <c r="B581" i="7"/>
  <c r="N581" i="7" s="1"/>
  <c r="B610" i="7"/>
  <c r="N610" i="7" s="1"/>
  <c r="C235" i="3"/>
  <c r="B57" i="7" s="1"/>
  <c r="N57" i="7" s="1"/>
  <c r="B302" i="7"/>
  <c r="N302" i="7" s="1"/>
  <c r="B375" i="7"/>
  <c r="N375" i="7" s="1"/>
  <c r="B444" i="7"/>
  <c r="N444" i="7" s="1"/>
  <c r="B480" i="7"/>
  <c r="N480" i="7" s="1"/>
  <c r="B521" i="7"/>
  <c r="N521" i="7" s="1"/>
  <c r="B566" i="7"/>
  <c r="N566" i="7" s="1"/>
  <c r="B605" i="7"/>
  <c r="N605" i="7" s="1"/>
  <c r="B644" i="7"/>
  <c r="N644" i="7" s="1"/>
  <c r="B673" i="7"/>
  <c r="N673" i="7" s="1"/>
  <c r="B703" i="7"/>
  <c r="N703" i="7" s="1"/>
  <c r="B736" i="7"/>
  <c r="N736" i="7" s="1"/>
  <c r="C234" i="3"/>
  <c r="B58" i="7" s="1"/>
  <c r="N58" i="7" s="1"/>
  <c r="B281" i="7"/>
  <c r="N281" i="7" s="1"/>
  <c r="B345" i="7"/>
  <c r="N345" i="7" s="1"/>
  <c r="B417" i="7"/>
  <c r="N417" i="7" s="1"/>
  <c r="B470" i="7"/>
  <c r="N470" i="7" s="1"/>
  <c r="B515" i="7"/>
  <c r="N515" i="7" s="1"/>
  <c r="B565" i="7"/>
  <c r="N565" i="7" s="1"/>
  <c r="B604" i="7"/>
  <c r="N604" i="7" s="1"/>
  <c r="B647" i="7"/>
  <c r="N647" i="7" s="1"/>
  <c r="B679" i="7"/>
  <c r="N679" i="7" s="1"/>
  <c r="B709" i="7"/>
  <c r="N709" i="7" s="1"/>
  <c r="B735" i="7"/>
  <c r="N735" i="7" s="1"/>
  <c r="B762" i="7"/>
  <c r="N762" i="7" s="1"/>
  <c r="B800" i="7"/>
  <c r="N800" i="7" s="1"/>
  <c r="B838" i="7"/>
  <c r="N838" i="7" s="1"/>
  <c r="B862" i="7"/>
  <c r="N862" i="7" s="1"/>
  <c r="B889" i="7"/>
  <c r="N889" i="7" s="1"/>
  <c r="I262" i="3"/>
  <c r="H30" i="7" s="1"/>
  <c r="I63" i="3"/>
  <c r="H229" i="7" s="1"/>
  <c r="B528" i="7"/>
  <c r="N528" i="7" s="1"/>
  <c r="B267" i="7"/>
  <c r="N267" i="7" s="1"/>
  <c r="I266" i="3"/>
  <c r="F210" i="6" s="1"/>
  <c r="B1496" i="7"/>
  <c r="N1496" i="7" s="1"/>
  <c r="B1110" i="7"/>
  <c r="N1110" i="7" s="1"/>
  <c r="B1280" i="7"/>
  <c r="N1280" i="7" s="1"/>
  <c r="I80" i="3"/>
  <c r="F24" i="6" s="1"/>
  <c r="I220" i="3"/>
  <c r="F164" i="6" s="1"/>
  <c r="B1415" i="7"/>
  <c r="N1415" i="7" s="1"/>
  <c r="B1576" i="7"/>
  <c r="N1576" i="7" s="1"/>
  <c r="I139" i="3"/>
  <c r="H153" i="7" s="1"/>
  <c r="I273" i="3"/>
  <c r="H19" i="7" s="1"/>
  <c r="C93" i="3"/>
  <c r="B37" i="6" s="1"/>
  <c r="B1583" i="7"/>
  <c r="N1583" i="7" s="1"/>
  <c r="I203" i="3"/>
  <c r="F147" i="6" s="1"/>
  <c r="I285" i="3"/>
  <c r="H7" i="7" s="1"/>
  <c r="B1426" i="7"/>
  <c r="N1426" i="7" s="1"/>
  <c r="B537" i="7"/>
  <c r="N537" i="7" s="1"/>
  <c r="B1250" i="7"/>
  <c r="N1250" i="7" s="1"/>
  <c r="I244" i="3"/>
  <c r="H48" i="7" s="1"/>
  <c r="I277" i="3"/>
  <c r="H15" i="7" s="1"/>
  <c r="B286" i="7"/>
  <c r="N286" i="7" s="1"/>
  <c r="B514" i="7"/>
  <c r="N514" i="7" s="1"/>
  <c r="B671" i="7"/>
  <c r="N671" i="7" s="1"/>
  <c r="B989" i="7"/>
  <c r="N989" i="7" s="1"/>
  <c r="B1463" i="7"/>
  <c r="N1463" i="7" s="1"/>
  <c r="B1159" i="7"/>
  <c r="N1159" i="7" s="1"/>
  <c r="B1437" i="7"/>
  <c r="N1437" i="7" s="1"/>
  <c r="B1194" i="7"/>
  <c r="N1194" i="7" s="1"/>
  <c r="B1628" i="7"/>
  <c r="N1628" i="7" s="1"/>
  <c r="B1137" i="7"/>
  <c r="N1137" i="7" s="1"/>
  <c r="B1613" i="7"/>
  <c r="N1613" i="7" s="1"/>
  <c r="C207" i="3"/>
  <c r="B85" i="7" s="1"/>
  <c r="N85" i="7" s="1"/>
  <c r="I70" i="3"/>
  <c r="H222" i="7" s="1"/>
  <c r="B1197" i="7"/>
  <c r="N1197" i="7" s="1"/>
  <c r="I275" i="3"/>
  <c r="H17" i="7" s="1"/>
  <c r="I92" i="3"/>
  <c r="F36" i="6" s="1"/>
  <c r="B1318" i="7"/>
  <c r="N1318" i="7" s="1"/>
  <c r="C130" i="3"/>
  <c r="B74" i="6" s="1"/>
  <c r="C270" i="3"/>
  <c r="B22" i="7" s="1"/>
  <c r="N22" i="7" s="1"/>
  <c r="C236" i="3"/>
  <c r="B56" i="7" s="1"/>
  <c r="N56" i="7" s="1"/>
  <c r="C75" i="3"/>
  <c r="B217" i="7" s="1"/>
  <c r="N217" i="7" s="1"/>
  <c r="B304" i="7"/>
  <c r="N304" i="7" s="1"/>
  <c r="B434" i="7"/>
  <c r="N434" i="7" s="1"/>
  <c r="B283" i="7"/>
  <c r="N283" i="7" s="1"/>
  <c r="B401" i="7"/>
  <c r="N401" i="7" s="1"/>
  <c r="B430" i="7"/>
  <c r="N430" i="7" s="1"/>
  <c r="B458" i="7"/>
  <c r="N458" i="7" s="1"/>
  <c r="B488" i="7"/>
  <c r="N488" i="7" s="1"/>
  <c r="B523" i="7"/>
  <c r="N523" i="7" s="1"/>
  <c r="B556" i="7"/>
  <c r="N556" i="7" s="1"/>
  <c r="B585" i="7"/>
  <c r="N585" i="7" s="1"/>
  <c r="B614" i="7"/>
  <c r="N614" i="7" s="1"/>
  <c r="C275" i="3"/>
  <c r="B17" i="7" s="1"/>
  <c r="N17" i="7" s="1"/>
  <c r="B318" i="7"/>
  <c r="N318" i="7" s="1"/>
  <c r="B383" i="7"/>
  <c r="N383" i="7" s="1"/>
  <c r="B449" i="7"/>
  <c r="N449" i="7" s="1"/>
  <c r="B489" i="7"/>
  <c r="N489" i="7" s="1"/>
  <c r="B525" i="7"/>
  <c r="N525" i="7" s="1"/>
  <c r="B571" i="7"/>
  <c r="N571" i="7" s="1"/>
  <c r="B609" i="7"/>
  <c r="N609" i="7" s="1"/>
  <c r="B648" i="7"/>
  <c r="N648" i="7" s="1"/>
  <c r="B676" i="7"/>
  <c r="N676" i="7" s="1"/>
  <c r="B706" i="7"/>
  <c r="N706" i="7" s="1"/>
  <c r="B739" i="7"/>
  <c r="N739" i="7" s="1"/>
  <c r="C249" i="3"/>
  <c r="B43" i="7" s="1"/>
  <c r="N43" i="7" s="1"/>
  <c r="B291" i="7"/>
  <c r="N291" i="7" s="1"/>
  <c r="B353" i="7"/>
  <c r="N353" i="7" s="1"/>
  <c r="B425" i="7"/>
  <c r="N425" i="7" s="1"/>
  <c r="B474" i="7"/>
  <c r="N474" i="7" s="1"/>
  <c r="B529" i="7"/>
  <c r="N529" i="7" s="1"/>
  <c r="B569" i="7"/>
  <c r="N569" i="7" s="1"/>
  <c r="B613" i="7"/>
  <c r="N613" i="7" s="1"/>
  <c r="B651" i="7"/>
  <c r="N651" i="7" s="1"/>
  <c r="B683" i="7"/>
  <c r="N683" i="7" s="1"/>
  <c r="B712" i="7"/>
  <c r="N712" i="7" s="1"/>
  <c r="B738" i="7"/>
  <c r="N738" i="7" s="1"/>
  <c r="B768" i="7"/>
  <c r="N768" i="7" s="1"/>
  <c r="B804" i="7"/>
  <c r="N804" i="7" s="1"/>
  <c r="B841" i="7"/>
  <c r="N841" i="7" s="1"/>
  <c r="B865" i="7"/>
  <c r="N865" i="7" s="1"/>
  <c r="B893" i="7"/>
  <c r="N893" i="7" s="1"/>
  <c r="I174" i="3"/>
  <c r="F118" i="6" s="1"/>
  <c r="B1452" i="7"/>
  <c r="N1452" i="7" s="1"/>
  <c r="B1310" i="7"/>
  <c r="N1310" i="7" s="1"/>
  <c r="C189" i="3"/>
  <c r="B133" i="6" s="1"/>
  <c r="I265" i="3"/>
  <c r="H27" i="7" s="1"/>
  <c r="B328" i="7"/>
  <c r="N328" i="7" s="1"/>
  <c r="B1141" i="7"/>
  <c r="N1141" i="7" s="1"/>
  <c r="B1295" i="7"/>
  <c r="N1295" i="7" s="1"/>
  <c r="I96" i="3"/>
  <c r="H196" i="7" s="1"/>
  <c r="I233" i="3"/>
  <c r="H59" i="7" s="1"/>
  <c r="B1439" i="7"/>
  <c r="N1439" i="7" s="1"/>
  <c r="B1591" i="7"/>
  <c r="N1591" i="7" s="1"/>
  <c r="I144" i="3"/>
  <c r="H148" i="7" s="1"/>
  <c r="I274" i="3"/>
  <c r="H18" i="7" s="1"/>
  <c r="C71" i="3"/>
  <c r="B15" i="6" s="1"/>
  <c r="B1608" i="7"/>
  <c r="N1608" i="7" s="1"/>
  <c r="I237" i="3"/>
  <c r="H55" i="7" s="1"/>
  <c r="I230" i="3"/>
  <c r="F174" i="6" s="1"/>
  <c r="B1098" i="7"/>
  <c r="N1098" i="7" s="1"/>
  <c r="B1508" i="7"/>
  <c r="N1508" i="7" s="1"/>
  <c r="B1207" i="7"/>
  <c r="N1207" i="7" s="1"/>
  <c r="B1462" i="7"/>
  <c r="N1462" i="7" s="1"/>
  <c r="B1246" i="7"/>
  <c r="N1246" i="7" s="1"/>
  <c r="I77" i="3"/>
  <c r="F21" i="6" s="1"/>
  <c r="B1169" i="7"/>
  <c r="N1169" i="7" s="1"/>
  <c r="B1627" i="7"/>
  <c r="N1627" i="7" s="1"/>
  <c r="I276" i="3"/>
  <c r="H16" i="7" s="1"/>
  <c r="B1641" i="7"/>
  <c r="N1641" i="7" s="1"/>
  <c r="B1149" i="7"/>
  <c r="N1149" i="7" s="1"/>
  <c r="I263" i="3"/>
  <c r="H29" i="7" s="1"/>
  <c r="I67" i="3"/>
  <c r="F11" i="6" s="1"/>
  <c r="B1272" i="7"/>
  <c r="N1272" i="7" s="1"/>
  <c r="C150" i="3"/>
  <c r="B142" i="7" s="1"/>
  <c r="N142" i="7" s="1"/>
  <c r="C62" i="3"/>
  <c r="B230" i="7" s="1"/>
  <c r="N230" i="7" s="1"/>
  <c r="C247" i="3"/>
  <c r="B45" i="7" s="1"/>
  <c r="C153" i="3"/>
  <c r="B139" i="7" s="1"/>
  <c r="N139" i="7" s="1"/>
  <c r="B316" i="7"/>
  <c r="N316" i="7" s="1"/>
  <c r="C74" i="3"/>
  <c r="B18" i="6" s="1"/>
  <c r="B298" i="7"/>
  <c r="N298" i="7" s="1"/>
  <c r="B404" i="7"/>
  <c r="N404" i="7" s="1"/>
  <c r="B433" i="7"/>
  <c r="N433" i="7" s="1"/>
  <c r="B461" i="7"/>
  <c r="N461" i="7" s="1"/>
  <c r="B492" i="7"/>
  <c r="N492" i="7" s="1"/>
  <c r="B526" i="7"/>
  <c r="N526" i="7" s="1"/>
  <c r="B559" i="7"/>
  <c r="N559" i="7" s="1"/>
  <c r="B588" i="7"/>
  <c r="N588" i="7" s="1"/>
  <c r="B617" i="7"/>
  <c r="N617" i="7" s="1"/>
  <c r="B234" i="7"/>
  <c r="N234" i="7" s="1"/>
  <c r="B331" i="7"/>
  <c r="N331" i="7" s="1"/>
  <c r="B390" i="7"/>
  <c r="N390" i="7" s="1"/>
  <c r="B454" i="7"/>
  <c r="N454" i="7" s="1"/>
  <c r="B493" i="7"/>
  <c r="N493" i="7" s="1"/>
  <c r="B531" i="7"/>
  <c r="N531" i="7" s="1"/>
  <c r="B575" i="7"/>
  <c r="N575" i="7" s="1"/>
  <c r="B619" i="7"/>
  <c r="N619" i="7" s="1"/>
  <c r="B652" i="7"/>
  <c r="N652" i="7" s="1"/>
  <c r="B680" i="7"/>
  <c r="N680" i="7" s="1"/>
  <c r="B710" i="7"/>
  <c r="N710" i="7" s="1"/>
  <c r="C83" i="3"/>
  <c r="B209" i="7" s="1"/>
  <c r="N209" i="7" s="1"/>
  <c r="C262" i="3"/>
  <c r="B206" i="6" s="1"/>
  <c r="B301" i="7"/>
  <c r="N301" i="7" s="1"/>
  <c r="B360" i="7"/>
  <c r="N360" i="7" s="1"/>
  <c r="B432" i="7"/>
  <c r="N432" i="7" s="1"/>
  <c r="B479" i="7"/>
  <c r="N479" i="7" s="1"/>
  <c r="B534" i="7"/>
  <c r="N534" i="7" s="1"/>
  <c r="B574" i="7"/>
  <c r="N574" i="7" s="1"/>
  <c r="B618" i="7"/>
  <c r="N618" i="7" s="1"/>
  <c r="B654" i="7"/>
  <c r="N654" i="7" s="1"/>
  <c r="B687" i="7"/>
  <c r="N687" i="7" s="1"/>
  <c r="B715" i="7"/>
  <c r="N715" i="7" s="1"/>
  <c r="B742" i="7"/>
  <c r="N742" i="7" s="1"/>
  <c r="B772" i="7"/>
  <c r="N772" i="7" s="1"/>
  <c r="B809" i="7"/>
  <c r="N809" i="7" s="1"/>
  <c r="B844" i="7"/>
  <c r="N844" i="7" s="1"/>
  <c r="B868" i="7"/>
  <c r="N868" i="7" s="1"/>
  <c r="B896" i="7"/>
  <c r="N896" i="7" s="1"/>
  <c r="I153" i="3"/>
  <c r="H139" i="7" s="1"/>
  <c r="I152" i="3"/>
  <c r="H140" i="7" s="1"/>
  <c r="B1088" i="7"/>
  <c r="N1088" i="7" s="1"/>
  <c r="I99" i="3"/>
  <c r="F43" i="6" s="1"/>
  <c r="I211" i="3"/>
  <c r="H81" i="7" s="1"/>
  <c r="B689" i="7"/>
  <c r="N689" i="7" s="1"/>
  <c r="B1158" i="7"/>
  <c r="N1158" i="7" s="1"/>
  <c r="B1324" i="7"/>
  <c r="N1324" i="7" s="1"/>
  <c r="I107" i="3"/>
  <c r="H185" i="7" s="1"/>
  <c r="I248" i="3"/>
  <c r="H44" i="7" s="1"/>
  <c r="B1467" i="7"/>
  <c r="N1467" i="7" s="1"/>
  <c r="B1607" i="7"/>
  <c r="N1607" i="7" s="1"/>
  <c r="I161" i="3"/>
  <c r="F105" i="6" s="1"/>
  <c r="C199" i="3"/>
  <c r="B143" i="6" s="1"/>
  <c r="C96" i="3"/>
  <c r="B196" i="7" s="1"/>
  <c r="N196" i="7" s="1"/>
  <c r="B1630" i="7"/>
  <c r="N1630" i="7" s="1"/>
  <c r="C99" i="3"/>
  <c r="B193" i="7" s="1"/>
  <c r="N193" i="7" s="1"/>
  <c r="I147" i="3"/>
  <c r="F91" i="6" s="1"/>
  <c r="B1309" i="7"/>
  <c r="N1309" i="7" s="1"/>
  <c r="B787" i="7"/>
  <c r="N787" i="7" s="1"/>
  <c r="B1325" i="7"/>
  <c r="N1325" i="7" s="1"/>
  <c r="I278" i="3"/>
  <c r="F222" i="6" s="1"/>
  <c r="I238" i="3"/>
  <c r="H54" i="7" s="1"/>
  <c r="B357" i="7"/>
  <c r="N357" i="7" s="1"/>
  <c r="B554" i="7"/>
  <c r="N554" i="7" s="1"/>
  <c r="B1222" i="7"/>
  <c r="N1222" i="7" s="1"/>
  <c r="B549" i="7"/>
  <c r="N549" i="7" s="1"/>
  <c r="B1281" i="7"/>
  <c r="N1281" i="7" s="1"/>
  <c r="B1529" i="7"/>
  <c r="N1529" i="7" s="1"/>
  <c r="B1379" i="7"/>
  <c r="N1379" i="7" s="1"/>
  <c r="I141" i="3"/>
  <c r="H151" i="7" s="1"/>
  <c r="B1291" i="7"/>
  <c r="N1291" i="7" s="1"/>
  <c r="I106" i="3"/>
  <c r="H186" i="7" s="1"/>
  <c r="I227" i="3"/>
  <c r="H65" i="7" s="1"/>
  <c r="B1572" i="7"/>
  <c r="N1572" i="7" s="1"/>
  <c r="B953" i="7"/>
  <c r="N953" i="7" s="1"/>
  <c r="I239" i="3"/>
  <c r="F183" i="6" s="1"/>
  <c r="B1596" i="7"/>
  <c r="N1596" i="7" s="1"/>
  <c r="B1134" i="7"/>
  <c r="N1134" i="7" s="1"/>
  <c r="C184" i="3"/>
  <c r="B108" i="7" s="1"/>
  <c r="N108" i="7" s="1"/>
  <c r="C129" i="3"/>
  <c r="B163" i="7" s="1"/>
  <c r="N163" i="7" s="1"/>
  <c r="C276" i="3"/>
  <c r="B16" i="7" s="1"/>
  <c r="N16" i="7" s="1"/>
  <c r="C225" i="3"/>
  <c r="B169" i="6" s="1"/>
  <c r="B348" i="7"/>
  <c r="N348" i="7" s="1"/>
  <c r="C205" i="3"/>
  <c r="B87" i="7" s="1"/>
  <c r="N87" i="7" s="1"/>
  <c r="B336" i="7"/>
  <c r="N336" i="7" s="1"/>
  <c r="B412" i="7"/>
  <c r="N412" i="7" s="1"/>
  <c r="B439" i="7"/>
  <c r="N439" i="7" s="1"/>
  <c r="B472" i="7"/>
  <c r="N472" i="7" s="1"/>
  <c r="B501" i="7"/>
  <c r="N501" i="7" s="1"/>
  <c r="B533" i="7"/>
  <c r="N533" i="7" s="1"/>
  <c r="B567" i="7"/>
  <c r="N567" i="7" s="1"/>
  <c r="B595" i="7"/>
  <c r="N595" i="7" s="1"/>
  <c r="C127" i="3"/>
  <c r="B71" i="6" s="1"/>
  <c r="B263" i="7"/>
  <c r="N263" i="7" s="1"/>
  <c r="B346" i="7"/>
  <c r="N346" i="7" s="1"/>
  <c r="B403" i="7"/>
  <c r="N403" i="7" s="1"/>
  <c r="B462" i="7"/>
  <c r="N462" i="7" s="1"/>
  <c r="B502" i="7"/>
  <c r="N502" i="7" s="1"/>
  <c r="B543" i="7"/>
  <c r="N543" i="7" s="1"/>
  <c r="B586" i="7"/>
  <c r="N586" i="7" s="1"/>
  <c r="B628" i="7"/>
  <c r="N628" i="7" s="1"/>
  <c r="B659" i="7"/>
  <c r="N659" i="7" s="1"/>
  <c r="B688" i="7"/>
  <c r="N688" i="7" s="1"/>
  <c r="B718" i="7"/>
  <c r="N718" i="7" s="1"/>
  <c r="C148" i="3"/>
  <c r="B92" i="6" s="1"/>
  <c r="B241" i="7"/>
  <c r="N241" i="7" s="1"/>
  <c r="B317" i="7"/>
  <c r="N317" i="7" s="1"/>
  <c r="B382" i="7"/>
  <c r="N382" i="7" s="1"/>
  <c r="B443" i="7"/>
  <c r="N443" i="7" s="1"/>
  <c r="B487" i="7"/>
  <c r="N487" i="7" s="1"/>
  <c r="B542" i="7"/>
  <c r="N542" i="7" s="1"/>
  <c r="B584" i="7"/>
  <c r="N584" i="7" s="1"/>
  <c r="B627" i="7"/>
  <c r="N627" i="7" s="1"/>
  <c r="B662" i="7"/>
  <c r="N662" i="7" s="1"/>
  <c r="B693" i="7"/>
  <c r="N693" i="7" s="1"/>
  <c r="B721" i="7"/>
  <c r="N721" i="7" s="1"/>
  <c r="B748" i="7"/>
  <c r="N748" i="7" s="1"/>
  <c r="B21" i="3"/>
  <c r="E21" i="3" s="1"/>
  <c r="B1254" i="7"/>
  <c r="N1254" i="7" s="1"/>
  <c r="B1191" i="7"/>
  <c r="N1191" i="7" s="1"/>
  <c r="B1128" i="7"/>
  <c r="N1128" i="7" s="1"/>
  <c r="B1035" i="7"/>
  <c r="N1035" i="7" s="1"/>
  <c r="B883" i="7"/>
  <c r="N883" i="7" s="1"/>
  <c r="B349" i="7"/>
  <c r="N349" i="7" s="1"/>
  <c r="B1519" i="7"/>
  <c r="N1519" i="7" s="1"/>
  <c r="B1444" i="7"/>
  <c r="N1444" i="7" s="1"/>
  <c r="B1377" i="7"/>
  <c r="N1377" i="7" s="1"/>
  <c r="B1305" i="7"/>
  <c r="N1305" i="7" s="1"/>
  <c r="B1233" i="7"/>
  <c r="N1233" i="7" s="1"/>
  <c r="B1168" i="7"/>
  <c r="N1168" i="7" s="1"/>
  <c r="B1103" i="7"/>
  <c r="N1103" i="7" s="1"/>
  <c r="B887" i="7"/>
  <c r="N887" i="7" s="1"/>
  <c r="B1067" i="7"/>
  <c r="N1067" i="7" s="1"/>
  <c r="B931" i="7"/>
  <c r="N931" i="7" s="1"/>
  <c r="B1090" i="7"/>
  <c r="N1090" i="7" s="1"/>
  <c r="B1156" i="7"/>
  <c r="N1156" i="7" s="1"/>
  <c r="B1084" i="7"/>
  <c r="N1084" i="7" s="1"/>
  <c r="B761" i="7"/>
  <c r="N761" i="7" s="1"/>
  <c r="B1045" i="7"/>
  <c r="N1045" i="7" s="1"/>
  <c r="B878" i="7"/>
  <c r="N878" i="7" s="1"/>
  <c r="B1057" i="7"/>
  <c r="N1057" i="7" s="1"/>
  <c r="B1239" i="7"/>
  <c r="N1239" i="7" s="1"/>
  <c r="B1175" i="7"/>
  <c r="N1175" i="7" s="1"/>
  <c r="B1112" i="7"/>
  <c r="N1112" i="7" s="1"/>
  <c r="B1004" i="7"/>
  <c r="N1004" i="7" s="1"/>
  <c r="B798" i="7"/>
  <c r="N798" i="7" s="1"/>
  <c r="B1563" i="7"/>
  <c r="N1563" i="7" s="1"/>
  <c r="B1499" i="7"/>
  <c r="N1499" i="7" s="1"/>
  <c r="B1429" i="7"/>
  <c r="N1429" i="7" s="1"/>
  <c r="B1363" i="7"/>
  <c r="N1363" i="7" s="1"/>
  <c r="B1286" i="7"/>
  <c r="N1286" i="7" s="1"/>
  <c r="B1215" i="7"/>
  <c r="N1215" i="7" s="1"/>
  <c r="B1152" i="7"/>
  <c r="N1152" i="7" s="1"/>
  <c r="B1076" i="7"/>
  <c r="N1076" i="7" s="1"/>
  <c r="B707" i="7"/>
  <c r="N707" i="7" s="1"/>
  <c r="B1029" i="7"/>
  <c r="N1029" i="7" s="1"/>
  <c r="B792" i="7"/>
  <c r="N792" i="7" s="1"/>
  <c r="B1034" i="7"/>
  <c r="N1034" i="7" s="1"/>
  <c r="B1184" i="7"/>
  <c r="N1184" i="7" s="1"/>
  <c r="B1123" i="7"/>
  <c r="N1123" i="7" s="1"/>
  <c r="B973" i="7"/>
  <c r="N973" i="7" s="1"/>
  <c r="B1097" i="7"/>
  <c r="N1097" i="7" s="1"/>
  <c r="B966" i="7"/>
  <c r="N966" i="7" s="1"/>
  <c r="C138" i="3"/>
  <c r="B1046" i="7"/>
  <c r="N1046" i="7" s="1"/>
  <c r="B967" i="7"/>
  <c r="N967" i="7" s="1"/>
  <c r="B870" i="7"/>
  <c r="N870" i="7" s="1"/>
  <c r="B1078" i="7"/>
  <c r="N1078" i="7" s="1"/>
  <c r="B1053" i="7"/>
  <c r="N1053" i="7" s="1"/>
  <c r="B576" i="7"/>
  <c r="N576" i="7" s="1"/>
  <c r="B919" i="7"/>
  <c r="N919" i="7" s="1"/>
  <c r="B875" i="7"/>
  <c r="N875" i="7" s="1"/>
  <c r="B737" i="7"/>
  <c r="N737" i="7" s="1"/>
  <c r="B952" i="7"/>
  <c r="N952" i="7" s="1"/>
  <c r="B734" i="7"/>
  <c r="N734" i="7" s="1"/>
  <c r="C64" i="3"/>
  <c r="B48" i="3"/>
  <c r="B6" i="3"/>
  <c r="B7" i="3" s="1"/>
  <c r="B113" i="7"/>
  <c r="N113" i="7" s="1"/>
  <c r="B756" i="7"/>
  <c r="N756" i="7" s="1"/>
  <c r="B912" i="7"/>
  <c r="N912" i="7" s="1"/>
  <c r="B524" i="7"/>
  <c r="N524" i="7" s="1"/>
  <c r="B203" i="6"/>
  <c r="B494" i="7"/>
  <c r="N494" i="7" s="1"/>
  <c r="I269" i="3"/>
  <c r="B785" i="7"/>
  <c r="N785" i="7" s="1"/>
  <c r="B852" i="7"/>
  <c r="N852" i="7" s="1"/>
  <c r="B983" i="7"/>
  <c r="N983" i="7" s="1"/>
  <c r="B1060" i="7"/>
  <c r="N1060" i="7" s="1"/>
  <c r="C228" i="3"/>
  <c r="B814" i="7"/>
  <c r="N814" i="7" s="1"/>
  <c r="B939" i="7"/>
  <c r="N939" i="7" s="1"/>
  <c r="B1006" i="7"/>
  <c r="N1006" i="7" s="1"/>
  <c r="B1074" i="7"/>
  <c r="N1074" i="7" s="1"/>
  <c r="B477" i="7"/>
  <c r="N477" i="7" s="1"/>
  <c r="B924" i="7"/>
  <c r="N924" i="7" s="1"/>
  <c r="B1048" i="7"/>
  <c r="N1048" i="7" s="1"/>
  <c r="B1108" i="7"/>
  <c r="N1108" i="7" s="1"/>
  <c r="B1140" i="7"/>
  <c r="N1140" i="7" s="1"/>
  <c r="B1172" i="7"/>
  <c r="N1172" i="7" s="1"/>
  <c r="B1204" i="7"/>
  <c r="N1204" i="7" s="1"/>
  <c r="B1244" i="7"/>
  <c r="N1244" i="7" s="1"/>
  <c r="B1274" i="7"/>
  <c r="N1274" i="7" s="1"/>
  <c r="B1312" i="7"/>
  <c r="N1312" i="7" s="1"/>
  <c r="B1351" i="7"/>
  <c r="N1351" i="7" s="1"/>
  <c r="B1381" i="7"/>
  <c r="N1381" i="7" s="1"/>
  <c r="B1413" i="7"/>
  <c r="N1413" i="7" s="1"/>
  <c r="B1447" i="7"/>
  <c r="N1447" i="7" s="1"/>
  <c r="B1485" i="7"/>
  <c r="N1485" i="7" s="1"/>
  <c r="B1522" i="7"/>
  <c r="N1522" i="7" s="1"/>
  <c r="B1553" i="7"/>
  <c r="N1553" i="7" s="1"/>
  <c r="B414" i="7"/>
  <c r="N414" i="7" s="1"/>
  <c r="B733" i="7"/>
  <c r="N733" i="7" s="1"/>
  <c r="B904" i="7"/>
  <c r="N904" i="7" s="1"/>
  <c r="B980" i="7"/>
  <c r="N980" i="7" s="1"/>
  <c r="B1041" i="7"/>
  <c r="N1041" i="7" s="1"/>
  <c r="B1096" i="7"/>
  <c r="N1096" i="7" s="1"/>
  <c r="B1131" i="7"/>
  <c r="N1131" i="7" s="1"/>
  <c r="B1163" i="7"/>
  <c r="N1163" i="7" s="1"/>
  <c r="B1195" i="7"/>
  <c r="N1195" i="7" s="1"/>
  <c r="B1228" i="7"/>
  <c r="N1228" i="7" s="1"/>
  <c r="B1257" i="7"/>
  <c r="N1257" i="7" s="1"/>
  <c r="B1289" i="7"/>
  <c r="N1289" i="7" s="1"/>
  <c r="B1319" i="7"/>
  <c r="N1319" i="7" s="1"/>
  <c r="B1346" i="7"/>
  <c r="N1346" i="7" s="1"/>
  <c r="B1384" i="7"/>
  <c r="N1384" i="7" s="1"/>
  <c r="B1416" i="7"/>
  <c r="N1416" i="7" s="1"/>
  <c r="B1440" i="7"/>
  <c r="N1440" i="7" s="1"/>
  <c r="B1469" i="7"/>
  <c r="N1469" i="7" s="1"/>
  <c r="B1498" i="7"/>
  <c r="N1498" i="7" s="1"/>
  <c r="B1537" i="7"/>
  <c r="N1537" i="7" s="1"/>
  <c r="B1566" i="7"/>
  <c r="N1566" i="7" s="1"/>
  <c r="B771" i="7"/>
  <c r="N771" i="7" s="1"/>
  <c r="B1008" i="7"/>
  <c r="N1008" i="7" s="1"/>
  <c r="B1138" i="7"/>
  <c r="N1138" i="7" s="1"/>
  <c r="B1202" i="7"/>
  <c r="N1202" i="7" s="1"/>
  <c r="B1268" i="7"/>
  <c r="N1268" i="7" s="1"/>
  <c r="B1328" i="7"/>
  <c r="N1328" i="7" s="1"/>
  <c r="B1395" i="7"/>
  <c r="N1395" i="7" s="1"/>
  <c r="B1457" i="7"/>
  <c r="N1457" i="7" s="1"/>
  <c r="B1514" i="7"/>
  <c r="N1514" i="7" s="1"/>
  <c r="B1571" i="7"/>
  <c r="N1571" i="7" s="1"/>
  <c r="B1602" i="7"/>
  <c r="N1602" i="7" s="1"/>
  <c r="B1632" i="7"/>
  <c r="N1632" i="7" s="1"/>
  <c r="I85" i="3"/>
  <c r="I117" i="3"/>
  <c r="I149" i="3"/>
  <c r="I184" i="3"/>
  <c r="B238" i="7"/>
  <c r="N238" i="7" s="1"/>
  <c r="B851" i="7"/>
  <c r="N851" i="7" s="1"/>
  <c r="B1023" i="7"/>
  <c r="N1023" i="7" s="1"/>
  <c r="B1114" i="7"/>
  <c r="N1114" i="7" s="1"/>
  <c r="B1177" i="7"/>
  <c r="N1177" i="7" s="1"/>
  <c r="B1237" i="7"/>
  <c r="N1237" i="7" s="1"/>
  <c r="B1298" i="7"/>
  <c r="N1298" i="7" s="1"/>
  <c r="B1364" i="7"/>
  <c r="N1364" i="7" s="1"/>
  <c r="B1423" i="7"/>
  <c r="N1423" i="7" s="1"/>
  <c r="B1500" i="7"/>
  <c r="N1500" i="7" s="1"/>
  <c r="B1570" i="7"/>
  <c r="N1570" i="7" s="1"/>
  <c r="B1601" i="7"/>
  <c r="N1601" i="7" s="1"/>
  <c r="B1631" i="7"/>
  <c r="N1631" i="7" s="1"/>
  <c r="I110" i="3"/>
  <c r="I142" i="3"/>
  <c r="I189" i="3"/>
  <c r="I218" i="3"/>
  <c r="C82" i="3"/>
  <c r="C159" i="3"/>
  <c r="B1569" i="7"/>
  <c r="N1569" i="7" s="1"/>
  <c r="B828" i="7"/>
  <c r="N828" i="7" s="1"/>
  <c r="B378" i="7"/>
  <c r="N378" i="7" s="1"/>
  <c r="B999" i="7"/>
  <c r="N999" i="7" s="1"/>
  <c r="B1064" i="7"/>
  <c r="N1064" i="7" s="1"/>
  <c r="B626" i="7"/>
  <c r="N626" i="7" s="1"/>
  <c r="B834" i="7"/>
  <c r="N834" i="7" s="1"/>
  <c r="B947" i="7"/>
  <c r="N947" i="7" s="1"/>
  <c r="B1013" i="7"/>
  <c r="N1013" i="7" s="1"/>
  <c r="B1081" i="7"/>
  <c r="N1081" i="7" s="1"/>
  <c r="B557" i="7"/>
  <c r="N557" i="7" s="1"/>
  <c r="B942" i="7"/>
  <c r="N942" i="7" s="1"/>
  <c r="B1062" i="7"/>
  <c r="N1062" i="7" s="1"/>
  <c r="B1113" i="7"/>
  <c r="N1113" i="7" s="1"/>
  <c r="B1144" i="7"/>
  <c r="N1144" i="7" s="1"/>
  <c r="B1176" i="7"/>
  <c r="N1176" i="7" s="1"/>
  <c r="B1208" i="7"/>
  <c r="N1208" i="7" s="1"/>
  <c r="B1248" i="7"/>
  <c r="N1248" i="7" s="1"/>
  <c r="B1278" i="7"/>
  <c r="N1278" i="7" s="1"/>
  <c r="B1316" i="7"/>
  <c r="N1316" i="7" s="1"/>
  <c r="B1355" i="7"/>
  <c r="N1355" i="7" s="1"/>
  <c r="B1385" i="7"/>
  <c r="N1385" i="7" s="1"/>
  <c r="B1417" i="7"/>
  <c r="N1417" i="7" s="1"/>
  <c r="B1451" i="7"/>
  <c r="N1451" i="7" s="1"/>
  <c r="B1488" i="7"/>
  <c r="N1488" i="7" s="1"/>
  <c r="B1526" i="7"/>
  <c r="N1526" i="7" s="1"/>
  <c r="B1557" i="7"/>
  <c r="N1557" i="7" s="1"/>
  <c r="B468" i="7"/>
  <c r="N468" i="7" s="1"/>
  <c r="B758" i="7"/>
  <c r="N758" i="7" s="1"/>
  <c r="B921" i="7"/>
  <c r="N921" i="7" s="1"/>
  <c r="B988" i="7"/>
  <c r="N988" i="7" s="1"/>
  <c r="B1047" i="7"/>
  <c r="N1047" i="7" s="1"/>
  <c r="B1102" i="7"/>
  <c r="N1102" i="7" s="1"/>
  <c r="B1135" i="7"/>
  <c r="N1135" i="7" s="1"/>
  <c r="B1167" i="7"/>
  <c r="N1167" i="7" s="1"/>
  <c r="B1199" i="7"/>
  <c r="N1199" i="7" s="1"/>
  <c r="B1232" i="7"/>
  <c r="N1232" i="7" s="1"/>
  <c r="B1261" i="7"/>
  <c r="N1261" i="7" s="1"/>
  <c r="B1293" i="7"/>
  <c r="N1293" i="7" s="1"/>
  <c r="B1322" i="7"/>
  <c r="N1322" i="7" s="1"/>
  <c r="B1350" i="7"/>
  <c r="N1350" i="7" s="1"/>
  <c r="B1388" i="7"/>
  <c r="N1388" i="7" s="1"/>
  <c r="B1419" i="7"/>
  <c r="N1419" i="7" s="1"/>
  <c r="B1443" i="7"/>
  <c r="N1443" i="7" s="1"/>
  <c r="B1472" i="7"/>
  <c r="N1472" i="7" s="1"/>
  <c r="B1502" i="7"/>
  <c r="N1502" i="7" s="1"/>
  <c r="B1541" i="7"/>
  <c r="N1541" i="7" s="1"/>
  <c r="C268" i="3"/>
  <c r="B812" i="7"/>
  <c r="N812" i="7" s="1"/>
  <c r="B1024" i="7"/>
  <c r="N1024" i="7" s="1"/>
  <c r="B1146" i="7"/>
  <c r="N1146" i="7" s="1"/>
  <c r="B1210" i="7"/>
  <c r="N1210" i="7" s="1"/>
  <c r="B1276" i="7"/>
  <c r="N1276" i="7" s="1"/>
  <c r="B1334" i="7"/>
  <c r="N1334" i="7" s="1"/>
  <c r="B1403" i="7"/>
  <c r="N1403" i="7" s="1"/>
  <c r="B1465" i="7"/>
  <c r="N1465" i="7" s="1"/>
  <c r="B1521" i="7"/>
  <c r="N1521" i="7" s="1"/>
  <c r="B1575" i="7"/>
  <c r="N1575" i="7" s="1"/>
  <c r="B1606" i="7"/>
  <c r="N1606" i="7" s="1"/>
  <c r="B1636" i="7"/>
  <c r="N1636" i="7" s="1"/>
  <c r="I89" i="3"/>
  <c r="I121" i="3"/>
  <c r="I156" i="3"/>
  <c r="F100" i="6" s="1"/>
  <c r="I188" i="3"/>
  <c r="B379" i="7"/>
  <c r="N379" i="7" s="1"/>
  <c r="B894" i="7"/>
  <c r="N894" i="7" s="1"/>
  <c r="B1038" i="7"/>
  <c r="N1038" i="7" s="1"/>
  <c r="B1124" i="7"/>
  <c r="N1124" i="7" s="1"/>
  <c r="B1185" i="7"/>
  <c r="N1185" i="7" s="1"/>
  <c r="B1245" i="7"/>
  <c r="N1245" i="7" s="1"/>
  <c r="B1306" i="7"/>
  <c r="N1306" i="7" s="1"/>
  <c r="B1370" i="7"/>
  <c r="N1370" i="7" s="1"/>
  <c r="B1435" i="7"/>
  <c r="N1435" i="7" s="1"/>
  <c r="B1506" i="7"/>
  <c r="N1506" i="7" s="1"/>
  <c r="B1574" i="7"/>
  <c r="N1574" i="7" s="1"/>
  <c r="B1605" i="7"/>
  <c r="N1605" i="7" s="1"/>
  <c r="B1635" i="7"/>
  <c r="N1635" i="7" s="1"/>
  <c r="I82" i="3"/>
  <c r="F26" i="6" s="1"/>
  <c r="I114" i="3"/>
  <c r="I146" i="3"/>
  <c r="I193" i="3"/>
  <c r="C108" i="3"/>
  <c r="C103" i="3"/>
  <c r="B47" i="6" s="1"/>
  <c r="C175" i="3"/>
  <c r="I268" i="3"/>
  <c r="H24" i="7" s="1"/>
  <c r="B1398" i="7"/>
  <c r="N1398" i="7" s="1"/>
  <c r="B842" i="7"/>
  <c r="N842" i="7" s="1"/>
  <c r="B731" i="7"/>
  <c r="N731" i="7" s="1"/>
  <c r="B1018" i="7"/>
  <c r="N1018" i="7" s="1"/>
  <c r="B1068" i="7"/>
  <c r="N1068" i="7" s="1"/>
  <c r="B657" i="7"/>
  <c r="N657" i="7" s="1"/>
  <c r="B855" i="7"/>
  <c r="N855" i="7" s="1"/>
  <c r="B958" i="7"/>
  <c r="N958" i="7" s="1"/>
  <c r="B1021" i="7"/>
  <c r="N1021" i="7" s="1"/>
  <c r="B1089" i="7"/>
  <c r="N1089" i="7" s="1"/>
  <c r="B640" i="7"/>
  <c r="N640" i="7" s="1"/>
  <c r="B957" i="7"/>
  <c r="N957" i="7" s="1"/>
  <c r="B1070" i="7"/>
  <c r="N1070" i="7" s="1"/>
  <c r="B1118" i="7"/>
  <c r="N1118" i="7" s="1"/>
  <c r="B1148" i="7"/>
  <c r="N1148" i="7" s="1"/>
  <c r="B1180" i="7"/>
  <c r="N1180" i="7" s="1"/>
  <c r="B1212" i="7"/>
  <c r="N1212" i="7" s="1"/>
  <c r="B1252" i="7"/>
  <c r="N1252" i="7" s="1"/>
  <c r="B1282" i="7"/>
  <c r="N1282" i="7" s="1"/>
  <c r="B1320" i="7"/>
  <c r="N1320" i="7" s="1"/>
  <c r="B1359" i="7"/>
  <c r="N1359" i="7" s="1"/>
  <c r="B1389" i="7"/>
  <c r="N1389" i="7" s="1"/>
  <c r="B1420" i="7"/>
  <c r="N1420" i="7" s="1"/>
  <c r="B1455" i="7"/>
  <c r="N1455" i="7" s="1"/>
  <c r="B1495" i="7"/>
  <c r="N1495" i="7" s="1"/>
  <c r="B1530" i="7"/>
  <c r="N1530" i="7" s="1"/>
  <c r="B1560" i="7"/>
  <c r="N1560" i="7" s="1"/>
  <c r="B509" i="7"/>
  <c r="N509" i="7" s="1"/>
  <c r="B778" i="7"/>
  <c r="N778" i="7" s="1"/>
  <c r="B933" i="7"/>
  <c r="N933" i="7" s="1"/>
  <c r="B996" i="7"/>
  <c r="N996" i="7" s="1"/>
  <c r="B1054" i="7"/>
  <c r="N1054" i="7" s="1"/>
  <c r="B1107" i="7"/>
  <c r="N1107" i="7" s="1"/>
  <c r="B1139" i="7"/>
  <c r="N1139" i="7" s="1"/>
  <c r="B1171" i="7"/>
  <c r="N1171" i="7" s="1"/>
  <c r="B1203" i="7"/>
  <c r="N1203" i="7" s="1"/>
  <c r="B1236" i="7"/>
  <c r="N1236" i="7" s="1"/>
  <c r="B1265" i="7"/>
  <c r="N1265" i="7" s="1"/>
  <c r="B1296" i="7"/>
  <c r="N1296" i="7" s="1"/>
  <c r="B1326" i="7"/>
  <c r="N1326" i="7" s="1"/>
  <c r="B1354" i="7"/>
  <c r="N1354" i="7" s="1"/>
  <c r="B1392" i="7"/>
  <c r="N1392" i="7" s="1"/>
  <c r="B1422" i="7"/>
  <c r="N1422" i="7" s="1"/>
  <c r="B1446" i="7"/>
  <c r="N1446" i="7" s="1"/>
  <c r="B1476" i="7"/>
  <c r="N1476" i="7" s="1"/>
  <c r="B1505" i="7"/>
  <c r="N1505" i="7" s="1"/>
  <c r="B1545" i="7"/>
  <c r="N1545" i="7" s="1"/>
  <c r="B248" i="7"/>
  <c r="N248" i="7" s="1"/>
  <c r="B897" i="7"/>
  <c r="N897" i="7" s="1"/>
  <c r="B1039" i="7"/>
  <c r="N1039" i="7" s="1"/>
  <c r="B1154" i="7"/>
  <c r="N1154" i="7" s="1"/>
  <c r="B1217" i="7"/>
  <c r="N1217" i="7" s="1"/>
  <c r="B1284" i="7"/>
  <c r="N1284" i="7" s="1"/>
  <c r="B1349" i="7"/>
  <c r="N1349" i="7" s="1"/>
  <c r="B1411" i="7"/>
  <c r="N1411" i="7" s="1"/>
  <c r="B1471" i="7"/>
  <c r="N1471" i="7" s="1"/>
  <c r="B1528" i="7"/>
  <c r="N1528" i="7" s="1"/>
  <c r="B1578" i="7"/>
  <c r="N1578" i="7" s="1"/>
  <c r="B1610" i="7"/>
  <c r="N1610" i="7" s="1"/>
  <c r="B1640" i="7"/>
  <c r="N1640" i="7" s="1"/>
  <c r="I93" i="3"/>
  <c r="I125" i="3"/>
  <c r="I157" i="3"/>
  <c r="I192" i="3"/>
  <c r="B491" i="7"/>
  <c r="N491" i="7" s="1"/>
  <c r="B929" i="7"/>
  <c r="N929" i="7" s="1"/>
  <c r="B1051" i="7"/>
  <c r="N1051" i="7" s="1"/>
  <c r="B1130" i="7"/>
  <c r="N1130" i="7" s="1"/>
  <c r="B1193" i="7"/>
  <c r="N1193" i="7" s="1"/>
  <c r="B1253" i="7"/>
  <c r="N1253" i="7" s="1"/>
  <c r="B1313" i="7"/>
  <c r="N1313" i="7" s="1"/>
  <c r="B1378" i="7"/>
  <c r="N1378" i="7" s="1"/>
  <c r="B1448" i="7"/>
  <c r="N1448" i="7" s="1"/>
  <c r="B1513" i="7"/>
  <c r="N1513" i="7" s="1"/>
  <c r="B1577" i="7"/>
  <c r="N1577" i="7" s="1"/>
  <c r="B1609" i="7"/>
  <c r="N1609" i="7" s="1"/>
  <c r="B1639" i="7"/>
  <c r="N1639" i="7" s="1"/>
  <c r="I86" i="3"/>
  <c r="I118" i="3"/>
  <c r="F62" i="6" s="1"/>
  <c r="I150" i="3"/>
  <c r="I197" i="3"/>
  <c r="H95" i="7" s="1"/>
  <c r="C76" i="3"/>
  <c r="C124" i="3"/>
  <c r="B168" i="7" s="1"/>
  <c r="N168" i="7" s="1"/>
  <c r="C191" i="3"/>
  <c r="B135" i="6" s="1"/>
  <c r="I264" i="3"/>
  <c r="F208" i="6" s="1"/>
  <c r="B645" i="7"/>
  <c r="N645" i="7" s="1"/>
  <c r="C94" i="3"/>
  <c r="B38" i="6" s="1"/>
  <c r="B936" i="7"/>
  <c r="N936" i="7" s="1"/>
  <c r="B1050" i="7"/>
  <c r="N1050" i="7" s="1"/>
  <c r="B1086" i="7"/>
  <c r="N1086" i="7" s="1"/>
  <c r="B753" i="7"/>
  <c r="N753" i="7" s="1"/>
  <c r="B917" i="7"/>
  <c r="N917" i="7" s="1"/>
  <c r="B982" i="7"/>
  <c r="N982" i="7" s="1"/>
  <c r="B1052" i="7"/>
  <c r="N1052" i="7" s="1"/>
  <c r="B1116" i="7"/>
  <c r="N1116" i="7" s="1"/>
  <c r="B802" i="7"/>
  <c r="N802" i="7" s="1"/>
  <c r="B1005" i="7"/>
  <c r="N1005" i="7" s="1"/>
  <c r="B1092" i="7"/>
  <c r="N1092" i="7" s="1"/>
  <c r="B1129" i="7"/>
  <c r="N1129" i="7" s="1"/>
  <c r="B1160" i="7"/>
  <c r="N1160" i="7" s="1"/>
  <c r="B1192" i="7"/>
  <c r="N1192" i="7" s="1"/>
  <c r="B1225" i="7"/>
  <c r="N1225" i="7" s="1"/>
  <c r="B1262" i="7"/>
  <c r="N1262" i="7" s="1"/>
  <c r="B1297" i="7"/>
  <c r="N1297" i="7" s="1"/>
  <c r="B1340" i="7"/>
  <c r="N1340" i="7" s="1"/>
  <c r="B1369" i="7"/>
  <c r="N1369" i="7" s="1"/>
  <c r="B1401" i="7"/>
  <c r="N1401" i="7" s="1"/>
  <c r="B1438" i="7"/>
  <c r="N1438" i="7" s="1"/>
  <c r="B1473" i="7"/>
  <c r="N1473" i="7" s="1"/>
  <c r="B1512" i="7"/>
  <c r="N1512" i="7" s="1"/>
  <c r="B1542" i="7"/>
  <c r="N1542" i="7" s="1"/>
  <c r="C201" i="3"/>
  <c r="B91" i="7" s="1"/>
  <c r="N91" i="7" s="1"/>
  <c r="B635" i="7"/>
  <c r="N635" i="7" s="1"/>
  <c r="B839" i="7"/>
  <c r="N839" i="7" s="1"/>
  <c r="B956" i="7"/>
  <c r="N956" i="7" s="1"/>
  <c r="B1019" i="7"/>
  <c r="N1019" i="7" s="1"/>
  <c r="B1075" i="7"/>
  <c r="N1075" i="7" s="1"/>
  <c r="B1122" i="7"/>
  <c r="N1122" i="7" s="1"/>
  <c r="B1151" i="7"/>
  <c r="N1151" i="7" s="1"/>
  <c r="B1183" i="7"/>
  <c r="N1183" i="7" s="1"/>
  <c r="B1214" i="7"/>
  <c r="N1214" i="7" s="1"/>
  <c r="B1247" i="7"/>
  <c r="N1247" i="7" s="1"/>
  <c r="B1277" i="7"/>
  <c r="N1277" i="7" s="1"/>
  <c r="B1308" i="7"/>
  <c r="N1308" i="7" s="1"/>
  <c r="B1335" i="7"/>
  <c r="N1335" i="7" s="1"/>
  <c r="B1372" i="7"/>
  <c r="N1372" i="7" s="1"/>
  <c r="B1404" i="7"/>
  <c r="N1404" i="7" s="1"/>
  <c r="B1431" i="7"/>
  <c r="N1431" i="7" s="1"/>
  <c r="B1458" i="7"/>
  <c r="N1458" i="7" s="1"/>
  <c r="B1487" i="7"/>
  <c r="N1487" i="7" s="1"/>
  <c r="B1525" i="7"/>
  <c r="N1525" i="7" s="1"/>
  <c r="B1556" i="7"/>
  <c r="N1556" i="7" s="1"/>
  <c r="B582" i="7"/>
  <c r="N582" i="7" s="1"/>
  <c r="B961" i="7"/>
  <c r="N961" i="7" s="1"/>
  <c r="B1095" i="7"/>
  <c r="N1095" i="7" s="1"/>
  <c r="B1178" i="7"/>
  <c r="N1178" i="7" s="1"/>
  <c r="B1238" i="7"/>
  <c r="N1238" i="7" s="1"/>
  <c r="B1307" i="7"/>
  <c r="N1307" i="7" s="1"/>
  <c r="B1371" i="7"/>
  <c r="N1371" i="7" s="1"/>
  <c r="B1436" i="7"/>
  <c r="N1436" i="7" s="1"/>
  <c r="B1493" i="7"/>
  <c r="N1493" i="7" s="1"/>
  <c r="B1551" i="7"/>
  <c r="N1551" i="7" s="1"/>
  <c r="B1590" i="7"/>
  <c r="N1590" i="7" s="1"/>
  <c r="B1621" i="7"/>
  <c r="N1621" i="7" s="1"/>
  <c r="I73" i="3"/>
  <c r="I105" i="3"/>
  <c r="I137" i="3"/>
  <c r="H155" i="7" s="1"/>
  <c r="I175" i="3"/>
  <c r="I205" i="3"/>
  <c r="B716" i="7"/>
  <c r="N716" i="7" s="1"/>
  <c r="B976" i="7"/>
  <c r="N976" i="7" s="1"/>
  <c r="B1079" i="7"/>
  <c r="N1079" i="7" s="1"/>
  <c r="B1153" i="7"/>
  <c r="N1153" i="7" s="1"/>
  <c r="B1216" i="7"/>
  <c r="N1216" i="7" s="1"/>
  <c r="B1275" i="7"/>
  <c r="N1275" i="7" s="1"/>
  <c r="B1341" i="7"/>
  <c r="N1341" i="7" s="1"/>
  <c r="B1402" i="7"/>
  <c r="N1402" i="7" s="1"/>
  <c r="B1470" i="7"/>
  <c r="N1470" i="7" s="1"/>
  <c r="B1535" i="7"/>
  <c r="N1535" i="7" s="1"/>
  <c r="B1589" i="7"/>
  <c r="N1589" i="7" s="1"/>
  <c r="B1620" i="7"/>
  <c r="N1620" i="7" s="1"/>
  <c r="I69" i="3"/>
  <c r="I98" i="3"/>
  <c r="I130" i="3"/>
  <c r="I176" i="3"/>
  <c r="F120" i="6" s="1"/>
  <c r="I206" i="3"/>
  <c r="H86" i="7" s="1"/>
  <c r="C88" i="3"/>
  <c r="C91" i="3"/>
  <c r="B35" i="6" s="1"/>
  <c r="I288" i="3"/>
  <c r="I250" i="3"/>
  <c r="B42" i="6"/>
  <c r="B193" i="6"/>
  <c r="H201" i="7"/>
  <c r="F200" i="6"/>
  <c r="B61" i="6"/>
  <c r="K35" i="3"/>
  <c r="F159" i="6"/>
  <c r="B64" i="6"/>
  <c r="B139" i="6"/>
  <c r="H45" i="7"/>
  <c r="B34" i="7"/>
  <c r="N34" i="7" s="1"/>
  <c r="B174" i="6"/>
  <c r="F226" i="6"/>
  <c r="F12" i="6"/>
  <c r="B54" i="6"/>
  <c r="B213" i="6"/>
  <c r="H172" i="7"/>
  <c r="B127" i="6"/>
  <c r="H119" i="7"/>
  <c r="B4" i="6"/>
  <c r="F153" i="6"/>
  <c r="B149" i="7"/>
  <c r="N149" i="7" s="1"/>
  <c r="H97" i="7"/>
  <c r="B50" i="6"/>
  <c r="B205" i="7"/>
  <c r="N205" i="7" s="1"/>
  <c r="H8" i="7"/>
  <c r="H129" i="7"/>
  <c r="K36" i="3"/>
  <c r="B35" i="3"/>
  <c r="H130" i="7"/>
  <c r="F106" i="6"/>
  <c r="B76" i="5"/>
  <c r="B80" i="5"/>
  <c r="H111" i="7"/>
  <c r="F152" i="6"/>
  <c r="F205" i="6"/>
  <c r="B134" i="7"/>
  <c r="B891" i="7"/>
  <c r="B801" i="7"/>
  <c r="B697" i="7"/>
  <c r="B1087" i="7"/>
  <c r="C66" i="3"/>
  <c r="B1040" i="7"/>
  <c r="B1026" i="7"/>
  <c r="B1010" i="7"/>
  <c r="B991" i="7"/>
  <c r="B975" i="7"/>
  <c r="B959" i="7"/>
  <c r="B944" i="7"/>
  <c r="B928" i="7"/>
  <c r="B892" i="7"/>
  <c r="B818" i="7"/>
  <c r="B568" i="7"/>
  <c r="B895" i="7"/>
  <c r="B810" i="7"/>
  <c r="B701" i="7"/>
  <c r="B386" i="7"/>
  <c r="B1037" i="7"/>
  <c r="B1022" i="7"/>
  <c r="B1003" i="7"/>
  <c r="B987" i="7"/>
  <c r="B971" i="7"/>
  <c r="B955" i="7"/>
  <c r="B940" i="7"/>
  <c r="B920" i="7"/>
  <c r="B882" i="7"/>
  <c r="B777" i="7"/>
  <c r="B490" i="7"/>
  <c r="B873" i="7"/>
  <c r="B799" i="7"/>
  <c r="B650" i="7"/>
  <c r="C242" i="3"/>
  <c r="I252" i="3"/>
  <c r="B1043" i="7"/>
  <c r="B1030" i="7"/>
  <c r="B1014" i="7"/>
  <c r="B995" i="7"/>
  <c r="B979" i="7"/>
  <c r="B963" i="7"/>
  <c r="B948" i="7"/>
  <c r="B932" i="7"/>
  <c r="B902" i="7"/>
  <c r="B860" i="7"/>
  <c r="B646" i="7"/>
  <c r="B922" i="7"/>
  <c r="B831" i="7"/>
  <c r="B719" i="7"/>
  <c r="F199" i="6" l="1"/>
  <c r="B77" i="6"/>
  <c r="H63" i="7"/>
  <c r="F168" i="6"/>
  <c r="B79" i="6"/>
  <c r="H50" i="7"/>
  <c r="H215" i="7"/>
  <c r="B63" i="7"/>
  <c r="N63" i="7" s="1"/>
  <c r="F234" i="6"/>
  <c r="B110" i="6"/>
  <c r="B106" i="6"/>
  <c r="F126" i="6"/>
  <c r="B111" i="6"/>
  <c r="B98" i="7"/>
  <c r="N98" i="7" s="1"/>
  <c r="B196" i="6"/>
  <c r="F83" i="6"/>
  <c r="B182" i="6"/>
  <c r="B77" i="7"/>
  <c r="N77" i="7" s="1"/>
  <c r="B125" i="6"/>
  <c r="H94" i="7"/>
  <c r="B13" i="6"/>
  <c r="H112" i="7"/>
  <c r="B229" i="7"/>
  <c r="N229" i="7" s="1"/>
  <c r="H93" i="7"/>
  <c r="B176" i="6"/>
  <c r="B70" i="6"/>
  <c r="F14" i="6"/>
  <c r="B81" i="7"/>
  <c r="N81" i="7" s="1"/>
  <c r="H133" i="7"/>
  <c r="B183" i="7"/>
  <c r="N183" i="7" s="1"/>
  <c r="H127" i="7"/>
  <c r="H71" i="7"/>
  <c r="H209" i="7"/>
  <c r="B158" i="6"/>
  <c r="F195" i="6"/>
  <c r="H5" i="7"/>
  <c r="F193" i="6"/>
  <c r="B46" i="6"/>
  <c r="F67" i="6"/>
  <c r="F75" i="6"/>
  <c r="B140" i="6"/>
  <c r="B119" i="7"/>
  <c r="N119" i="7" s="1"/>
  <c r="H102" i="7"/>
  <c r="F57" i="6"/>
  <c r="B120" i="6"/>
  <c r="B145" i="7"/>
  <c r="N145" i="7" s="1"/>
  <c r="B225" i="7"/>
  <c r="N225" i="7" s="1"/>
  <c r="B49" i="7"/>
  <c r="N49" i="7" s="1"/>
  <c r="F211" i="6"/>
  <c r="B14" i="6"/>
  <c r="B180" i="7"/>
  <c r="N180" i="7" s="1"/>
  <c r="B101" i="6"/>
  <c r="H113" i="7"/>
  <c r="B179" i="6"/>
  <c r="B166" i="6"/>
  <c r="B95" i="7"/>
  <c r="N95" i="7" s="1"/>
  <c r="H114" i="7"/>
  <c r="B124" i="7"/>
  <c r="N124" i="7" s="1"/>
  <c r="B169" i="7"/>
  <c r="N169" i="7" s="1"/>
  <c r="F129" i="6"/>
  <c r="F135" i="6"/>
  <c r="H105" i="7"/>
  <c r="B137" i="6"/>
  <c r="B85" i="6"/>
  <c r="B72" i="7"/>
  <c r="N72" i="7" s="1"/>
  <c r="B175" i="6"/>
  <c r="F60" i="6"/>
  <c r="F5" i="6"/>
  <c r="B44" i="6"/>
  <c r="F172" i="6"/>
  <c r="F228" i="6"/>
  <c r="H220" i="7"/>
  <c r="B30" i="6"/>
  <c r="H128" i="7"/>
  <c r="F166" i="6"/>
  <c r="B76" i="7"/>
  <c r="B138" i="7"/>
  <c r="N138" i="7" s="1"/>
  <c r="F4" i="6"/>
  <c r="B120" i="7"/>
  <c r="N120" i="7" s="1"/>
  <c r="B90" i="7"/>
  <c r="N90" i="7" s="1"/>
  <c r="B214" i="7"/>
  <c r="N214" i="7" s="1"/>
  <c r="B18" i="7"/>
  <c r="N18" i="7" s="1"/>
  <c r="B218" i="6"/>
  <c r="B75" i="6"/>
  <c r="F59" i="6"/>
  <c r="F151" i="6"/>
  <c r="B9" i="6"/>
  <c r="H211" i="7"/>
  <c r="B148" i="7"/>
  <c r="N148" i="7" s="1"/>
  <c r="B118" i="6"/>
  <c r="B212" i="7"/>
  <c r="N212" i="7" s="1"/>
  <c r="F110" i="6"/>
  <c r="B26" i="7"/>
  <c r="N26" i="7" s="1"/>
  <c r="H33" i="7"/>
  <c r="F185" i="6"/>
  <c r="F192" i="6"/>
  <c r="B167" i="7"/>
  <c r="N167" i="7" s="1"/>
  <c r="H180" i="7"/>
  <c r="H124" i="7"/>
  <c r="H67" i="7"/>
  <c r="F184" i="6"/>
  <c r="H188" i="7"/>
  <c r="H217" i="7"/>
  <c r="B29" i="7"/>
  <c r="N29" i="7" s="1"/>
  <c r="B28" i="6"/>
  <c r="H58" i="7"/>
  <c r="B58" i="6"/>
  <c r="H91" i="7"/>
  <c r="H32" i="7"/>
  <c r="B176" i="7"/>
  <c r="N176" i="7" s="1"/>
  <c r="H154" i="7"/>
  <c r="B160" i="7"/>
  <c r="H193" i="7"/>
  <c r="H3" i="7"/>
  <c r="H204" i="7"/>
  <c r="B81" i="6"/>
  <c r="F15" i="6"/>
  <c r="B95" i="6"/>
  <c r="F104" i="6"/>
  <c r="F34" i="6"/>
  <c r="B12" i="6"/>
  <c r="H26" i="7"/>
  <c r="H205" i="7"/>
  <c r="B158" i="7"/>
  <c r="N158" i="7" s="1"/>
  <c r="F155" i="6"/>
  <c r="B198" i="6"/>
  <c r="B191" i="7"/>
  <c r="N191" i="7" s="1"/>
  <c r="H49" i="7"/>
  <c r="F181" i="6"/>
  <c r="F10" i="6"/>
  <c r="B79" i="7"/>
  <c r="N79" i="7" s="1"/>
  <c r="B105" i="6"/>
  <c r="B170" i="7"/>
  <c r="N170" i="7" s="1"/>
  <c r="F177" i="6"/>
  <c r="B93" i="7"/>
  <c r="N93" i="7" s="1"/>
  <c r="B231" i="7"/>
  <c r="N231" i="7" s="1"/>
  <c r="B84" i="6"/>
  <c r="B19" i="6"/>
  <c r="B199" i="7"/>
  <c r="N199" i="7" s="1"/>
  <c r="F219" i="6"/>
  <c r="B195" i="6"/>
  <c r="B153" i="6"/>
  <c r="H118" i="7"/>
  <c r="H131" i="7"/>
  <c r="F72" i="6"/>
  <c r="H2" i="7"/>
  <c r="H92" i="7"/>
  <c r="H73" i="7"/>
  <c r="H75" i="7"/>
  <c r="B102" i="7"/>
  <c r="N102" i="7" s="1"/>
  <c r="F148" i="6"/>
  <c r="H62" i="7"/>
  <c r="H14" i="7"/>
  <c r="F66" i="6"/>
  <c r="H191" i="7"/>
  <c r="F77" i="6"/>
  <c r="B121" i="6"/>
  <c r="B59" i="7"/>
  <c r="N59" i="7" s="1"/>
  <c r="F40" i="6"/>
  <c r="B132" i="7"/>
  <c r="N132" i="7" s="1"/>
  <c r="F44" i="6"/>
  <c r="B200" i="7"/>
  <c r="N200" i="7" s="1"/>
  <c r="B209" i="6"/>
  <c r="F179" i="6"/>
  <c r="B36" i="7"/>
  <c r="N36" i="7" s="1"/>
  <c r="B156" i="6"/>
  <c r="B136" i="6"/>
  <c r="B165" i="7"/>
  <c r="N165" i="7" s="1"/>
  <c r="B149" i="6"/>
  <c r="F89" i="6"/>
  <c r="B28" i="7"/>
  <c r="N28" i="7" s="1"/>
  <c r="F201" i="6"/>
  <c r="B122" i="6"/>
  <c r="H123" i="7"/>
  <c r="B13" i="7"/>
  <c r="N13" i="7" s="1"/>
  <c r="H165" i="7"/>
  <c r="B189" i="6"/>
  <c r="F182" i="6"/>
  <c r="H121" i="7"/>
  <c r="B204" i="6"/>
  <c r="B191" i="6"/>
  <c r="B174" i="7"/>
  <c r="N174" i="7" s="1"/>
  <c r="B27" i="6"/>
  <c r="F8" i="6"/>
  <c r="F220" i="6"/>
  <c r="F85" i="6"/>
  <c r="C22" i="3"/>
  <c r="A34" i="5" s="1"/>
  <c r="B136" i="7"/>
  <c r="N136" i="7" s="1"/>
  <c r="B177" i="7"/>
  <c r="N177" i="7" s="1"/>
  <c r="B185" i="7"/>
  <c r="N185" i="7" s="1"/>
  <c r="F80" i="6"/>
  <c r="F50" i="6"/>
  <c r="H198" i="7"/>
  <c r="B124" i="6"/>
  <c r="H149" i="7"/>
  <c r="H20" i="7"/>
  <c r="H60" i="7"/>
  <c r="B194" i="6"/>
  <c r="B96" i="6"/>
  <c r="H227" i="7"/>
  <c r="F217" i="6"/>
  <c r="B6" i="6"/>
  <c r="H208" i="7"/>
  <c r="B144" i="7"/>
  <c r="N144" i="7" s="1"/>
  <c r="F188" i="6"/>
  <c r="B152" i="6"/>
  <c r="B146" i="7"/>
  <c r="N146" i="7" s="1"/>
  <c r="B181" i="7"/>
  <c r="N181" i="7" s="1"/>
  <c r="F215" i="6"/>
  <c r="H137" i="7"/>
  <c r="F73" i="6"/>
  <c r="B128" i="6"/>
  <c r="H157" i="7"/>
  <c r="F68" i="6"/>
  <c r="F39" i="6"/>
  <c r="H134" i="7"/>
  <c r="B178" i="6"/>
  <c r="B39" i="7"/>
  <c r="N39" i="7" s="1"/>
  <c r="B97" i="6"/>
  <c r="B73" i="7"/>
  <c r="N73" i="7" s="1"/>
  <c r="B103" i="7"/>
  <c r="N103" i="7" s="1"/>
  <c r="H200" i="7"/>
  <c r="B220" i="7"/>
  <c r="N220" i="7" s="1"/>
  <c r="H53" i="7"/>
  <c r="F55" i="6"/>
  <c r="F98" i="6"/>
  <c r="B68" i="7"/>
  <c r="N68" i="7" s="1"/>
  <c r="B89" i="7"/>
  <c r="N89" i="7" s="1"/>
  <c r="B82" i="7"/>
  <c r="N82" i="7" s="1"/>
  <c r="F221" i="6"/>
  <c r="B30" i="7"/>
  <c r="N30" i="7" s="1"/>
  <c r="B150" i="6"/>
  <c r="B48" i="7"/>
  <c r="N48" i="7" s="1"/>
  <c r="H47" i="7"/>
  <c r="B80" i="6"/>
  <c r="B219" i="6"/>
  <c r="B94" i="6"/>
  <c r="B130" i="6"/>
  <c r="F231" i="6"/>
  <c r="B171" i="6"/>
  <c r="B92" i="7"/>
  <c r="N92" i="7" s="1"/>
  <c r="B31" i="7"/>
  <c r="N31" i="7" s="1"/>
  <c r="B15" i="7"/>
  <c r="N15" i="7" s="1"/>
  <c r="H152" i="7"/>
  <c r="B40" i="6"/>
  <c r="B179" i="7"/>
  <c r="N179" i="7" s="1"/>
  <c r="B14" i="7"/>
  <c r="N14" i="7" s="1"/>
  <c r="B187" i="7"/>
  <c r="N187" i="7" s="1"/>
  <c r="F6" i="6"/>
  <c r="B197" i="7"/>
  <c r="N197" i="7" s="1"/>
  <c r="B41" i="6"/>
  <c r="H174" i="7"/>
  <c r="B202" i="7"/>
  <c r="N202" i="7" s="1"/>
  <c r="B185" i="6"/>
  <c r="B65" i="6"/>
  <c r="B170" i="6"/>
  <c r="B23" i="6"/>
  <c r="B114" i="6"/>
  <c r="B107" i="6"/>
  <c r="F116" i="6"/>
  <c r="F206" i="6"/>
  <c r="H145" i="7"/>
  <c r="B104" i="7"/>
  <c r="N104" i="7" s="1"/>
  <c r="H212" i="7"/>
  <c r="H96" i="7"/>
  <c r="B220" i="6"/>
  <c r="F97" i="6"/>
  <c r="B108" i="6"/>
  <c r="H69" i="7"/>
  <c r="F171" i="6"/>
  <c r="B75" i="7"/>
  <c r="N75" i="7" s="1"/>
  <c r="B71" i="7"/>
  <c r="N71" i="7" s="1"/>
  <c r="H89" i="7"/>
  <c r="F51" i="6"/>
  <c r="B216" i="6"/>
  <c r="B162" i="7"/>
  <c r="N162" i="7" s="1"/>
  <c r="H195" i="7"/>
  <c r="F156" i="6"/>
  <c r="B190" i="6"/>
  <c r="H72" i="7"/>
  <c r="F88" i="6"/>
  <c r="B217" i="6"/>
  <c r="F209" i="6"/>
  <c r="B167" i="6"/>
  <c r="B73" i="6"/>
  <c r="F202" i="6"/>
  <c r="B43" i="6"/>
  <c r="B94" i="7"/>
  <c r="N94" i="7" s="1"/>
  <c r="B142" i="6"/>
  <c r="F197" i="6"/>
  <c r="H39" i="7"/>
  <c r="F229" i="6"/>
  <c r="B110" i="7"/>
  <c r="N110" i="7" s="1"/>
  <c r="B151" i="6"/>
  <c r="B181" i="6"/>
  <c r="B55" i="7"/>
  <c r="N55" i="7" s="1"/>
  <c r="B207" i="7"/>
  <c r="N207" i="7" s="1"/>
  <c r="B29" i="6"/>
  <c r="H184" i="7"/>
  <c r="F52" i="6"/>
  <c r="H144" i="7"/>
  <c r="F92" i="6"/>
  <c r="H213" i="7"/>
  <c r="F23" i="6"/>
  <c r="B221" i="7"/>
  <c r="N221" i="7" s="1"/>
  <c r="B215" i="6"/>
  <c r="B218" i="7"/>
  <c r="N218" i="7" s="1"/>
  <c r="F53" i="6"/>
  <c r="H122" i="7"/>
  <c r="B37" i="7"/>
  <c r="N37" i="7" s="1"/>
  <c r="B183" i="6"/>
  <c r="B188" i="7"/>
  <c r="N188" i="7" s="1"/>
  <c r="B115" i="6"/>
  <c r="F20" i="6"/>
  <c r="H216" i="7"/>
  <c r="H79" i="7"/>
  <c r="F157" i="6"/>
  <c r="H115" i="7"/>
  <c r="F121" i="6"/>
  <c r="H82" i="7"/>
  <c r="F154" i="6"/>
  <c r="F233" i="6"/>
  <c r="H11" i="7"/>
  <c r="F160" i="6"/>
  <c r="H76" i="7"/>
  <c r="B89" i="6"/>
  <c r="B148" i="6"/>
  <c r="H109" i="7"/>
  <c r="B211" i="7"/>
  <c r="N211" i="7" s="1"/>
  <c r="F76" i="6"/>
  <c r="F207" i="6"/>
  <c r="F130" i="6"/>
  <c r="B25" i="7"/>
  <c r="N25" i="7" s="1"/>
  <c r="H22" i="7"/>
  <c r="B67" i="7"/>
  <c r="N67" i="7" s="1"/>
  <c r="B123" i="7"/>
  <c r="N123" i="7" s="1"/>
  <c r="B113" i="6"/>
  <c r="H46" i="7"/>
  <c r="F190" i="6"/>
  <c r="B143" i="7"/>
  <c r="N143" i="7" s="1"/>
  <c r="B93" i="6"/>
  <c r="H66" i="7"/>
  <c r="F170" i="6"/>
  <c r="F78" i="6"/>
  <c r="H158" i="7"/>
  <c r="F22" i="6"/>
  <c r="H214" i="7"/>
  <c r="H90" i="7"/>
  <c r="H13" i="7"/>
  <c r="F223" i="6"/>
  <c r="B109" i="6"/>
  <c r="B127" i="7"/>
  <c r="N127" i="7" s="1"/>
  <c r="H61" i="7"/>
  <c r="B44" i="7"/>
  <c r="N44" i="7" s="1"/>
  <c r="F96" i="6"/>
  <c r="B21" i="6"/>
  <c r="B74" i="7"/>
  <c r="N74" i="7" s="1"/>
  <c r="H189" i="7"/>
  <c r="B214" i="6"/>
  <c r="B129" i="6"/>
  <c r="B86" i="6"/>
  <c r="B150" i="7"/>
  <c r="N150" i="7" s="1"/>
  <c r="F18" i="6"/>
  <c r="H218" i="7"/>
  <c r="B105" i="7"/>
  <c r="N105" i="7" s="1"/>
  <c r="B35" i="7"/>
  <c r="N35" i="7" s="1"/>
  <c r="F7" i="6"/>
  <c r="H173" i="7"/>
  <c r="H166" i="7"/>
  <c r="H38" i="7"/>
  <c r="B99" i="6"/>
  <c r="B180" i="6"/>
  <c r="B83" i="6"/>
  <c r="H225" i="7"/>
  <c r="H190" i="7"/>
  <c r="F46" i="6"/>
  <c r="H98" i="7"/>
  <c r="F138" i="6"/>
  <c r="B219" i="7"/>
  <c r="N219" i="7" s="1"/>
  <c r="B17" i="6"/>
  <c r="F158" i="6"/>
  <c r="H78" i="7"/>
  <c r="B184" i="6"/>
  <c r="F218" i="6"/>
  <c r="F111" i="6"/>
  <c r="B173" i="7"/>
  <c r="N173" i="7" s="1"/>
  <c r="B164" i="7"/>
  <c r="N164" i="7" s="1"/>
  <c r="H56" i="7"/>
  <c r="F180" i="6"/>
  <c r="H141" i="7"/>
  <c r="F95" i="6"/>
  <c r="B203" i="7"/>
  <c r="N203" i="7" s="1"/>
  <c r="B33" i="6"/>
  <c r="B189" i="7"/>
  <c r="N189" i="7" s="1"/>
  <c r="D21" i="3"/>
  <c r="B22" i="3"/>
  <c r="B101" i="7"/>
  <c r="N101" i="7" s="1"/>
  <c r="B154" i="7"/>
  <c r="N154" i="7" s="1"/>
  <c r="B82" i="6"/>
  <c r="F150" i="6"/>
  <c r="H28" i="7"/>
  <c r="H116" i="7"/>
  <c r="B198" i="7"/>
  <c r="N198" i="7" s="1"/>
  <c r="B8" i="6"/>
  <c r="B228" i="7"/>
  <c r="N228" i="7" s="1"/>
  <c r="B51" i="3"/>
  <c r="B50" i="3"/>
  <c r="B68" i="5"/>
  <c r="H210" i="7"/>
  <c r="B201" i="7"/>
  <c r="N201" i="7" s="1"/>
  <c r="B68" i="6"/>
  <c r="F13" i="6"/>
  <c r="H223" i="7"/>
  <c r="B210" i="7"/>
  <c r="N210" i="7" s="1"/>
  <c r="B26" i="6"/>
  <c r="H10" i="7"/>
  <c r="F232" i="6"/>
  <c r="F17" i="6"/>
  <c r="H219" i="7"/>
  <c r="H171" i="7"/>
  <c r="F65" i="6"/>
  <c r="H74" i="7"/>
  <c r="F162" i="6"/>
  <c r="H23" i="7"/>
  <c r="F213" i="6"/>
  <c r="H194" i="7"/>
  <c r="F42" i="6"/>
  <c r="F132" i="6"/>
  <c r="H104" i="7"/>
  <c r="H187" i="7"/>
  <c r="F49" i="6"/>
  <c r="H142" i="7"/>
  <c r="F94" i="6"/>
  <c r="H100" i="7"/>
  <c r="F136" i="6"/>
  <c r="H203" i="7"/>
  <c r="F33" i="6"/>
  <c r="F133" i="6"/>
  <c r="H103" i="7"/>
  <c r="F128" i="6"/>
  <c r="H108" i="7"/>
  <c r="F212" i="6"/>
  <c r="B204" i="7"/>
  <c r="N204" i="7" s="1"/>
  <c r="B32" i="6"/>
  <c r="F101" i="6"/>
  <c r="H135" i="7"/>
  <c r="B119" i="6"/>
  <c r="B117" i="7"/>
  <c r="N117" i="7" s="1"/>
  <c r="H150" i="7"/>
  <c r="F86" i="6"/>
  <c r="H143" i="7"/>
  <c r="F93" i="6"/>
  <c r="B212" i="6"/>
  <c r="B24" i="7"/>
  <c r="N24" i="7" s="1"/>
  <c r="B133" i="7"/>
  <c r="N133" i="7" s="1"/>
  <c r="B103" i="6"/>
  <c r="H136" i="7"/>
  <c r="F141" i="6"/>
  <c r="F30" i="6"/>
  <c r="H206" i="7"/>
  <c r="H167" i="7"/>
  <c r="F69" i="6"/>
  <c r="F54" i="6"/>
  <c r="H182" i="7"/>
  <c r="H175" i="7"/>
  <c r="F61" i="6"/>
  <c r="B64" i="7"/>
  <c r="N64" i="7" s="1"/>
  <c r="B172" i="6"/>
  <c r="H146" i="7"/>
  <c r="F90" i="6"/>
  <c r="H178" i="7"/>
  <c r="F58" i="6"/>
  <c r="H87" i="7"/>
  <c r="F149" i="6"/>
  <c r="F37" i="6"/>
  <c r="H199" i="7"/>
  <c r="B184" i="7"/>
  <c r="N184" i="7" s="1"/>
  <c r="B52" i="6"/>
  <c r="H207" i="7"/>
  <c r="F29" i="6"/>
  <c r="F194" i="6"/>
  <c r="H42" i="7"/>
  <c r="B216" i="7"/>
  <c r="N216" i="7" s="1"/>
  <c r="B20" i="6"/>
  <c r="F81" i="6"/>
  <c r="B145" i="6"/>
  <c r="H162" i="7"/>
  <c r="F74" i="6"/>
  <c r="H117" i="7"/>
  <c r="F119" i="6"/>
  <c r="F137" i="6"/>
  <c r="H99" i="7"/>
  <c r="E7" i="3"/>
  <c r="G7" i="3" s="1"/>
  <c r="D7" i="3"/>
  <c r="F7" i="3" s="1"/>
  <c r="B8" i="3"/>
  <c r="N922" i="7"/>
  <c r="N995" i="7"/>
  <c r="N873" i="7"/>
  <c r="N568" i="7"/>
  <c r="N948" i="7"/>
  <c r="B50" i="7"/>
  <c r="B186" i="6"/>
  <c r="N940" i="7"/>
  <c r="N701" i="7"/>
  <c r="N959" i="7"/>
  <c r="N697" i="7"/>
  <c r="N41" i="7"/>
  <c r="N719" i="7"/>
  <c r="N963" i="7"/>
  <c r="N650" i="7"/>
  <c r="N955" i="7"/>
  <c r="N810" i="7"/>
  <c r="N975" i="7"/>
  <c r="N801" i="7"/>
  <c r="N160" i="7"/>
  <c r="N157" i="7"/>
  <c r="N831" i="7"/>
  <c r="N979" i="7"/>
  <c r="N799" i="7"/>
  <c r="N971" i="7"/>
  <c r="N895" i="7"/>
  <c r="N991" i="7"/>
  <c r="N891" i="7"/>
  <c r="N76" i="7"/>
  <c r="N987" i="7"/>
  <c r="N646" i="7"/>
  <c r="N1014" i="7"/>
  <c r="N490" i="7"/>
  <c r="N1003" i="7"/>
  <c r="N818" i="7"/>
  <c r="N1026" i="7"/>
  <c r="N134" i="7"/>
  <c r="N1010" i="7"/>
  <c r="N45" i="7"/>
  <c r="N860" i="7"/>
  <c r="N1030" i="7"/>
  <c r="N777" i="7"/>
  <c r="N1022" i="7"/>
  <c r="N892" i="7"/>
  <c r="N1040" i="7"/>
  <c r="N902" i="7"/>
  <c r="N1043" i="7"/>
  <c r="N882" i="7"/>
  <c r="N1037" i="7"/>
  <c r="N928" i="7"/>
  <c r="B10" i="6"/>
  <c r="B226" i="7"/>
  <c r="N932" i="7"/>
  <c r="H40" i="7"/>
  <c r="F196" i="6"/>
  <c r="N920" i="7"/>
  <c r="N386" i="7"/>
  <c r="N944" i="7"/>
  <c r="N1087" i="7"/>
  <c r="J30" i="3" l="1"/>
  <c r="B37" i="3"/>
  <c r="B38" i="3" s="1"/>
  <c r="E38" i="3" s="1"/>
  <c r="G38" i="3" s="1"/>
  <c r="K37" i="3"/>
  <c r="N37" i="3" s="1"/>
  <c r="P37" i="3" s="1"/>
  <c r="C25" i="3"/>
  <c r="B24" i="3"/>
  <c r="D24" i="3" s="1"/>
  <c r="F24" i="3" s="1"/>
  <c r="J31" i="3"/>
  <c r="B33" i="5"/>
  <c r="B71" i="5"/>
  <c r="B70" i="5"/>
  <c r="J17" i="6" s="1"/>
  <c r="E8" i="3"/>
  <c r="G8" i="3" s="1"/>
  <c r="D8" i="3"/>
  <c r="F8" i="3" s="1"/>
  <c r="H7" i="3"/>
  <c r="N226" i="7"/>
  <c r="N50" i="7"/>
  <c r="E24" i="3" l="1"/>
  <c r="G24" i="3" s="1"/>
  <c r="H24" i="3" s="1"/>
  <c r="A53" i="5"/>
  <c r="D38" i="3"/>
  <c r="F38" i="3" s="1"/>
  <c r="H38" i="3" s="1"/>
  <c r="A44" i="5"/>
  <c r="K38" i="3"/>
  <c r="N38" i="3" s="1"/>
  <c r="P38" i="3" s="1"/>
  <c r="M37" i="3"/>
  <c r="O37" i="3" s="1"/>
  <c r="Q37" i="3" s="1"/>
  <c r="E37" i="3"/>
  <c r="G37" i="3" s="1"/>
  <c r="D37" i="3"/>
  <c r="F37" i="3" s="1"/>
  <c r="B12" i="5"/>
  <c r="H8" i="3"/>
  <c r="B28" i="3" l="1"/>
  <c r="B31" i="5"/>
  <c r="B27" i="3"/>
  <c r="B25" i="3"/>
  <c r="H37" i="3"/>
  <c r="B56" i="5"/>
  <c r="M38" i="3"/>
  <c r="O38" i="3" s="1"/>
  <c r="Q38" i="3" s="1"/>
  <c r="B10" i="3"/>
  <c r="B47" i="5"/>
  <c r="B16" i="3"/>
  <c r="B13" i="3"/>
  <c r="B15" i="3"/>
  <c r="B11" i="5"/>
  <c r="B12" i="3"/>
  <c r="B9" i="3"/>
  <c r="E124" i="3" l="1"/>
  <c r="D168" i="7" s="1"/>
  <c r="D233" i="3"/>
  <c r="C59" i="7" s="1"/>
  <c r="D148" i="3"/>
  <c r="C144" i="7" s="1"/>
  <c r="D205" i="3"/>
  <c r="C87" i="7" s="1"/>
  <c r="D259" i="3"/>
  <c r="F259" i="3" s="1"/>
  <c r="E33" i="7" s="1"/>
  <c r="D270" i="3"/>
  <c r="C22" i="7" s="1"/>
  <c r="D84" i="3"/>
  <c r="C208" i="7" s="1"/>
  <c r="D161" i="3"/>
  <c r="C131" i="7" s="1"/>
  <c r="D177" i="3"/>
  <c r="C115" i="7" s="1"/>
  <c r="D67" i="3"/>
  <c r="C225" i="7" s="1"/>
  <c r="D128" i="3"/>
  <c r="D104" i="3"/>
  <c r="C188" i="7" s="1"/>
  <c r="E206" i="3"/>
  <c r="D86" i="7" s="1"/>
  <c r="D274" i="3"/>
  <c r="C18" i="7" s="1"/>
  <c r="D193" i="3"/>
  <c r="C99" i="7" s="1"/>
  <c r="D217" i="3"/>
  <c r="C75" i="7" s="1"/>
  <c r="E236" i="3"/>
  <c r="C180" i="6" s="1"/>
  <c r="D185" i="3"/>
  <c r="C107" i="7" s="1"/>
  <c r="D159" i="3"/>
  <c r="C133" i="7" s="1"/>
  <c r="D183" i="3"/>
  <c r="C109" i="7" s="1"/>
  <c r="D130" i="3"/>
  <c r="C162" i="7" s="1"/>
  <c r="D115" i="3"/>
  <c r="C177" i="7" s="1"/>
  <c r="D120" i="3"/>
  <c r="C172" i="7" s="1"/>
  <c r="D102" i="3"/>
  <c r="C190" i="7" s="1"/>
  <c r="D214" i="3"/>
  <c r="C78" i="7" s="1"/>
  <c r="D166" i="3"/>
  <c r="C126" i="7" s="1"/>
  <c r="D272" i="3"/>
  <c r="F272" i="3" s="1"/>
  <c r="G272" i="3" s="1"/>
  <c r="E189" i="3"/>
  <c r="D103" i="7" s="1"/>
  <c r="E145" i="3"/>
  <c r="D147" i="7" s="1"/>
  <c r="D201" i="3"/>
  <c r="C91" i="7" s="1"/>
  <c r="D117" i="3"/>
  <c r="C175" i="7" s="1"/>
  <c r="D162" i="3"/>
  <c r="C130" i="7" s="1"/>
  <c r="B42" i="3"/>
  <c r="D83" i="3"/>
  <c r="C209" i="7" s="1"/>
  <c r="D237" i="3"/>
  <c r="C55" i="7" s="1"/>
  <c r="D156" i="3"/>
  <c r="C136" i="7" s="1"/>
  <c r="D263" i="3"/>
  <c r="C29" i="7" s="1"/>
  <c r="D269" i="3"/>
  <c r="C23" i="7" s="1"/>
  <c r="D150" i="3"/>
  <c r="C142" i="7" s="1"/>
  <c r="E245" i="3"/>
  <c r="C189" i="6" s="1"/>
  <c r="D69" i="3"/>
  <c r="D246" i="3"/>
  <c r="F246" i="3" s="1"/>
  <c r="G246" i="3" s="1"/>
  <c r="E105" i="3"/>
  <c r="C49" i="6" s="1"/>
  <c r="D160" i="3"/>
  <c r="C132" i="7" s="1"/>
  <c r="D212" i="3"/>
  <c r="C80" i="7" s="1"/>
  <c r="D191" i="3"/>
  <c r="C101" i="7" s="1"/>
  <c r="D134" i="3"/>
  <c r="C158" i="7" s="1"/>
  <c r="E129" i="3"/>
  <c r="C73" i="6" s="1"/>
  <c r="D279" i="3"/>
  <c r="F279" i="3" s="1"/>
  <c r="E13" i="7" s="1"/>
  <c r="D129" i="3"/>
  <c r="C163" i="7" s="1"/>
  <c r="E81" i="3"/>
  <c r="C25" i="6" s="1"/>
  <c r="E78" i="3"/>
  <c r="C22" i="6" s="1"/>
  <c r="D173" i="3"/>
  <c r="C119" i="7" s="1"/>
  <c r="E243" i="3"/>
  <c r="D49" i="7" s="1"/>
  <c r="D114" i="3"/>
  <c r="C178" i="7" s="1"/>
  <c r="D199" i="3"/>
  <c r="C93" i="7" s="1"/>
  <c r="D216" i="3"/>
  <c r="C76" i="7" s="1"/>
  <c r="E264" i="3"/>
  <c r="D28" i="7" s="1"/>
  <c r="D71" i="3"/>
  <c r="C221" i="7" s="1"/>
  <c r="D231" i="3"/>
  <c r="C61" i="7" s="1"/>
  <c r="D89" i="3"/>
  <c r="C203" i="7" s="1"/>
  <c r="D276" i="3"/>
  <c r="C16" i="7" s="1"/>
  <c r="D190" i="3"/>
  <c r="C102" i="7" s="1"/>
  <c r="D155" i="3"/>
  <c r="C137" i="7" s="1"/>
  <c r="D176" i="3"/>
  <c r="C116" i="7" s="1"/>
  <c r="D189" i="3"/>
  <c r="C103" i="7" s="1"/>
  <c r="D62" i="3"/>
  <c r="C230" i="7" s="1"/>
  <c r="D92" i="3"/>
  <c r="C200" i="7" s="1"/>
  <c r="D228" i="3"/>
  <c r="C64" i="7" s="1"/>
  <c r="D179" i="3"/>
  <c r="C113" i="7" s="1"/>
  <c r="D109" i="3"/>
  <c r="D184" i="3"/>
  <c r="C108" i="7" s="1"/>
  <c r="D265" i="3"/>
  <c r="F265" i="3" s="1"/>
  <c r="G265" i="3" s="1"/>
  <c r="D101" i="3"/>
  <c r="C191" i="7" s="1"/>
  <c r="E151" i="3"/>
  <c r="C95" i="6" s="1"/>
  <c r="D136" i="3"/>
  <c r="C156" i="7" s="1"/>
  <c r="D113" i="3"/>
  <c r="C179" i="7" s="1"/>
  <c r="D94" i="3"/>
  <c r="C198" i="7" s="1"/>
  <c r="D70" i="3"/>
  <c r="C222" i="7" s="1"/>
  <c r="D78" i="3"/>
  <c r="C214" i="7" s="1"/>
  <c r="E88" i="3"/>
  <c r="C32" i="6" s="1"/>
  <c r="E254" i="3"/>
  <c r="C198" i="6" s="1"/>
  <c r="E194" i="3"/>
  <c r="C138" i="6" s="1"/>
  <c r="E158" i="3"/>
  <c r="C102" i="6" s="1"/>
  <c r="E192" i="3"/>
  <c r="C136" i="6" s="1"/>
  <c r="E271" i="3"/>
  <c r="D21" i="7" s="1"/>
  <c r="E193" i="3"/>
  <c r="D99" i="7" s="1"/>
  <c r="E227" i="3"/>
  <c r="C171" i="6" s="1"/>
  <c r="E251" i="3"/>
  <c r="D41" i="7" s="1"/>
  <c r="E82" i="3"/>
  <c r="C26" i="6" s="1"/>
  <c r="E261" i="3"/>
  <c r="D31" i="7" s="1"/>
  <c r="E183" i="3"/>
  <c r="D109" i="7" s="1"/>
  <c r="E115" i="3"/>
  <c r="C59" i="6" s="1"/>
  <c r="E200" i="3"/>
  <c r="C144" i="6" s="1"/>
  <c r="E196" i="3"/>
  <c r="C140" i="6" s="1"/>
  <c r="E241" i="3"/>
  <c r="D51" i="7" s="1"/>
  <c r="E110" i="3"/>
  <c r="C54" i="6" s="1"/>
  <c r="E137" i="3"/>
  <c r="D155" i="7" s="1"/>
  <c r="E97" i="3"/>
  <c r="D195" i="7" s="1"/>
  <c r="J262" i="3"/>
  <c r="I30" i="7" s="1"/>
  <c r="J88" i="3"/>
  <c r="I204" i="7" s="1"/>
  <c r="J100" i="3"/>
  <c r="K100" i="3" s="1"/>
  <c r="L100" i="3" s="1"/>
  <c r="M100" i="3" s="1"/>
  <c r="E44" i="6" s="1"/>
  <c r="J84" i="3"/>
  <c r="I208" i="7" s="1"/>
  <c r="J150" i="3"/>
  <c r="K150" i="3" s="1"/>
  <c r="L150" i="3" s="1"/>
  <c r="M150" i="3" s="1"/>
  <c r="E94" i="6" s="1"/>
  <c r="E225" i="3"/>
  <c r="C169" i="6" s="1"/>
  <c r="E226" i="3"/>
  <c r="D66" i="7" s="1"/>
  <c r="E176" i="3"/>
  <c r="D116" i="7" s="1"/>
  <c r="E191" i="3"/>
  <c r="D101" i="7" s="1"/>
  <c r="E135" i="3"/>
  <c r="D157" i="7" s="1"/>
  <c r="E207" i="3"/>
  <c r="D85" i="7" s="1"/>
  <c r="E92" i="3"/>
  <c r="J280" i="3"/>
  <c r="L280" i="3" s="1"/>
  <c r="M280" i="3" s="1"/>
  <c r="E224" i="6" s="1"/>
  <c r="J281" i="3"/>
  <c r="I3" i="7" s="1"/>
  <c r="J177" i="3"/>
  <c r="K177" i="3" s="1"/>
  <c r="L177" i="3" s="1"/>
  <c r="M177" i="3" s="1"/>
  <c r="E121" i="6" s="1"/>
  <c r="J210" i="3"/>
  <c r="K210" i="3" s="1"/>
  <c r="L210" i="3" s="1"/>
  <c r="K82" i="7" s="1"/>
  <c r="E250" i="3"/>
  <c r="D42" i="7" s="1"/>
  <c r="E255" i="3"/>
  <c r="C199" i="6" s="1"/>
  <c r="E160" i="3"/>
  <c r="D132" i="7" s="1"/>
  <c r="E120" i="3"/>
  <c r="D172" i="7" s="1"/>
  <c r="E90" i="3"/>
  <c r="D202" i="7" s="1"/>
  <c r="E64" i="3"/>
  <c r="C8" i="6" s="1"/>
  <c r="E239" i="3"/>
  <c r="D53" i="7" s="1"/>
  <c r="E60" i="3"/>
  <c r="J176" i="3"/>
  <c r="I116" i="7" s="1"/>
  <c r="J212" i="3"/>
  <c r="I80" i="7" s="1"/>
  <c r="J61" i="3"/>
  <c r="K61" i="3" s="1"/>
  <c r="L61" i="3" s="1"/>
  <c r="K231" i="7" s="1"/>
  <c r="J138" i="3"/>
  <c r="I154" i="7" s="1"/>
  <c r="J181" i="3"/>
  <c r="K181" i="3" s="1"/>
  <c r="L181" i="3" s="1"/>
  <c r="K111" i="7" s="1"/>
  <c r="J152" i="3"/>
  <c r="K152" i="3" s="1"/>
  <c r="L152" i="3" s="1"/>
  <c r="M152" i="3" s="1"/>
  <c r="E96" i="6" s="1"/>
  <c r="E72" i="3"/>
  <c r="C16" i="6" s="1"/>
  <c r="E118" i="3"/>
  <c r="C62" i="6" s="1"/>
  <c r="E147" i="3"/>
  <c r="D145" i="7" s="1"/>
  <c r="E67" i="3"/>
  <c r="C11" i="6" s="1"/>
  <c r="E279" i="3"/>
  <c r="D13" i="7" s="1"/>
  <c r="E269" i="3"/>
  <c r="C213" i="6" s="1"/>
  <c r="E273" i="3"/>
  <c r="C217" i="6" s="1"/>
  <c r="E263" i="3"/>
  <c r="J235" i="3"/>
  <c r="I57" i="7" s="1"/>
  <c r="J203" i="3"/>
  <c r="K203" i="3" s="1"/>
  <c r="J89" i="7" s="1"/>
  <c r="J202" i="3"/>
  <c r="I90" i="7" s="1"/>
  <c r="J148" i="3"/>
  <c r="K148" i="3" s="1"/>
  <c r="L148" i="3" s="1"/>
  <c r="K144" i="7" s="1"/>
  <c r="J246" i="3"/>
  <c r="I46" i="7" s="1"/>
  <c r="J275" i="3"/>
  <c r="I17" i="7" s="1"/>
  <c r="J214" i="3"/>
  <c r="I78" i="7" s="1"/>
  <c r="J197" i="3"/>
  <c r="K197" i="3" s="1"/>
  <c r="G141" i="6" s="1"/>
  <c r="J94" i="3"/>
  <c r="K94" i="3" s="1"/>
  <c r="L94" i="3" s="1"/>
  <c r="K198" i="7" s="1"/>
  <c r="J271" i="3"/>
  <c r="K271" i="3" s="1"/>
  <c r="G215" i="6" s="1"/>
  <c r="E93" i="3"/>
  <c r="D199" i="7" s="1"/>
  <c r="E242" i="3"/>
  <c r="C186" i="6" s="1"/>
  <c r="E195" i="3"/>
  <c r="C139" i="6" s="1"/>
  <c r="E210" i="3"/>
  <c r="C154" i="6" s="1"/>
  <c r="E274" i="3"/>
  <c r="D18" i="7" s="1"/>
  <c r="E260" i="3"/>
  <c r="C204" i="6" s="1"/>
  <c r="E175" i="3"/>
  <c r="D117" i="7" s="1"/>
  <c r="E166" i="3"/>
  <c r="D126" i="7" s="1"/>
  <c r="K42" i="3"/>
  <c r="B59" i="5" s="1"/>
  <c r="J242" i="3"/>
  <c r="K242" i="3" s="1"/>
  <c r="L242" i="3" s="1"/>
  <c r="K50" i="7" s="1"/>
  <c r="J174" i="3"/>
  <c r="I118" i="7" s="1"/>
  <c r="J268" i="3"/>
  <c r="I24" i="7" s="1"/>
  <c r="J128" i="3"/>
  <c r="I164" i="7" s="1"/>
  <c r="J117" i="3"/>
  <c r="K117" i="3" s="1"/>
  <c r="J175" i="7" s="1"/>
  <c r="J250" i="3"/>
  <c r="I42" i="7" s="1"/>
  <c r="J113" i="3"/>
  <c r="I179" i="7" s="1"/>
  <c r="J245" i="3"/>
  <c r="I47" i="7" s="1"/>
  <c r="J182" i="3"/>
  <c r="K182" i="3" s="1"/>
  <c r="L182" i="3" s="1"/>
  <c r="K110" i="7" s="1"/>
  <c r="J211" i="3"/>
  <c r="K211" i="3" s="1"/>
  <c r="L211" i="3" s="1"/>
  <c r="M211" i="3" s="1"/>
  <c r="E155" i="6" s="1"/>
  <c r="J157" i="3"/>
  <c r="K157" i="3" s="1"/>
  <c r="L157" i="3" s="1"/>
  <c r="M157" i="3" s="1"/>
  <c r="E101" i="6" s="1"/>
  <c r="J160" i="3"/>
  <c r="K160" i="3" s="1"/>
  <c r="L160" i="3" s="1"/>
  <c r="K132" i="7" s="1"/>
  <c r="E112" i="3"/>
  <c r="C56" i="6" s="1"/>
  <c r="E186" i="3"/>
  <c r="D106" i="7" s="1"/>
  <c r="D255" i="3"/>
  <c r="C37" i="7" s="1"/>
  <c r="D123" i="3"/>
  <c r="C169" i="7" s="1"/>
  <c r="D60" i="3"/>
  <c r="C232" i="7" s="1"/>
  <c r="D180" i="3"/>
  <c r="C112" i="7" s="1"/>
  <c r="E106" i="3"/>
  <c r="D186" i="7" s="1"/>
  <c r="E113" i="3"/>
  <c r="C57" i="6" s="1"/>
  <c r="D73" i="3"/>
  <c r="C219" i="7" s="1"/>
  <c r="E127" i="3"/>
  <c r="C71" i="6" s="1"/>
  <c r="D232" i="3"/>
  <c r="C60" i="7" s="1"/>
  <c r="D210" i="3"/>
  <c r="C82" i="7" s="1"/>
  <c r="E128" i="3"/>
  <c r="D164" i="7" s="1"/>
  <c r="E256" i="3"/>
  <c r="C200" i="6" s="1"/>
  <c r="D175" i="3"/>
  <c r="E99" i="3"/>
  <c r="C43" i="6" s="1"/>
  <c r="E217" i="3"/>
  <c r="D75" i="7" s="1"/>
  <c r="D131" i="3"/>
  <c r="C161" i="7" s="1"/>
  <c r="D110" i="3"/>
  <c r="C182" i="7" s="1"/>
  <c r="D140" i="3"/>
  <c r="C152" i="7" s="1"/>
  <c r="E79" i="3"/>
  <c r="D213" i="7" s="1"/>
  <c r="D218" i="3"/>
  <c r="C74" i="7" s="1"/>
  <c r="E203" i="3"/>
  <c r="C147" i="6" s="1"/>
  <c r="D81" i="3"/>
  <c r="C211" i="7" s="1"/>
  <c r="D68" i="3"/>
  <c r="C224" i="7" s="1"/>
  <c r="E220" i="3"/>
  <c r="D72" i="7" s="1"/>
  <c r="D154" i="3"/>
  <c r="C138" i="7" s="1"/>
  <c r="D164" i="3"/>
  <c r="C128" i="7" s="1"/>
  <c r="E149" i="3"/>
  <c r="D143" i="7" s="1"/>
  <c r="D116" i="3"/>
  <c r="C176" i="7" s="1"/>
  <c r="D194" i="3"/>
  <c r="C98" i="7" s="1"/>
  <c r="E258" i="3"/>
  <c r="E184" i="3"/>
  <c r="E68" i="3"/>
  <c r="J133" i="3"/>
  <c r="I159" i="7" s="1"/>
  <c r="J86" i="3"/>
  <c r="K86" i="3" s="1"/>
  <c r="L86" i="3" s="1"/>
  <c r="M86" i="3" s="1"/>
  <c r="E30" i="6" s="1"/>
  <c r="J201" i="3"/>
  <c r="K201" i="3" s="1"/>
  <c r="L201" i="3" s="1"/>
  <c r="K91" i="7" s="1"/>
  <c r="J155" i="3"/>
  <c r="I137" i="7" s="1"/>
  <c r="J252" i="3"/>
  <c r="I40" i="7" s="1"/>
  <c r="J170" i="3"/>
  <c r="I122" i="7" s="1"/>
  <c r="E233" i="3"/>
  <c r="C177" i="6" s="1"/>
  <c r="D64" i="3"/>
  <c r="C228" i="7" s="1"/>
  <c r="E216" i="3"/>
  <c r="C160" i="6" s="1"/>
  <c r="D171" i="3"/>
  <c r="C121" i="7" s="1"/>
  <c r="E104" i="3"/>
  <c r="D188" i="7" s="1"/>
  <c r="E240" i="3"/>
  <c r="C184" i="6" s="1"/>
  <c r="D151" i="3"/>
  <c r="C141" i="7" s="1"/>
  <c r="E276" i="3"/>
  <c r="C220" i="6" s="1"/>
  <c r="E162" i="3"/>
  <c r="D130" i="7" s="1"/>
  <c r="E244" i="3"/>
  <c r="C188" i="6" s="1"/>
  <c r="D220" i="3"/>
  <c r="C72" i="7" s="1"/>
  <c r="D76" i="3"/>
  <c r="C216" i="7" s="1"/>
  <c r="E74" i="3"/>
  <c r="C18" i="6" s="1"/>
  <c r="E211" i="3"/>
  <c r="D81" i="7" s="1"/>
  <c r="E108" i="3"/>
  <c r="D184" i="7" s="1"/>
  <c r="D195" i="3"/>
  <c r="C97" i="7" s="1"/>
  <c r="D188" i="3"/>
  <c r="C104" i="7" s="1"/>
  <c r="D202" i="3"/>
  <c r="C90" i="7" s="1"/>
  <c r="D168" i="3"/>
  <c r="C124" i="7" s="1"/>
  <c r="E208" i="3"/>
  <c r="D84" i="7" s="1"/>
  <c r="E139" i="3"/>
  <c r="D153" i="7" s="1"/>
  <c r="D251" i="3"/>
  <c r="F251" i="3" s="1"/>
  <c r="G251" i="3" s="1"/>
  <c r="D147" i="3"/>
  <c r="C145" i="7" s="1"/>
  <c r="D225" i="3"/>
  <c r="C67" i="7" s="1"/>
  <c r="D105" i="3"/>
  <c r="E164" i="3"/>
  <c r="D128" i="7" s="1"/>
  <c r="D186" i="3"/>
  <c r="C106" i="7" s="1"/>
  <c r="E109" i="3"/>
  <c r="E182" i="3"/>
  <c r="D133" i="3"/>
  <c r="C159" i="7" s="1"/>
  <c r="E185" i="3"/>
  <c r="D107" i="7" s="1"/>
  <c r="D145" i="3"/>
  <c r="C147" i="7" s="1"/>
  <c r="E174" i="3"/>
  <c r="D241" i="3"/>
  <c r="J77" i="3"/>
  <c r="I215" i="7" s="1"/>
  <c r="J232" i="3"/>
  <c r="K232" i="3" s="1"/>
  <c r="G176" i="6" s="1"/>
  <c r="J130" i="3"/>
  <c r="K130" i="3" s="1"/>
  <c r="L130" i="3" s="1"/>
  <c r="J217" i="3"/>
  <c r="K217" i="3" s="1"/>
  <c r="L217" i="3" s="1"/>
  <c r="M217" i="3" s="1"/>
  <c r="E161" i="6" s="1"/>
  <c r="J179" i="3"/>
  <c r="K179" i="3" s="1"/>
  <c r="L179" i="3" s="1"/>
  <c r="K113" i="7" s="1"/>
  <c r="J257" i="3"/>
  <c r="K257" i="3" s="1"/>
  <c r="L257" i="3" s="1"/>
  <c r="K35" i="7" s="1"/>
  <c r="J267" i="3"/>
  <c r="K267" i="3" s="1"/>
  <c r="G211" i="6" s="1"/>
  <c r="D254" i="3"/>
  <c r="F254" i="3" s="1"/>
  <c r="E38" i="7" s="1"/>
  <c r="D203" i="3"/>
  <c r="E157" i="3"/>
  <c r="C101" i="6" s="1"/>
  <c r="E80" i="3"/>
  <c r="C24" i="6" s="1"/>
  <c r="D240" i="3"/>
  <c r="C52" i="7" s="1"/>
  <c r="D61" i="3"/>
  <c r="C231" i="7" s="1"/>
  <c r="E69" i="3"/>
  <c r="D223" i="7" s="1"/>
  <c r="D245" i="3"/>
  <c r="F245" i="3" s="1"/>
  <c r="G245" i="3" s="1"/>
  <c r="E275" i="3"/>
  <c r="D17" i="7" s="1"/>
  <c r="D135" i="3"/>
  <c r="D242" i="3"/>
  <c r="F242" i="3" s="1"/>
  <c r="E50" i="7" s="1"/>
  <c r="D98" i="3"/>
  <c r="C194" i="7" s="1"/>
  <c r="D235" i="3"/>
  <c r="C57" i="7" s="1"/>
  <c r="E96" i="3"/>
  <c r="D196" i="7" s="1"/>
  <c r="D256" i="3"/>
  <c r="C36" i="7" s="1"/>
  <c r="E230" i="3"/>
  <c r="D62" i="7" s="1"/>
  <c r="D170" i="3"/>
  <c r="C122" i="7" s="1"/>
  <c r="E246" i="3"/>
  <c r="D46" i="7" s="1"/>
  <c r="D106" i="3"/>
  <c r="C186" i="7" s="1"/>
  <c r="D196" i="3"/>
  <c r="E98" i="3"/>
  <c r="D194" i="7" s="1"/>
  <c r="D192" i="3"/>
  <c r="C100" i="7" s="1"/>
  <c r="D266" i="3"/>
  <c r="C26" i="7" s="1"/>
  <c r="E224" i="3"/>
  <c r="D68" i="7" s="1"/>
  <c r="D158" i="3"/>
  <c r="C134" i="7" s="1"/>
  <c r="E249" i="3"/>
  <c r="C193" i="6" s="1"/>
  <c r="E123" i="3"/>
  <c r="C67" i="6" s="1"/>
  <c r="D137" i="3"/>
  <c r="C155" i="7" s="1"/>
  <c r="D96" i="3"/>
  <c r="C196" i="7" s="1"/>
  <c r="E234" i="3"/>
  <c r="D124" i="3"/>
  <c r="C168" i="7" s="1"/>
  <c r="D249" i="3"/>
  <c r="C43" i="7" s="1"/>
  <c r="D122" i="3"/>
  <c r="C170" i="7" s="1"/>
  <c r="J132" i="3"/>
  <c r="K132" i="3" s="1"/>
  <c r="L132" i="3" s="1"/>
  <c r="M132" i="3" s="1"/>
  <c r="E76" i="6" s="1"/>
  <c r="J158" i="3"/>
  <c r="K158" i="3" s="1"/>
  <c r="L158" i="3" s="1"/>
  <c r="M158" i="3" s="1"/>
  <c r="E102" i="6" s="1"/>
  <c r="J89" i="3"/>
  <c r="K89" i="3" s="1"/>
  <c r="L89" i="3" s="1"/>
  <c r="K203" i="7" s="1"/>
  <c r="J266" i="3"/>
  <c r="L266" i="3" s="1"/>
  <c r="K26" i="7" s="1"/>
  <c r="J218" i="3"/>
  <c r="K218" i="3" s="1"/>
  <c r="L218" i="3" s="1"/>
  <c r="M218" i="3" s="1"/>
  <c r="E162" i="6" s="1"/>
  <c r="J248" i="3"/>
  <c r="I44" i="7" s="1"/>
  <c r="J156" i="3"/>
  <c r="I136" i="7" s="1"/>
  <c r="E130" i="3"/>
  <c r="C74" i="6" s="1"/>
  <c r="D277" i="3"/>
  <c r="F277" i="3" s="1"/>
  <c r="G277" i="3" s="1"/>
  <c r="E133" i="3"/>
  <c r="D159" i="7" s="1"/>
  <c r="E143" i="3"/>
  <c r="C87" i="6" s="1"/>
  <c r="D250" i="3"/>
  <c r="C42" i="7" s="1"/>
  <c r="E102" i="3"/>
  <c r="D190" i="7" s="1"/>
  <c r="B43" i="3"/>
  <c r="D178" i="3"/>
  <c r="C114" i="7" s="1"/>
  <c r="D230" i="3"/>
  <c r="C62" i="7" s="1"/>
  <c r="E177" i="3"/>
  <c r="C121" i="6" s="1"/>
  <c r="D222" i="3"/>
  <c r="C70" i="7" s="1"/>
  <c r="E138" i="3"/>
  <c r="D154" i="7" s="1"/>
  <c r="B40" i="3"/>
  <c r="E268" i="3"/>
  <c r="D24" i="7" s="1"/>
  <c r="E63" i="3"/>
  <c r="C7" i="6" s="1"/>
  <c r="D65" i="3"/>
  <c r="C227" i="7" s="1"/>
  <c r="D74" i="3"/>
  <c r="C218" i="7" s="1"/>
  <c r="E222" i="3"/>
  <c r="D70" i="7" s="1"/>
  <c r="D100" i="3"/>
  <c r="C192" i="7" s="1"/>
  <c r="E218" i="3"/>
  <c r="D74" i="7" s="1"/>
  <c r="E202" i="3"/>
  <c r="C146" i="6" s="1"/>
  <c r="D90" i="3"/>
  <c r="C202" i="7" s="1"/>
  <c r="D258" i="3"/>
  <c r="F258" i="3" s="1"/>
  <c r="G258" i="3" s="1"/>
  <c r="D103" i="3"/>
  <c r="C189" i="7" s="1"/>
  <c r="E212" i="3"/>
  <c r="D80" i="7" s="1"/>
  <c r="E169" i="3"/>
  <c r="D123" i="7" s="1"/>
  <c r="D204" i="3"/>
  <c r="C88" i="7" s="1"/>
  <c r="E86" i="3"/>
  <c r="D206" i="7" s="1"/>
  <c r="E100" i="3"/>
  <c r="D192" i="7" s="1"/>
  <c r="E167" i="3"/>
  <c r="D262" i="3"/>
  <c r="C30" i="7" s="1"/>
  <c r="D126" i="3"/>
  <c r="C166" i="7" s="1"/>
  <c r="D271" i="3"/>
  <c r="C21" i="7" s="1"/>
  <c r="E228" i="3"/>
  <c r="C172" i="6" s="1"/>
  <c r="E119" i="3"/>
  <c r="C63" i="6" s="1"/>
  <c r="E235" i="3"/>
  <c r="D57" i="7" s="1"/>
  <c r="E272" i="3"/>
  <c r="C216" i="6" s="1"/>
  <c r="E262" i="3"/>
  <c r="D30" i="7" s="1"/>
  <c r="E221" i="3"/>
  <c r="D71" i="7" s="1"/>
  <c r="E156" i="3"/>
  <c r="D136" i="7" s="1"/>
  <c r="E75" i="3"/>
  <c r="C19" i="6" s="1"/>
  <c r="E165" i="3"/>
  <c r="D127" i="7" s="1"/>
  <c r="E188" i="3"/>
  <c r="D104" i="7" s="1"/>
  <c r="E204" i="3"/>
  <c r="C148" i="6" s="1"/>
  <c r="E84" i="3"/>
  <c r="D208" i="7" s="1"/>
  <c r="E66" i="3"/>
  <c r="C10" i="6" s="1"/>
  <c r="E171" i="3"/>
  <c r="D121" i="7" s="1"/>
  <c r="E87" i="3"/>
  <c r="C31" i="6" s="1"/>
  <c r="E136" i="3"/>
  <c r="C80" i="6" s="1"/>
  <c r="E259" i="3"/>
  <c r="D33" i="7" s="1"/>
  <c r="E247" i="3"/>
  <c r="C191" i="6" s="1"/>
  <c r="E197" i="3"/>
  <c r="C141" i="6" s="1"/>
  <c r="E199" i="3"/>
  <c r="D93" i="7" s="1"/>
  <c r="B36" i="5"/>
  <c r="C91" i="5" s="1"/>
  <c r="C94" i="5" s="1"/>
  <c r="J240" i="3"/>
  <c r="K240" i="3" s="1"/>
  <c r="L240" i="3" s="1"/>
  <c r="K52" i="7" s="1"/>
  <c r="J120" i="3"/>
  <c r="K120" i="3" s="1"/>
  <c r="L120" i="3" s="1"/>
  <c r="K172" i="7" s="1"/>
  <c r="J140" i="3"/>
  <c r="K140" i="3" s="1"/>
  <c r="J152" i="7" s="1"/>
  <c r="J284" i="3"/>
  <c r="K284" i="3" s="1"/>
  <c r="J6" i="7" s="1"/>
  <c r="J145" i="3"/>
  <c r="I147" i="7" s="1"/>
  <c r="J287" i="3"/>
  <c r="I9" i="7" s="1"/>
  <c r="J115" i="3"/>
  <c r="K115" i="3" s="1"/>
  <c r="L115" i="3" s="1"/>
  <c r="K177" i="7" s="1"/>
  <c r="J151" i="3"/>
  <c r="I141" i="7" s="1"/>
  <c r="J81" i="3"/>
  <c r="I211" i="7" s="1"/>
  <c r="J263" i="3"/>
  <c r="L263" i="3" s="1"/>
  <c r="M263" i="3" s="1"/>
  <c r="E207" i="6" s="1"/>
  <c r="J167" i="3"/>
  <c r="K167" i="3" s="1"/>
  <c r="L167" i="3" s="1"/>
  <c r="K125" i="7" s="1"/>
  <c r="J141" i="3"/>
  <c r="K141" i="3" s="1"/>
  <c r="L141" i="3" s="1"/>
  <c r="K151" i="7" s="1"/>
  <c r="J233" i="3"/>
  <c r="I59" i="7" s="1"/>
  <c r="J109" i="3"/>
  <c r="I183" i="7" s="1"/>
  <c r="J69" i="3"/>
  <c r="I223" i="7" s="1"/>
  <c r="J237" i="3"/>
  <c r="I55" i="7" s="1"/>
  <c r="J131" i="3"/>
  <c r="I161" i="7" s="1"/>
  <c r="J102" i="3"/>
  <c r="K102" i="3" s="1"/>
  <c r="L102" i="3" s="1"/>
  <c r="M102" i="3" s="1"/>
  <c r="E46" i="6" s="1"/>
  <c r="J183" i="3"/>
  <c r="K183" i="3" s="1"/>
  <c r="L183" i="3" s="1"/>
  <c r="K109" i="7" s="1"/>
  <c r="J92" i="3"/>
  <c r="K92" i="3" s="1"/>
  <c r="G36" i="6" s="1"/>
  <c r="J97" i="3"/>
  <c r="K97" i="3" s="1"/>
  <c r="G41" i="6" s="1"/>
  <c r="J87" i="3"/>
  <c r="K87" i="3" s="1"/>
  <c r="L87" i="3" s="1"/>
  <c r="K205" i="7" s="1"/>
  <c r="J91" i="3"/>
  <c r="K91" i="3" s="1"/>
  <c r="L91" i="3" s="1"/>
  <c r="M91" i="3" s="1"/>
  <c r="E35" i="6" s="1"/>
  <c r="J253" i="3"/>
  <c r="I39" i="7" s="1"/>
  <c r="J277" i="3"/>
  <c r="I15" i="7" s="1"/>
  <c r="J137" i="3"/>
  <c r="I155" i="7" s="1"/>
  <c r="J175" i="3"/>
  <c r="K175" i="3" s="1"/>
  <c r="L175" i="3" s="1"/>
  <c r="K117" i="7" s="1"/>
  <c r="J276" i="3"/>
  <c r="K276" i="3" s="1"/>
  <c r="G220" i="6" s="1"/>
  <c r="J82" i="3"/>
  <c r="K82" i="3" s="1"/>
  <c r="L82" i="3" s="1"/>
  <c r="M82" i="3" s="1"/>
  <c r="E26" i="6" s="1"/>
  <c r="J273" i="3"/>
  <c r="I19" i="7" s="1"/>
  <c r="J278" i="3"/>
  <c r="K278" i="3" s="1"/>
  <c r="J14" i="7" s="1"/>
  <c r="J219" i="3"/>
  <c r="K219" i="3" s="1"/>
  <c r="L219" i="3" s="1"/>
  <c r="K73" i="7" s="1"/>
  <c r="J206" i="3"/>
  <c r="I86" i="7" s="1"/>
  <c r="J265" i="3"/>
  <c r="I27" i="7" s="1"/>
  <c r="J286" i="3"/>
  <c r="L286" i="3" s="1"/>
  <c r="K8" i="7" s="1"/>
  <c r="J204" i="3"/>
  <c r="K204" i="3" s="1"/>
  <c r="L204" i="3" s="1"/>
  <c r="K88" i="7" s="1"/>
  <c r="J99" i="3"/>
  <c r="K99" i="3" s="1"/>
  <c r="L99" i="3" s="1"/>
  <c r="M99" i="3" s="1"/>
  <c r="E43" i="6" s="1"/>
  <c r="J279" i="3"/>
  <c r="I13" i="7" s="1"/>
  <c r="J114" i="3"/>
  <c r="I178" i="7" s="1"/>
  <c r="J165" i="3"/>
  <c r="K165" i="3" s="1"/>
  <c r="L165" i="3" s="1"/>
  <c r="M165" i="3" s="1"/>
  <c r="E109" i="6" s="1"/>
  <c r="J200" i="3"/>
  <c r="I92" i="7" s="1"/>
  <c r="J90" i="3"/>
  <c r="I202" i="7" s="1"/>
  <c r="J164" i="3"/>
  <c r="K164" i="3" s="1"/>
  <c r="G108" i="6" s="1"/>
  <c r="J63" i="3"/>
  <c r="I229" i="7" s="1"/>
  <c r="J73" i="3"/>
  <c r="I219" i="7" s="1"/>
  <c r="J161" i="3"/>
  <c r="I131" i="7" s="1"/>
  <c r="J231" i="3"/>
  <c r="K231" i="3" s="1"/>
  <c r="L231" i="3" s="1"/>
  <c r="K61" i="7" s="1"/>
  <c r="J67" i="3"/>
  <c r="K67" i="3" s="1"/>
  <c r="L67" i="3" s="1"/>
  <c r="M67" i="3" s="1"/>
  <c r="E11" i="6" s="1"/>
  <c r="J261" i="3"/>
  <c r="L261" i="3" s="1"/>
  <c r="M261" i="3" s="1"/>
  <c r="E205" i="6" s="1"/>
  <c r="J135" i="3"/>
  <c r="I157" i="7" s="1"/>
  <c r="J108" i="3"/>
  <c r="I184" i="7" s="1"/>
  <c r="J178" i="3"/>
  <c r="I114" i="7" s="1"/>
  <c r="J290" i="3"/>
  <c r="K290" i="3" s="1"/>
  <c r="J12" i="7" s="1"/>
  <c r="J168" i="3"/>
  <c r="K168" i="3" s="1"/>
  <c r="L168" i="3" s="1"/>
  <c r="M168" i="3" s="1"/>
  <c r="E112" i="6" s="1"/>
  <c r="J224" i="3"/>
  <c r="I68" i="7" s="1"/>
  <c r="J75" i="3"/>
  <c r="I217" i="7" s="1"/>
  <c r="J116" i="3"/>
  <c r="K116" i="3" s="1"/>
  <c r="L116" i="3" s="1"/>
  <c r="M116" i="3" s="1"/>
  <c r="E60" i="6" s="1"/>
  <c r="J251" i="3"/>
  <c r="I41" i="7" s="1"/>
  <c r="J274" i="3"/>
  <c r="I18" i="7" s="1"/>
  <c r="J107" i="3"/>
  <c r="I185" i="7" s="1"/>
  <c r="J216" i="3"/>
  <c r="I76" i="7" s="1"/>
  <c r="J185" i="3"/>
  <c r="I107" i="7" s="1"/>
  <c r="J111" i="3"/>
  <c r="I181" i="7" s="1"/>
  <c r="J225" i="3"/>
  <c r="K225" i="3" s="1"/>
  <c r="L225" i="3" s="1"/>
  <c r="M225" i="3" s="1"/>
  <c r="E169" i="6" s="1"/>
  <c r="J153" i="3"/>
  <c r="I139" i="7" s="1"/>
  <c r="J166" i="3"/>
  <c r="K166" i="3" s="1"/>
  <c r="L166" i="3" s="1"/>
  <c r="K126" i="7" s="1"/>
  <c r="K43" i="3"/>
  <c r="J221" i="3"/>
  <c r="I71" i="7" s="1"/>
  <c r="J83" i="3"/>
  <c r="I209" i="7" s="1"/>
  <c r="J124" i="3"/>
  <c r="I168" i="7" s="1"/>
  <c r="J144" i="3"/>
  <c r="I148" i="7" s="1"/>
  <c r="J163" i="3"/>
  <c r="I129" i="7" s="1"/>
  <c r="B35" i="5"/>
  <c r="B112" i="5" s="1"/>
  <c r="B114" i="5" s="1"/>
  <c r="B115" i="5" s="1"/>
  <c r="J146" i="3"/>
  <c r="K146" i="3" s="1"/>
  <c r="L146" i="3" s="1"/>
  <c r="M146" i="3" s="1"/>
  <c r="E90" i="6" s="1"/>
  <c r="J125" i="3"/>
  <c r="I167" i="7" s="1"/>
  <c r="J60" i="3"/>
  <c r="K60" i="3" s="1"/>
  <c r="L60" i="3" s="1"/>
  <c r="K232" i="7" s="1"/>
  <c r="J172" i="3"/>
  <c r="I120" i="7" s="1"/>
  <c r="J249" i="3"/>
  <c r="K249" i="3" s="1"/>
  <c r="L249" i="3" s="1"/>
  <c r="M249" i="3" s="1"/>
  <c r="E193" i="6" s="1"/>
  <c r="J122" i="3"/>
  <c r="I170" i="7" s="1"/>
  <c r="J184" i="3"/>
  <c r="K184" i="3" s="1"/>
  <c r="J108" i="7" s="1"/>
  <c r="J136" i="3"/>
  <c r="K136" i="3" s="1"/>
  <c r="J156" i="7" s="1"/>
  <c r="J208" i="3"/>
  <c r="I84" i="7" s="1"/>
  <c r="J269" i="3"/>
  <c r="K269" i="3" s="1"/>
  <c r="J23" i="7" s="1"/>
  <c r="J264" i="3"/>
  <c r="L264" i="3" s="1"/>
  <c r="K28" i="7" s="1"/>
  <c r="J103" i="3"/>
  <c r="I189" i="7" s="1"/>
  <c r="J147" i="3"/>
  <c r="I145" i="7" s="1"/>
  <c r="J110" i="3"/>
  <c r="I182" i="7" s="1"/>
  <c r="J171" i="3"/>
  <c r="K171" i="3" s="1"/>
  <c r="L171" i="3" s="1"/>
  <c r="M171" i="3" s="1"/>
  <c r="E115" i="6" s="1"/>
  <c r="J236" i="3"/>
  <c r="K236" i="3" s="1"/>
  <c r="L236" i="3" s="1"/>
  <c r="K56" i="7" s="1"/>
  <c r="J112" i="3"/>
  <c r="K112" i="3" s="1"/>
  <c r="L112" i="3" s="1"/>
  <c r="K180" i="7" s="1"/>
  <c r="J195" i="3"/>
  <c r="K195" i="3" s="1"/>
  <c r="L195" i="3" s="1"/>
  <c r="M195" i="3" s="1"/>
  <c r="E139" i="6" s="1"/>
  <c r="J142" i="3"/>
  <c r="I150" i="7" s="1"/>
  <c r="J289" i="3"/>
  <c r="I11" i="7" s="1"/>
  <c r="J106" i="3"/>
  <c r="I186" i="7" s="1"/>
  <c r="J288" i="3"/>
  <c r="I10" i="7" s="1"/>
  <c r="J93" i="3"/>
  <c r="K93" i="3" s="1"/>
  <c r="L93" i="3" s="1"/>
  <c r="M93" i="3" s="1"/>
  <c r="E37" i="6" s="1"/>
  <c r="J247" i="3"/>
  <c r="I45" i="7" s="1"/>
  <c r="J121" i="3"/>
  <c r="K121" i="3" s="1"/>
  <c r="L121" i="3" s="1"/>
  <c r="K171" i="7" s="1"/>
  <c r="J207" i="3"/>
  <c r="K207" i="3" s="1"/>
  <c r="L207" i="3" s="1"/>
  <c r="M207" i="3" s="1"/>
  <c r="E151" i="6" s="1"/>
  <c r="J239" i="3"/>
  <c r="I53" i="7" s="1"/>
  <c r="J234" i="3"/>
  <c r="K234" i="3" s="1"/>
  <c r="J58" i="7" s="1"/>
  <c r="J104" i="3"/>
  <c r="K104" i="3" s="1"/>
  <c r="L104" i="3" s="1"/>
  <c r="M104" i="3" s="1"/>
  <c r="E48" i="6" s="1"/>
  <c r="J243" i="3"/>
  <c r="K243" i="3" s="1"/>
  <c r="L243" i="3" s="1"/>
  <c r="K49" i="7" s="1"/>
  <c r="J189" i="3"/>
  <c r="I103" i="7" s="1"/>
  <c r="J227" i="3"/>
  <c r="I65" i="7" s="1"/>
  <c r="J285" i="3"/>
  <c r="K285" i="3" s="1"/>
  <c r="J7" i="7" s="1"/>
  <c r="J283" i="3"/>
  <c r="I5" i="7" s="1"/>
  <c r="J143" i="3"/>
  <c r="I149" i="7" s="1"/>
  <c r="J190" i="3"/>
  <c r="K190" i="3" s="1"/>
  <c r="L190" i="3" s="1"/>
  <c r="K102" i="7" s="1"/>
  <c r="J244" i="3"/>
  <c r="I48" i="7" s="1"/>
  <c r="J65" i="3"/>
  <c r="K65" i="3" s="1"/>
  <c r="G9" i="6" s="1"/>
  <c r="J127" i="3"/>
  <c r="I165" i="7" s="1"/>
  <c r="J78" i="3"/>
  <c r="I214" i="7" s="1"/>
  <c r="J241" i="3"/>
  <c r="K241" i="3" s="1"/>
  <c r="J51" i="7" s="1"/>
  <c r="J169" i="3"/>
  <c r="I123" i="7" s="1"/>
  <c r="J159" i="3"/>
  <c r="K159" i="3" s="1"/>
  <c r="L159" i="3" s="1"/>
  <c r="M159" i="3" s="1"/>
  <c r="E103" i="6" s="1"/>
  <c r="J162" i="3"/>
  <c r="K162" i="3" s="1"/>
  <c r="L162" i="3" s="1"/>
  <c r="M162" i="3" s="1"/>
  <c r="E106" i="6" s="1"/>
  <c r="J129" i="3"/>
  <c r="I163" i="7" s="1"/>
  <c r="J126" i="3"/>
  <c r="I166" i="7" s="1"/>
  <c r="J123" i="3"/>
  <c r="K123" i="3" s="1"/>
  <c r="L123" i="3" s="1"/>
  <c r="M123" i="3" s="1"/>
  <c r="E67" i="6" s="1"/>
  <c r="J215" i="3"/>
  <c r="I77" i="7" s="1"/>
  <c r="J209" i="3"/>
  <c r="I83" i="7" s="1"/>
  <c r="J223" i="3"/>
  <c r="I69" i="7" s="1"/>
  <c r="J186" i="3"/>
  <c r="I106" i="7" s="1"/>
  <c r="K40" i="3"/>
  <c r="J230" i="3"/>
  <c r="I62" i="7" s="1"/>
  <c r="J238" i="3"/>
  <c r="K238" i="3" s="1"/>
  <c r="L238" i="3" s="1"/>
  <c r="M238" i="3" s="1"/>
  <c r="E182" i="6" s="1"/>
  <c r="J98" i="3"/>
  <c r="I194" i="7" s="1"/>
  <c r="J74" i="3"/>
  <c r="K74" i="3" s="1"/>
  <c r="L74" i="3" s="1"/>
  <c r="M74" i="3" s="1"/>
  <c r="E18" i="6" s="1"/>
  <c r="J154" i="3"/>
  <c r="I138" i="7" s="1"/>
  <c r="J139" i="3"/>
  <c r="K139" i="3" s="1"/>
  <c r="L139" i="3" s="1"/>
  <c r="M139" i="3" s="1"/>
  <c r="E83" i="6" s="1"/>
  <c r="J260" i="3"/>
  <c r="I32" i="7" s="1"/>
  <c r="J173" i="3"/>
  <c r="K173" i="3" s="1"/>
  <c r="L173" i="3" s="1"/>
  <c r="M173" i="3" s="1"/>
  <c r="E117" i="6" s="1"/>
  <c r="J187" i="3"/>
  <c r="K187" i="3" s="1"/>
  <c r="L187" i="3" s="1"/>
  <c r="K105" i="7" s="1"/>
  <c r="J229" i="3"/>
  <c r="K229" i="3" s="1"/>
  <c r="L229" i="3" s="1"/>
  <c r="K63" i="7" s="1"/>
  <c r="J95" i="3"/>
  <c r="K95" i="3" s="1"/>
  <c r="G39" i="6" s="1"/>
  <c r="J79" i="3"/>
  <c r="J68" i="3"/>
  <c r="K68" i="3" s="1"/>
  <c r="L68" i="3" s="1"/>
  <c r="M68" i="3" s="1"/>
  <c r="E12" i="6" s="1"/>
  <c r="J80" i="3"/>
  <c r="I212" i="7" s="1"/>
  <c r="J258" i="3"/>
  <c r="I34" i="7" s="1"/>
  <c r="J222" i="3"/>
  <c r="K222" i="3" s="1"/>
  <c r="L222" i="3" s="1"/>
  <c r="K70" i="7" s="1"/>
  <c r="J192" i="3"/>
  <c r="K192" i="3" s="1"/>
  <c r="L192" i="3" s="1"/>
  <c r="K100" i="7" s="1"/>
  <c r="E265" i="3"/>
  <c r="C209" i="6" s="1"/>
  <c r="B32" i="5"/>
  <c r="J213" i="3"/>
  <c r="K213" i="3" s="1"/>
  <c r="L213" i="3" s="1"/>
  <c r="K79" i="7" s="1"/>
  <c r="J272" i="3"/>
  <c r="I20" i="7" s="1"/>
  <c r="J66" i="3"/>
  <c r="K66" i="3" s="1"/>
  <c r="L66" i="3" s="1"/>
  <c r="K226" i="7" s="1"/>
  <c r="J96" i="3"/>
  <c r="I196" i="7" s="1"/>
  <c r="J188" i="3"/>
  <c r="I104" i="7" s="1"/>
  <c r="J118" i="3"/>
  <c r="K118" i="3" s="1"/>
  <c r="L118" i="3" s="1"/>
  <c r="K174" i="7" s="1"/>
  <c r="J255" i="3"/>
  <c r="I37" i="7" s="1"/>
  <c r="J194" i="3"/>
  <c r="I98" i="7" s="1"/>
  <c r="J64" i="3"/>
  <c r="K64" i="3" s="1"/>
  <c r="L64" i="3" s="1"/>
  <c r="M64" i="3" s="1"/>
  <c r="E8" i="6" s="1"/>
  <c r="J134" i="3"/>
  <c r="I158" i="7" s="1"/>
  <c r="J254" i="3"/>
  <c r="I38" i="7" s="1"/>
  <c r="J62" i="3"/>
  <c r="I230" i="7" s="1"/>
  <c r="J220" i="3"/>
  <c r="K220" i="3" s="1"/>
  <c r="L220" i="3" s="1"/>
  <c r="K72" i="7" s="1"/>
  <c r="J205" i="3"/>
  <c r="I87" i="7" s="1"/>
  <c r="J228" i="3"/>
  <c r="I64" i="7" s="1"/>
  <c r="J70" i="3"/>
  <c r="K70" i="3" s="1"/>
  <c r="L70" i="3" s="1"/>
  <c r="K222" i="7" s="1"/>
  <c r="J191" i="3"/>
  <c r="I101" i="7" s="1"/>
  <c r="J198" i="3"/>
  <c r="I94" i="7" s="1"/>
  <c r="J180" i="3"/>
  <c r="I112" i="7" s="1"/>
  <c r="J193" i="3"/>
  <c r="K193" i="3" s="1"/>
  <c r="L193" i="3" s="1"/>
  <c r="K99" i="7" s="1"/>
  <c r="J270" i="3"/>
  <c r="I22" i="7" s="1"/>
  <c r="J85" i="3"/>
  <c r="I207" i="7" s="1"/>
  <c r="J199" i="3"/>
  <c r="K199" i="3" s="1"/>
  <c r="L199" i="3" s="1"/>
  <c r="M199" i="3" s="1"/>
  <c r="E143" i="6" s="1"/>
  <c r="B55" i="5"/>
  <c r="J226" i="3"/>
  <c r="I66" i="7" s="1"/>
  <c r="J259" i="3"/>
  <c r="K259" i="3" s="1"/>
  <c r="L259" i="3" s="1"/>
  <c r="M259" i="3" s="1"/>
  <c r="E203" i="6" s="1"/>
  <c r="J101" i="3"/>
  <c r="K101" i="3" s="1"/>
  <c r="L101" i="3" s="1"/>
  <c r="M101" i="3" s="1"/>
  <c r="E45" i="6" s="1"/>
  <c r="J256" i="3"/>
  <c r="I36" i="7" s="1"/>
  <c r="J149" i="3"/>
  <c r="K149" i="3" s="1"/>
  <c r="L149" i="3" s="1"/>
  <c r="K143" i="7" s="1"/>
  <c r="J105" i="3"/>
  <c r="I187" i="7" s="1"/>
  <c r="J71" i="3"/>
  <c r="K71" i="3" s="1"/>
  <c r="L71" i="3" s="1"/>
  <c r="M71" i="3" s="1"/>
  <c r="E15" i="6" s="1"/>
  <c r="J72" i="3"/>
  <c r="K72" i="3" s="1"/>
  <c r="L72" i="3" s="1"/>
  <c r="M72" i="3" s="1"/>
  <c r="E16" i="6" s="1"/>
  <c r="J76" i="3"/>
  <c r="I216" i="7" s="1"/>
  <c r="J119" i="3"/>
  <c r="K119" i="3" s="1"/>
  <c r="L119" i="3" s="1"/>
  <c r="M119" i="3" s="1"/>
  <c r="E63" i="6" s="1"/>
  <c r="J282" i="3"/>
  <c r="K282" i="3" s="1"/>
  <c r="G226" i="6" s="1"/>
  <c r="J196" i="3"/>
  <c r="I96" i="7" s="1"/>
  <c r="E150" i="3"/>
  <c r="C94" i="6" s="1"/>
  <c r="D169" i="3"/>
  <c r="E181" i="3"/>
  <c r="D111" i="7" s="1"/>
  <c r="D264" i="3"/>
  <c r="C28" i="7" s="1"/>
  <c r="E190" i="3"/>
  <c r="D102" i="7" s="1"/>
  <c r="E168" i="3"/>
  <c r="D124" i="7" s="1"/>
  <c r="D215" i="3"/>
  <c r="C77" i="7" s="1"/>
  <c r="E117" i="3"/>
  <c r="D175" i="7" s="1"/>
  <c r="E266" i="3"/>
  <c r="D26" i="7" s="1"/>
  <c r="D75" i="3"/>
  <c r="C217" i="7" s="1"/>
  <c r="D208" i="3"/>
  <c r="C84" i="7" s="1"/>
  <c r="D181" i="3"/>
  <c r="C111" i="7" s="1"/>
  <c r="E134" i="3"/>
  <c r="C78" i="6" s="1"/>
  <c r="E252" i="3"/>
  <c r="C196" i="6" s="1"/>
  <c r="D236" i="3"/>
  <c r="E91" i="3"/>
  <c r="D201" i="7" s="1"/>
  <c r="E71" i="3"/>
  <c r="C15" i="6" s="1"/>
  <c r="E132" i="3"/>
  <c r="C76" i="6" s="1"/>
  <c r="D79" i="3"/>
  <c r="C213" i="7" s="1"/>
  <c r="E142" i="3"/>
  <c r="C86" i="6" s="1"/>
  <c r="E125" i="3"/>
  <c r="D167" i="7" s="1"/>
  <c r="D153" i="3"/>
  <c r="C139" i="7" s="1"/>
  <c r="E107" i="3"/>
  <c r="C51" i="6" s="1"/>
  <c r="E140" i="3"/>
  <c r="D152" i="7" s="1"/>
  <c r="E214" i="3"/>
  <c r="C158" i="6" s="1"/>
  <c r="E277" i="3"/>
  <c r="C221" i="6" s="1"/>
  <c r="D167" i="3"/>
  <c r="C125" i="7" s="1"/>
  <c r="E154" i="3"/>
  <c r="C98" i="6" s="1"/>
  <c r="D93" i="3"/>
  <c r="C199" i="7" s="1"/>
  <c r="E178" i="3"/>
  <c r="D114" i="7" s="1"/>
  <c r="D200" i="3"/>
  <c r="C92" i="7" s="1"/>
  <c r="D260" i="3"/>
  <c r="F260" i="3" s="1"/>
  <c r="G260" i="3" s="1"/>
  <c r="E101" i="3"/>
  <c r="D191" i="7" s="1"/>
  <c r="E85" i="3"/>
  <c r="D207" i="7" s="1"/>
  <c r="E77" i="3"/>
  <c r="D215" i="7" s="1"/>
  <c r="D165" i="3"/>
  <c r="C127" i="7" s="1"/>
  <c r="D95" i="3"/>
  <c r="C197" i="7" s="1"/>
  <c r="E116" i="3"/>
  <c r="D176" i="7" s="1"/>
  <c r="D239" i="3"/>
  <c r="C53" i="7" s="1"/>
  <c r="E267" i="3"/>
  <c r="D25" i="7" s="1"/>
  <c r="E65" i="3"/>
  <c r="D227" i="7" s="1"/>
  <c r="D143" i="3"/>
  <c r="C149" i="7" s="1"/>
  <c r="D234" i="3"/>
  <c r="D211" i="3"/>
  <c r="C81" i="7" s="1"/>
  <c r="D152" i="3"/>
  <c r="C140" i="7" s="1"/>
  <c r="E219" i="3"/>
  <c r="D73" i="7" s="1"/>
  <c r="D157" i="3"/>
  <c r="C135" i="7" s="1"/>
  <c r="D268" i="3"/>
  <c r="C24" i="7" s="1"/>
  <c r="D182" i="3"/>
  <c r="C110" i="7" s="1"/>
  <c r="E187" i="3"/>
  <c r="C131" i="6" s="1"/>
  <c r="E152" i="3"/>
  <c r="C96" i="6" s="1"/>
  <c r="E70" i="3"/>
  <c r="D222" i="7" s="1"/>
  <c r="D97" i="3"/>
  <c r="C195" i="7" s="1"/>
  <c r="E61" i="3"/>
  <c r="C5" i="6" s="1"/>
  <c r="D142" i="3"/>
  <c r="C150" i="7" s="1"/>
  <c r="D138" i="3"/>
  <c r="C154" i="7" s="1"/>
  <c r="D86" i="3"/>
  <c r="C206" i="7" s="1"/>
  <c r="E111" i="3"/>
  <c r="D181" i="7" s="1"/>
  <c r="D112" i="3"/>
  <c r="C180" i="7" s="1"/>
  <c r="E237" i="3"/>
  <c r="D55" i="7" s="1"/>
  <c r="D91" i="3"/>
  <c r="C201" i="7" s="1"/>
  <c r="E153" i="3"/>
  <c r="D139" i="7" s="1"/>
  <c r="E223" i="3"/>
  <c r="C167" i="6" s="1"/>
  <c r="E231" i="3"/>
  <c r="D61" i="7" s="1"/>
  <c r="D253" i="3"/>
  <c r="F253" i="3" s="1"/>
  <c r="E39" i="7" s="1"/>
  <c r="E155" i="3"/>
  <c r="C99" i="6" s="1"/>
  <c r="D139" i="3"/>
  <c r="C153" i="7" s="1"/>
  <c r="D146" i="3"/>
  <c r="C146" i="7" s="1"/>
  <c r="E209" i="3"/>
  <c r="D83" i="7" s="1"/>
  <c r="E170" i="3"/>
  <c r="C114" i="6" s="1"/>
  <c r="D119" i="3"/>
  <c r="C173" i="7" s="1"/>
  <c r="E146" i="3"/>
  <c r="D146" i="7" s="1"/>
  <c r="E141" i="3"/>
  <c r="D151" i="7" s="1"/>
  <c r="D247" i="3"/>
  <c r="C45" i="7" s="1"/>
  <c r="D243" i="3"/>
  <c r="F243" i="3" s="1"/>
  <c r="G243" i="3" s="1"/>
  <c r="E172" i="3"/>
  <c r="D120" i="7" s="1"/>
  <c r="E232" i="3"/>
  <c r="C176" i="6" s="1"/>
  <c r="E213" i="3"/>
  <c r="D79" i="7" s="1"/>
  <c r="E179" i="3"/>
  <c r="D113" i="7" s="1"/>
  <c r="D174" i="3"/>
  <c r="C118" i="7" s="1"/>
  <c r="E205" i="3"/>
  <c r="C149" i="6" s="1"/>
  <c r="D213" i="3"/>
  <c r="C79" i="7" s="1"/>
  <c r="E248" i="3"/>
  <c r="C192" i="6" s="1"/>
  <c r="D149" i="3"/>
  <c r="C143" i="7" s="1"/>
  <c r="E238" i="3"/>
  <c r="C182" i="6" s="1"/>
  <c r="E94" i="3"/>
  <c r="D198" i="7" s="1"/>
  <c r="E126" i="3"/>
  <c r="C70" i="6" s="1"/>
  <c r="E122" i="3"/>
  <c r="D170" i="7" s="1"/>
  <c r="D206" i="3"/>
  <c r="C86" i="7" s="1"/>
  <c r="E180" i="3"/>
  <c r="C124" i="6" s="1"/>
  <c r="E131" i="3"/>
  <c r="C75" i="6" s="1"/>
  <c r="D238" i="3"/>
  <c r="C54" i="7" s="1"/>
  <c r="D127" i="3"/>
  <c r="C165" i="7" s="1"/>
  <c r="E198" i="3"/>
  <c r="C142" i="6" s="1"/>
  <c r="D121" i="3"/>
  <c r="C171" i="7" s="1"/>
  <c r="D99" i="3"/>
  <c r="C193" i="7" s="1"/>
  <c r="E278" i="3"/>
  <c r="C222" i="6" s="1"/>
  <c r="D229" i="3"/>
  <c r="C63" i="7" s="1"/>
  <c r="D80" i="3"/>
  <c r="C212" i="7" s="1"/>
  <c r="E95" i="3"/>
  <c r="D197" i="7" s="1"/>
  <c r="D197" i="3"/>
  <c r="C95" i="7" s="1"/>
  <c r="D85" i="3"/>
  <c r="C207" i="7" s="1"/>
  <c r="D219" i="3"/>
  <c r="C73" i="7" s="1"/>
  <c r="E121" i="3"/>
  <c r="C65" i="6" s="1"/>
  <c r="D198" i="3"/>
  <c r="D252" i="3"/>
  <c r="E257" i="3"/>
  <c r="D118" i="3"/>
  <c r="C174" i="7" s="1"/>
  <c r="E62" i="3"/>
  <c r="D87" i="3"/>
  <c r="D227" i="3"/>
  <c r="C65" i="7" s="1"/>
  <c r="D223" i="3"/>
  <c r="C69" i="7" s="1"/>
  <c r="E201" i="3"/>
  <c r="D91" i="7" s="1"/>
  <c r="E76" i="3"/>
  <c r="C20" i="6" s="1"/>
  <c r="D63" i="3"/>
  <c r="C229" i="7" s="1"/>
  <c r="E148" i="3"/>
  <c r="C92" i="6" s="1"/>
  <c r="D66" i="3"/>
  <c r="C226" i="7" s="1"/>
  <c r="D163" i="3"/>
  <c r="C129" i="7" s="1"/>
  <c r="D278" i="3"/>
  <c r="C14" i="7" s="1"/>
  <c r="D257" i="3"/>
  <c r="C35" i="7" s="1"/>
  <c r="D125" i="3"/>
  <c r="C167" i="7" s="1"/>
  <c r="D209" i="3"/>
  <c r="C83" i="7" s="1"/>
  <c r="D226" i="3"/>
  <c r="C66" i="7" s="1"/>
  <c r="D248" i="3"/>
  <c r="C44" i="7" s="1"/>
  <c r="D141" i="3"/>
  <c r="C151" i="7" s="1"/>
  <c r="D207" i="3"/>
  <c r="C85" i="7" s="1"/>
  <c r="E83" i="3"/>
  <c r="C27" i="6" s="1"/>
  <c r="E270" i="3"/>
  <c r="C214" i="6" s="1"/>
  <c r="E89" i="3"/>
  <c r="D203" i="7" s="1"/>
  <c r="D172" i="3"/>
  <c r="C120" i="7" s="1"/>
  <c r="D221" i="3"/>
  <c r="C71" i="7" s="1"/>
  <c r="E103" i="3"/>
  <c r="D189" i="7" s="1"/>
  <c r="D261" i="3"/>
  <c r="F261" i="3" s="1"/>
  <c r="G261" i="3" s="1"/>
  <c r="D82" i="3"/>
  <c r="C210" i="7" s="1"/>
  <c r="D224" i="3"/>
  <c r="C68" i="7" s="1"/>
  <c r="D72" i="3"/>
  <c r="C220" i="7" s="1"/>
  <c r="D244" i="3"/>
  <c r="F244" i="3" s="1"/>
  <c r="G244" i="3" s="1"/>
  <c r="E73" i="3"/>
  <c r="D219" i="7" s="1"/>
  <c r="B39" i="3"/>
  <c r="E144" i="3"/>
  <c r="D148" i="7" s="1"/>
  <c r="E253" i="3"/>
  <c r="D39" i="7" s="1"/>
  <c r="E114" i="3"/>
  <c r="D178" i="7" s="1"/>
  <c r="E229" i="3"/>
  <c r="D63" i="7" s="1"/>
  <c r="D77" i="3"/>
  <c r="C215" i="7" s="1"/>
  <c r="D107" i="3"/>
  <c r="C185" i="7" s="1"/>
  <c r="D88" i="3"/>
  <c r="C204" i="7" s="1"/>
  <c r="D111" i="3"/>
  <c r="C181" i="7" s="1"/>
  <c r="E163" i="3"/>
  <c r="C107" i="6" s="1"/>
  <c r="D108" i="3"/>
  <c r="C184" i="7" s="1"/>
  <c r="E215" i="3"/>
  <c r="C159" i="6" s="1"/>
  <c r="D132" i="3"/>
  <c r="C160" i="7" s="1"/>
  <c r="D275" i="3"/>
  <c r="F275" i="3" s="1"/>
  <c r="G275" i="3" s="1"/>
  <c r="E161" i="3"/>
  <c r="D131" i="7" s="1"/>
  <c r="D187" i="3"/>
  <c r="C105" i="7" s="1"/>
  <c r="D267" i="3"/>
  <c r="C25" i="7" s="1"/>
  <c r="D273" i="3"/>
  <c r="F273" i="3" s="1"/>
  <c r="E19" i="7" s="1"/>
  <c r="E173" i="3"/>
  <c r="C117" i="6" s="1"/>
  <c r="E159" i="3"/>
  <c r="C103" i="6" s="1"/>
  <c r="D144" i="3"/>
  <c r="C148" i="7" s="1"/>
  <c r="B46" i="5"/>
  <c r="K39" i="3"/>
  <c r="B18" i="5"/>
  <c r="B21" i="5"/>
  <c r="B14" i="5"/>
  <c r="B17" i="5"/>
  <c r="B20" i="5"/>
  <c r="B94" i="5" s="1"/>
  <c r="B15" i="5"/>
  <c r="M94" i="3" l="1"/>
  <c r="E38" i="6" s="1"/>
  <c r="E20" i="7"/>
  <c r="I82" i="7"/>
  <c r="C20" i="7"/>
  <c r="F233" i="3"/>
  <c r="G233" i="3" s="1"/>
  <c r="A177" i="6" s="1"/>
  <c r="I152" i="7"/>
  <c r="K281" i="3"/>
  <c r="J3" i="7" s="1"/>
  <c r="E46" i="7"/>
  <c r="J140" i="7"/>
  <c r="D37" i="7"/>
  <c r="F105" i="3"/>
  <c r="E187" i="7" s="1"/>
  <c r="F236" i="3"/>
  <c r="E56" i="7" s="1"/>
  <c r="D180" i="7"/>
  <c r="G154" i="6"/>
  <c r="D141" i="7"/>
  <c r="J110" i="7"/>
  <c r="M148" i="3"/>
  <c r="E92" i="6" s="1"/>
  <c r="G92" i="6"/>
  <c r="I144" i="7"/>
  <c r="D38" i="7"/>
  <c r="C46" i="7"/>
  <c r="I8" i="7"/>
  <c r="G84" i="6"/>
  <c r="K108" i="3"/>
  <c r="L108" i="3" s="1"/>
  <c r="M108" i="3" s="1"/>
  <c r="E52" i="6" s="1"/>
  <c r="C208" i="6"/>
  <c r="C89" i="6"/>
  <c r="F175" i="3"/>
  <c r="G175" i="3" s="1"/>
  <c r="A119" i="6" s="1"/>
  <c r="F83" i="3"/>
  <c r="E209" i="7" s="1"/>
  <c r="G259" i="3"/>
  <c r="A203" i="6" s="1"/>
  <c r="C79" i="6"/>
  <c r="C83" i="6"/>
  <c r="D50" i="7"/>
  <c r="F263" i="3"/>
  <c r="G263" i="3" s="1"/>
  <c r="F29" i="7" s="1"/>
  <c r="D225" i="7"/>
  <c r="C72" i="6"/>
  <c r="F169" i="3"/>
  <c r="E123" i="7" s="1"/>
  <c r="F129" i="3"/>
  <c r="G129" i="3" s="1"/>
  <c r="F163" i="7" s="1"/>
  <c r="F201" i="3"/>
  <c r="G201" i="3" s="1"/>
  <c r="F91" i="7" s="1"/>
  <c r="F148" i="3"/>
  <c r="G148" i="3" s="1"/>
  <c r="A92" i="6" s="1"/>
  <c r="F234" i="3"/>
  <c r="G234" i="3" s="1"/>
  <c r="A178" i="6" s="1"/>
  <c r="F196" i="3"/>
  <c r="G196" i="3" s="1"/>
  <c r="A140" i="6" s="1"/>
  <c r="F228" i="3"/>
  <c r="G228" i="3" s="1"/>
  <c r="A172" i="6" s="1"/>
  <c r="F203" i="3"/>
  <c r="G203" i="3" s="1"/>
  <c r="F89" i="7" s="1"/>
  <c r="F237" i="3"/>
  <c r="E55" i="7" s="1"/>
  <c r="F185" i="3"/>
  <c r="E107" i="7" s="1"/>
  <c r="D177" i="7"/>
  <c r="C33" i="7"/>
  <c r="C23" i="6"/>
  <c r="F159" i="3"/>
  <c r="E133" i="7" s="1"/>
  <c r="F109" i="3"/>
  <c r="G109" i="3" s="1"/>
  <c r="F183" i="7" s="1"/>
  <c r="F173" i="3"/>
  <c r="E119" i="7" s="1"/>
  <c r="F130" i="3"/>
  <c r="G130" i="3" s="1"/>
  <c r="A74" i="6" s="1"/>
  <c r="F212" i="3"/>
  <c r="E80" i="7" s="1"/>
  <c r="F104" i="3"/>
  <c r="E188" i="7" s="1"/>
  <c r="C150" i="6"/>
  <c r="F135" i="3"/>
  <c r="G135" i="3" s="1"/>
  <c r="A79" i="6" s="1"/>
  <c r="F128" i="3"/>
  <c r="G128" i="3" s="1"/>
  <c r="A72" i="6" s="1"/>
  <c r="C93" i="6"/>
  <c r="D218" i="7"/>
  <c r="D100" i="7"/>
  <c r="F67" i="3"/>
  <c r="E225" i="7" s="1"/>
  <c r="F89" i="3"/>
  <c r="E203" i="7" s="1"/>
  <c r="F60" i="3"/>
  <c r="E232" i="7" s="1"/>
  <c r="F69" i="3"/>
  <c r="G69" i="3" s="1"/>
  <c r="F223" i="7" s="1"/>
  <c r="C48" i="6"/>
  <c r="F195" i="3"/>
  <c r="E97" i="7" s="1"/>
  <c r="F179" i="3"/>
  <c r="E113" i="7" s="1"/>
  <c r="C187" i="6"/>
  <c r="F274" i="3"/>
  <c r="G274" i="3" s="1"/>
  <c r="A218" i="6" s="1"/>
  <c r="F191" i="3"/>
  <c r="G191" i="3" s="1"/>
  <c r="F101" i="7" s="1"/>
  <c r="J73" i="7"/>
  <c r="M112" i="3"/>
  <c r="E56" i="6" s="1"/>
  <c r="M121" i="3"/>
  <c r="E65" i="6" s="1"/>
  <c r="I146" i="7"/>
  <c r="I180" i="7"/>
  <c r="J146" i="7"/>
  <c r="G229" i="6"/>
  <c r="K202" i="3"/>
  <c r="L202" i="3" s="1"/>
  <c r="M202" i="3" s="1"/>
  <c r="E146" i="6" s="1"/>
  <c r="J206" i="7"/>
  <c r="I206" i="7"/>
  <c r="K248" i="3"/>
  <c r="L248" i="3" s="1"/>
  <c r="M248" i="3" s="1"/>
  <c r="E192" i="6" s="1"/>
  <c r="J142" i="7"/>
  <c r="I111" i="7"/>
  <c r="I63" i="7"/>
  <c r="J82" i="7"/>
  <c r="G56" i="6"/>
  <c r="G76" i="6"/>
  <c r="J151" i="7"/>
  <c r="K146" i="7"/>
  <c r="M286" i="3"/>
  <c r="E230" i="6" s="1"/>
  <c r="G254" i="3"/>
  <c r="A198" i="6" s="1"/>
  <c r="I117" i="7"/>
  <c r="C157" i="7"/>
  <c r="D187" i="7"/>
  <c r="F84" i="3"/>
  <c r="G84" i="3" s="1"/>
  <c r="A28" i="6" s="1"/>
  <c r="F269" i="3"/>
  <c r="E23" i="7" s="1"/>
  <c r="F271" i="3"/>
  <c r="E21" i="7" s="1"/>
  <c r="M210" i="3"/>
  <c r="E154" i="6" s="1"/>
  <c r="F150" i="3"/>
  <c r="G150" i="3" s="1"/>
  <c r="F142" i="7" s="1"/>
  <c r="D211" i="7"/>
  <c r="F193" i="3"/>
  <c r="E99" i="7" s="1"/>
  <c r="F117" i="3"/>
  <c r="G117" i="3" s="1"/>
  <c r="A61" i="6" s="1"/>
  <c r="C164" i="7"/>
  <c r="K208" i="3"/>
  <c r="L208" i="3" s="1"/>
  <c r="K84" i="7" s="1"/>
  <c r="L274" i="3"/>
  <c r="K18" i="7" s="1"/>
  <c r="F115" i="3"/>
  <c r="E177" i="7" s="1"/>
  <c r="F71" i="3"/>
  <c r="E221" i="7" s="1"/>
  <c r="F270" i="3"/>
  <c r="E22" i="7" s="1"/>
  <c r="I7" i="7"/>
  <c r="F114" i="3"/>
  <c r="G114" i="3" s="1"/>
  <c r="F178" i="7" s="1"/>
  <c r="J21" i="7"/>
  <c r="K77" i="3"/>
  <c r="L77" i="3" s="1"/>
  <c r="K215" i="7" s="1"/>
  <c r="F62" i="3"/>
  <c r="G62" i="3" s="1"/>
  <c r="F230" i="7" s="1"/>
  <c r="F276" i="3"/>
  <c r="E16" i="7" s="1"/>
  <c r="I140" i="7"/>
  <c r="G30" i="6"/>
  <c r="K2" i="7"/>
  <c r="G61" i="6"/>
  <c r="G64" i="6"/>
  <c r="C68" i="6"/>
  <c r="K140" i="7"/>
  <c r="D182" i="7"/>
  <c r="K206" i="7"/>
  <c r="G96" i="6"/>
  <c r="C91" i="6"/>
  <c r="F214" i="3"/>
  <c r="E78" i="7" s="1"/>
  <c r="D179" i="7"/>
  <c r="L117" i="3"/>
  <c r="K175" i="7" s="1"/>
  <c r="K262" i="3"/>
  <c r="J30" i="7" s="1"/>
  <c r="D56" i="7"/>
  <c r="F164" i="3"/>
  <c r="G164" i="3" s="1"/>
  <c r="F128" i="7" s="1"/>
  <c r="G14" i="6"/>
  <c r="J95" i="7"/>
  <c r="L281" i="3"/>
  <c r="M281" i="3" s="1"/>
  <c r="E225" i="6" s="1"/>
  <c r="M166" i="3"/>
  <c r="E110" i="6" s="1"/>
  <c r="G125" i="6"/>
  <c r="L262" i="3"/>
  <c r="K30" i="7" s="1"/>
  <c r="I175" i="7"/>
  <c r="K176" i="3"/>
  <c r="L176" i="3" s="1"/>
  <c r="K116" i="7" s="1"/>
  <c r="C195" i="6"/>
  <c r="F205" i="3"/>
  <c r="G205" i="3" s="1"/>
  <c r="F87" i="7" s="1"/>
  <c r="F216" i="3"/>
  <c r="G216" i="3" s="1"/>
  <c r="A160" i="6" s="1"/>
  <c r="K245" i="3"/>
  <c r="J47" i="7" s="1"/>
  <c r="F120" i="3"/>
  <c r="G120" i="3" s="1"/>
  <c r="A64" i="6" s="1"/>
  <c r="C183" i="7"/>
  <c r="F190" i="3"/>
  <c r="E102" i="7" s="1"/>
  <c r="F70" i="3"/>
  <c r="G70" i="3" s="1"/>
  <c r="F222" i="7" s="1"/>
  <c r="F134" i="3"/>
  <c r="G134" i="3" s="1"/>
  <c r="F158" i="7" s="1"/>
  <c r="G145" i="6"/>
  <c r="G126" i="6"/>
  <c r="J144" i="7"/>
  <c r="K169" i="7"/>
  <c r="K160" i="7"/>
  <c r="I151" i="7"/>
  <c r="J160" i="7"/>
  <c r="J220" i="7"/>
  <c r="K97" i="7"/>
  <c r="K133" i="3"/>
  <c r="L133" i="3" s="1"/>
  <c r="M133" i="3" s="1"/>
  <c r="E77" i="6" s="1"/>
  <c r="J16" i="7"/>
  <c r="K113" i="3"/>
  <c r="L113" i="3" s="1"/>
  <c r="K179" i="7" s="1"/>
  <c r="G186" i="6"/>
  <c r="G111" i="6"/>
  <c r="M167" i="3"/>
  <c r="E111" i="6" s="1"/>
  <c r="K88" i="3"/>
  <c r="L88" i="3" s="1"/>
  <c r="K204" i="7" s="1"/>
  <c r="M175" i="3"/>
  <c r="E119" i="6" s="1"/>
  <c r="M183" i="3"/>
  <c r="E127" i="6" s="1"/>
  <c r="G38" i="6"/>
  <c r="K274" i="3"/>
  <c r="G218" i="6" s="1"/>
  <c r="I125" i="7"/>
  <c r="I203" i="7"/>
  <c r="K286" i="3"/>
  <c r="J8" i="7" s="1"/>
  <c r="I171" i="7"/>
  <c r="G127" i="6"/>
  <c r="J180" i="7"/>
  <c r="G119" i="6"/>
  <c r="G90" i="6"/>
  <c r="M182" i="3"/>
  <c r="E126" i="6" s="1"/>
  <c r="L140" i="3"/>
  <c r="M140" i="3" s="1"/>
  <c r="E84" i="6" s="1"/>
  <c r="J109" i="7"/>
  <c r="J117" i="7"/>
  <c r="I109" i="7"/>
  <c r="L285" i="3"/>
  <c r="M285" i="3" s="1"/>
  <c r="E229" i="6" s="1"/>
  <c r="B60" i="5"/>
  <c r="G65" i="6"/>
  <c r="J128" i="7"/>
  <c r="L164" i="3"/>
  <c r="M164" i="3" s="1"/>
  <c r="E108" i="6" s="1"/>
  <c r="J171" i="7"/>
  <c r="J50" i="7"/>
  <c r="J125" i="7"/>
  <c r="K109" i="3"/>
  <c r="L109" i="3" s="1"/>
  <c r="K183" i="7" s="1"/>
  <c r="I128" i="7"/>
  <c r="I33" i="7"/>
  <c r="G110" i="6"/>
  <c r="M213" i="3"/>
  <c r="E157" i="6" s="1"/>
  <c r="K218" i="7"/>
  <c r="I29" i="7"/>
  <c r="J218" i="7"/>
  <c r="J54" i="7"/>
  <c r="I162" i="7"/>
  <c r="M242" i="3"/>
  <c r="E186" i="6" s="1"/>
  <c r="M201" i="3"/>
  <c r="E145" i="6" s="1"/>
  <c r="J91" i="7"/>
  <c r="L279" i="3"/>
  <c r="K13" i="7" s="1"/>
  <c r="I50" i="7"/>
  <c r="I110" i="7"/>
  <c r="I91" i="7"/>
  <c r="K212" i="3"/>
  <c r="L212" i="3" s="1"/>
  <c r="M212" i="3" s="1"/>
  <c r="E156" i="6" s="1"/>
  <c r="K85" i="7"/>
  <c r="D115" i="7"/>
  <c r="F215" i="3"/>
  <c r="G215" i="3" s="1"/>
  <c r="A159" i="6" s="1"/>
  <c r="G213" i="6"/>
  <c r="G85" i="6"/>
  <c r="I200" i="7"/>
  <c r="I21" i="7"/>
  <c r="J133" i="7"/>
  <c r="G151" i="6"/>
  <c r="E15" i="7"/>
  <c r="G228" i="6"/>
  <c r="C15" i="7"/>
  <c r="C56" i="7"/>
  <c r="D64" i="7"/>
  <c r="I89" i="7"/>
  <c r="M204" i="3"/>
  <c r="E148" i="6" s="1"/>
  <c r="M141" i="3"/>
  <c r="E85" i="6" s="1"/>
  <c r="K223" i="3"/>
  <c r="L223" i="3" s="1"/>
  <c r="M223" i="3" s="1"/>
  <c r="E167" i="6" s="1"/>
  <c r="I6" i="7"/>
  <c r="I133" i="7"/>
  <c r="L271" i="3"/>
  <c r="M271" i="3" s="1"/>
  <c r="E215" i="6" s="1"/>
  <c r="I16" i="7"/>
  <c r="C113" i="6"/>
  <c r="C89" i="7"/>
  <c r="F166" i="3"/>
  <c r="E126" i="7" s="1"/>
  <c r="F180" i="3"/>
  <c r="G180" i="3" s="1"/>
  <c r="F112" i="7" s="1"/>
  <c r="D47" i="7"/>
  <c r="G162" i="6"/>
  <c r="M179" i="3"/>
  <c r="E123" i="6" s="1"/>
  <c r="G11" i="6"/>
  <c r="J191" i="7"/>
  <c r="M115" i="3"/>
  <c r="E59" i="6" s="1"/>
  <c r="E48" i="7"/>
  <c r="F161" i="3"/>
  <c r="E131" i="7" s="1"/>
  <c r="I205" i="7"/>
  <c r="F78" i="3"/>
  <c r="E214" i="7" s="1"/>
  <c r="K67" i="7"/>
  <c r="K191" i="7"/>
  <c r="K180" i="3"/>
  <c r="L180" i="3" s="1"/>
  <c r="K112" i="7" s="1"/>
  <c r="K288" i="3"/>
  <c r="J10" i="7" s="1"/>
  <c r="K230" i="3"/>
  <c r="L230" i="3" s="1"/>
  <c r="K62" i="7" s="1"/>
  <c r="J225" i="7"/>
  <c r="M266" i="3"/>
  <c r="E210" i="6" s="1"/>
  <c r="F199" i="3"/>
  <c r="G199" i="3" s="1"/>
  <c r="F93" i="7" s="1"/>
  <c r="G103" i="6"/>
  <c r="J127" i="7"/>
  <c r="K74" i="7"/>
  <c r="I172" i="7"/>
  <c r="D163" i="7"/>
  <c r="F184" i="3"/>
  <c r="G184" i="3" s="1"/>
  <c r="A128" i="6" s="1"/>
  <c r="G164" i="6"/>
  <c r="J113" i="7"/>
  <c r="K225" i="7"/>
  <c r="C212" i="6"/>
  <c r="I49" i="7"/>
  <c r="F155" i="3"/>
  <c r="E137" i="7" s="1"/>
  <c r="G93" i="6"/>
  <c r="K43" i="7"/>
  <c r="F217" i="3"/>
  <c r="E75" i="7" s="1"/>
  <c r="G163" i="6"/>
  <c r="I225" i="7"/>
  <c r="F162" i="3"/>
  <c r="G162" i="3" s="1"/>
  <c r="A106" i="6" s="1"/>
  <c r="F102" i="3"/>
  <c r="G102" i="3" s="1"/>
  <c r="F190" i="7" s="1"/>
  <c r="J126" i="7"/>
  <c r="M120" i="3"/>
  <c r="E64" i="6" s="1"/>
  <c r="J190" i="7"/>
  <c r="G80" i="6"/>
  <c r="J172" i="7"/>
  <c r="K115" i="7"/>
  <c r="K263" i="3"/>
  <c r="J29" i="7" s="1"/>
  <c r="K251" i="3"/>
  <c r="L251" i="3" s="1"/>
  <c r="K41" i="7" s="1"/>
  <c r="I56" i="7"/>
  <c r="I190" i="7"/>
  <c r="M236" i="3"/>
  <c r="E180" i="6" s="1"/>
  <c r="G46" i="6"/>
  <c r="K135" i="3"/>
  <c r="L135" i="3" s="1"/>
  <c r="M135" i="3" s="1"/>
  <c r="E79" i="6" s="1"/>
  <c r="K78" i="3"/>
  <c r="L78" i="3" s="1"/>
  <c r="M78" i="3" s="1"/>
  <c r="E22" i="6" s="1"/>
  <c r="I25" i="7"/>
  <c r="L275" i="3"/>
  <c r="K17" i="7" s="1"/>
  <c r="K144" i="3"/>
  <c r="L144" i="3" s="1"/>
  <c r="K148" i="7" s="1"/>
  <c r="K137" i="3"/>
  <c r="L137" i="3" s="1"/>
  <c r="M137" i="3" s="1"/>
  <c r="E81" i="6" s="1"/>
  <c r="B50" i="5"/>
  <c r="K247" i="3"/>
  <c r="L247" i="3" s="1"/>
  <c r="M247" i="3" s="1"/>
  <c r="E191" i="6" s="1"/>
  <c r="K156" i="3"/>
  <c r="L156" i="3" s="1"/>
  <c r="M156" i="3" s="1"/>
  <c r="E100" i="6" s="1"/>
  <c r="I93" i="7"/>
  <c r="F156" i="3"/>
  <c r="G156" i="3" s="1"/>
  <c r="A100" i="6" s="1"/>
  <c r="L136" i="3"/>
  <c r="K190" i="7"/>
  <c r="J169" i="7"/>
  <c r="G143" i="6"/>
  <c r="G279" i="3"/>
  <c r="A223" i="6" s="1"/>
  <c r="J197" i="7"/>
  <c r="J25" i="7"/>
  <c r="K93" i="7"/>
  <c r="I169" i="7"/>
  <c r="K228" i="3"/>
  <c r="L228" i="3" s="1"/>
  <c r="M228" i="3" s="1"/>
  <c r="E172" i="6" s="1"/>
  <c r="K250" i="3"/>
  <c r="L250" i="3" s="1"/>
  <c r="M250" i="3" s="1"/>
  <c r="E194" i="6" s="1"/>
  <c r="L267" i="3"/>
  <c r="K25" i="7" s="1"/>
  <c r="F177" i="3"/>
  <c r="G177" i="3" s="1"/>
  <c r="F115" i="7" s="1"/>
  <c r="F176" i="3"/>
  <c r="E116" i="7" s="1"/>
  <c r="K90" i="3"/>
  <c r="L90" i="3" s="1"/>
  <c r="K202" i="7" s="1"/>
  <c r="C27" i="7"/>
  <c r="G67" i="6"/>
  <c r="F183" i="3"/>
  <c r="G183" i="3" s="1"/>
  <c r="A127" i="6" s="1"/>
  <c r="F231" i="3"/>
  <c r="G231" i="3" s="1"/>
  <c r="A175" i="6" s="1"/>
  <c r="K29" i="7"/>
  <c r="J93" i="7"/>
  <c r="I126" i="7"/>
  <c r="C13" i="7"/>
  <c r="L95" i="3"/>
  <c r="M95" i="3" s="1"/>
  <c r="E39" i="6" s="1"/>
  <c r="C223" i="7"/>
  <c r="D214" i="7"/>
  <c r="J56" i="7"/>
  <c r="G121" i="6"/>
  <c r="G15" i="6"/>
  <c r="K221" i="7"/>
  <c r="C117" i="7"/>
  <c r="I197" i="7"/>
  <c r="C183" i="6"/>
  <c r="G180" i="6"/>
  <c r="J115" i="7"/>
  <c r="J221" i="7"/>
  <c r="J198" i="7"/>
  <c r="K98" i="3"/>
  <c r="L98" i="3" s="1"/>
  <c r="K194" i="7" s="1"/>
  <c r="K252" i="3"/>
  <c r="L252" i="3" s="1"/>
  <c r="K40" i="7" s="1"/>
  <c r="F160" i="3"/>
  <c r="E132" i="7" s="1"/>
  <c r="I156" i="7"/>
  <c r="K265" i="3"/>
  <c r="G209" i="6" s="1"/>
  <c r="L265" i="3"/>
  <c r="K27" i="7" s="1"/>
  <c r="K227" i="3"/>
  <c r="L227" i="3" s="1"/>
  <c r="M227" i="3" s="1"/>
  <c r="E171" i="6" s="1"/>
  <c r="C133" i="6"/>
  <c r="J85" i="7"/>
  <c r="M240" i="3"/>
  <c r="E184" i="6" s="1"/>
  <c r="K105" i="3"/>
  <c r="L105" i="3" s="1"/>
  <c r="M105" i="3" s="1"/>
  <c r="E49" i="6" s="1"/>
  <c r="K205" i="3"/>
  <c r="G149" i="6" s="1"/>
  <c r="K255" i="3"/>
  <c r="L255" i="3" s="1"/>
  <c r="M255" i="3" s="1"/>
  <c r="E199" i="6" s="1"/>
  <c r="C106" i="6"/>
  <c r="K199" i="7"/>
  <c r="G182" i="6"/>
  <c r="L284" i="3"/>
  <c r="M284" i="3" s="1"/>
  <c r="E228" i="6" s="1"/>
  <c r="K206" i="3"/>
  <c r="L206" i="3" s="1"/>
  <c r="K86" i="7" s="1"/>
  <c r="D229" i="7"/>
  <c r="F213" i="3"/>
  <c r="E79" i="7" s="1"/>
  <c r="I52" i="7"/>
  <c r="M257" i="3"/>
  <c r="E201" i="6" s="1"/>
  <c r="J176" i="7"/>
  <c r="K126" i="3"/>
  <c r="L126" i="3" s="1"/>
  <c r="K166" i="7" s="1"/>
  <c r="I88" i="7"/>
  <c r="D160" i="7"/>
  <c r="J35" i="7"/>
  <c r="K54" i="7"/>
  <c r="J88" i="7"/>
  <c r="K63" i="3"/>
  <c r="L63" i="3" s="1"/>
  <c r="M63" i="3" s="1"/>
  <c r="E7" i="6" s="1"/>
  <c r="L276" i="3"/>
  <c r="K16" i="7" s="1"/>
  <c r="K85" i="3"/>
  <c r="L85" i="3" s="1"/>
  <c r="K207" i="7" s="1"/>
  <c r="K277" i="3"/>
  <c r="J15" i="7" s="1"/>
  <c r="F262" i="3"/>
  <c r="E30" i="7" s="1"/>
  <c r="K189" i="3"/>
  <c r="L189" i="3" s="1"/>
  <c r="M189" i="3" s="1"/>
  <c r="E133" i="6" s="1"/>
  <c r="M229" i="3"/>
  <c r="E173" i="6" s="1"/>
  <c r="G173" i="6"/>
  <c r="K31" i="7"/>
  <c r="J63" i="7"/>
  <c r="G201" i="6"/>
  <c r="G148" i="6"/>
  <c r="G139" i="6"/>
  <c r="K178" i="3"/>
  <c r="L178" i="3" s="1"/>
  <c r="K114" i="7" s="1"/>
  <c r="K131" i="3"/>
  <c r="L131" i="3" s="1"/>
  <c r="K161" i="7" s="1"/>
  <c r="I54" i="7"/>
  <c r="F209" i="3"/>
  <c r="G209" i="3" s="1"/>
  <c r="A153" i="6" s="1"/>
  <c r="C187" i="7"/>
  <c r="J52" i="7"/>
  <c r="I132" i="7"/>
  <c r="F138" i="3"/>
  <c r="E154" i="7" s="1"/>
  <c r="K75" i="7"/>
  <c r="J201" i="7"/>
  <c r="K224" i="3"/>
  <c r="L224" i="3" s="1"/>
  <c r="M224" i="3" s="1"/>
  <c r="E168" i="6" s="1"/>
  <c r="L268" i="3"/>
  <c r="K24" i="7" s="1"/>
  <c r="I102" i="7"/>
  <c r="G193" i="6"/>
  <c r="K114" i="3"/>
  <c r="L114" i="3" s="1"/>
  <c r="M114" i="3" s="1"/>
  <c r="E58" i="6" s="1"/>
  <c r="I14" i="7"/>
  <c r="K124" i="3"/>
  <c r="L124" i="3" s="1"/>
  <c r="M124" i="3" s="1"/>
  <c r="E68" i="6" s="1"/>
  <c r="I26" i="7"/>
  <c r="I75" i="7"/>
  <c r="K62" i="3"/>
  <c r="L62" i="3" s="1"/>
  <c r="K230" i="7" s="1"/>
  <c r="F250" i="3"/>
  <c r="G250" i="3" s="1"/>
  <c r="F42" i="7" s="1"/>
  <c r="F98" i="3"/>
  <c r="E194" i="7" s="1"/>
  <c r="D90" i="7"/>
  <c r="F189" i="3"/>
  <c r="G189" i="3" s="1"/>
  <c r="A133" i="6" s="1"/>
  <c r="D20" i="7"/>
  <c r="F137" i="3"/>
  <c r="G137" i="3" s="1"/>
  <c r="F155" i="7" s="1"/>
  <c r="K142" i="7"/>
  <c r="J177" i="7"/>
  <c r="J61" i="7"/>
  <c r="M160" i="3"/>
  <c r="E104" i="6" s="1"/>
  <c r="J75" i="7"/>
  <c r="G35" i="6"/>
  <c r="K201" i="7"/>
  <c r="I61" i="7"/>
  <c r="I124" i="7"/>
  <c r="I4" i="7"/>
  <c r="K172" i="3"/>
  <c r="G116" i="6" s="1"/>
  <c r="K275" i="3"/>
  <c r="J17" i="7" s="1"/>
  <c r="K280" i="3"/>
  <c r="J2" i="7" s="1"/>
  <c r="F225" i="3"/>
  <c r="E67" i="7" s="1"/>
  <c r="F151" i="3"/>
  <c r="G151" i="3" s="1"/>
  <c r="F141" i="7" s="1"/>
  <c r="D19" i="7"/>
  <c r="F147" i="3"/>
  <c r="G147" i="3" s="1"/>
  <c r="A91" i="6" s="1"/>
  <c r="I28" i="7"/>
  <c r="F153" i="3"/>
  <c r="G153" i="3" s="1"/>
  <c r="F139" i="7" s="1"/>
  <c r="F101" i="3"/>
  <c r="G101" i="3" s="1"/>
  <c r="A45" i="6" s="1"/>
  <c r="C42" i="6"/>
  <c r="K84" i="3"/>
  <c r="L84" i="3" s="1"/>
  <c r="M84" i="3" s="1"/>
  <c r="E28" i="6" s="1"/>
  <c r="K147" i="3"/>
  <c r="L147" i="3" s="1"/>
  <c r="K145" i="7" s="1"/>
  <c r="G59" i="6"/>
  <c r="G175" i="6"/>
  <c r="M231" i="3"/>
  <c r="E175" i="6" s="1"/>
  <c r="G161" i="6"/>
  <c r="J4" i="7"/>
  <c r="K161" i="3"/>
  <c r="L161" i="3" s="1"/>
  <c r="M161" i="3" s="1"/>
  <c r="E105" i="6" s="1"/>
  <c r="K185" i="3"/>
  <c r="J107" i="7" s="1"/>
  <c r="I43" i="7"/>
  <c r="K244" i="3"/>
  <c r="L244" i="3" s="1"/>
  <c r="M244" i="3" s="1"/>
  <c r="E188" i="6" s="1"/>
  <c r="F207" i="3"/>
  <c r="G207" i="3" s="1"/>
  <c r="A151" i="6" s="1"/>
  <c r="F81" i="3"/>
  <c r="G81" i="3" s="1"/>
  <c r="A25" i="6" s="1"/>
  <c r="L287" i="3"/>
  <c r="M287" i="3" s="1"/>
  <c r="E231" i="6" s="1"/>
  <c r="C218" i="6"/>
  <c r="C185" i="6"/>
  <c r="C175" i="6"/>
  <c r="F85" i="3"/>
  <c r="E207" i="7" s="1"/>
  <c r="C34" i="6"/>
  <c r="D193" i="7"/>
  <c r="C96" i="7"/>
  <c r="D65" i="7"/>
  <c r="J43" i="7"/>
  <c r="K119" i="7"/>
  <c r="F235" i="3"/>
  <c r="E57" i="7" s="1"/>
  <c r="F145" i="3"/>
  <c r="G145" i="3" s="1"/>
  <c r="F147" i="7" s="1"/>
  <c r="M181" i="3"/>
  <c r="E125" i="6" s="1"/>
  <c r="G222" i="6"/>
  <c r="K188" i="7"/>
  <c r="K69" i="3"/>
  <c r="L69" i="3" s="1"/>
  <c r="M69" i="3" s="1"/>
  <c r="E13" i="6" s="1"/>
  <c r="K128" i="3"/>
  <c r="L128" i="3" s="1"/>
  <c r="M128" i="3" s="1"/>
  <c r="E72" i="6" s="1"/>
  <c r="K103" i="3"/>
  <c r="L103" i="3" s="1"/>
  <c r="M103" i="3" s="1"/>
  <c r="E47" i="6" s="1"/>
  <c r="D16" i="7"/>
  <c r="D204" i="7"/>
  <c r="K266" i="3"/>
  <c r="J26" i="7" s="1"/>
  <c r="I99" i="7"/>
  <c r="L273" i="3"/>
  <c r="K19" i="7" s="1"/>
  <c r="K254" i="3"/>
  <c r="L254" i="3" s="1"/>
  <c r="K38" i="7" s="1"/>
  <c r="E27" i="7"/>
  <c r="K133" i="7"/>
  <c r="J132" i="7"/>
  <c r="G48" i="6"/>
  <c r="I177" i="7"/>
  <c r="K279" i="3"/>
  <c r="G223" i="6" s="1"/>
  <c r="I142" i="7"/>
  <c r="K258" i="3"/>
  <c r="L258" i="3" s="1"/>
  <c r="K34" i="7" s="1"/>
  <c r="F194" i="3"/>
  <c r="G194" i="3" s="1"/>
  <c r="F98" i="7" s="1"/>
  <c r="K138" i="3"/>
  <c r="L138" i="3" s="1"/>
  <c r="K154" i="7" s="1"/>
  <c r="K214" i="3"/>
  <c r="L214" i="3" s="1"/>
  <c r="M214" i="3" s="1"/>
  <c r="E158" i="6" s="1"/>
  <c r="I135" i="7"/>
  <c r="I221" i="7"/>
  <c r="J111" i="7"/>
  <c r="G45" i="6"/>
  <c r="G104" i="6"/>
  <c r="J188" i="7"/>
  <c r="G94" i="6"/>
  <c r="K287" i="3"/>
  <c r="G231" i="6" s="1"/>
  <c r="K111" i="3"/>
  <c r="L111" i="3" s="1"/>
  <c r="K181" i="7" s="1"/>
  <c r="I2" i="7"/>
  <c r="K268" i="3"/>
  <c r="J24" i="7" s="1"/>
  <c r="I191" i="7"/>
  <c r="K170" i="3"/>
  <c r="L170" i="3" s="1"/>
  <c r="K122" i="7" s="1"/>
  <c r="K273" i="3"/>
  <c r="G217" i="6" s="1"/>
  <c r="C35" i="6"/>
  <c r="F240" i="3"/>
  <c r="G240" i="3" s="1"/>
  <c r="F52" i="7" s="1"/>
  <c r="F96" i="3"/>
  <c r="G96" i="3" s="1"/>
  <c r="F196" i="7" s="1"/>
  <c r="C123" i="7"/>
  <c r="F131" i="3"/>
  <c r="E161" i="7" s="1"/>
  <c r="D205" i="7"/>
  <c r="C81" i="6"/>
  <c r="F168" i="3"/>
  <c r="E124" i="7" s="1"/>
  <c r="F92" i="3"/>
  <c r="G92" i="3" s="1"/>
  <c r="A36" i="6" s="1"/>
  <c r="D220" i="7"/>
  <c r="C108" i="6"/>
  <c r="C170" i="6"/>
  <c r="D15" i="7"/>
  <c r="F202" i="3"/>
  <c r="E90" i="7" s="1"/>
  <c r="C174" i="6"/>
  <c r="F126" i="3"/>
  <c r="G126" i="3" s="1"/>
  <c r="F166" i="7" s="1"/>
  <c r="F136" i="3"/>
  <c r="E156" i="7" s="1"/>
  <c r="C205" i="6"/>
  <c r="F124" i="3"/>
  <c r="G124" i="3" s="1"/>
  <c r="F168" i="7" s="1"/>
  <c r="D210" i="7"/>
  <c r="E34" i="7"/>
  <c r="C100" i="6"/>
  <c r="C38" i="7"/>
  <c r="F249" i="3"/>
  <c r="G249" i="3" s="1"/>
  <c r="F43" i="7" s="1"/>
  <c r="D134" i="7"/>
  <c r="F210" i="3"/>
  <c r="G210" i="3" s="1"/>
  <c r="F82" i="7" s="1"/>
  <c r="F170" i="3"/>
  <c r="G170" i="3" s="1"/>
  <c r="A114" i="6" s="1"/>
  <c r="F178" i="3"/>
  <c r="E114" i="7" s="1"/>
  <c r="C120" i="6"/>
  <c r="F103" i="3"/>
  <c r="E189" i="7" s="1"/>
  <c r="D137" i="7"/>
  <c r="C29" i="6"/>
  <c r="F74" i="3"/>
  <c r="G74" i="3" s="1"/>
  <c r="F218" i="7" s="1"/>
  <c r="F158" i="3"/>
  <c r="G158" i="3" s="1"/>
  <c r="A102" i="6" s="1"/>
  <c r="F94" i="3"/>
  <c r="G94" i="3" s="1"/>
  <c r="F198" i="7" s="1"/>
  <c r="F76" i="3"/>
  <c r="G76" i="3" s="1"/>
  <c r="F216" i="7" s="1"/>
  <c r="D162" i="7"/>
  <c r="F230" i="3"/>
  <c r="G230" i="3" s="1"/>
  <c r="F62" i="7" s="1"/>
  <c r="F154" i="3"/>
  <c r="G154" i="3" s="1"/>
  <c r="A98" i="6" s="1"/>
  <c r="F140" i="3"/>
  <c r="G140" i="3" s="1"/>
  <c r="A84" i="6" s="1"/>
  <c r="F247" i="3"/>
  <c r="G247" i="3" s="1"/>
  <c r="F45" i="7" s="1"/>
  <c r="C219" i="6"/>
  <c r="C47" i="7"/>
  <c r="F123" i="3"/>
  <c r="G123" i="3" s="1"/>
  <c r="A67" i="6" s="1"/>
  <c r="F75" i="3"/>
  <c r="G75" i="3" s="1"/>
  <c r="F217" i="7" s="1"/>
  <c r="F65" i="3"/>
  <c r="E227" i="7" s="1"/>
  <c r="F113" i="3"/>
  <c r="E179" i="7" s="1"/>
  <c r="D217" i="7"/>
  <c r="F143" i="3"/>
  <c r="E149" i="7" s="1"/>
  <c r="F88" i="3"/>
  <c r="E204" i="7" s="1"/>
  <c r="F220" i="3"/>
  <c r="E72" i="7" s="1"/>
  <c r="D76" i="7"/>
  <c r="C135" i="6"/>
  <c r="F122" i="3"/>
  <c r="E170" i="7" s="1"/>
  <c r="C41" i="6"/>
  <c r="D174" i="7"/>
  <c r="F255" i="3"/>
  <c r="G255" i="3" s="1"/>
  <c r="A199" i="6" s="1"/>
  <c r="F110" i="3"/>
  <c r="G110" i="3" s="1"/>
  <c r="A54" i="6" s="1"/>
  <c r="F226" i="3"/>
  <c r="G226" i="3" s="1"/>
  <c r="A170" i="6" s="1"/>
  <c r="C156" i="6"/>
  <c r="C37" i="6"/>
  <c r="D156" i="7"/>
  <c r="D98" i="7"/>
  <c r="C152" i="6"/>
  <c r="D216" i="7"/>
  <c r="E47" i="7"/>
  <c r="E49" i="7"/>
  <c r="C55" i="6"/>
  <c r="F171" i="3"/>
  <c r="G171" i="3" s="1"/>
  <c r="F121" i="7" s="1"/>
  <c r="F232" i="3"/>
  <c r="G232" i="3" s="1"/>
  <c r="A176" i="6" s="1"/>
  <c r="C168" i="6"/>
  <c r="C127" i="6"/>
  <c r="C194" i="6"/>
  <c r="C110" i="6"/>
  <c r="G18" i="6"/>
  <c r="M118" i="3"/>
  <c r="E62" i="6" s="1"/>
  <c r="G62" i="6"/>
  <c r="K153" i="3"/>
  <c r="L153" i="3" s="1"/>
  <c r="M153" i="3" s="1"/>
  <c r="E97" i="6" s="1"/>
  <c r="F181" i="3"/>
  <c r="G181" i="3" s="1"/>
  <c r="A125" i="6" s="1"/>
  <c r="D142" i="7"/>
  <c r="F264" i="3"/>
  <c r="E28" i="7" s="1"/>
  <c r="J143" i="7"/>
  <c r="J174" i="7"/>
  <c r="K194" i="3"/>
  <c r="G138" i="6" s="1"/>
  <c r="M220" i="3"/>
  <c r="E164" i="6" s="1"/>
  <c r="D78" i="7"/>
  <c r="F187" i="3"/>
  <c r="E105" i="7" s="1"/>
  <c r="C203" i="6"/>
  <c r="K221" i="3"/>
  <c r="K176" i="7"/>
  <c r="J222" i="7"/>
  <c r="M149" i="3"/>
  <c r="E93" i="6" s="1"/>
  <c r="M187" i="3"/>
  <c r="E131" i="6" s="1"/>
  <c r="K121" i="7"/>
  <c r="J79" i="7"/>
  <c r="K261" i="3"/>
  <c r="G205" i="6" s="1"/>
  <c r="D221" i="7"/>
  <c r="C166" i="6"/>
  <c r="D105" i="7"/>
  <c r="F172" i="3"/>
  <c r="E120" i="7" s="1"/>
  <c r="D43" i="7"/>
  <c r="I160" i="7"/>
  <c r="C17" i="6"/>
  <c r="J199" i="7"/>
  <c r="M70" i="3"/>
  <c r="E14" i="6" s="1"/>
  <c r="G136" i="6"/>
  <c r="I121" i="7"/>
  <c r="J72" i="7"/>
  <c r="K220" i="7"/>
  <c r="G131" i="6"/>
  <c r="G37" i="6"/>
  <c r="C109" i="6"/>
  <c r="C116" i="6"/>
  <c r="D27" i="7"/>
  <c r="C190" i="6"/>
  <c r="K216" i="3"/>
  <c r="J76" i="7" s="1"/>
  <c r="I12" i="7"/>
  <c r="K73" i="3"/>
  <c r="L73" i="3" s="1"/>
  <c r="K219" i="7" s="1"/>
  <c r="K143" i="3"/>
  <c r="G87" i="6" s="1"/>
  <c r="I51" i="7"/>
  <c r="L97" i="3"/>
  <c r="M97" i="3" s="1"/>
  <c r="E41" i="6" s="1"/>
  <c r="K226" i="3"/>
  <c r="L226" i="3" s="1"/>
  <c r="K66" i="7" s="1"/>
  <c r="L272" i="3"/>
  <c r="M272" i="3" s="1"/>
  <c r="E216" i="6" s="1"/>
  <c r="L290" i="3"/>
  <c r="M290" i="3" s="1"/>
  <c r="E234" i="6" s="1"/>
  <c r="I231" i="7"/>
  <c r="K145" i="3"/>
  <c r="L145" i="3" s="1"/>
  <c r="K147" i="7" s="1"/>
  <c r="K209" i="3"/>
  <c r="L209" i="3" s="1"/>
  <c r="K83" i="7" s="1"/>
  <c r="K272" i="3"/>
  <c r="J20" i="7" s="1"/>
  <c r="I134" i="7"/>
  <c r="I195" i="7"/>
  <c r="I232" i="7"/>
  <c r="I81" i="7"/>
  <c r="I224" i="7"/>
  <c r="C41" i="7"/>
  <c r="K96" i="3"/>
  <c r="L96" i="3" s="1"/>
  <c r="K196" i="7" s="1"/>
  <c r="K83" i="3"/>
  <c r="G27" i="6" s="1"/>
  <c r="K154" i="3"/>
  <c r="L154" i="3" s="1"/>
  <c r="M154" i="3" s="1"/>
  <c r="E98" i="6" s="1"/>
  <c r="F222" i="3"/>
  <c r="E70" i="7" s="1"/>
  <c r="K246" i="3"/>
  <c r="L246" i="3" s="1"/>
  <c r="K46" i="7" s="1"/>
  <c r="K264" i="3"/>
  <c r="G208" i="6" s="1"/>
  <c r="K239" i="3"/>
  <c r="L239" i="3" s="1"/>
  <c r="M239" i="3" s="1"/>
  <c r="E183" i="6" s="1"/>
  <c r="F218" i="3"/>
  <c r="E74" i="7" s="1"/>
  <c r="I192" i="7"/>
  <c r="K174" i="3"/>
  <c r="L174" i="3" s="1"/>
  <c r="M174" i="3" s="1"/>
  <c r="E118" i="6" s="1"/>
  <c r="K233" i="3"/>
  <c r="L233" i="3" s="1"/>
  <c r="K59" i="7" s="1"/>
  <c r="I228" i="7"/>
  <c r="I210" i="7"/>
  <c r="F133" i="3"/>
  <c r="G133" i="3" s="1"/>
  <c r="A77" i="6" s="1"/>
  <c r="F204" i="3"/>
  <c r="E88" i="7" s="1"/>
  <c r="F93" i="3"/>
  <c r="G93" i="3" s="1"/>
  <c r="A37" i="6" s="1"/>
  <c r="F108" i="3"/>
  <c r="E184" i="7" s="1"/>
  <c r="J224" i="7"/>
  <c r="D92" i="7"/>
  <c r="D169" i="7"/>
  <c r="K173" i="7"/>
  <c r="G12" i="6"/>
  <c r="J192" i="7"/>
  <c r="J195" i="7"/>
  <c r="M66" i="3"/>
  <c r="E10" i="6" s="1"/>
  <c r="M87" i="3"/>
  <c r="E31" i="6" s="1"/>
  <c r="K81" i="7"/>
  <c r="G234" i="6"/>
  <c r="K224" i="7"/>
  <c r="G43" i="6"/>
  <c r="D149" i="7"/>
  <c r="D23" i="7"/>
  <c r="G112" i="6"/>
  <c r="J153" i="7"/>
  <c r="K135" i="7"/>
  <c r="K124" i="7"/>
  <c r="G101" i="6"/>
  <c r="K33" i="7"/>
  <c r="D231" i="7"/>
  <c r="D36" i="7"/>
  <c r="C163" i="6"/>
  <c r="C151" i="6"/>
  <c r="C179" i="6"/>
  <c r="G155" i="6"/>
  <c r="K210" i="7"/>
  <c r="J81" i="7"/>
  <c r="M61" i="3"/>
  <c r="E5" i="6" s="1"/>
  <c r="J60" i="7"/>
  <c r="J124" i="7"/>
  <c r="G83" i="6"/>
  <c r="J203" i="7"/>
  <c r="E31" i="7"/>
  <c r="J173" i="7"/>
  <c r="C30" i="6"/>
  <c r="C97" i="6"/>
  <c r="D212" i="7"/>
  <c r="C153" i="6"/>
  <c r="C64" i="6"/>
  <c r="D95" i="7"/>
  <c r="J135" i="7"/>
  <c r="M190" i="3"/>
  <c r="E134" i="6" s="1"/>
  <c r="G242" i="3"/>
  <c r="A186" i="6" s="1"/>
  <c r="G10" i="6"/>
  <c r="G33" i="6"/>
  <c r="M89" i="3"/>
  <c r="E33" i="6" s="1"/>
  <c r="J102" i="7"/>
  <c r="C104" i="6"/>
  <c r="D52" i="7"/>
  <c r="D82" i="7"/>
  <c r="C162" i="6"/>
  <c r="C60" i="6"/>
  <c r="K192" i="7"/>
  <c r="E41" i="7"/>
  <c r="K228" i="7"/>
  <c r="G8" i="6"/>
  <c r="C223" i="6"/>
  <c r="C137" i="6"/>
  <c r="C129" i="6"/>
  <c r="K134" i="7"/>
  <c r="M60" i="3"/>
  <c r="E4" i="6" s="1"/>
  <c r="G26" i="6"/>
  <c r="J205" i="7"/>
  <c r="M264" i="3"/>
  <c r="E208" i="6" s="1"/>
  <c r="J232" i="7"/>
  <c r="K153" i="7"/>
  <c r="J134" i="7"/>
  <c r="G5" i="6"/>
  <c r="J228" i="7"/>
  <c r="C215" i="6"/>
  <c r="C50" i="6"/>
  <c r="D96" i="7"/>
  <c r="J226" i="7"/>
  <c r="J33" i="7"/>
  <c r="G44" i="6"/>
  <c r="J210" i="7"/>
  <c r="G31" i="6"/>
  <c r="G4" i="6"/>
  <c r="K193" i="7"/>
  <c r="G102" i="6"/>
  <c r="J231" i="7"/>
  <c r="C77" i="6"/>
  <c r="C82" i="6"/>
  <c r="D158" i="7"/>
  <c r="C69" i="6"/>
  <c r="D97" i="7"/>
  <c r="C38" i="6"/>
  <c r="C52" i="6"/>
  <c r="D88" i="7"/>
  <c r="D89" i="7"/>
  <c r="K186" i="3"/>
  <c r="L186" i="3" s="1"/>
  <c r="K106" i="7" s="1"/>
  <c r="K196" i="3"/>
  <c r="L196" i="3" s="1"/>
  <c r="M196" i="3" s="1"/>
  <c r="E140" i="6" s="1"/>
  <c r="D54" i="7"/>
  <c r="F197" i="3"/>
  <c r="E95" i="7" s="1"/>
  <c r="F278" i="3"/>
  <c r="G278" i="3" s="1"/>
  <c r="F14" i="7" s="1"/>
  <c r="F186" i="3"/>
  <c r="M243" i="3"/>
  <c r="E187" i="6" s="1"/>
  <c r="E17" i="7"/>
  <c r="G117" i="6"/>
  <c r="J105" i="7"/>
  <c r="M192" i="3"/>
  <c r="E136" i="6" s="1"/>
  <c r="M222" i="3"/>
  <c r="E166" i="6" s="1"/>
  <c r="G115" i="6"/>
  <c r="J49" i="7"/>
  <c r="G60" i="6"/>
  <c r="G128" i="6"/>
  <c r="K75" i="3"/>
  <c r="L75" i="3" s="1"/>
  <c r="M75" i="3" s="1"/>
  <c r="E19" i="6" s="1"/>
  <c r="K237" i="3"/>
  <c r="L237" i="3" s="1"/>
  <c r="M237" i="3" s="1"/>
  <c r="E181" i="6" s="1"/>
  <c r="L270" i="3"/>
  <c r="M270" i="3" s="1"/>
  <c r="E214" i="6" s="1"/>
  <c r="L197" i="3"/>
  <c r="M197" i="3" s="1"/>
  <c r="E141" i="6" s="1"/>
  <c r="I130" i="7"/>
  <c r="D87" i="7"/>
  <c r="I105" i="7"/>
  <c r="F125" i="3"/>
  <c r="E167" i="7" s="1"/>
  <c r="C34" i="7"/>
  <c r="C32" i="7"/>
  <c r="C90" i="6"/>
  <c r="C9" i="6"/>
  <c r="C206" i="6"/>
  <c r="F266" i="3"/>
  <c r="E26" i="7" s="1"/>
  <c r="D165" i="7"/>
  <c r="F64" i="3"/>
  <c r="F174" i="3"/>
  <c r="L288" i="3"/>
  <c r="M288" i="3" s="1"/>
  <c r="E232" i="6" s="1"/>
  <c r="L184" i="3"/>
  <c r="M184" i="3" s="1"/>
  <c r="E128" i="6" s="1"/>
  <c r="D232" i="7"/>
  <c r="C4" i="6"/>
  <c r="I70" i="7"/>
  <c r="C207" i="6"/>
  <c r="D29" i="7"/>
  <c r="C40" i="6"/>
  <c r="F188" i="3"/>
  <c r="G188" i="3" s="1"/>
  <c r="A132" i="6" s="1"/>
  <c r="K235" i="3"/>
  <c r="L235" i="3" s="1"/>
  <c r="K57" i="7" s="1"/>
  <c r="F86" i="3"/>
  <c r="G86" i="3" s="1"/>
  <c r="A30" i="6" s="1"/>
  <c r="F61" i="3"/>
  <c r="E231" i="7" s="1"/>
  <c r="D59" i="7"/>
  <c r="F90" i="3"/>
  <c r="E202" i="7" s="1"/>
  <c r="F192" i="3"/>
  <c r="G192" i="3" s="1"/>
  <c r="A136" i="6" s="1"/>
  <c r="F73" i="3"/>
  <c r="G73" i="3" s="1"/>
  <c r="F219" i="7" s="1"/>
  <c r="K270" i="3"/>
  <c r="E32" i="7"/>
  <c r="K151" i="3"/>
  <c r="L151" i="3" s="1"/>
  <c r="K141" i="7" s="1"/>
  <c r="G123" i="6"/>
  <c r="G169" i="6"/>
  <c r="K130" i="7"/>
  <c r="G137" i="6"/>
  <c r="K127" i="7"/>
  <c r="G184" i="6"/>
  <c r="J100" i="7"/>
  <c r="J74" i="7"/>
  <c r="K129" i="3"/>
  <c r="L129" i="3" s="1"/>
  <c r="M129" i="3" s="1"/>
  <c r="E73" i="6" s="1"/>
  <c r="I31" i="7"/>
  <c r="L277" i="3"/>
  <c r="K15" i="7" s="1"/>
  <c r="I73" i="7"/>
  <c r="I108" i="7"/>
  <c r="K127" i="3"/>
  <c r="L127" i="3" s="1"/>
  <c r="K165" i="7" s="1"/>
  <c r="K200" i="3"/>
  <c r="G144" i="6" s="1"/>
  <c r="I227" i="7"/>
  <c r="I95" i="7"/>
  <c r="I198" i="7"/>
  <c r="F206" i="3"/>
  <c r="E86" i="7" s="1"/>
  <c r="D67" i="7"/>
  <c r="I119" i="7"/>
  <c r="C210" i="6"/>
  <c r="F182" i="3"/>
  <c r="G182" i="3" s="1"/>
  <c r="F110" i="7" s="1"/>
  <c r="F268" i="3"/>
  <c r="E24" i="7" s="1"/>
  <c r="F99" i="3"/>
  <c r="G99" i="3" s="1"/>
  <c r="F193" i="7" s="1"/>
  <c r="C39" i="7"/>
  <c r="C61" i="6"/>
  <c r="C119" i="6"/>
  <c r="C165" i="6"/>
  <c r="K122" i="3"/>
  <c r="L122" i="3" s="1"/>
  <c r="M122" i="3" s="1"/>
  <c r="E66" i="6" s="1"/>
  <c r="K256" i="3"/>
  <c r="L256" i="3" s="1"/>
  <c r="K36" i="7" s="1"/>
  <c r="D200" i="7"/>
  <c r="C36" i="6"/>
  <c r="I67" i="7"/>
  <c r="I72" i="7"/>
  <c r="C13" i="6"/>
  <c r="C66" i="6"/>
  <c r="C211" i="6"/>
  <c r="C130" i="6"/>
  <c r="F68" i="3"/>
  <c r="G68" i="3" s="1"/>
  <c r="A12" i="6" s="1"/>
  <c r="K110" i="3"/>
  <c r="L110" i="3" s="1"/>
  <c r="K182" i="7" s="1"/>
  <c r="I143" i="7"/>
  <c r="J99" i="7"/>
  <c r="J130" i="7"/>
  <c r="M219" i="3"/>
  <c r="E163" i="6" s="1"/>
  <c r="I113" i="7"/>
  <c r="I100" i="7"/>
  <c r="K253" i="3"/>
  <c r="L253" i="3" s="1"/>
  <c r="M253" i="3" s="1"/>
  <c r="E197" i="6" s="1"/>
  <c r="C161" i="6"/>
  <c r="F223" i="3"/>
  <c r="G223" i="3" s="1"/>
  <c r="A167" i="6" s="1"/>
  <c r="D14" i="7"/>
  <c r="C115" i="6"/>
  <c r="D228" i="7"/>
  <c r="D32" i="7"/>
  <c r="B51" i="5"/>
  <c r="F256" i="3"/>
  <c r="E36" i="7" s="1"/>
  <c r="C164" i="6"/>
  <c r="B105" i="5"/>
  <c r="B108" i="5" s="1"/>
  <c r="K188" i="3"/>
  <c r="L188" i="3" s="1"/>
  <c r="K104" i="7" s="1"/>
  <c r="I199" i="7"/>
  <c r="J67" i="7"/>
  <c r="G109" i="6"/>
  <c r="G106" i="6"/>
  <c r="J70" i="7"/>
  <c r="M193" i="3"/>
  <c r="E137" i="6" s="1"/>
  <c r="G253" i="3"/>
  <c r="F39" i="7" s="1"/>
  <c r="J119" i="7"/>
  <c r="G166" i="6"/>
  <c r="J121" i="7"/>
  <c r="G187" i="6"/>
  <c r="K81" i="3"/>
  <c r="G25" i="6" s="1"/>
  <c r="I176" i="7"/>
  <c r="I174" i="7"/>
  <c r="K163" i="3"/>
  <c r="L163" i="3" s="1"/>
  <c r="K129" i="7" s="1"/>
  <c r="C46" i="6"/>
  <c r="I115" i="7"/>
  <c r="C84" i="6"/>
  <c r="D48" i="7"/>
  <c r="C45" i="6"/>
  <c r="C85" i="6"/>
  <c r="I35" i="7"/>
  <c r="C111" i="6"/>
  <c r="D125" i="7"/>
  <c r="C178" i="6"/>
  <c r="D58" i="7"/>
  <c r="C118" i="6"/>
  <c r="D118" i="7"/>
  <c r="C128" i="6"/>
  <c r="D108" i="7"/>
  <c r="D69" i="7"/>
  <c r="D34" i="7"/>
  <c r="C202" i="6"/>
  <c r="K107" i="3"/>
  <c r="L107" i="3" s="1"/>
  <c r="K185" i="7" s="1"/>
  <c r="I60" i="7"/>
  <c r="L232" i="3"/>
  <c r="K60" i="7" s="1"/>
  <c r="F100" i="3"/>
  <c r="E192" i="7" s="1"/>
  <c r="F132" i="3"/>
  <c r="E160" i="7" s="1"/>
  <c r="D40" i="7"/>
  <c r="D138" i="7"/>
  <c r="D185" i="7"/>
  <c r="C181" i="6"/>
  <c r="D166" i="7"/>
  <c r="C122" i="6"/>
  <c r="C157" i="6"/>
  <c r="C28" i="6"/>
  <c r="D226" i="7"/>
  <c r="F116" i="3"/>
  <c r="G116" i="3" s="1"/>
  <c r="F176" i="7" s="1"/>
  <c r="C143" i="6"/>
  <c r="D173" i="7"/>
  <c r="L282" i="3"/>
  <c r="K4" i="7" s="1"/>
  <c r="F163" i="3"/>
  <c r="G157" i="6"/>
  <c r="I23" i="7"/>
  <c r="D45" i="7"/>
  <c r="F219" i="3"/>
  <c r="G219" i="3" s="1"/>
  <c r="F73" i="7" s="1"/>
  <c r="F239" i="3"/>
  <c r="E53" i="7" s="1"/>
  <c r="I74" i="7"/>
  <c r="I127" i="7"/>
  <c r="K260" i="3"/>
  <c r="C44" i="6"/>
  <c r="D110" i="7"/>
  <c r="C126" i="6"/>
  <c r="I79" i="7"/>
  <c r="K125" i="3"/>
  <c r="L125" i="3" s="1"/>
  <c r="M125" i="3" s="1"/>
  <c r="E69" i="6" s="1"/>
  <c r="I218" i="7"/>
  <c r="K215" i="3"/>
  <c r="L215" i="3" s="1"/>
  <c r="M215" i="3" s="1"/>
  <c r="E159" i="6" s="1"/>
  <c r="F157" i="3"/>
  <c r="G157" i="3" s="1"/>
  <c r="A101" i="6" s="1"/>
  <c r="C132" i="6"/>
  <c r="F227" i="3"/>
  <c r="G227" i="3" s="1"/>
  <c r="A171" i="6" s="1"/>
  <c r="K155" i="3"/>
  <c r="L155" i="3" s="1"/>
  <c r="K137" i="7" s="1"/>
  <c r="I85" i="7"/>
  <c r="K169" i="3"/>
  <c r="L169" i="3" s="1"/>
  <c r="M169" i="3" s="1"/>
  <c r="E113" i="6" s="1"/>
  <c r="C47" i="6"/>
  <c r="I173" i="7"/>
  <c r="I188" i="7"/>
  <c r="C53" i="6"/>
  <c r="D183" i="7"/>
  <c r="F119" i="3"/>
  <c r="G119" i="3" s="1"/>
  <c r="F173" i="7" s="1"/>
  <c r="I222" i="7"/>
  <c r="F142" i="3"/>
  <c r="E150" i="7" s="1"/>
  <c r="L283" i="3"/>
  <c r="M283" i="3" s="1"/>
  <c r="E227" i="6" s="1"/>
  <c r="C123" i="6"/>
  <c r="F224" i="3"/>
  <c r="E68" i="7" s="1"/>
  <c r="G273" i="3"/>
  <c r="F19" i="7" s="1"/>
  <c r="G16" i="6"/>
  <c r="J193" i="7"/>
  <c r="J97" i="7"/>
  <c r="C50" i="7"/>
  <c r="C155" i="6"/>
  <c r="C112" i="6"/>
  <c r="D135" i="7"/>
  <c r="D122" i="7"/>
  <c r="F106" i="3"/>
  <c r="E186" i="7" s="1"/>
  <c r="K106" i="3"/>
  <c r="L106" i="3" s="1"/>
  <c r="K186" i="7" s="1"/>
  <c r="C173" i="6"/>
  <c r="C51" i="7"/>
  <c r="F241" i="3"/>
  <c r="D224" i="7"/>
  <c r="C12" i="6"/>
  <c r="F118" i="3"/>
  <c r="E174" i="7" s="1"/>
  <c r="D119" i="7"/>
  <c r="L269" i="3"/>
  <c r="C58" i="7"/>
  <c r="F167" i="3"/>
  <c r="G167" i="3" s="1"/>
  <c r="F125" i="7" s="1"/>
  <c r="B48" i="5"/>
  <c r="F82" i="3"/>
  <c r="G82" i="3" s="1"/>
  <c r="F210" i="7" s="1"/>
  <c r="I193" i="7"/>
  <c r="I97" i="7"/>
  <c r="K283" i="3"/>
  <c r="J5" i="7" s="1"/>
  <c r="D94" i="7"/>
  <c r="F63" i="3"/>
  <c r="F211" i="3"/>
  <c r="G211" i="3" s="1"/>
  <c r="A155" i="6" s="1"/>
  <c r="D140" i="7"/>
  <c r="F111" i="3"/>
  <c r="G111" i="3" s="1"/>
  <c r="F181" i="7" s="1"/>
  <c r="D161" i="7"/>
  <c r="D77" i="7"/>
  <c r="D129" i="7"/>
  <c r="C58" i="6"/>
  <c r="F208" i="3"/>
  <c r="E84" i="7" s="1"/>
  <c r="F79" i="3"/>
  <c r="E213" i="7" s="1"/>
  <c r="F112" i="3"/>
  <c r="E180" i="7" s="1"/>
  <c r="D44" i="7"/>
  <c r="C125" i="6"/>
  <c r="F221" i="3"/>
  <c r="G221" i="3" s="1"/>
  <c r="F71" i="7" s="1"/>
  <c r="D133" i="7"/>
  <c r="I220" i="7"/>
  <c r="F80" i="3"/>
  <c r="E212" i="7" s="1"/>
  <c r="F139" i="3"/>
  <c r="G139" i="3" s="1"/>
  <c r="A83" i="6" s="1"/>
  <c r="C21" i="6"/>
  <c r="C49" i="7"/>
  <c r="F257" i="3"/>
  <c r="E35" i="7" s="1"/>
  <c r="D150" i="7"/>
  <c r="F91" i="3"/>
  <c r="G91" i="3" s="1"/>
  <c r="A35" i="6" s="1"/>
  <c r="F127" i="3"/>
  <c r="G127" i="3" s="1"/>
  <c r="F165" i="7" s="1"/>
  <c r="D60" i="7"/>
  <c r="F165" i="3"/>
  <c r="G165" i="3" s="1"/>
  <c r="F127" i="7" s="1"/>
  <c r="K289" i="3"/>
  <c r="J11" i="7" s="1"/>
  <c r="K142" i="3"/>
  <c r="J150" i="7" s="1"/>
  <c r="F248" i="3"/>
  <c r="C19" i="7"/>
  <c r="D209" i="7"/>
  <c r="I153" i="7"/>
  <c r="G74" i="6"/>
  <c r="L278" i="3"/>
  <c r="K14" i="7" s="1"/>
  <c r="C39" i="6"/>
  <c r="F238" i="3"/>
  <c r="G238" i="3" s="1"/>
  <c r="A182" i="6" s="1"/>
  <c r="F77" i="3"/>
  <c r="E215" i="7" s="1"/>
  <c r="D171" i="7"/>
  <c r="K191" i="3"/>
  <c r="I213" i="7"/>
  <c r="K79" i="3"/>
  <c r="G203" i="6"/>
  <c r="G63" i="6"/>
  <c r="G134" i="6"/>
  <c r="K134" i="3"/>
  <c r="L134" i="3" s="1"/>
  <c r="M134" i="3" s="1"/>
  <c r="E78" i="6" s="1"/>
  <c r="I201" i="7"/>
  <c r="C134" i="6"/>
  <c r="F141" i="3"/>
  <c r="G141" i="3" s="1"/>
  <c r="A85" i="6" s="1"/>
  <c r="D144" i="7"/>
  <c r="K76" i="3"/>
  <c r="G20" i="6" s="1"/>
  <c r="C14" i="6"/>
  <c r="F149" i="3"/>
  <c r="E143" i="7" s="1"/>
  <c r="L289" i="3"/>
  <c r="K11" i="7" s="1"/>
  <c r="I58" i="7"/>
  <c r="C197" i="6"/>
  <c r="F200" i="3"/>
  <c r="K80" i="3"/>
  <c r="L80" i="3" s="1"/>
  <c r="K212" i="7" s="1"/>
  <c r="K198" i="3"/>
  <c r="L198" i="3" s="1"/>
  <c r="K94" i="7" s="1"/>
  <c r="F97" i="3"/>
  <c r="G97" i="3" s="1"/>
  <c r="A41" i="6" s="1"/>
  <c r="F152" i="3"/>
  <c r="G152" i="3" s="1"/>
  <c r="A96" i="6" s="1"/>
  <c r="F146" i="3"/>
  <c r="E146" i="7" s="1"/>
  <c r="F95" i="3"/>
  <c r="E197" i="7" s="1"/>
  <c r="F66" i="3"/>
  <c r="E226" i="7" s="1"/>
  <c r="I226" i="7"/>
  <c r="C88" i="6"/>
  <c r="C31" i="7"/>
  <c r="C17" i="7"/>
  <c r="F121" i="3"/>
  <c r="F72" i="3"/>
  <c r="G72" i="3" s="1"/>
  <c r="A16" i="6" s="1"/>
  <c r="C205" i="7"/>
  <c r="F87" i="3"/>
  <c r="F144" i="3"/>
  <c r="E148" i="7" s="1"/>
  <c r="C105" i="6"/>
  <c r="D22" i="7"/>
  <c r="F229" i="3"/>
  <c r="E63" i="7" s="1"/>
  <c r="C6" i="6"/>
  <c r="D230" i="7"/>
  <c r="D112" i="7"/>
  <c r="F107" i="3"/>
  <c r="G107" i="3" s="1"/>
  <c r="F185" i="7" s="1"/>
  <c r="F267" i="3"/>
  <c r="E25" i="7" s="1"/>
  <c r="C33" i="6"/>
  <c r="D35" i="7"/>
  <c r="C201" i="6"/>
  <c r="C48" i="7"/>
  <c r="C40" i="7"/>
  <c r="F252" i="3"/>
  <c r="F198" i="3"/>
  <c r="C94" i="7"/>
  <c r="C145" i="6"/>
  <c r="B57" i="5"/>
  <c r="J162" i="7"/>
  <c r="L172" i="3"/>
  <c r="M172" i="3" s="1"/>
  <c r="E116" i="6" s="1"/>
  <c r="G178" i="6"/>
  <c r="B89" i="5"/>
  <c r="B91" i="5" s="1"/>
  <c r="L245" i="3"/>
  <c r="K47" i="7" s="1"/>
  <c r="L234" i="3"/>
  <c r="L203" i="3"/>
  <c r="M130" i="3"/>
  <c r="E74" i="6" s="1"/>
  <c r="K162" i="7"/>
  <c r="L65" i="3"/>
  <c r="L216" i="3"/>
  <c r="L92" i="3"/>
  <c r="L241" i="3"/>
  <c r="J227" i="7"/>
  <c r="L194" i="3"/>
  <c r="G147" i="6"/>
  <c r="J200" i="7"/>
  <c r="G225" i="6"/>
  <c r="G185" i="6"/>
  <c r="F34" i="7"/>
  <c r="A202" i="6"/>
  <c r="A195" i="6"/>
  <c r="F41" i="7"/>
  <c r="F46" i="7"/>
  <c r="A190" i="6"/>
  <c r="A187" i="6"/>
  <c r="F49" i="7"/>
  <c r="A209" i="6"/>
  <c r="F27" i="7"/>
  <c r="F48" i="7"/>
  <c r="A188" i="6"/>
  <c r="A189" i="6"/>
  <c r="F47" i="7"/>
  <c r="F15" i="7"/>
  <c r="A221" i="6"/>
  <c r="M12" i="7"/>
  <c r="A73" i="6"/>
  <c r="F17" i="7"/>
  <c r="A219" i="6"/>
  <c r="F20" i="7"/>
  <c r="A216" i="6"/>
  <c r="F31" i="7"/>
  <c r="A205" i="6"/>
  <c r="A204" i="6"/>
  <c r="F32" i="7"/>
  <c r="E59" i="7" l="1"/>
  <c r="F59" i="7"/>
  <c r="G32" i="6"/>
  <c r="E163" i="7"/>
  <c r="G236" i="3"/>
  <c r="A180" i="6" s="1"/>
  <c r="G105" i="3"/>
  <c r="F187" i="7" s="1"/>
  <c r="G83" i="3"/>
  <c r="A27" i="6" s="1"/>
  <c r="M176" i="3"/>
  <c r="E120" i="6" s="1"/>
  <c r="F33" i="7"/>
  <c r="G120" i="6"/>
  <c r="E18" i="7"/>
  <c r="A145" i="6"/>
  <c r="E91" i="7"/>
  <c r="J68" i="7"/>
  <c r="K184" i="7"/>
  <c r="J184" i="7"/>
  <c r="G52" i="6"/>
  <c r="F117" i="7"/>
  <c r="G189" i="6"/>
  <c r="F96" i="7"/>
  <c r="F164" i="7"/>
  <c r="A6" i="6"/>
  <c r="A207" i="6"/>
  <c r="F144" i="7"/>
  <c r="G60" i="3"/>
  <c r="A4" i="6" s="1"/>
  <c r="A81" i="6"/>
  <c r="F58" i="7"/>
  <c r="E29" i="7"/>
  <c r="E223" i="7"/>
  <c r="E117" i="7"/>
  <c r="G159" i="3"/>
  <c r="A103" i="6" s="1"/>
  <c r="E58" i="7"/>
  <c r="G269" i="3"/>
  <c r="A213" i="6" s="1"/>
  <c r="F157" i="7"/>
  <c r="E157" i="7"/>
  <c r="A13" i="6"/>
  <c r="E96" i="7"/>
  <c r="A53" i="6"/>
  <c r="G169" i="3"/>
  <c r="A113" i="6" s="1"/>
  <c r="F64" i="7"/>
  <c r="E183" i="7"/>
  <c r="E64" i="7"/>
  <c r="G155" i="3"/>
  <c r="F137" i="7" s="1"/>
  <c r="F85" i="7"/>
  <c r="G195" i="3"/>
  <c r="F97" i="7" s="1"/>
  <c r="E144" i="7"/>
  <c r="E142" i="7"/>
  <c r="E136" i="7"/>
  <c r="E89" i="7"/>
  <c r="A147" i="6"/>
  <c r="E164" i="7"/>
  <c r="F77" i="7"/>
  <c r="G237" i="3"/>
  <c r="A181" i="6" s="1"/>
  <c r="G185" i="3"/>
  <c r="F107" i="7" s="1"/>
  <c r="A135" i="6"/>
  <c r="G104" i="3"/>
  <c r="A48" i="6" s="1"/>
  <c r="E101" i="7"/>
  <c r="G89" i="3"/>
  <c r="F203" i="7" s="1"/>
  <c r="A174" i="6"/>
  <c r="G173" i="3"/>
  <c r="A117" i="6" s="1"/>
  <c r="G212" i="3"/>
  <c r="F80" i="7" s="1"/>
  <c r="F18" i="7"/>
  <c r="E162" i="7"/>
  <c r="A108" i="6"/>
  <c r="F162" i="7"/>
  <c r="G78" i="3"/>
  <c r="A22" i="6" s="1"/>
  <c r="E222" i="7"/>
  <c r="A94" i="6"/>
  <c r="G67" i="3"/>
  <c r="F225" i="7" s="1"/>
  <c r="G179" i="3"/>
  <c r="F113" i="7" s="1"/>
  <c r="J37" i="7"/>
  <c r="G156" i="6"/>
  <c r="K37" i="7"/>
  <c r="F159" i="7"/>
  <c r="J215" i="7"/>
  <c r="K155" i="7"/>
  <c r="K44" i="7"/>
  <c r="F83" i="7"/>
  <c r="G194" i="6"/>
  <c r="F66" i="7"/>
  <c r="J42" i="7"/>
  <c r="J84" i="7"/>
  <c r="J18" i="7"/>
  <c r="M208" i="3"/>
  <c r="E152" i="6" s="1"/>
  <c r="G192" i="6"/>
  <c r="J44" i="7"/>
  <c r="M117" i="3"/>
  <c r="E61" i="6" s="1"/>
  <c r="G21" i="6"/>
  <c r="G271" i="3"/>
  <c r="A215" i="6" s="1"/>
  <c r="E190" i="7"/>
  <c r="F175" i="7"/>
  <c r="F172" i="7"/>
  <c r="L205" i="3"/>
  <c r="K87" i="7" s="1"/>
  <c r="G166" i="3"/>
  <c r="F126" i="7" s="1"/>
  <c r="E172" i="7"/>
  <c r="G152" i="6"/>
  <c r="A14" i="6"/>
  <c r="G168" i="3"/>
  <c r="A112" i="6" s="1"/>
  <c r="F138" i="7"/>
  <c r="G71" i="3"/>
  <c r="F221" i="7" s="1"/>
  <c r="J157" i="7"/>
  <c r="J116" i="7"/>
  <c r="G230" i="6"/>
  <c r="A70" i="6"/>
  <c r="E128" i="7"/>
  <c r="E138" i="7"/>
  <c r="K157" i="7"/>
  <c r="A19" i="6"/>
  <c r="A143" i="6"/>
  <c r="E93" i="7"/>
  <c r="K12" i="7"/>
  <c r="E43" i="7"/>
  <c r="G176" i="3"/>
  <c r="F116" i="7" s="1"/>
  <c r="G160" i="6"/>
  <c r="M267" i="3"/>
  <c r="E211" i="6" s="1"/>
  <c r="L185" i="3"/>
  <c r="K107" i="7" s="1"/>
  <c r="A194" i="6"/>
  <c r="J69" i="7"/>
  <c r="E230" i="7"/>
  <c r="G220" i="3"/>
  <c r="F72" i="7" s="1"/>
  <c r="L200" i="3"/>
  <c r="K92" i="7" s="1"/>
  <c r="A78" i="6"/>
  <c r="G22" i="6"/>
  <c r="F61" i="7"/>
  <c r="E83" i="7"/>
  <c r="F145" i="7"/>
  <c r="F201" i="7"/>
  <c r="E61" i="7"/>
  <c r="A115" i="6"/>
  <c r="E145" i="7"/>
  <c r="L142" i="3"/>
  <c r="K150" i="7" s="1"/>
  <c r="J229" i="7"/>
  <c r="F103" i="7"/>
  <c r="E130" i="7"/>
  <c r="J214" i="7"/>
  <c r="A149" i="6"/>
  <c r="A222" i="6"/>
  <c r="G270" i="3"/>
  <c r="F22" i="7" s="1"/>
  <c r="E158" i="7"/>
  <c r="M88" i="3"/>
  <c r="E32" i="6" s="1"/>
  <c r="J90" i="7"/>
  <c r="K22" i="7"/>
  <c r="J204" i="7"/>
  <c r="M131" i="3"/>
  <c r="E75" i="6" s="1"/>
  <c r="K131" i="7"/>
  <c r="G68" i="6"/>
  <c r="K187" i="7"/>
  <c r="G34" i="6"/>
  <c r="G53" i="6"/>
  <c r="E208" i="7"/>
  <c r="A58" i="6"/>
  <c r="A46" i="6"/>
  <c r="E87" i="7"/>
  <c r="M109" i="3"/>
  <c r="E53" i="6" s="1"/>
  <c r="K7" i="7"/>
  <c r="M147" i="3"/>
  <c r="E91" i="6" s="1"/>
  <c r="A68" i="6"/>
  <c r="F208" i="7"/>
  <c r="F76" i="7"/>
  <c r="G124" i="6"/>
  <c r="E175" i="7"/>
  <c r="E76" i="7"/>
  <c r="K159" i="7"/>
  <c r="J183" i="7"/>
  <c r="G158" i="6"/>
  <c r="K90" i="7"/>
  <c r="A184" i="6"/>
  <c r="G214" i="3"/>
  <c r="A158" i="6" s="1"/>
  <c r="J159" i="7"/>
  <c r="J181" i="7"/>
  <c r="F199" i="7"/>
  <c r="E168" i="7"/>
  <c r="E134" i="7"/>
  <c r="G77" i="6"/>
  <c r="F122" i="7"/>
  <c r="J112" i="7"/>
  <c r="G146" i="6"/>
  <c r="E178" i="7"/>
  <c r="F60" i="7"/>
  <c r="F130" i="7"/>
  <c r="A40" i="6"/>
  <c r="G193" i="3"/>
  <c r="A137" i="6" s="1"/>
  <c r="E60" i="7"/>
  <c r="J161" i="7"/>
  <c r="A89" i="6"/>
  <c r="F134" i="7"/>
  <c r="A95" i="6"/>
  <c r="J87" i="7"/>
  <c r="G225" i="3"/>
  <c r="F67" i="7" s="1"/>
  <c r="G213" i="3"/>
  <c r="F79" i="7" s="1"/>
  <c r="K3" i="7"/>
  <c r="M235" i="3"/>
  <c r="E179" i="6" s="1"/>
  <c r="K48" i="7"/>
  <c r="M77" i="3"/>
  <c r="E21" i="6" s="1"/>
  <c r="G168" i="6"/>
  <c r="K68" i="7"/>
  <c r="G199" i="6"/>
  <c r="M111" i="3"/>
  <c r="E55" i="6" s="1"/>
  <c r="J27" i="7"/>
  <c r="G55" i="6"/>
  <c r="L81" i="3"/>
  <c r="M81" i="3" s="1"/>
  <c r="E25" i="6" s="1"/>
  <c r="E122" i="7"/>
  <c r="F13" i="7"/>
  <c r="A38" i="6"/>
  <c r="F38" i="7"/>
  <c r="K69" i="7"/>
  <c r="G161" i="3"/>
  <c r="A105" i="6" s="1"/>
  <c r="E115" i="7"/>
  <c r="G276" i="3"/>
  <c r="J65" i="7"/>
  <c r="A121" i="6"/>
  <c r="G115" i="3"/>
  <c r="F177" i="7" s="1"/>
  <c r="G190" i="3"/>
  <c r="F102" i="7" s="1"/>
  <c r="E139" i="7"/>
  <c r="F108" i="7"/>
  <c r="E77" i="7"/>
  <c r="G191" i="6"/>
  <c r="K65" i="7"/>
  <c r="K152" i="7"/>
  <c r="G206" i="6"/>
  <c r="A124" i="6"/>
  <c r="M274" i="3"/>
  <c r="E218" i="6" s="1"/>
  <c r="G217" i="3"/>
  <c r="A161" i="6" s="1"/>
  <c r="J45" i="7"/>
  <c r="E112" i="7"/>
  <c r="K45" i="7"/>
  <c r="G167" i="6"/>
  <c r="M276" i="3"/>
  <c r="E220" i="6" s="1"/>
  <c r="M262" i="3"/>
  <c r="E206" i="6" s="1"/>
  <c r="E108" i="7"/>
  <c r="F109" i="7"/>
  <c r="E147" i="7"/>
  <c r="E196" i="7"/>
  <c r="F206" i="7"/>
  <c r="G85" i="3"/>
  <c r="F207" i="7" s="1"/>
  <c r="K128" i="7"/>
  <c r="M279" i="3"/>
  <c r="E223" i="6" s="1"/>
  <c r="K136" i="7"/>
  <c r="J136" i="7"/>
  <c r="G79" i="6"/>
  <c r="G100" i="6"/>
  <c r="M230" i="3"/>
  <c r="E174" i="6" s="1"/>
  <c r="K229" i="7"/>
  <c r="M265" i="3"/>
  <c r="E209" i="6" s="1"/>
  <c r="J48" i="7"/>
  <c r="G7" i="6"/>
  <c r="J179" i="7"/>
  <c r="G188" i="6"/>
  <c r="J230" i="7"/>
  <c r="M62" i="3"/>
  <c r="E6" i="6" s="1"/>
  <c r="M268" i="3"/>
  <c r="E212" i="6" s="1"/>
  <c r="G6" i="6"/>
  <c r="M113" i="3"/>
  <c r="E57" i="6" s="1"/>
  <c r="G171" i="6"/>
  <c r="G81" i="6"/>
  <c r="G57" i="6"/>
  <c r="K189" i="7"/>
  <c r="G97" i="6"/>
  <c r="G47" i="6"/>
  <c r="J219" i="7"/>
  <c r="J64" i="7"/>
  <c r="K168" i="7"/>
  <c r="G105" i="6"/>
  <c r="J154" i="7"/>
  <c r="G71" i="6"/>
  <c r="J208" i="7"/>
  <c r="M73" i="3"/>
  <c r="E17" i="6" s="1"/>
  <c r="J80" i="7"/>
  <c r="J104" i="7"/>
  <c r="J139" i="7"/>
  <c r="G210" i="6"/>
  <c r="K139" i="7"/>
  <c r="G133" i="6"/>
  <c r="J189" i="7"/>
  <c r="K80" i="7"/>
  <c r="K170" i="7"/>
  <c r="G170" i="6"/>
  <c r="M275" i="3"/>
  <c r="E219" i="6" s="1"/>
  <c r="M180" i="3"/>
  <c r="E124" i="6" s="1"/>
  <c r="J96" i="7"/>
  <c r="K195" i="7"/>
  <c r="J118" i="7"/>
  <c r="G118" i="6"/>
  <c r="M126" i="3"/>
  <c r="E70" i="6" s="1"/>
  <c r="G49" i="6"/>
  <c r="G222" i="3"/>
  <c r="A166" i="6" s="1"/>
  <c r="E109" i="7"/>
  <c r="G122" i="6"/>
  <c r="M90" i="3"/>
  <c r="E34" i="6" s="1"/>
  <c r="G232" i="6"/>
  <c r="E100" i="7"/>
  <c r="E14" i="7"/>
  <c r="M13" i="7" s="1"/>
  <c r="M14" i="7" s="1"/>
  <c r="M15" i="7" s="1"/>
  <c r="M16" i="7" s="1"/>
  <c r="F37" i="7"/>
  <c r="G160" i="3"/>
  <c r="A104" i="6" s="1"/>
  <c r="K20" i="7"/>
  <c r="E211" i="7"/>
  <c r="J148" i="7"/>
  <c r="K21" i="7"/>
  <c r="G172" i="6"/>
  <c r="G69" i="6"/>
  <c r="K214" i="7"/>
  <c r="A97" i="6"/>
  <c r="J207" i="7"/>
  <c r="J187" i="7"/>
  <c r="G178" i="3"/>
  <c r="A122" i="6" s="1"/>
  <c r="E217" i="7"/>
  <c r="G208" i="3"/>
  <c r="A152" i="6" s="1"/>
  <c r="A193" i="6"/>
  <c r="M178" i="3"/>
  <c r="E122" i="6" s="1"/>
  <c r="J168" i="7"/>
  <c r="M85" i="3"/>
  <c r="E29" i="6" s="1"/>
  <c r="E166" i="7"/>
  <c r="M144" i="3"/>
  <c r="E88" i="6" s="1"/>
  <c r="G88" i="6"/>
  <c r="K208" i="7"/>
  <c r="J202" i="7"/>
  <c r="J131" i="7"/>
  <c r="J103" i="7"/>
  <c r="A20" i="6"/>
  <c r="A165" i="6"/>
  <c r="J114" i="7"/>
  <c r="G70" i="6"/>
  <c r="G28" i="6"/>
  <c r="K103" i="7"/>
  <c r="G82" i="6"/>
  <c r="M138" i="3"/>
  <c r="E82" i="6" s="1"/>
  <c r="K64" i="7"/>
  <c r="E216" i="7"/>
  <c r="F69" i="7"/>
  <c r="F136" i="7"/>
  <c r="G42" i="6"/>
  <c r="K95" i="7"/>
  <c r="E141" i="7"/>
  <c r="M170" i="3"/>
  <c r="E114" i="6" s="1"/>
  <c r="J165" i="7"/>
  <c r="M127" i="3"/>
  <c r="E71" i="6" s="1"/>
  <c r="G266" i="3"/>
  <c r="F26" i="7" s="1"/>
  <c r="K108" i="7"/>
  <c r="G174" i="6"/>
  <c r="J98" i="7"/>
  <c r="M258" i="3"/>
  <c r="E202" i="6" s="1"/>
  <c r="J9" i="7"/>
  <c r="G95" i="3"/>
  <c r="F197" i="7" s="1"/>
  <c r="J138" i="7"/>
  <c r="K42" i="7"/>
  <c r="M277" i="3"/>
  <c r="E221" i="6" s="1"/>
  <c r="M226" i="3"/>
  <c r="E170" i="6" s="1"/>
  <c r="G40" i="6"/>
  <c r="G129" i="6"/>
  <c r="K78" i="7"/>
  <c r="E155" i="7"/>
  <c r="F152" i="7"/>
  <c r="G206" i="3"/>
  <c r="A150" i="6" s="1"/>
  <c r="G235" i="3"/>
  <c r="A179" i="6" s="1"/>
  <c r="M233" i="3"/>
  <c r="E177" i="6" s="1"/>
  <c r="G75" i="6"/>
  <c r="J170" i="7"/>
  <c r="J155" i="7"/>
  <c r="J78" i="7"/>
  <c r="J145" i="7"/>
  <c r="J66" i="7"/>
  <c r="G91" i="6"/>
  <c r="G98" i="6"/>
  <c r="J223" i="7"/>
  <c r="G221" i="6"/>
  <c r="G179" i="6"/>
  <c r="K6" i="7"/>
  <c r="K138" i="7"/>
  <c r="G66" i="6"/>
  <c r="J62" i="7"/>
  <c r="G202" i="6"/>
  <c r="M98" i="3"/>
  <c r="E42" i="6" s="1"/>
  <c r="K178" i="7"/>
  <c r="G264" i="3"/>
  <c r="A208" i="6" s="1"/>
  <c r="E199" i="7"/>
  <c r="G72" i="6"/>
  <c r="J39" i="7"/>
  <c r="G197" i="6"/>
  <c r="J196" i="7"/>
  <c r="A138" i="6"/>
  <c r="G103" i="3"/>
  <c r="F189" i="7" s="1"/>
  <c r="M96" i="3"/>
  <c r="E40" i="6" s="1"/>
  <c r="F191" i="7"/>
  <c r="E191" i="7"/>
  <c r="M252" i="3"/>
  <c r="E196" i="6" s="1"/>
  <c r="J83" i="7"/>
  <c r="K197" i="7"/>
  <c r="K77" i="7"/>
  <c r="G224" i="6"/>
  <c r="J19" i="7"/>
  <c r="K96" i="7"/>
  <c r="G13" i="6"/>
  <c r="M251" i="3"/>
  <c r="E195" i="6" s="1"/>
  <c r="G159" i="6"/>
  <c r="G202" i="3"/>
  <c r="F90" i="7" s="1"/>
  <c r="G256" i="3"/>
  <c r="A200" i="6" s="1"/>
  <c r="G216" i="6"/>
  <c r="J38" i="7"/>
  <c r="K223" i="7"/>
  <c r="K39" i="7"/>
  <c r="K9" i="7"/>
  <c r="K156" i="7"/>
  <c r="M136" i="3"/>
  <c r="E80" i="6" s="1"/>
  <c r="F169" i="7"/>
  <c r="G198" i="6"/>
  <c r="E98" i="7"/>
  <c r="M254" i="3"/>
  <c r="E198" i="6" s="1"/>
  <c r="G114" i="6"/>
  <c r="G195" i="6"/>
  <c r="J194" i="7"/>
  <c r="G207" i="6"/>
  <c r="G262" i="3"/>
  <c r="A206" i="6" s="1"/>
  <c r="G138" i="3"/>
  <c r="A82" i="6" s="1"/>
  <c r="G196" i="6"/>
  <c r="G58" i="6"/>
  <c r="J164" i="7"/>
  <c r="J122" i="7"/>
  <c r="J40" i="7"/>
  <c r="J86" i="7"/>
  <c r="K164" i="7"/>
  <c r="M206" i="3"/>
  <c r="E150" i="6" s="1"/>
  <c r="J41" i="7"/>
  <c r="J34" i="7"/>
  <c r="G219" i="6"/>
  <c r="J178" i="7"/>
  <c r="E62" i="7"/>
  <c r="E103" i="7"/>
  <c r="E169" i="7"/>
  <c r="G150" i="6"/>
  <c r="K158" i="7"/>
  <c r="E159" i="7"/>
  <c r="F211" i="7"/>
  <c r="M145" i="3"/>
  <c r="E89" i="6" s="1"/>
  <c r="G89" i="6"/>
  <c r="G78" i="6"/>
  <c r="M273" i="3"/>
  <c r="E217" i="6" s="1"/>
  <c r="G17" i="6"/>
  <c r="J147" i="7"/>
  <c r="J120" i="7"/>
  <c r="M256" i="3"/>
  <c r="E200" i="6" s="1"/>
  <c r="E37" i="7"/>
  <c r="E52" i="7"/>
  <c r="J77" i="7"/>
  <c r="G131" i="3"/>
  <c r="F161" i="7" s="1"/>
  <c r="G197" i="3"/>
  <c r="F95" i="7" s="1"/>
  <c r="J28" i="7"/>
  <c r="A71" i="6"/>
  <c r="F220" i="7"/>
  <c r="J166" i="7"/>
  <c r="G29" i="6"/>
  <c r="J31" i="7"/>
  <c r="G98" i="3"/>
  <c r="A42" i="6" s="1"/>
  <c r="J57" i="7"/>
  <c r="G88" i="3"/>
  <c r="F204" i="7" s="1"/>
  <c r="G212" i="6"/>
  <c r="G132" i="6"/>
  <c r="M246" i="3"/>
  <c r="E190" i="6" s="1"/>
  <c r="G143" i="3"/>
  <c r="A87" i="6" s="1"/>
  <c r="M188" i="3"/>
  <c r="E132" i="6" s="1"/>
  <c r="F111" i="7"/>
  <c r="G187" i="3"/>
  <c r="A131" i="6" s="1"/>
  <c r="M151" i="3"/>
  <c r="E95" i="6" s="1"/>
  <c r="J13" i="7"/>
  <c r="E111" i="7"/>
  <c r="J46" i="7"/>
  <c r="E85" i="7"/>
  <c r="E42" i="7"/>
  <c r="E81" i="7"/>
  <c r="K118" i="7"/>
  <c r="G190" i="6"/>
  <c r="E165" i="7"/>
  <c r="E200" i="7"/>
  <c r="E198" i="7"/>
  <c r="F100" i="7"/>
  <c r="F200" i="7"/>
  <c r="G108" i="3"/>
  <c r="F184" i="7" s="1"/>
  <c r="G172" i="3"/>
  <c r="F120" i="7" s="1"/>
  <c r="E152" i="7"/>
  <c r="E66" i="7"/>
  <c r="G136" i="3"/>
  <c r="G65" i="3"/>
  <c r="A9" i="6" s="1"/>
  <c r="F182" i="7"/>
  <c r="F140" i="7"/>
  <c r="A154" i="6"/>
  <c r="E82" i="7"/>
  <c r="G90" i="3"/>
  <c r="F202" i="7" s="1"/>
  <c r="A18" i="6"/>
  <c r="E45" i="7"/>
  <c r="G239" i="3"/>
  <c r="F53" i="7" s="1"/>
  <c r="F65" i="7"/>
  <c r="F195" i="7"/>
  <c r="E121" i="7"/>
  <c r="E218" i="7"/>
  <c r="G106" i="3"/>
  <c r="F186" i="7" s="1"/>
  <c r="G218" i="3"/>
  <c r="F74" i="7" s="1"/>
  <c r="G142" i="3"/>
  <c r="F150" i="7" s="1"/>
  <c r="G122" i="3"/>
  <c r="A66" i="6" s="1"/>
  <c r="A191" i="6"/>
  <c r="E182" i="7"/>
  <c r="E219" i="7"/>
  <c r="G113" i="3"/>
  <c r="A57" i="6" s="1"/>
  <c r="E69" i="7"/>
  <c r="F135" i="7"/>
  <c r="J129" i="7"/>
  <c r="J106" i="7"/>
  <c r="L221" i="3"/>
  <c r="J71" i="7"/>
  <c r="E135" i="7"/>
  <c r="G153" i="6"/>
  <c r="G130" i="6"/>
  <c r="G204" i="3"/>
  <c r="F88" i="7" s="1"/>
  <c r="F151" i="7"/>
  <c r="A197" i="6"/>
  <c r="M278" i="3"/>
  <c r="E222" i="6" s="1"/>
  <c r="J141" i="7"/>
  <c r="J53" i="7"/>
  <c r="G107" i="6"/>
  <c r="G132" i="3"/>
  <c r="F160" i="7" s="1"/>
  <c r="G95" i="6"/>
  <c r="G165" i="6"/>
  <c r="M209" i="3"/>
  <c r="E153" i="6" s="1"/>
  <c r="G183" i="6"/>
  <c r="M186" i="3"/>
  <c r="E130" i="6" s="1"/>
  <c r="K53" i="7"/>
  <c r="M163" i="3"/>
  <c r="E107" i="6" s="1"/>
  <c r="G61" i="3"/>
  <c r="F231" i="7" s="1"/>
  <c r="A26" i="6"/>
  <c r="G19" i="6"/>
  <c r="E140" i="7"/>
  <c r="E206" i="7"/>
  <c r="L83" i="3"/>
  <c r="J209" i="7"/>
  <c r="G177" i="6"/>
  <c r="J59" i="7"/>
  <c r="G50" i="6"/>
  <c r="K123" i="7"/>
  <c r="L143" i="3"/>
  <c r="J149" i="7"/>
  <c r="F81" i="7"/>
  <c r="J92" i="7"/>
  <c r="G224" i="3"/>
  <c r="F68" i="7" s="1"/>
  <c r="A111" i="6"/>
  <c r="A109" i="6"/>
  <c r="A126" i="6"/>
  <c r="G200" i="6"/>
  <c r="A60" i="6"/>
  <c r="E110" i="7"/>
  <c r="J36" i="7"/>
  <c r="A163" i="6"/>
  <c r="J217" i="7"/>
  <c r="F224" i="7"/>
  <c r="A217" i="6"/>
  <c r="K217" i="7"/>
  <c r="E193" i="7"/>
  <c r="E125" i="7"/>
  <c r="G146" i="3"/>
  <c r="F146" i="7" s="1"/>
  <c r="E181" i="7"/>
  <c r="M198" i="3"/>
  <c r="E142" i="6" s="1"/>
  <c r="E73" i="7"/>
  <c r="J185" i="7"/>
  <c r="E173" i="7"/>
  <c r="K163" i="7"/>
  <c r="M155" i="3"/>
  <c r="E99" i="6" s="1"/>
  <c r="F50" i="7"/>
  <c r="M107" i="3"/>
  <c r="E51" i="6" s="1"/>
  <c r="G125" i="3"/>
  <c r="F167" i="7" s="1"/>
  <c r="E65" i="7"/>
  <c r="J163" i="7"/>
  <c r="A17" i="6"/>
  <c r="A63" i="6"/>
  <c r="G80" i="3"/>
  <c r="A24" i="6" s="1"/>
  <c r="J137" i="7"/>
  <c r="A43" i="6"/>
  <c r="G73" i="6"/>
  <c r="G51" i="6"/>
  <c r="E224" i="7"/>
  <c r="G268" i="3"/>
  <c r="F24" i="7" s="1"/>
  <c r="M289" i="3"/>
  <c r="E233" i="6" s="1"/>
  <c r="E106" i="7"/>
  <c r="G186" i="3"/>
  <c r="E201" i="7"/>
  <c r="G140" i="6"/>
  <c r="E176" i="7"/>
  <c r="F104" i="7"/>
  <c r="G24" i="6"/>
  <c r="G267" i="3"/>
  <c r="F25" i="7" s="1"/>
  <c r="J212" i="7"/>
  <c r="G181" i="6"/>
  <c r="E118" i="7"/>
  <c r="G174" i="3"/>
  <c r="G112" i="3"/>
  <c r="A56" i="6" s="1"/>
  <c r="J182" i="7"/>
  <c r="E228" i="7"/>
  <c r="G64" i="3"/>
  <c r="E104" i="7"/>
  <c r="G77" i="3"/>
  <c r="A21" i="6" s="1"/>
  <c r="M110" i="3"/>
  <c r="E54" i="6" s="1"/>
  <c r="G86" i="6"/>
  <c r="M282" i="3"/>
  <c r="E226" i="6" s="1"/>
  <c r="G229" i="3"/>
  <c r="A173" i="6" s="1"/>
  <c r="K55" i="7"/>
  <c r="K10" i="7"/>
  <c r="J22" i="7"/>
  <c r="G214" i="6"/>
  <c r="J211" i="7"/>
  <c r="G149" i="3"/>
  <c r="A93" i="6" s="1"/>
  <c r="J158" i="7"/>
  <c r="M80" i="3"/>
  <c r="E24" i="6" s="1"/>
  <c r="G54" i="6"/>
  <c r="J55" i="7"/>
  <c r="E71" i="7"/>
  <c r="G227" i="6"/>
  <c r="E129" i="7"/>
  <c r="G163" i="3"/>
  <c r="G100" i="3"/>
  <c r="F192" i="7" s="1"/>
  <c r="E195" i="7"/>
  <c r="J123" i="7"/>
  <c r="G99" i="6"/>
  <c r="K5" i="7"/>
  <c r="K120" i="7"/>
  <c r="M106" i="3"/>
  <c r="E50" i="6" s="1"/>
  <c r="M232" i="3"/>
  <c r="E176" i="6" s="1"/>
  <c r="J186" i="7"/>
  <c r="G118" i="3"/>
  <c r="F174" i="7" s="1"/>
  <c r="E51" i="7"/>
  <c r="G241" i="3"/>
  <c r="J167" i="7"/>
  <c r="G113" i="6"/>
  <c r="K167" i="7"/>
  <c r="L260" i="3"/>
  <c r="G204" i="6"/>
  <c r="J32" i="7"/>
  <c r="A55" i="6"/>
  <c r="G79" i="3"/>
  <c r="F213" i="7" s="1"/>
  <c r="E185" i="7"/>
  <c r="G233" i="6"/>
  <c r="E229" i="7"/>
  <c r="G63" i="3"/>
  <c r="F54" i="7"/>
  <c r="F153" i="7"/>
  <c r="A51" i="6"/>
  <c r="E153" i="7"/>
  <c r="E54" i="7"/>
  <c r="K23" i="7"/>
  <c r="M269" i="3"/>
  <c r="E213" i="6" s="1"/>
  <c r="E220" i="7"/>
  <c r="E210" i="7"/>
  <c r="E44" i="7"/>
  <c r="G248" i="3"/>
  <c r="E151" i="7"/>
  <c r="J94" i="7"/>
  <c r="G66" i="3"/>
  <c r="L76" i="3"/>
  <c r="J216" i="7"/>
  <c r="G144" i="3"/>
  <c r="E92" i="7"/>
  <c r="G200" i="3"/>
  <c r="E127" i="7"/>
  <c r="G142" i="6"/>
  <c r="L79" i="3"/>
  <c r="J213" i="7"/>
  <c r="G23" i="6"/>
  <c r="G257" i="3"/>
  <c r="F35" i="7" s="1"/>
  <c r="L191" i="3"/>
  <c r="G135" i="6"/>
  <c r="J101" i="7"/>
  <c r="E94" i="7"/>
  <c r="G198" i="3"/>
  <c r="G252" i="3"/>
  <c r="E40" i="7"/>
  <c r="G87" i="3"/>
  <c r="E205" i="7"/>
  <c r="E171" i="7"/>
  <c r="G121" i="3"/>
  <c r="M245" i="3"/>
  <c r="E189" i="6" s="1"/>
  <c r="M203" i="3"/>
  <c r="E147" i="6" s="1"/>
  <c r="K89" i="7"/>
  <c r="M234" i="3"/>
  <c r="E178" i="6" s="1"/>
  <c r="K58" i="7"/>
  <c r="K227" i="7"/>
  <c r="M65" i="3"/>
  <c r="E9" i="6" s="1"/>
  <c r="K76" i="7"/>
  <c r="M216" i="3"/>
  <c r="E160" i="6" s="1"/>
  <c r="K51" i="7"/>
  <c r="M241" i="3"/>
  <c r="E185" i="6" s="1"/>
  <c r="M92" i="3"/>
  <c r="E36" i="6" s="1"/>
  <c r="K200" i="7"/>
  <c r="M194" i="3"/>
  <c r="E138" i="6" s="1"/>
  <c r="K98" i="7"/>
  <c r="A49" i="6" l="1"/>
  <c r="F56" i="7"/>
  <c r="F209" i="7"/>
  <c r="M17" i="7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M35" i="7" s="1"/>
  <c r="M36" i="7" s="1"/>
  <c r="M37" i="7" s="1"/>
  <c r="M38" i="7" s="1"/>
  <c r="M39" i="7" s="1"/>
  <c r="M40" i="7" s="1"/>
  <c r="M41" i="7" s="1"/>
  <c r="M42" i="7" s="1"/>
  <c r="M43" i="7" s="1"/>
  <c r="M44" i="7" s="1"/>
  <c r="M45" i="7" s="1"/>
  <c r="M46" i="7" s="1"/>
  <c r="M47" i="7" s="1"/>
  <c r="M48" i="7" s="1"/>
  <c r="M49" i="7" s="1"/>
  <c r="M50" i="7" s="1"/>
  <c r="M51" i="7" s="1"/>
  <c r="M52" i="7" s="1"/>
  <c r="M53" i="7" s="1"/>
  <c r="M54" i="7" s="1"/>
  <c r="M55" i="7" s="1"/>
  <c r="M56" i="7" s="1"/>
  <c r="M57" i="7" s="1"/>
  <c r="M58" i="7" s="1"/>
  <c r="M59" i="7" s="1"/>
  <c r="M60" i="7" s="1"/>
  <c r="M61" i="7" s="1"/>
  <c r="M62" i="7" s="1"/>
  <c r="M63" i="7" s="1"/>
  <c r="M64" i="7" s="1"/>
  <c r="M65" i="7" s="1"/>
  <c r="M66" i="7" s="1"/>
  <c r="M67" i="7" s="1"/>
  <c r="M68" i="7" s="1"/>
  <c r="M69" i="7" s="1"/>
  <c r="M70" i="7" s="1"/>
  <c r="M71" i="7" s="1"/>
  <c r="M72" i="7" s="1"/>
  <c r="M73" i="7" s="1"/>
  <c r="M74" i="7" s="1"/>
  <c r="M75" i="7" s="1"/>
  <c r="M76" i="7" s="1"/>
  <c r="M77" i="7" s="1"/>
  <c r="M78" i="7" s="1"/>
  <c r="M79" i="7" s="1"/>
  <c r="M80" i="7" s="1"/>
  <c r="M81" i="7" s="1"/>
  <c r="M82" i="7" s="1"/>
  <c r="M83" i="7" s="1"/>
  <c r="M84" i="7" s="1"/>
  <c r="M85" i="7" s="1"/>
  <c r="M86" i="7" s="1"/>
  <c r="M87" i="7" s="1"/>
  <c r="M88" i="7" s="1"/>
  <c r="M89" i="7" s="1"/>
  <c r="M90" i="7" s="1"/>
  <c r="M91" i="7" s="1"/>
  <c r="M92" i="7" s="1"/>
  <c r="M93" i="7" s="1"/>
  <c r="M94" i="7" s="1"/>
  <c r="M95" i="7" s="1"/>
  <c r="M96" i="7" s="1"/>
  <c r="M97" i="7" s="1"/>
  <c r="M98" i="7" s="1"/>
  <c r="M99" i="7" s="1"/>
  <c r="M100" i="7" s="1"/>
  <c r="M101" i="7" s="1"/>
  <c r="M102" i="7" s="1"/>
  <c r="M103" i="7" s="1"/>
  <c r="M104" i="7" s="1"/>
  <c r="M105" i="7" s="1"/>
  <c r="M106" i="7" s="1"/>
  <c r="M107" i="7" s="1"/>
  <c r="M108" i="7" s="1"/>
  <c r="M109" i="7" s="1"/>
  <c r="M110" i="7" s="1"/>
  <c r="M111" i="7" s="1"/>
  <c r="M112" i="7" s="1"/>
  <c r="M113" i="7" s="1"/>
  <c r="M114" i="7" s="1"/>
  <c r="M115" i="7" s="1"/>
  <c r="M116" i="7" s="1"/>
  <c r="M117" i="7" s="1"/>
  <c r="M118" i="7" s="1"/>
  <c r="M119" i="7" s="1"/>
  <c r="M120" i="7" s="1"/>
  <c r="M121" i="7" s="1"/>
  <c r="M122" i="7" s="1"/>
  <c r="M123" i="7" s="1"/>
  <c r="M124" i="7" s="1"/>
  <c r="M125" i="7" s="1"/>
  <c r="M126" i="7" s="1"/>
  <c r="M127" i="7" s="1"/>
  <c r="M128" i="7" s="1"/>
  <c r="M129" i="7" s="1"/>
  <c r="M130" i="7" s="1"/>
  <c r="M131" i="7" s="1"/>
  <c r="M132" i="7" s="1"/>
  <c r="M133" i="7" s="1"/>
  <c r="M134" i="7" s="1"/>
  <c r="M135" i="7" s="1"/>
  <c r="M136" i="7" s="1"/>
  <c r="M137" i="7" s="1"/>
  <c r="M138" i="7" s="1"/>
  <c r="M139" i="7" s="1"/>
  <c r="M140" i="7" s="1"/>
  <c r="M141" i="7" s="1"/>
  <c r="M142" i="7" s="1"/>
  <c r="M143" i="7" s="1"/>
  <c r="M144" i="7" s="1"/>
  <c r="M145" i="7" s="1"/>
  <c r="M146" i="7" s="1"/>
  <c r="M147" i="7" s="1"/>
  <c r="M148" i="7" s="1"/>
  <c r="M149" i="7" s="1"/>
  <c r="M150" i="7" s="1"/>
  <c r="M151" i="7" s="1"/>
  <c r="M152" i="7" s="1"/>
  <c r="M153" i="7" s="1"/>
  <c r="M154" i="7" s="1"/>
  <c r="M155" i="7" s="1"/>
  <c r="M156" i="7" s="1"/>
  <c r="M157" i="7" s="1"/>
  <c r="M158" i="7" s="1"/>
  <c r="M159" i="7" s="1"/>
  <c r="M160" i="7" s="1"/>
  <c r="M161" i="7" s="1"/>
  <c r="M162" i="7" s="1"/>
  <c r="M163" i="7" s="1"/>
  <c r="M164" i="7" s="1"/>
  <c r="M165" i="7" s="1"/>
  <c r="M166" i="7" s="1"/>
  <c r="M167" i="7" s="1"/>
  <c r="M168" i="7" s="1"/>
  <c r="M169" i="7" s="1"/>
  <c r="M170" i="7" s="1"/>
  <c r="M171" i="7" s="1"/>
  <c r="M172" i="7" s="1"/>
  <c r="M173" i="7" s="1"/>
  <c r="M174" i="7" s="1"/>
  <c r="M175" i="7" s="1"/>
  <c r="M176" i="7" s="1"/>
  <c r="M177" i="7" s="1"/>
  <c r="M178" i="7" s="1"/>
  <c r="M179" i="7" s="1"/>
  <c r="M180" i="7" s="1"/>
  <c r="M181" i="7" s="1"/>
  <c r="M182" i="7" s="1"/>
  <c r="M183" i="7" s="1"/>
  <c r="M184" i="7" s="1"/>
  <c r="M185" i="7" s="1"/>
  <c r="M186" i="7" s="1"/>
  <c r="M187" i="7" s="1"/>
  <c r="M188" i="7" s="1"/>
  <c r="M189" i="7" s="1"/>
  <c r="M190" i="7" s="1"/>
  <c r="M191" i="7" s="1"/>
  <c r="M192" i="7" s="1"/>
  <c r="M193" i="7" s="1"/>
  <c r="M194" i="7" s="1"/>
  <c r="M195" i="7" s="1"/>
  <c r="M196" i="7" s="1"/>
  <c r="M197" i="7" s="1"/>
  <c r="M198" i="7" s="1"/>
  <c r="M199" i="7" s="1"/>
  <c r="M200" i="7" s="1"/>
  <c r="M201" i="7" s="1"/>
  <c r="M202" i="7" s="1"/>
  <c r="M203" i="7" s="1"/>
  <c r="M204" i="7" s="1"/>
  <c r="M205" i="7" s="1"/>
  <c r="M206" i="7" s="1"/>
  <c r="M207" i="7" s="1"/>
  <c r="M208" i="7" s="1"/>
  <c r="M209" i="7" s="1"/>
  <c r="M210" i="7" s="1"/>
  <c r="M211" i="7" s="1"/>
  <c r="M212" i="7" s="1"/>
  <c r="M213" i="7" s="1"/>
  <c r="M214" i="7" s="1"/>
  <c r="M215" i="7" s="1"/>
  <c r="M216" i="7" s="1"/>
  <c r="M217" i="7" s="1"/>
  <c r="M218" i="7" s="1"/>
  <c r="M219" i="7" s="1"/>
  <c r="M220" i="7" s="1"/>
  <c r="M221" i="7" s="1"/>
  <c r="M222" i="7" s="1"/>
  <c r="M223" i="7" s="1"/>
  <c r="M224" i="7" s="1"/>
  <c r="M225" i="7" s="1"/>
  <c r="M226" i="7" s="1"/>
  <c r="M227" i="7" s="1"/>
  <c r="M228" i="7" s="1"/>
  <c r="M229" i="7" s="1"/>
  <c r="M230" i="7" s="1"/>
  <c r="M231" i="7" s="1"/>
  <c r="M232" i="7" s="1"/>
  <c r="M233" i="7" s="1"/>
  <c r="M234" i="7" s="1"/>
  <c r="M235" i="7" s="1"/>
  <c r="M236" i="7" s="1"/>
  <c r="M237" i="7" s="1"/>
  <c r="M238" i="7" s="1"/>
  <c r="M239" i="7" s="1"/>
  <c r="M240" i="7" s="1"/>
  <c r="M241" i="7" s="1"/>
  <c r="M242" i="7" s="1"/>
  <c r="M243" i="7" s="1"/>
  <c r="M244" i="7" s="1"/>
  <c r="M245" i="7" s="1"/>
  <c r="M246" i="7" s="1"/>
  <c r="M247" i="7" s="1"/>
  <c r="M248" i="7" s="1"/>
  <c r="M249" i="7" s="1"/>
  <c r="M250" i="7" s="1"/>
  <c r="M251" i="7" s="1"/>
  <c r="M252" i="7" s="1"/>
  <c r="M253" i="7" s="1"/>
  <c r="M254" i="7" s="1"/>
  <c r="M255" i="7" s="1"/>
  <c r="M256" i="7" s="1"/>
  <c r="M257" i="7" s="1"/>
  <c r="M258" i="7" s="1"/>
  <c r="M259" i="7" s="1"/>
  <c r="M260" i="7" s="1"/>
  <c r="M261" i="7" s="1"/>
  <c r="M262" i="7" s="1"/>
  <c r="M263" i="7" s="1"/>
  <c r="M264" i="7" s="1"/>
  <c r="M265" i="7" s="1"/>
  <c r="M266" i="7" s="1"/>
  <c r="M267" i="7" s="1"/>
  <c r="M268" i="7" s="1"/>
  <c r="M269" i="7" s="1"/>
  <c r="M270" i="7" s="1"/>
  <c r="M271" i="7" s="1"/>
  <c r="M272" i="7" s="1"/>
  <c r="M273" i="7" s="1"/>
  <c r="M274" i="7" s="1"/>
  <c r="M275" i="7" s="1"/>
  <c r="M276" i="7" s="1"/>
  <c r="M277" i="7" s="1"/>
  <c r="M278" i="7" s="1"/>
  <c r="M279" i="7" s="1"/>
  <c r="M280" i="7" s="1"/>
  <c r="M281" i="7" s="1"/>
  <c r="M282" i="7" s="1"/>
  <c r="M283" i="7" s="1"/>
  <c r="M284" i="7" s="1"/>
  <c r="M285" i="7" s="1"/>
  <c r="M286" i="7" s="1"/>
  <c r="M287" i="7" s="1"/>
  <c r="M288" i="7" s="1"/>
  <c r="M289" i="7" s="1"/>
  <c r="M290" i="7" s="1"/>
  <c r="M291" i="7" s="1"/>
  <c r="M292" i="7" s="1"/>
  <c r="M293" i="7" s="1"/>
  <c r="M294" i="7" s="1"/>
  <c r="M295" i="7" s="1"/>
  <c r="M296" i="7" s="1"/>
  <c r="M297" i="7" s="1"/>
  <c r="M298" i="7" s="1"/>
  <c r="M299" i="7" s="1"/>
  <c r="M300" i="7" s="1"/>
  <c r="M301" i="7" s="1"/>
  <c r="M302" i="7" s="1"/>
  <c r="M303" i="7" s="1"/>
  <c r="M304" i="7" s="1"/>
  <c r="M305" i="7" s="1"/>
  <c r="M306" i="7" s="1"/>
  <c r="M307" i="7" s="1"/>
  <c r="M308" i="7" s="1"/>
  <c r="M309" i="7" s="1"/>
  <c r="M310" i="7" s="1"/>
  <c r="M311" i="7" s="1"/>
  <c r="M312" i="7" s="1"/>
  <c r="M313" i="7" s="1"/>
  <c r="M314" i="7" s="1"/>
  <c r="M315" i="7" s="1"/>
  <c r="M316" i="7" s="1"/>
  <c r="M317" i="7" s="1"/>
  <c r="M318" i="7" s="1"/>
  <c r="M319" i="7" s="1"/>
  <c r="M320" i="7" s="1"/>
  <c r="M321" i="7" s="1"/>
  <c r="M322" i="7" s="1"/>
  <c r="M323" i="7" s="1"/>
  <c r="M324" i="7" s="1"/>
  <c r="M325" i="7" s="1"/>
  <c r="M326" i="7" s="1"/>
  <c r="M327" i="7" s="1"/>
  <c r="M328" i="7" s="1"/>
  <c r="M329" i="7" s="1"/>
  <c r="M330" i="7" s="1"/>
  <c r="M331" i="7" s="1"/>
  <c r="M332" i="7" s="1"/>
  <c r="M333" i="7" s="1"/>
  <c r="M334" i="7" s="1"/>
  <c r="M335" i="7" s="1"/>
  <c r="M336" i="7" s="1"/>
  <c r="M337" i="7" s="1"/>
  <c r="M338" i="7" s="1"/>
  <c r="M339" i="7" s="1"/>
  <c r="M340" i="7" s="1"/>
  <c r="M341" i="7" s="1"/>
  <c r="M342" i="7" s="1"/>
  <c r="M343" i="7" s="1"/>
  <c r="M344" i="7" s="1"/>
  <c r="M345" i="7" s="1"/>
  <c r="M346" i="7" s="1"/>
  <c r="M347" i="7" s="1"/>
  <c r="M348" i="7" s="1"/>
  <c r="M349" i="7" s="1"/>
  <c r="M350" i="7" s="1"/>
  <c r="M351" i="7" s="1"/>
  <c r="M352" i="7" s="1"/>
  <c r="M353" i="7" s="1"/>
  <c r="M354" i="7" s="1"/>
  <c r="M355" i="7" s="1"/>
  <c r="M356" i="7" s="1"/>
  <c r="M357" i="7" s="1"/>
  <c r="M358" i="7" s="1"/>
  <c r="M359" i="7" s="1"/>
  <c r="M360" i="7" s="1"/>
  <c r="M361" i="7" s="1"/>
  <c r="M362" i="7" s="1"/>
  <c r="M363" i="7" s="1"/>
  <c r="M364" i="7" s="1"/>
  <c r="M365" i="7" s="1"/>
  <c r="M366" i="7" s="1"/>
  <c r="M367" i="7" s="1"/>
  <c r="M368" i="7" s="1"/>
  <c r="M369" i="7" s="1"/>
  <c r="M370" i="7" s="1"/>
  <c r="M371" i="7" s="1"/>
  <c r="M372" i="7" s="1"/>
  <c r="M373" i="7" s="1"/>
  <c r="M374" i="7" s="1"/>
  <c r="M375" i="7" s="1"/>
  <c r="M376" i="7" s="1"/>
  <c r="M377" i="7" s="1"/>
  <c r="M378" i="7" s="1"/>
  <c r="M379" i="7" s="1"/>
  <c r="M380" i="7" s="1"/>
  <c r="M381" i="7" s="1"/>
  <c r="M382" i="7" s="1"/>
  <c r="M383" i="7" s="1"/>
  <c r="M384" i="7" s="1"/>
  <c r="M385" i="7" s="1"/>
  <c r="M386" i="7" s="1"/>
  <c r="M387" i="7" s="1"/>
  <c r="M388" i="7" s="1"/>
  <c r="M389" i="7" s="1"/>
  <c r="M390" i="7" s="1"/>
  <c r="M391" i="7" s="1"/>
  <c r="M392" i="7" s="1"/>
  <c r="M393" i="7" s="1"/>
  <c r="M394" i="7" s="1"/>
  <c r="M395" i="7" s="1"/>
  <c r="M396" i="7" s="1"/>
  <c r="M397" i="7" s="1"/>
  <c r="M398" i="7" s="1"/>
  <c r="M399" i="7" s="1"/>
  <c r="M400" i="7" s="1"/>
  <c r="M401" i="7" s="1"/>
  <c r="M402" i="7" s="1"/>
  <c r="M403" i="7" s="1"/>
  <c r="M404" i="7" s="1"/>
  <c r="M405" i="7" s="1"/>
  <c r="M406" i="7" s="1"/>
  <c r="M407" i="7" s="1"/>
  <c r="M408" i="7" s="1"/>
  <c r="M409" i="7" s="1"/>
  <c r="M410" i="7" s="1"/>
  <c r="M411" i="7" s="1"/>
  <c r="M412" i="7" s="1"/>
  <c r="M413" i="7" s="1"/>
  <c r="M414" i="7" s="1"/>
  <c r="M415" i="7" s="1"/>
  <c r="M416" i="7" s="1"/>
  <c r="M417" i="7" s="1"/>
  <c r="M418" i="7" s="1"/>
  <c r="M419" i="7" s="1"/>
  <c r="M420" i="7" s="1"/>
  <c r="M421" i="7" s="1"/>
  <c r="M422" i="7" s="1"/>
  <c r="M423" i="7" s="1"/>
  <c r="M424" i="7" s="1"/>
  <c r="M425" i="7" s="1"/>
  <c r="M426" i="7" s="1"/>
  <c r="M427" i="7" s="1"/>
  <c r="M428" i="7" s="1"/>
  <c r="M429" i="7" s="1"/>
  <c r="M430" i="7" s="1"/>
  <c r="M431" i="7" s="1"/>
  <c r="M432" i="7" s="1"/>
  <c r="M433" i="7" s="1"/>
  <c r="M434" i="7" s="1"/>
  <c r="M435" i="7" s="1"/>
  <c r="M436" i="7" s="1"/>
  <c r="M437" i="7" s="1"/>
  <c r="M438" i="7" s="1"/>
  <c r="M439" i="7" s="1"/>
  <c r="M440" i="7" s="1"/>
  <c r="M441" i="7" s="1"/>
  <c r="M442" i="7" s="1"/>
  <c r="M443" i="7" s="1"/>
  <c r="M444" i="7" s="1"/>
  <c r="M445" i="7" s="1"/>
  <c r="M446" i="7" s="1"/>
  <c r="M447" i="7" s="1"/>
  <c r="M448" i="7" s="1"/>
  <c r="M449" i="7" s="1"/>
  <c r="M450" i="7" s="1"/>
  <c r="M451" i="7" s="1"/>
  <c r="M452" i="7" s="1"/>
  <c r="M453" i="7" s="1"/>
  <c r="M454" i="7" s="1"/>
  <c r="M455" i="7" s="1"/>
  <c r="M456" i="7" s="1"/>
  <c r="M457" i="7" s="1"/>
  <c r="M458" i="7" s="1"/>
  <c r="M459" i="7" s="1"/>
  <c r="M460" i="7" s="1"/>
  <c r="M461" i="7" s="1"/>
  <c r="M462" i="7" s="1"/>
  <c r="M463" i="7" s="1"/>
  <c r="M464" i="7" s="1"/>
  <c r="M465" i="7" s="1"/>
  <c r="M466" i="7" s="1"/>
  <c r="M467" i="7" s="1"/>
  <c r="M468" i="7" s="1"/>
  <c r="M469" i="7" s="1"/>
  <c r="M470" i="7" s="1"/>
  <c r="M471" i="7" s="1"/>
  <c r="M472" i="7" s="1"/>
  <c r="M473" i="7" s="1"/>
  <c r="M474" i="7" s="1"/>
  <c r="M475" i="7" s="1"/>
  <c r="M476" i="7" s="1"/>
  <c r="M477" i="7" s="1"/>
  <c r="M478" i="7" s="1"/>
  <c r="M479" i="7" s="1"/>
  <c r="M480" i="7" s="1"/>
  <c r="M481" i="7" s="1"/>
  <c r="M482" i="7" s="1"/>
  <c r="M483" i="7" s="1"/>
  <c r="M484" i="7" s="1"/>
  <c r="M485" i="7" s="1"/>
  <c r="M486" i="7" s="1"/>
  <c r="M487" i="7" s="1"/>
  <c r="M488" i="7" s="1"/>
  <c r="M489" i="7" s="1"/>
  <c r="M490" i="7" s="1"/>
  <c r="M491" i="7" s="1"/>
  <c r="M492" i="7" s="1"/>
  <c r="M493" i="7" s="1"/>
  <c r="M494" i="7" s="1"/>
  <c r="M495" i="7" s="1"/>
  <c r="M496" i="7" s="1"/>
  <c r="M497" i="7" s="1"/>
  <c r="M498" i="7" s="1"/>
  <c r="M499" i="7" s="1"/>
  <c r="M500" i="7" s="1"/>
  <c r="M501" i="7" s="1"/>
  <c r="M502" i="7" s="1"/>
  <c r="M503" i="7" s="1"/>
  <c r="M504" i="7" s="1"/>
  <c r="M505" i="7" s="1"/>
  <c r="M506" i="7" s="1"/>
  <c r="M507" i="7" s="1"/>
  <c r="M508" i="7" s="1"/>
  <c r="M509" i="7" s="1"/>
  <c r="M510" i="7" s="1"/>
  <c r="M511" i="7" s="1"/>
  <c r="M512" i="7" s="1"/>
  <c r="M513" i="7" s="1"/>
  <c r="M514" i="7" s="1"/>
  <c r="M515" i="7" s="1"/>
  <c r="M516" i="7" s="1"/>
  <c r="M517" i="7" s="1"/>
  <c r="M518" i="7" s="1"/>
  <c r="M519" i="7" s="1"/>
  <c r="M520" i="7" s="1"/>
  <c r="M521" i="7" s="1"/>
  <c r="M522" i="7" s="1"/>
  <c r="M523" i="7" s="1"/>
  <c r="M524" i="7" s="1"/>
  <c r="M525" i="7" s="1"/>
  <c r="M526" i="7" s="1"/>
  <c r="M527" i="7" s="1"/>
  <c r="M528" i="7" s="1"/>
  <c r="M529" i="7" s="1"/>
  <c r="M530" i="7" s="1"/>
  <c r="M531" i="7" s="1"/>
  <c r="M532" i="7" s="1"/>
  <c r="M533" i="7" s="1"/>
  <c r="M534" i="7" s="1"/>
  <c r="M535" i="7" s="1"/>
  <c r="M536" i="7" s="1"/>
  <c r="M537" i="7" s="1"/>
  <c r="M538" i="7" s="1"/>
  <c r="M539" i="7" s="1"/>
  <c r="M540" i="7" s="1"/>
  <c r="M541" i="7" s="1"/>
  <c r="M542" i="7" s="1"/>
  <c r="M543" i="7" s="1"/>
  <c r="M544" i="7" s="1"/>
  <c r="M545" i="7" s="1"/>
  <c r="M546" i="7" s="1"/>
  <c r="M547" i="7" s="1"/>
  <c r="M548" i="7" s="1"/>
  <c r="M549" i="7" s="1"/>
  <c r="M550" i="7" s="1"/>
  <c r="M551" i="7" s="1"/>
  <c r="M552" i="7" s="1"/>
  <c r="M553" i="7" s="1"/>
  <c r="M554" i="7" s="1"/>
  <c r="M555" i="7" s="1"/>
  <c r="M556" i="7" s="1"/>
  <c r="M557" i="7" s="1"/>
  <c r="M558" i="7" s="1"/>
  <c r="M559" i="7" s="1"/>
  <c r="M560" i="7" s="1"/>
  <c r="M561" i="7" s="1"/>
  <c r="M562" i="7" s="1"/>
  <c r="M563" i="7" s="1"/>
  <c r="M564" i="7" s="1"/>
  <c r="M565" i="7" s="1"/>
  <c r="M566" i="7" s="1"/>
  <c r="M567" i="7" s="1"/>
  <c r="M568" i="7" s="1"/>
  <c r="M569" i="7" s="1"/>
  <c r="M570" i="7" s="1"/>
  <c r="M571" i="7" s="1"/>
  <c r="M572" i="7" s="1"/>
  <c r="M573" i="7" s="1"/>
  <c r="M574" i="7" s="1"/>
  <c r="M575" i="7" s="1"/>
  <c r="M576" i="7" s="1"/>
  <c r="M577" i="7" s="1"/>
  <c r="M578" i="7" s="1"/>
  <c r="M579" i="7" s="1"/>
  <c r="M580" i="7" s="1"/>
  <c r="M581" i="7" s="1"/>
  <c r="M582" i="7" s="1"/>
  <c r="M583" i="7" s="1"/>
  <c r="M584" i="7" s="1"/>
  <c r="M585" i="7" s="1"/>
  <c r="M586" i="7" s="1"/>
  <c r="M587" i="7" s="1"/>
  <c r="M588" i="7" s="1"/>
  <c r="M589" i="7" s="1"/>
  <c r="M590" i="7" s="1"/>
  <c r="M591" i="7" s="1"/>
  <c r="M592" i="7" s="1"/>
  <c r="M593" i="7" s="1"/>
  <c r="M594" i="7" s="1"/>
  <c r="M595" i="7" s="1"/>
  <c r="M596" i="7" s="1"/>
  <c r="M597" i="7" s="1"/>
  <c r="M598" i="7" s="1"/>
  <c r="M599" i="7" s="1"/>
  <c r="M600" i="7" s="1"/>
  <c r="M601" i="7" s="1"/>
  <c r="M602" i="7" s="1"/>
  <c r="M603" i="7" s="1"/>
  <c r="M604" i="7" s="1"/>
  <c r="M605" i="7" s="1"/>
  <c r="M606" i="7" s="1"/>
  <c r="M607" i="7" s="1"/>
  <c r="M608" i="7" s="1"/>
  <c r="M609" i="7" s="1"/>
  <c r="M610" i="7" s="1"/>
  <c r="M611" i="7" s="1"/>
  <c r="M612" i="7" s="1"/>
  <c r="M613" i="7" s="1"/>
  <c r="M614" i="7" s="1"/>
  <c r="M615" i="7" s="1"/>
  <c r="M616" i="7" s="1"/>
  <c r="M617" i="7" s="1"/>
  <c r="M618" i="7" s="1"/>
  <c r="M619" i="7" s="1"/>
  <c r="M620" i="7" s="1"/>
  <c r="M621" i="7" s="1"/>
  <c r="M622" i="7" s="1"/>
  <c r="M623" i="7" s="1"/>
  <c r="M624" i="7" s="1"/>
  <c r="M625" i="7" s="1"/>
  <c r="M626" i="7" s="1"/>
  <c r="M627" i="7" s="1"/>
  <c r="M628" i="7" s="1"/>
  <c r="M629" i="7" s="1"/>
  <c r="M630" i="7" s="1"/>
  <c r="M631" i="7" s="1"/>
  <c r="M632" i="7" s="1"/>
  <c r="M633" i="7" s="1"/>
  <c r="M634" i="7" s="1"/>
  <c r="M635" i="7" s="1"/>
  <c r="M636" i="7" s="1"/>
  <c r="M637" i="7" s="1"/>
  <c r="M638" i="7" s="1"/>
  <c r="M639" i="7" s="1"/>
  <c r="M640" i="7" s="1"/>
  <c r="M641" i="7" s="1"/>
  <c r="M642" i="7" s="1"/>
  <c r="M643" i="7" s="1"/>
  <c r="M644" i="7" s="1"/>
  <c r="M645" i="7" s="1"/>
  <c r="M646" i="7" s="1"/>
  <c r="M647" i="7" s="1"/>
  <c r="M648" i="7" s="1"/>
  <c r="M649" i="7" s="1"/>
  <c r="M650" i="7" s="1"/>
  <c r="M651" i="7" s="1"/>
  <c r="M652" i="7" s="1"/>
  <c r="M653" i="7" s="1"/>
  <c r="M654" i="7" s="1"/>
  <c r="M655" i="7" s="1"/>
  <c r="M656" i="7" s="1"/>
  <c r="M657" i="7" s="1"/>
  <c r="M658" i="7" s="1"/>
  <c r="M659" i="7" s="1"/>
  <c r="M660" i="7" s="1"/>
  <c r="M661" i="7" s="1"/>
  <c r="M662" i="7" s="1"/>
  <c r="M663" i="7" s="1"/>
  <c r="M664" i="7" s="1"/>
  <c r="M665" i="7" s="1"/>
  <c r="M666" i="7" s="1"/>
  <c r="M667" i="7" s="1"/>
  <c r="M668" i="7" s="1"/>
  <c r="M669" i="7" s="1"/>
  <c r="M670" i="7" s="1"/>
  <c r="M671" i="7" s="1"/>
  <c r="M672" i="7" s="1"/>
  <c r="M673" i="7" s="1"/>
  <c r="M674" i="7" s="1"/>
  <c r="M675" i="7" s="1"/>
  <c r="M676" i="7" s="1"/>
  <c r="M677" i="7" s="1"/>
  <c r="M678" i="7" s="1"/>
  <c r="M679" i="7" s="1"/>
  <c r="M680" i="7" s="1"/>
  <c r="M681" i="7" s="1"/>
  <c r="M682" i="7" s="1"/>
  <c r="M683" i="7" s="1"/>
  <c r="M684" i="7" s="1"/>
  <c r="M685" i="7" s="1"/>
  <c r="M686" i="7" s="1"/>
  <c r="M687" i="7" s="1"/>
  <c r="M688" i="7" s="1"/>
  <c r="M689" i="7" s="1"/>
  <c r="M690" i="7" s="1"/>
  <c r="M691" i="7" s="1"/>
  <c r="M692" i="7" s="1"/>
  <c r="M693" i="7" s="1"/>
  <c r="M694" i="7" s="1"/>
  <c r="M695" i="7" s="1"/>
  <c r="M696" i="7" s="1"/>
  <c r="M697" i="7" s="1"/>
  <c r="M698" i="7" s="1"/>
  <c r="M699" i="7" s="1"/>
  <c r="M700" i="7" s="1"/>
  <c r="M701" i="7" s="1"/>
  <c r="M702" i="7" s="1"/>
  <c r="M703" i="7" s="1"/>
  <c r="M704" i="7" s="1"/>
  <c r="M705" i="7" s="1"/>
  <c r="M706" i="7" s="1"/>
  <c r="M707" i="7" s="1"/>
  <c r="M708" i="7" s="1"/>
  <c r="M709" i="7" s="1"/>
  <c r="M710" i="7" s="1"/>
  <c r="M711" i="7" s="1"/>
  <c r="M712" i="7" s="1"/>
  <c r="M713" i="7" s="1"/>
  <c r="M714" i="7" s="1"/>
  <c r="M715" i="7" s="1"/>
  <c r="M716" i="7" s="1"/>
  <c r="M717" i="7" s="1"/>
  <c r="M718" i="7" s="1"/>
  <c r="M719" i="7" s="1"/>
  <c r="M720" i="7" s="1"/>
  <c r="M721" i="7" s="1"/>
  <c r="M722" i="7" s="1"/>
  <c r="M723" i="7" s="1"/>
  <c r="M724" i="7" s="1"/>
  <c r="M725" i="7" s="1"/>
  <c r="M726" i="7" s="1"/>
  <c r="M727" i="7" s="1"/>
  <c r="M728" i="7" s="1"/>
  <c r="M729" i="7" s="1"/>
  <c r="M730" i="7" s="1"/>
  <c r="M731" i="7" s="1"/>
  <c r="M732" i="7" s="1"/>
  <c r="M733" i="7" s="1"/>
  <c r="M734" i="7" s="1"/>
  <c r="M735" i="7" s="1"/>
  <c r="M736" i="7" s="1"/>
  <c r="M737" i="7" s="1"/>
  <c r="M738" i="7" s="1"/>
  <c r="M739" i="7" s="1"/>
  <c r="M740" i="7" s="1"/>
  <c r="M741" i="7" s="1"/>
  <c r="M742" i="7" s="1"/>
  <c r="M743" i="7" s="1"/>
  <c r="M744" i="7" s="1"/>
  <c r="M745" i="7" s="1"/>
  <c r="M746" i="7" s="1"/>
  <c r="M747" i="7" s="1"/>
  <c r="M748" i="7" s="1"/>
  <c r="M749" i="7" s="1"/>
  <c r="M750" i="7" s="1"/>
  <c r="M751" i="7" s="1"/>
  <c r="M752" i="7" s="1"/>
  <c r="M753" i="7" s="1"/>
  <c r="M754" i="7" s="1"/>
  <c r="M755" i="7" s="1"/>
  <c r="M756" i="7" s="1"/>
  <c r="M757" i="7" s="1"/>
  <c r="M758" i="7" s="1"/>
  <c r="M759" i="7" s="1"/>
  <c r="M760" i="7" s="1"/>
  <c r="M761" i="7" s="1"/>
  <c r="M762" i="7" s="1"/>
  <c r="M763" i="7" s="1"/>
  <c r="M764" i="7" s="1"/>
  <c r="M765" i="7" s="1"/>
  <c r="M766" i="7" s="1"/>
  <c r="M767" i="7" s="1"/>
  <c r="M768" i="7" s="1"/>
  <c r="M769" i="7" s="1"/>
  <c r="M770" i="7" s="1"/>
  <c r="M771" i="7" s="1"/>
  <c r="M772" i="7" s="1"/>
  <c r="M773" i="7" s="1"/>
  <c r="M774" i="7" s="1"/>
  <c r="M775" i="7" s="1"/>
  <c r="M776" i="7" s="1"/>
  <c r="M777" i="7" s="1"/>
  <c r="M778" i="7" s="1"/>
  <c r="M779" i="7" s="1"/>
  <c r="M780" i="7" s="1"/>
  <c r="M781" i="7" s="1"/>
  <c r="M782" i="7" s="1"/>
  <c r="M783" i="7" s="1"/>
  <c r="M784" i="7" s="1"/>
  <c r="M785" i="7" s="1"/>
  <c r="M786" i="7" s="1"/>
  <c r="M787" i="7" s="1"/>
  <c r="M788" i="7" s="1"/>
  <c r="M789" i="7" s="1"/>
  <c r="M790" i="7" s="1"/>
  <c r="M791" i="7" s="1"/>
  <c r="M792" i="7" s="1"/>
  <c r="M793" i="7" s="1"/>
  <c r="M794" i="7" s="1"/>
  <c r="M795" i="7" s="1"/>
  <c r="M796" i="7" s="1"/>
  <c r="M797" i="7" s="1"/>
  <c r="M798" i="7" s="1"/>
  <c r="M799" i="7" s="1"/>
  <c r="M800" i="7" s="1"/>
  <c r="M801" i="7" s="1"/>
  <c r="M802" i="7" s="1"/>
  <c r="M803" i="7" s="1"/>
  <c r="M804" i="7" s="1"/>
  <c r="M805" i="7" s="1"/>
  <c r="M806" i="7" s="1"/>
  <c r="M807" i="7" s="1"/>
  <c r="M808" i="7" s="1"/>
  <c r="M809" i="7" s="1"/>
  <c r="M810" i="7" s="1"/>
  <c r="M811" i="7" s="1"/>
  <c r="M812" i="7" s="1"/>
  <c r="M813" i="7" s="1"/>
  <c r="M814" i="7" s="1"/>
  <c r="M815" i="7" s="1"/>
  <c r="M816" i="7" s="1"/>
  <c r="M817" i="7" s="1"/>
  <c r="M818" i="7" s="1"/>
  <c r="M819" i="7" s="1"/>
  <c r="M820" i="7" s="1"/>
  <c r="M821" i="7" s="1"/>
  <c r="M822" i="7" s="1"/>
  <c r="M823" i="7" s="1"/>
  <c r="M824" i="7" s="1"/>
  <c r="M825" i="7" s="1"/>
  <c r="M826" i="7" s="1"/>
  <c r="M827" i="7" s="1"/>
  <c r="M828" i="7" s="1"/>
  <c r="M829" i="7" s="1"/>
  <c r="M830" i="7" s="1"/>
  <c r="M831" i="7" s="1"/>
  <c r="M832" i="7" s="1"/>
  <c r="M833" i="7" s="1"/>
  <c r="M834" i="7" s="1"/>
  <c r="M835" i="7" s="1"/>
  <c r="M836" i="7" s="1"/>
  <c r="M837" i="7" s="1"/>
  <c r="M838" i="7" s="1"/>
  <c r="M839" i="7" s="1"/>
  <c r="M840" i="7" s="1"/>
  <c r="M841" i="7" s="1"/>
  <c r="M842" i="7" s="1"/>
  <c r="M843" i="7" s="1"/>
  <c r="M844" i="7" s="1"/>
  <c r="M845" i="7" s="1"/>
  <c r="M846" i="7" s="1"/>
  <c r="M847" i="7" s="1"/>
  <c r="M848" i="7" s="1"/>
  <c r="M849" i="7" s="1"/>
  <c r="M850" i="7" s="1"/>
  <c r="M851" i="7" s="1"/>
  <c r="M852" i="7" s="1"/>
  <c r="M853" i="7" s="1"/>
  <c r="M854" i="7" s="1"/>
  <c r="M855" i="7" s="1"/>
  <c r="M856" i="7" s="1"/>
  <c r="M857" i="7" s="1"/>
  <c r="M858" i="7" s="1"/>
  <c r="M859" i="7" s="1"/>
  <c r="M860" i="7" s="1"/>
  <c r="M861" i="7" s="1"/>
  <c r="M862" i="7" s="1"/>
  <c r="M863" i="7" s="1"/>
  <c r="M864" i="7" s="1"/>
  <c r="M865" i="7" s="1"/>
  <c r="M866" i="7" s="1"/>
  <c r="M867" i="7" s="1"/>
  <c r="M868" i="7" s="1"/>
  <c r="M869" i="7" s="1"/>
  <c r="M870" i="7" s="1"/>
  <c r="M871" i="7" s="1"/>
  <c r="M872" i="7" s="1"/>
  <c r="M873" i="7" s="1"/>
  <c r="M874" i="7" s="1"/>
  <c r="M875" i="7" s="1"/>
  <c r="M876" i="7" s="1"/>
  <c r="M877" i="7" s="1"/>
  <c r="M878" i="7" s="1"/>
  <c r="M879" i="7" s="1"/>
  <c r="M880" i="7" s="1"/>
  <c r="M881" i="7" s="1"/>
  <c r="M882" i="7" s="1"/>
  <c r="M883" i="7" s="1"/>
  <c r="M884" i="7" s="1"/>
  <c r="M885" i="7" s="1"/>
  <c r="M886" i="7" s="1"/>
  <c r="M887" i="7" s="1"/>
  <c r="M888" i="7" s="1"/>
  <c r="M889" i="7" s="1"/>
  <c r="M890" i="7" s="1"/>
  <c r="M891" i="7" s="1"/>
  <c r="M892" i="7" s="1"/>
  <c r="M893" i="7" s="1"/>
  <c r="M894" i="7" s="1"/>
  <c r="M895" i="7" s="1"/>
  <c r="M896" i="7" s="1"/>
  <c r="M897" i="7" s="1"/>
  <c r="M898" i="7" s="1"/>
  <c r="M899" i="7" s="1"/>
  <c r="M900" i="7" s="1"/>
  <c r="M901" i="7" s="1"/>
  <c r="M902" i="7" s="1"/>
  <c r="M903" i="7" s="1"/>
  <c r="M904" i="7" s="1"/>
  <c r="M905" i="7" s="1"/>
  <c r="M906" i="7" s="1"/>
  <c r="M907" i="7" s="1"/>
  <c r="M908" i="7" s="1"/>
  <c r="M909" i="7" s="1"/>
  <c r="M910" i="7" s="1"/>
  <c r="M911" i="7" s="1"/>
  <c r="M912" i="7" s="1"/>
  <c r="M913" i="7" s="1"/>
  <c r="M914" i="7" s="1"/>
  <c r="M915" i="7" s="1"/>
  <c r="M916" i="7" s="1"/>
  <c r="M917" i="7" s="1"/>
  <c r="M918" i="7" s="1"/>
  <c r="M919" i="7" s="1"/>
  <c r="M920" i="7" s="1"/>
  <c r="M921" i="7" s="1"/>
  <c r="M922" i="7" s="1"/>
  <c r="M923" i="7" s="1"/>
  <c r="M924" i="7" s="1"/>
  <c r="M925" i="7" s="1"/>
  <c r="M926" i="7" s="1"/>
  <c r="M927" i="7" s="1"/>
  <c r="M928" i="7" s="1"/>
  <c r="M929" i="7" s="1"/>
  <c r="M930" i="7" s="1"/>
  <c r="M931" i="7" s="1"/>
  <c r="M932" i="7" s="1"/>
  <c r="M933" i="7" s="1"/>
  <c r="M934" i="7" s="1"/>
  <c r="M935" i="7" s="1"/>
  <c r="M936" i="7" s="1"/>
  <c r="M937" i="7" s="1"/>
  <c r="M938" i="7" s="1"/>
  <c r="M939" i="7" s="1"/>
  <c r="M940" i="7" s="1"/>
  <c r="M941" i="7" s="1"/>
  <c r="M942" i="7" s="1"/>
  <c r="M943" i="7" s="1"/>
  <c r="M944" i="7" s="1"/>
  <c r="M945" i="7" s="1"/>
  <c r="M946" i="7" s="1"/>
  <c r="M947" i="7" s="1"/>
  <c r="M948" i="7" s="1"/>
  <c r="M949" i="7" s="1"/>
  <c r="M950" i="7" s="1"/>
  <c r="M951" i="7" s="1"/>
  <c r="M952" i="7" s="1"/>
  <c r="M953" i="7" s="1"/>
  <c r="M954" i="7" s="1"/>
  <c r="M955" i="7" s="1"/>
  <c r="M956" i="7" s="1"/>
  <c r="M957" i="7" s="1"/>
  <c r="M958" i="7" s="1"/>
  <c r="M959" i="7" s="1"/>
  <c r="M960" i="7" s="1"/>
  <c r="M961" i="7" s="1"/>
  <c r="M962" i="7" s="1"/>
  <c r="M963" i="7" s="1"/>
  <c r="M964" i="7" s="1"/>
  <c r="M965" i="7" s="1"/>
  <c r="M966" i="7" s="1"/>
  <c r="M967" i="7" s="1"/>
  <c r="M968" i="7" s="1"/>
  <c r="M969" i="7" s="1"/>
  <c r="M970" i="7" s="1"/>
  <c r="M971" i="7" s="1"/>
  <c r="M972" i="7" s="1"/>
  <c r="M973" i="7" s="1"/>
  <c r="M974" i="7" s="1"/>
  <c r="M975" i="7" s="1"/>
  <c r="M976" i="7" s="1"/>
  <c r="M977" i="7" s="1"/>
  <c r="M978" i="7" s="1"/>
  <c r="M979" i="7" s="1"/>
  <c r="M980" i="7" s="1"/>
  <c r="M981" i="7" s="1"/>
  <c r="M982" i="7" s="1"/>
  <c r="M983" i="7" s="1"/>
  <c r="M984" i="7" s="1"/>
  <c r="M985" i="7" s="1"/>
  <c r="M986" i="7" s="1"/>
  <c r="M987" i="7" s="1"/>
  <c r="M988" i="7" s="1"/>
  <c r="M989" i="7" s="1"/>
  <c r="M990" i="7" s="1"/>
  <c r="M991" i="7" s="1"/>
  <c r="M992" i="7" s="1"/>
  <c r="M993" i="7" s="1"/>
  <c r="M994" i="7" s="1"/>
  <c r="M995" i="7" s="1"/>
  <c r="M996" i="7" s="1"/>
  <c r="M997" i="7" s="1"/>
  <c r="M998" i="7" s="1"/>
  <c r="M999" i="7" s="1"/>
  <c r="M1000" i="7" s="1"/>
  <c r="M1001" i="7" s="1"/>
  <c r="M1002" i="7" s="1"/>
  <c r="M1003" i="7" s="1"/>
  <c r="M1004" i="7" s="1"/>
  <c r="M1005" i="7" s="1"/>
  <c r="M1006" i="7" s="1"/>
  <c r="M1007" i="7" s="1"/>
  <c r="M1008" i="7" s="1"/>
  <c r="M1009" i="7" s="1"/>
  <c r="M1010" i="7" s="1"/>
  <c r="M1011" i="7" s="1"/>
  <c r="M1012" i="7" s="1"/>
  <c r="M1013" i="7" s="1"/>
  <c r="M1014" i="7" s="1"/>
  <c r="M1015" i="7" s="1"/>
  <c r="M1016" i="7" s="1"/>
  <c r="M1017" i="7" s="1"/>
  <c r="M1018" i="7" s="1"/>
  <c r="M1019" i="7" s="1"/>
  <c r="M1020" i="7" s="1"/>
  <c r="M1021" i="7" s="1"/>
  <c r="M1022" i="7" s="1"/>
  <c r="M1023" i="7" s="1"/>
  <c r="M1024" i="7" s="1"/>
  <c r="M1025" i="7" s="1"/>
  <c r="M1026" i="7" s="1"/>
  <c r="M1027" i="7" s="1"/>
  <c r="M1028" i="7" s="1"/>
  <c r="M1029" i="7" s="1"/>
  <c r="M1030" i="7" s="1"/>
  <c r="M1031" i="7" s="1"/>
  <c r="M1032" i="7" s="1"/>
  <c r="M1033" i="7" s="1"/>
  <c r="M1034" i="7" s="1"/>
  <c r="M1035" i="7" s="1"/>
  <c r="M1036" i="7" s="1"/>
  <c r="M1037" i="7" s="1"/>
  <c r="M1038" i="7" s="1"/>
  <c r="M1039" i="7" s="1"/>
  <c r="M1040" i="7" s="1"/>
  <c r="M1041" i="7" s="1"/>
  <c r="M1042" i="7" s="1"/>
  <c r="M1043" i="7" s="1"/>
  <c r="M1044" i="7" s="1"/>
  <c r="M1045" i="7" s="1"/>
  <c r="M1046" i="7" s="1"/>
  <c r="M1047" i="7" s="1"/>
  <c r="M1048" i="7" s="1"/>
  <c r="M1049" i="7" s="1"/>
  <c r="M1050" i="7" s="1"/>
  <c r="M1051" i="7" s="1"/>
  <c r="M1052" i="7" s="1"/>
  <c r="M1053" i="7" s="1"/>
  <c r="M1054" i="7" s="1"/>
  <c r="M1055" i="7" s="1"/>
  <c r="M1056" i="7" s="1"/>
  <c r="M1057" i="7" s="1"/>
  <c r="M1058" i="7" s="1"/>
  <c r="M1059" i="7" s="1"/>
  <c r="M1060" i="7" s="1"/>
  <c r="M1061" i="7" s="1"/>
  <c r="M1062" i="7" s="1"/>
  <c r="M1063" i="7" s="1"/>
  <c r="M1064" i="7" s="1"/>
  <c r="M1065" i="7" s="1"/>
  <c r="M1066" i="7" s="1"/>
  <c r="M1067" i="7" s="1"/>
  <c r="M1068" i="7" s="1"/>
  <c r="M1069" i="7" s="1"/>
  <c r="M1070" i="7" s="1"/>
  <c r="M1071" i="7" s="1"/>
  <c r="M1072" i="7" s="1"/>
  <c r="M1073" i="7" s="1"/>
  <c r="M1074" i="7" s="1"/>
  <c r="M1075" i="7" s="1"/>
  <c r="M1076" i="7" s="1"/>
  <c r="M1077" i="7" s="1"/>
  <c r="M1078" i="7" s="1"/>
  <c r="M1079" i="7" s="1"/>
  <c r="M1080" i="7" s="1"/>
  <c r="M1081" i="7" s="1"/>
  <c r="M1082" i="7" s="1"/>
  <c r="M1083" i="7" s="1"/>
  <c r="M1084" i="7" s="1"/>
  <c r="M1085" i="7" s="1"/>
  <c r="M1086" i="7" s="1"/>
  <c r="M1087" i="7" s="1"/>
  <c r="M1088" i="7" s="1"/>
  <c r="M1089" i="7" s="1"/>
  <c r="M1090" i="7" s="1"/>
  <c r="M1091" i="7" s="1"/>
  <c r="M1092" i="7" s="1"/>
  <c r="M1093" i="7" s="1"/>
  <c r="M1094" i="7" s="1"/>
  <c r="M1095" i="7" s="1"/>
  <c r="M1096" i="7" s="1"/>
  <c r="M1097" i="7" s="1"/>
  <c r="M1098" i="7" s="1"/>
  <c r="M1099" i="7" s="1"/>
  <c r="M1100" i="7" s="1"/>
  <c r="M1101" i="7" s="1"/>
  <c r="M1102" i="7" s="1"/>
  <c r="M1103" i="7" s="1"/>
  <c r="M1104" i="7" s="1"/>
  <c r="M1105" i="7" s="1"/>
  <c r="M1106" i="7" s="1"/>
  <c r="M1107" i="7" s="1"/>
  <c r="M1108" i="7" s="1"/>
  <c r="M1109" i="7" s="1"/>
  <c r="M1110" i="7" s="1"/>
  <c r="M1111" i="7" s="1"/>
  <c r="M1112" i="7" s="1"/>
  <c r="M1113" i="7" s="1"/>
  <c r="M1114" i="7" s="1"/>
  <c r="M1115" i="7" s="1"/>
  <c r="M1116" i="7" s="1"/>
  <c r="M1117" i="7" s="1"/>
  <c r="M1118" i="7" s="1"/>
  <c r="M1119" i="7" s="1"/>
  <c r="M1120" i="7" s="1"/>
  <c r="M1121" i="7" s="1"/>
  <c r="M1122" i="7" s="1"/>
  <c r="M1123" i="7" s="1"/>
  <c r="M1124" i="7" s="1"/>
  <c r="M1125" i="7" s="1"/>
  <c r="M1126" i="7" s="1"/>
  <c r="M1127" i="7" s="1"/>
  <c r="M1128" i="7" s="1"/>
  <c r="M1129" i="7" s="1"/>
  <c r="M1130" i="7" s="1"/>
  <c r="M1131" i="7" s="1"/>
  <c r="M1132" i="7" s="1"/>
  <c r="M1133" i="7" s="1"/>
  <c r="M1134" i="7" s="1"/>
  <c r="M1135" i="7" s="1"/>
  <c r="M1136" i="7" s="1"/>
  <c r="M1137" i="7" s="1"/>
  <c r="M1138" i="7" s="1"/>
  <c r="M1139" i="7" s="1"/>
  <c r="M1140" i="7" s="1"/>
  <c r="M1141" i="7" s="1"/>
  <c r="M1142" i="7" s="1"/>
  <c r="M1143" i="7" s="1"/>
  <c r="M1144" i="7" s="1"/>
  <c r="M1145" i="7" s="1"/>
  <c r="M1146" i="7" s="1"/>
  <c r="M1147" i="7" s="1"/>
  <c r="M1148" i="7" s="1"/>
  <c r="M1149" i="7" s="1"/>
  <c r="M1150" i="7" s="1"/>
  <c r="M1151" i="7" s="1"/>
  <c r="M1152" i="7" s="1"/>
  <c r="M1153" i="7" s="1"/>
  <c r="M1154" i="7" s="1"/>
  <c r="M1155" i="7" s="1"/>
  <c r="M1156" i="7" s="1"/>
  <c r="M1157" i="7" s="1"/>
  <c r="M1158" i="7" s="1"/>
  <c r="M1159" i="7" s="1"/>
  <c r="M1160" i="7" s="1"/>
  <c r="M1161" i="7" s="1"/>
  <c r="M1162" i="7" s="1"/>
  <c r="M1163" i="7" s="1"/>
  <c r="M1164" i="7" s="1"/>
  <c r="M1165" i="7" s="1"/>
  <c r="M1166" i="7" s="1"/>
  <c r="M1167" i="7" s="1"/>
  <c r="M1168" i="7" s="1"/>
  <c r="M1169" i="7" s="1"/>
  <c r="M1170" i="7" s="1"/>
  <c r="M1171" i="7" s="1"/>
  <c r="M1172" i="7" s="1"/>
  <c r="M1173" i="7" s="1"/>
  <c r="M1174" i="7" s="1"/>
  <c r="M1175" i="7" s="1"/>
  <c r="M1176" i="7" s="1"/>
  <c r="M1177" i="7" s="1"/>
  <c r="M1178" i="7" s="1"/>
  <c r="M1179" i="7" s="1"/>
  <c r="M1180" i="7" s="1"/>
  <c r="M1181" i="7" s="1"/>
  <c r="M1182" i="7" s="1"/>
  <c r="M1183" i="7" s="1"/>
  <c r="M1184" i="7" s="1"/>
  <c r="M1185" i="7" s="1"/>
  <c r="M1186" i="7" s="1"/>
  <c r="M1187" i="7" s="1"/>
  <c r="M1188" i="7" s="1"/>
  <c r="M1189" i="7" s="1"/>
  <c r="M1190" i="7" s="1"/>
  <c r="M1191" i="7" s="1"/>
  <c r="M1192" i="7" s="1"/>
  <c r="M1193" i="7" s="1"/>
  <c r="M1194" i="7" s="1"/>
  <c r="M1195" i="7" s="1"/>
  <c r="M1196" i="7" s="1"/>
  <c r="M1197" i="7" s="1"/>
  <c r="M1198" i="7" s="1"/>
  <c r="M1199" i="7" s="1"/>
  <c r="M1200" i="7" s="1"/>
  <c r="M1201" i="7" s="1"/>
  <c r="M1202" i="7" s="1"/>
  <c r="M1203" i="7" s="1"/>
  <c r="M1204" i="7" s="1"/>
  <c r="M1205" i="7" s="1"/>
  <c r="M1206" i="7" s="1"/>
  <c r="M1207" i="7" s="1"/>
  <c r="M1208" i="7" s="1"/>
  <c r="M1209" i="7" s="1"/>
  <c r="M1210" i="7" s="1"/>
  <c r="M1211" i="7" s="1"/>
  <c r="M1212" i="7" s="1"/>
  <c r="M1213" i="7" s="1"/>
  <c r="M1214" i="7" s="1"/>
  <c r="M1215" i="7" s="1"/>
  <c r="M1216" i="7" s="1"/>
  <c r="M1217" i="7" s="1"/>
  <c r="M1218" i="7" s="1"/>
  <c r="M1219" i="7" s="1"/>
  <c r="M1220" i="7" s="1"/>
  <c r="M1221" i="7" s="1"/>
  <c r="M1222" i="7" s="1"/>
  <c r="M1223" i="7" s="1"/>
  <c r="M1224" i="7" s="1"/>
  <c r="M1225" i="7" s="1"/>
  <c r="M1226" i="7" s="1"/>
  <c r="M1227" i="7" s="1"/>
  <c r="M1228" i="7" s="1"/>
  <c r="M1229" i="7" s="1"/>
  <c r="M1230" i="7" s="1"/>
  <c r="M1231" i="7" s="1"/>
  <c r="M1232" i="7" s="1"/>
  <c r="M1233" i="7" s="1"/>
  <c r="M1234" i="7" s="1"/>
  <c r="M1235" i="7" s="1"/>
  <c r="M1236" i="7" s="1"/>
  <c r="M1237" i="7" s="1"/>
  <c r="M1238" i="7" s="1"/>
  <c r="M1239" i="7" s="1"/>
  <c r="M1240" i="7" s="1"/>
  <c r="M1241" i="7" s="1"/>
  <c r="M1242" i="7" s="1"/>
  <c r="M1243" i="7" s="1"/>
  <c r="M1244" i="7" s="1"/>
  <c r="M1245" i="7" s="1"/>
  <c r="M1246" i="7" s="1"/>
  <c r="M1247" i="7" s="1"/>
  <c r="M1248" i="7" s="1"/>
  <c r="M1249" i="7" s="1"/>
  <c r="M1250" i="7" s="1"/>
  <c r="M1251" i="7" s="1"/>
  <c r="M1252" i="7" s="1"/>
  <c r="M1253" i="7" s="1"/>
  <c r="M1254" i="7" s="1"/>
  <c r="M1255" i="7" s="1"/>
  <c r="M1256" i="7" s="1"/>
  <c r="M1257" i="7" s="1"/>
  <c r="M1258" i="7" s="1"/>
  <c r="M1259" i="7" s="1"/>
  <c r="M1260" i="7" s="1"/>
  <c r="M1261" i="7" s="1"/>
  <c r="M1262" i="7" s="1"/>
  <c r="M1263" i="7" s="1"/>
  <c r="M1264" i="7" s="1"/>
  <c r="M1265" i="7" s="1"/>
  <c r="M1266" i="7" s="1"/>
  <c r="M1267" i="7" s="1"/>
  <c r="M1268" i="7" s="1"/>
  <c r="M1269" i="7" s="1"/>
  <c r="M1270" i="7" s="1"/>
  <c r="M1271" i="7" s="1"/>
  <c r="M1272" i="7" s="1"/>
  <c r="M1273" i="7" s="1"/>
  <c r="M1274" i="7" s="1"/>
  <c r="M1275" i="7" s="1"/>
  <c r="M1276" i="7" s="1"/>
  <c r="M1277" i="7" s="1"/>
  <c r="M1278" i="7" s="1"/>
  <c r="M1279" i="7" s="1"/>
  <c r="M1280" i="7" s="1"/>
  <c r="M1281" i="7" s="1"/>
  <c r="M1282" i="7" s="1"/>
  <c r="M1283" i="7" s="1"/>
  <c r="M1284" i="7" s="1"/>
  <c r="M1285" i="7" s="1"/>
  <c r="M1286" i="7" s="1"/>
  <c r="M1287" i="7" s="1"/>
  <c r="M1288" i="7" s="1"/>
  <c r="M1289" i="7" s="1"/>
  <c r="M1290" i="7" s="1"/>
  <c r="M1291" i="7" s="1"/>
  <c r="M1292" i="7" s="1"/>
  <c r="M1293" i="7" s="1"/>
  <c r="M1294" i="7" s="1"/>
  <c r="M1295" i="7" s="1"/>
  <c r="M1296" i="7" s="1"/>
  <c r="M1297" i="7" s="1"/>
  <c r="M1298" i="7" s="1"/>
  <c r="M1299" i="7" s="1"/>
  <c r="M1300" i="7" s="1"/>
  <c r="M1301" i="7" s="1"/>
  <c r="M1302" i="7" s="1"/>
  <c r="M1303" i="7" s="1"/>
  <c r="M1304" i="7" s="1"/>
  <c r="M1305" i="7" s="1"/>
  <c r="M1306" i="7" s="1"/>
  <c r="M1307" i="7" s="1"/>
  <c r="M1308" i="7" s="1"/>
  <c r="M1309" i="7" s="1"/>
  <c r="M1310" i="7" s="1"/>
  <c r="M1311" i="7" s="1"/>
  <c r="M1312" i="7" s="1"/>
  <c r="M1313" i="7" s="1"/>
  <c r="M1314" i="7" s="1"/>
  <c r="M1315" i="7" s="1"/>
  <c r="M1316" i="7" s="1"/>
  <c r="M1317" i="7" s="1"/>
  <c r="M1318" i="7" s="1"/>
  <c r="M1319" i="7" s="1"/>
  <c r="M1320" i="7" s="1"/>
  <c r="M1321" i="7" s="1"/>
  <c r="M1322" i="7" s="1"/>
  <c r="M1323" i="7" s="1"/>
  <c r="M1324" i="7" s="1"/>
  <c r="M1325" i="7" s="1"/>
  <c r="M1326" i="7" s="1"/>
  <c r="M1327" i="7" s="1"/>
  <c r="M1328" i="7" s="1"/>
  <c r="M1329" i="7" s="1"/>
  <c r="M1330" i="7" s="1"/>
  <c r="M1331" i="7" s="1"/>
  <c r="M1332" i="7" s="1"/>
  <c r="M1333" i="7" s="1"/>
  <c r="M1334" i="7" s="1"/>
  <c r="M1335" i="7" s="1"/>
  <c r="M1336" i="7" s="1"/>
  <c r="M1337" i="7" s="1"/>
  <c r="M1338" i="7" s="1"/>
  <c r="M1339" i="7" s="1"/>
  <c r="M1340" i="7" s="1"/>
  <c r="M1341" i="7" s="1"/>
  <c r="M1342" i="7" s="1"/>
  <c r="M1343" i="7" s="1"/>
  <c r="M1344" i="7" s="1"/>
  <c r="M1345" i="7" s="1"/>
  <c r="M1346" i="7" s="1"/>
  <c r="M1347" i="7" s="1"/>
  <c r="M1348" i="7" s="1"/>
  <c r="M1349" i="7" s="1"/>
  <c r="M1350" i="7" s="1"/>
  <c r="M1351" i="7" s="1"/>
  <c r="M1352" i="7" s="1"/>
  <c r="M1353" i="7" s="1"/>
  <c r="M1354" i="7" s="1"/>
  <c r="M1355" i="7" s="1"/>
  <c r="M1356" i="7" s="1"/>
  <c r="M1357" i="7" s="1"/>
  <c r="M1358" i="7" s="1"/>
  <c r="M1359" i="7" s="1"/>
  <c r="M1360" i="7" s="1"/>
  <c r="M1361" i="7" s="1"/>
  <c r="M1362" i="7" s="1"/>
  <c r="M1363" i="7" s="1"/>
  <c r="M1364" i="7" s="1"/>
  <c r="M1365" i="7" s="1"/>
  <c r="M1366" i="7" s="1"/>
  <c r="M1367" i="7" s="1"/>
  <c r="M1368" i="7" s="1"/>
  <c r="M1369" i="7" s="1"/>
  <c r="M1370" i="7" s="1"/>
  <c r="M1371" i="7" s="1"/>
  <c r="M1372" i="7" s="1"/>
  <c r="M1373" i="7" s="1"/>
  <c r="M1374" i="7" s="1"/>
  <c r="M1375" i="7" s="1"/>
  <c r="M1376" i="7" s="1"/>
  <c r="M1377" i="7" s="1"/>
  <c r="M1378" i="7" s="1"/>
  <c r="M1379" i="7" s="1"/>
  <c r="M1380" i="7" s="1"/>
  <c r="M1381" i="7" s="1"/>
  <c r="M1382" i="7" s="1"/>
  <c r="M1383" i="7" s="1"/>
  <c r="M1384" i="7" s="1"/>
  <c r="M1385" i="7" s="1"/>
  <c r="M1386" i="7" s="1"/>
  <c r="M1387" i="7" s="1"/>
  <c r="M1388" i="7" s="1"/>
  <c r="M1389" i="7" s="1"/>
  <c r="M1390" i="7" s="1"/>
  <c r="M1391" i="7" s="1"/>
  <c r="M1392" i="7" s="1"/>
  <c r="M1393" i="7" s="1"/>
  <c r="M1394" i="7" s="1"/>
  <c r="M1395" i="7" s="1"/>
  <c r="M1396" i="7" s="1"/>
  <c r="M1397" i="7" s="1"/>
  <c r="M1398" i="7" s="1"/>
  <c r="M1399" i="7" s="1"/>
  <c r="M1400" i="7" s="1"/>
  <c r="M1401" i="7" s="1"/>
  <c r="M1402" i="7" s="1"/>
  <c r="M1403" i="7" s="1"/>
  <c r="M1404" i="7" s="1"/>
  <c r="M1405" i="7" s="1"/>
  <c r="M1406" i="7" s="1"/>
  <c r="M1407" i="7" s="1"/>
  <c r="M1408" i="7" s="1"/>
  <c r="M1409" i="7" s="1"/>
  <c r="M1410" i="7" s="1"/>
  <c r="M1411" i="7" s="1"/>
  <c r="M1412" i="7" s="1"/>
  <c r="M1413" i="7" s="1"/>
  <c r="M1414" i="7" s="1"/>
  <c r="M1415" i="7" s="1"/>
  <c r="M1416" i="7" s="1"/>
  <c r="M1417" i="7" s="1"/>
  <c r="M1418" i="7" s="1"/>
  <c r="M1419" i="7" s="1"/>
  <c r="M1420" i="7" s="1"/>
  <c r="M1421" i="7" s="1"/>
  <c r="M1422" i="7" s="1"/>
  <c r="M1423" i="7" s="1"/>
  <c r="M1424" i="7" s="1"/>
  <c r="M1425" i="7" s="1"/>
  <c r="M1426" i="7" s="1"/>
  <c r="M1427" i="7" s="1"/>
  <c r="M1428" i="7" s="1"/>
  <c r="M1429" i="7" s="1"/>
  <c r="M1430" i="7" s="1"/>
  <c r="M1431" i="7" s="1"/>
  <c r="M1432" i="7" s="1"/>
  <c r="M1433" i="7" s="1"/>
  <c r="M1434" i="7" s="1"/>
  <c r="M1435" i="7" s="1"/>
  <c r="M1436" i="7" s="1"/>
  <c r="M1437" i="7" s="1"/>
  <c r="M1438" i="7" s="1"/>
  <c r="M1439" i="7" s="1"/>
  <c r="M1440" i="7" s="1"/>
  <c r="M1441" i="7" s="1"/>
  <c r="M1442" i="7" s="1"/>
  <c r="M1443" i="7" s="1"/>
  <c r="M1444" i="7" s="1"/>
  <c r="M1445" i="7" s="1"/>
  <c r="M1446" i="7" s="1"/>
  <c r="M1447" i="7" s="1"/>
  <c r="M1448" i="7" s="1"/>
  <c r="M1449" i="7" s="1"/>
  <c r="M1450" i="7" s="1"/>
  <c r="M1451" i="7" s="1"/>
  <c r="M1452" i="7" s="1"/>
  <c r="M1453" i="7" s="1"/>
  <c r="M1454" i="7" s="1"/>
  <c r="M1455" i="7" s="1"/>
  <c r="M1456" i="7" s="1"/>
  <c r="M1457" i="7" s="1"/>
  <c r="M1458" i="7" s="1"/>
  <c r="M1459" i="7" s="1"/>
  <c r="M1460" i="7" s="1"/>
  <c r="M1461" i="7" s="1"/>
  <c r="M1462" i="7" s="1"/>
  <c r="M1463" i="7" s="1"/>
  <c r="M1464" i="7" s="1"/>
  <c r="M1465" i="7" s="1"/>
  <c r="M1466" i="7" s="1"/>
  <c r="M1467" i="7" s="1"/>
  <c r="M1468" i="7" s="1"/>
  <c r="M1469" i="7" s="1"/>
  <c r="M1470" i="7" s="1"/>
  <c r="M1471" i="7" s="1"/>
  <c r="M1472" i="7" s="1"/>
  <c r="M1473" i="7" s="1"/>
  <c r="M1474" i="7" s="1"/>
  <c r="M1475" i="7" s="1"/>
  <c r="M1476" i="7" s="1"/>
  <c r="M1477" i="7" s="1"/>
  <c r="M1478" i="7" s="1"/>
  <c r="M1479" i="7" s="1"/>
  <c r="M1480" i="7" s="1"/>
  <c r="M1481" i="7" s="1"/>
  <c r="M1482" i="7" s="1"/>
  <c r="M1483" i="7" s="1"/>
  <c r="M1484" i="7" s="1"/>
  <c r="M1485" i="7" s="1"/>
  <c r="M1486" i="7" s="1"/>
  <c r="M1487" i="7" s="1"/>
  <c r="M1488" i="7" s="1"/>
  <c r="M1489" i="7" s="1"/>
  <c r="M1490" i="7" s="1"/>
  <c r="M1491" i="7" s="1"/>
  <c r="M1492" i="7" s="1"/>
  <c r="M1493" i="7" s="1"/>
  <c r="M1494" i="7" s="1"/>
  <c r="M1495" i="7" s="1"/>
  <c r="M1496" i="7" s="1"/>
  <c r="M1497" i="7" s="1"/>
  <c r="M1498" i="7" s="1"/>
  <c r="M1499" i="7" s="1"/>
  <c r="M1500" i="7" s="1"/>
  <c r="M1501" i="7" s="1"/>
  <c r="M1502" i="7" s="1"/>
  <c r="M1503" i="7" s="1"/>
  <c r="M1504" i="7" s="1"/>
  <c r="M1505" i="7" s="1"/>
  <c r="M1506" i="7" s="1"/>
  <c r="M1507" i="7" s="1"/>
  <c r="M1508" i="7" s="1"/>
  <c r="M1509" i="7" s="1"/>
  <c r="M1510" i="7" s="1"/>
  <c r="M1511" i="7" s="1"/>
  <c r="M1512" i="7" s="1"/>
  <c r="M1513" i="7" s="1"/>
  <c r="M1514" i="7" s="1"/>
  <c r="M1515" i="7" s="1"/>
  <c r="M1516" i="7" s="1"/>
  <c r="M1517" i="7" s="1"/>
  <c r="M1518" i="7" s="1"/>
  <c r="M1519" i="7" s="1"/>
  <c r="M1520" i="7" s="1"/>
  <c r="M1521" i="7" s="1"/>
  <c r="M1522" i="7" s="1"/>
  <c r="M1523" i="7" s="1"/>
  <c r="M1524" i="7" s="1"/>
  <c r="M1525" i="7" s="1"/>
  <c r="M1526" i="7" s="1"/>
  <c r="M1527" i="7" s="1"/>
  <c r="M1528" i="7" s="1"/>
  <c r="M1529" i="7" s="1"/>
  <c r="M1530" i="7" s="1"/>
  <c r="M1531" i="7" s="1"/>
  <c r="M1532" i="7" s="1"/>
  <c r="M1533" i="7" s="1"/>
  <c r="M1534" i="7" s="1"/>
  <c r="M1535" i="7" s="1"/>
  <c r="M1536" i="7" s="1"/>
  <c r="M1537" i="7" s="1"/>
  <c r="M1538" i="7" s="1"/>
  <c r="M1539" i="7" s="1"/>
  <c r="M1540" i="7" s="1"/>
  <c r="M1541" i="7" s="1"/>
  <c r="M1542" i="7" s="1"/>
  <c r="M1543" i="7" s="1"/>
  <c r="M1544" i="7" s="1"/>
  <c r="M1545" i="7" s="1"/>
  <c r="M1546" i="7" s="1"/>
  <c r="M1547" i="7" s="1"/>
  <c r="M1548" i="7" s="1"/>
  <c r="M1549" i="7" s="1"/>
  <c r="M1550" i="7" s="1"/>
  <c r="M1551" i="7" s="1"/>
  <c r="M1552" i="7" s="1"/>
  <c r="M1553" i="7" s="1"/>
  <c r="M1554" i="7" s="1"/>
  <c r="M1555" i="7" s="1"/>
  <c r="M1556" i="7" s="1"/>
  <c r="M1557" i="7" s="1"/>
  <c r="M1558" i="7" s="1"/>
  <c r="M1559" i="7" s="1"/>
  <c r="M1560" i="7" s="1"/>
  <c r="M1561" i="7" s="1"/>
  <c r="M1562" i="7" s="1"/>
  <c r="M1563" i="7" s="1"/>
  <c r="M1564" i="7" s="1"/>
  <c r="M1565" i="7" s="1"/>
  <c r="M1566" i="7" s="1"/>
  <c r="M1567" i="7" s="1"/>
  <c r="M1568" i="7" s="1"/>
  <c r="M1569" i="7" s="1"/>
  <c r="M1570" i="7" s="1"/>
  <c r="M1571" i="7" s="1"/>
  <c r="M1572" i="7" s="1"/>
  <c r="M1573" i="7" s="1"/>
  <c r="M1574" i="7" s="1"/>
  <c r="M1575" i="7" s="1"/>
  <c r="M1576" i="7" s="1"/>
  <c r="M1577" i="7" s="1"/>
  <c r="M1578" i="7" s="1"/>
  <c r="M1579" i="7" s="1"/>
  <c r="M1580" i="7" s="1"/>
  <c r="M1581" i="7" s="1"/>
  <c r="M1582" i="7" s="1"/>
  <c r="M1583" i="7" s="1"/>
  <c r="M1584" i="7" s="1"/>
  <c r="M1585" i="7" s="1"/>
  <c r="M1586" i="7" s="1"/>
  <c r="M1587" i="7" s="1"/>
  <c r="M1588" i="7" s="1"/>
  <c r="M1589" i="7" s="1"/>
  <c r="M1590" i="7" s="1"/>
  <c r="M1591" i="7" s="1"/>
  <c r="M1592" i="7" s="1"/>
  <c r="M1593" i="7" s="1"/>
  <c r="M1594" i="7" s="1"/>
  <c r="M1595" i="7" s="1"/>
  <c r="M1596" i="7" s="1"/>
  <c r="M1597" i="7" s="1"/>
  <c r="M1598" i="7" s="1"/>
  <c r="M1599" i="7" s="1"/>
  <c r="M1600" i="7" s="1"/>
  <c r="M1601" i="7" s="1"/>
  <c r="M1602" i="7" s="1"/>
  <c r="M1603" i="7" s="1"/>
  <c r="M1604" i="7" s="1"/>
  <c r="M1605" i="7" s="1"/>
  <c r="M1606" i="7" s="1"/>
  <c r="M1607" i="7" s="1"/>
  <c r="M1608" i="7" s="1"/>
  <c r="M1609" i="7" s="1"/>
  <c r="M1610" i="7" s="1"/>
  <c r="M1611" i="7" s="1"/>
  <c r="M1612" i="7" s="1"/>
  <c r="M1613" i="7" s="1"/>
  <c r="M1614" i="7" s="1"/>
  <c r="M1615" i="7" s="1"/>
  <c r="M1616" i="7" s="1"/>
  <c r="M1617" i="7" s="1"/>
  <c r="M1618" i="7" s="1"/>
  <c r="M1619" i="7" s="1"/>
  <c r="M1620" i="7" s="1"/>
  <c r="M1621" i="7" s="1"/>
  <c r="M1622" i="7" s="1"/>
  <c r="M1623" i="7" s="1"/>
  <c r="M1624" i="7" s="1"/>
  <c r="M1625" i="7" s="1"/>
  <c r="M1626" i="7" s="1"/>
  <c r="M1627" i="7" s="1"/>
  <c r="M1628" i="7" s="1"/>
  <c r="M1629" i="7" s="1"/>
  <c r="M1630" i="7" s="1"/>
  <c r="M1631" i="7" s="1"/>
  <c r="M1632" i="7" s="1"/>
  <c r="M1633" i="7" s="1"/>
  <c r="M1634" i="7" s="1"/>
  <c r="M1635" i="7" s="1"/>
  <c r="M1636" i="7" s="1"/>
  <c r="M1637" i="7" s="1"/>
  <c r="M1638" i="7" s="1"/>
  <c r="M1639" i="7" s="1"/>
  <c r="M1640" i="7" s="1"/>
  <c r="M1641" i="7" s="1"/>
  <c r="M1642" i="7" s="1"/>
  <c r="F232" i="7"/>
  <c r="M185" i="3"/>
  <c r="E129" i="6" s="1"/>
  <c r="M205" i="3"/>
  <c r="E149" i="6" s="1"/>
  <c r="M200" i="3"/>
  <c r="E144" i="6" s="1"/>
  <c r="F123" i="7"/>
  <c r="F23" i="7"/>
  <c r="F133" i="7"/>
  <c r="A99" i="6"/>
  <c r="A15" i="6"/>
  <c r="A123" i="6"/>
  <c r="F55" i="7"/>
  <c r="A139" i="6"/>
  <c r="A11" i="6"/>
  <c r="A156" i="6"/>
  <c r="A33" i="6"/>
  <c r="F188" i="7"/>
  <c r="A129" i="6"/>
  <c r="F119" i="7"/>
  <c r="A210" i="6"/>
  <c r="F124" i="7"/>
  <c r="F114" i="7"/>
  <c r="F214" i="7"/>
  <c r="A164" i="6"/>
  <c r="F78" i="7"/>
  <c r="F21" i="7"/>
  <c r="A120" i="6"/>
  <c r="A59" i="6"/>
  <c r="A169" i="6"/>
  <c r="A110" i="6"/>
  <c r="F36" i="7"/>
  <c r="F86" i="7"/>
  <c r="M142" i="3"/>
  <c r="E86" i="6" s="1"/>
  <c r="A214" i="6"/>
  <c r="A157" i="6"/>
  <c r="F99" i="7"/>
  <c r="F194" i="7"/>
  <c r="A75" i="6"/>
  <c r="F28" i="7"/>
  <c r="A134" i="6"/>
  <c r="A52" i="6"/>
  <c r="K211" i="7"/>
  <c r="A47" i="6"/>
  <c r="F30" i="7"/>
  <c r="F16" i="7"/>
  <c r="A220" i="6"/>
  <c r="F75" i="7"/>
  <c r="F131" i="7"/>
  <c r="A39" i="6"/>
  <c r="A146" i="6"/>
  <c r="A116" i="6"/>
  <c r="F132" i="7"/>
  <c r="F154" i="7"/>
  <c r="A29" i="6"/>
  <c r="F84" i="7"/>
  <c r="F149" i="7"/>
  <c r="F70" i="7"/>
  <c r="A32" i="6"/>
  <c r="F57" i="7"/>
  <c r="A69" i="6"/>
  <c r="A76" i="6"/>
  <c r="A5" i="6"/>
  <c r="A148" i="6"/>
  <c r="A162" i="6"/>
  <c r="A168" i="6"/>
  <c r="F227" i="7"/>
  <c r="F105" i="7"/>
  <c r="A141" i="6"/>
  <c r="F170" i="7"/>
  <c r="F156" i="7"/>
  <c r="A80" i="6"/>
  <c r="A183" i="6"/>
  <c r="A86" i="6"/>
  <c r="A50" i="6"/>
  <c r="F179" i="7"/>
  <c r="A34" i="6"/>
  <c r="M221" i="3"/>
  <c r="E165" i="6" s="1"/>
  <c r="K71" i="7"/>
  <c r="A90" i="6"/>
  <c r="K209" i="7"/>
  <c r="M83" i="3"/>
  <c r="E27" i="6" s="1"/>
  <c r="K149" i="7"/>
  <c r="M143" i="3"/>
  <c r="E87" i="6" s="1"/>
  <c r="F215" i="7"/>
  <c r="A44" i="6"/>
  <c r="F63" i="7"/>
  <c r="A211" i="6"/>
  <c r="A212" i="6"/>
  <c r="F212" i="7"/>
  <c r="A62" i="6"/>
  <c r="A130" i="6"/>
  <c r="F106" i="7"/>
  <c r="A118" i="6"/>
  <c r="F118" i="7"/>
  <c r="F180" i="7"/>
  <c r="F143" i="7"/>
  <c r="F228" i="7"/>
  <c r="A8" i="6"/>
  <c r="A23" i="6"/>
  <c r="M260" i="3"/>
  <c r="E204" i="6" s="1"/>
  <c r="K32" i="7"/>
  <c r="A185" i="6"/>
  <c r="F51" i="7"/>
  <c r="F129" i="7"/>
  <c r="A107" i="6"/>
  <c r="F229" i="7"/>
  <c r="A7" i="6"/>
  <c r="M76" i="3"/>
  <c r="E20" i="6" s="1"/>
  <c r="K216" i="7"/>
  <c r="A88" i="6"/>
  <c r="F148" i="7"/>
  <c r="A10" i="6"/>
  <c r="F226" i="7"/>
  <c r="A201" i="6"/>
  <c r="F92" i="7"/>
  <c r="A144" i="6"/>
  <c r="A192" i="6"/>
  <c r="F44" i="7"/>
  <c r="M79" i="3"/>
  <c r="E23" i="6" s="1"/>
  <c r="K213" i="7"/>
  <c r="K101" i="7"/>
  <c r="M191" i="3"/>
  <c r="E135" i="6" s="1"/>
  <c r="A65" i="6"/>
  <c r="F171" i="7"/>
  <c r="F94" i="7"/>
  <c r="A142" i="6"/>
  <c r="F40" i="7"/>
  <c r="A196" i="6"/>
  <c r="F205" i="7"/>
  <c r="A31" i="6"/>
  <c r="A2" i="6" l="1"/>
  <c r="C2" i="6" s="1"/>
  <c r="I17" i="6" s="1"/>
  <c r="E2" i="6"/>
  <c r="G2" i="6" s="1"/>
  <c r="J9" i="6" s="1"/>
  <c r="J4" i="6" l="1"/>
  <c r="J13" i="6" s="1"/>
  <c r="B2" i="6"/>
  <c r="I4" i="6" s="1"/>
  <c r="I13" i="6" s="1"/>
  <c r="F2" i="6"/>
  <c r="I9" i="6" s="1"/>
</calcChain>
</file>

<file path=xl/sharedStrings.xml><?xml version="1.0" encoding="utf-8"?>
<sst xmlns="http://schemas.openxmlformats.org/spreadsheetml/2006/main" count="429" uniqueCount="285">
  <si>
    <t>VCAP</t>
  </si>
  <si>
    <t>FB_Inact</t>
  </si>
  <si>
    <t>FB_Act</t>
  </si>
  <si>
    <t>UVTH</t>
  </si>
  <si>
    <t>UVHYST</t>
  </si>
  <si>
    <t>OVTH</t>
  </si>
  <si>
    <t>OVHYST</t>
  </si>
  <si>
    <t>IsenseNeg</t>
  </si>
  <si>
    <t>UVLOrise</t>
  </si>
  <si>
    <t>UVLOfall</t>
  </si>
  <si>
    <t>UVLOhyst</t>
  </si>
  <si>
    <t>V_ISETRSTH</t>
  </si>
  <si>
    <t>V_CLREF</t>
  </si>
  <si>
    <t>AV_CSAMP</t>
  </si>
  <si>
    <t>VRPFG</t>
  </si>
  <si>
    <t>I_RPFGDN</t>
  </si>
  <si>
    <t>I_GATEDN</t>
  </si>
  <si>
    <t>I_GATEUP</t>
  </si>
  <si>
    <t>I_GATEUP_REG</t>
  </si>
  <si>
    <t>I_GATEUP_FLT</t>
  </si>
  <si>
    <t>VsenseCL</t>
  </si>
  <si>
    <t>VCBOS</t>
  </si>
  <si>
    <t>VsenseOC</t>
  </si>
  <si>
    <t>I_TimerUP</t>
  </si>
  <si>
    <t>V_TimerH</t>
  </si>
  <si>
    <t>V_TimerL</t>
  </si>
  <si>
    <t>I_POR</t>
  </si>
  <si>
    <t>I_TimerOFF</t>
  </si>
  <si>
    <t>V_TimerOFFH</t>
  </si>
  <si>
    <t>VPGTH</t>
  </si>
  <si>
    <t>PGHYST</t>
  </si>
  <si>
    <t>UV pin</t>
  </si>
  <si>
    <t>OV pin</t>
  </si>
  <si>
    <t>SENSE- pin</t>
  </si>
  <si>
    <t>VCAP pin</t>
  </si>
  <si>
    <t>ISET pin</t>
  </si>
  <si>
    <t>RPFG pin</t>
  </si>
  <si>
    <t>GATE pin</t>
  </si>
  <si>
    <t>CURRENT SENSE VOLTAGE</t>
  </si>
  <si>
    <t>SEVERE OVERCURRENT</t>
  </si>
  <si>
    <t>TIMER pin</t>
  </si>
  <si>
    <t>TIMER OFF pin</t>
  </si>
  <si>
    <t>FEEDBK_PG pin</t>
  </si>
  <si>
    <t>Min</t>
  </si>
  <si>
    <t>Typ</t>
  </si>
  <si>
    <t>Max</t>
  </si>
  <si>
    <t>V</t>
  </si>
  <si>
    <t>Units</t>
  </si>
  <si>
    <t>uA</t>
  </si>
  <si>
    <t>V/V</t>
  </si>
  <si>
    <t>VGATE</t>
  </si>
  <si>
    <t>mA</t>
  </si>
  <si>
    <t>VSET = 2.5V, VFLB &gt; 1.35V</t>
  </si>
  <si>
    <t>VSET = 2V, VFLB &gt; 1.1V</t>
  </si>
  <si>
    <t>VSET = 1V, VFLB &gt; 0.57V</t>
  </si>
  <si>
    <t>VSET =0.5V, VFLB &gt; 0.3V</t>
  </si>
  <si>
    <t>VFLB = 0V, DVGATE=3V, IGATE=0uA</t>
  </si>
  <si>
    <t>VISET&gt;2V, VFLB=0.5V, DVGATE=3V, IGATE=0uA</t>
  </si>
  <si>
    <t>V_ISET&gt;2.65V</t>
  </si>
  <si>
    <t>V_ISET = 0.5V</t>
  </si>
  <si>
    <t>Uvmin</t>
  </si>
  <si>
    <t>Uvmax</t>
  </si>
  <si>
    <t>Uvhystmin</t>
  </si>
  <si>
    <t>Uvhystmax</t>
  </si>
  <si>
    <t>Ovmin</t>
  </si>
  <si>
    <t>Ovhystmin</t>
  </si>
  <si>
    <t>Ovmax</t>
  </si>
  <si>
    <t>Ovhystmax</t>
  </si>
  <si>
    <t>Isensemin</t>
  </si>
  <si>
    <t>Isense</t>
  </si>
  <si>
    <t>Isensemax</t>
  </si>
  <si>
    <t>Uvhyst</t>
  </si>
  <si>
    <t>Ov</t>
  </si>
  <si>
    <t>Ovhyst</t>
  </si>
  <si>
    <t>Vcapmin</t>
  </si>
  <si>
    <t>Vcap</t>
  </si>
  <si>
    <t>Vcapmax</t>
  </si>
  <si>
    <t>VISETmin</t>
  </si>
  <si>
    <t>VISET</t>
  </si>
  <si>
    <t>VISETmax</t>
  </si>
  <si>
    <t>VCLref</t>
  </si>
  <si>
    <t>Gain</t>
  </si>
  <si>
    <t>Gainmin</t>
  </si>
  <si>
    <t>Gainmax</t>
  </si>
  <si>
    <t>VRPFGmin</t>
  </si>
  <si>
    <t>VRPFGmax</t>
  </si>
  <si>
    <t>IRPFGmin</t>
  </si>
  <si>
    <t>IRPFG</t>
  </si>
  <si>
    <t>IRPFGmax</t>
  </si>
  <si>
    <t>Vgatemin</t>
  </si>
  <si>
    <t>Vgate</t>
  </si>
  <si>
    <t>IGATEDNmin</t>
  </si>
  <si>
    <t>IGATEDN</t>
  </si>
  <si>
    <t>IGATEDNmax</t>
  </si>
  <si>
    <t>IGATEUPFLTmin</t>
  </si>
  <si>
    <t>IGATEUPFLTmax</t>
  </si>
  <si>
    <t>IGATEUPFLT</t>
  </si>
  <si>
    <t>VsenseCLmin</t>
  </si>
  <si>
    <t>VsenseCLmax</t>
  </si>
  <si>
    <t>Fbinactmin</t>
  </si>
  <si>
    <t>Fbinact</t>
  </si>
  <si>
    <t>Fbinactmax</t>
  </si>
  <si>
    <t>Fbmin</t>
  </si>
  <si>
    <t>FB</t>
  </si>
  <si>
    <t>Fbmax</t>
  </si>
  <si>
    <t>VCBOSmin</t>
  </si>
  <si>
    <t>TimerUpmin</t>
  </si>
  <si>
    <t>TimerUp</t>
  </si>
  <si>
    <t>TimerUpmax</t>
  </si>
  <si>
    <t>VtimeHmin</t>
  </si>
  <si>
    <t>VtimeH</t>
  </si>
  <si>
    <t>VtimeHmax</t>
  </si>
  <si>
    <t>VtimeLmin</t>
  </si>
  <si>
    <t>VtimeL</t>
  </si>
  <si>
    <t>VtimeLmax</t>
  </si>
  <si>
    <t>IPORmin</t>
  </si>
  <si>
    <t>IPOR</t>
  </si>
  <si>
    <t>IPORmax</t>
  </si>
  <si>
    <t>TimerOffmin</t>
  </si>
  <si>
    <t>TimerOff</t>
  </si>
  <si>
    <t>TimeOffmax</t>
  </si>
  <si>
    <t>TimerOffHmin</t>
  </si>
  <si>
    <t>TimerOffHmax</t>
  </si>
  <si>
    <t>TimerOffH</t>
  </si>
  <si>
    <t>VPGmin</t>
  </si>
  <si>
    <t>VPG</t>
  </si>
  <si>
    <t>VPGmax</t>
  </si>
  <si>
    <t>PGHystmin</t>
  </si>
  <si>
    <t>PGHyst</t>
  </si>
  <si>
    <t>PGHystmax</t>
  </si>
  <si>
    <t>VCBOSmax</t>
  </si>
  <si>
    <t>SOCmin</t>
  </si>
  <si>
    <t>SOC</t>
  </si>
  <si>
    <t>SOCmax</t>
  </si>
  <si>
    <t>UV</t>
  </si>
  <si>
    <t>Vgatemax</t>
  </si>
  <si>
    <t>IGATEUPmin</t>
  </si>
  <si>
    <t>IGATEUP</t>
  </si>
  <si>
    <t>IGATEUPmax</t>
  </si>
  <si>
    <t>Set OV threshold</t>
  </si>
  <si>
    <t>Set UV threshold</t>
  </si>
  <si>
    <t>UV and OV</t>
  </si>
  <si>
    <t>Ideal</t>
  </si>
  <si>
    <t>CURRENT LIMIT</t>
  </si>
  <si>
    <t>Set Rsense</t>
  </si>
  <si>
    <t>Desired Current Limit</t>
  </si>
  <si>
    <t>Calc Vsense</t>
  </si>
  <si>
    <t>Calc VISET</t>
  </si>
  <si>
    <t>Calc R4</t>
  </si>
  <si>
    <t>Calc R2</t>
  </si>
  <si>
    <t>Calc R1</t>
  </si>
  <si>
    <t>eg. 90% of 12V</t>
  </si>
  <si>
    <t>Set PG Threshold</t>
  </si>
  <si>
    <t>Set FLB Threshold</t>
  </si>
  <si>
    <t>eg. 75% of 12V</t>
  </si>
  <si>
    <t>Calc R7</t>
  </si>
  <si>
    <t>Calc R8</t>
  </si>
  <si>
    <t>FOLDBACK and PG</t>
  </si>
  <si>
    <t>TIMER</t>
  </si>
  <si>
    <t>Calc Ctimer</t>
  </si>
  <si>
    <t>mS</t>
  </si>
  <si>
    <t>nF</t>
  </si>
  <si>
    <t>Cal CtimerOff</t>
  </si>
  <si>
    <t>Set R3 in Kohms</t>
  </si>
  <si>
    <t>Set R5 in Kohms</t>
  </si>
  <si>
    <t>Std 1% Low</t>
  </si>
  <si>
    <t>Std 1% High</t>
  </si>
  <si>
    <t>Closest Std 1% value</t>
  </si>
  <si>
    <t>Error low</t>
  </si>
  <si>
    <t>Error high</t>
  </si>
  <si>
    <t>Calc actual UV</t>
  </si>
  <si>
    <t>Calc actual OV</t>
  </si>
  <si>
    <t>Calc actual OC</t>
  </si>
  <si>
    <t>Calc actual PG</t>
  </si>
  <si>
    <t>Cal R7 + R9</t>
  </si>
  <si>
    <t>PG Threshold</t>
  </si>
  <si>
    <t>Calc R9</t>
  </si>
  <si>
    <t>Calc R1 + R2</t>
  </si>
  <si>
    <t>Calc R7 + R8</t>
  </si>
  <si>
    <t>Calc OC @ VoFLB/4</t>
  </si>
  <si>
    <t>R1, closest Std 1% value</t>
  </si>
  <si>
    <t>R2, closest Std 1% value</t>
  </si>
  <si>
    <t>Actual OV Threshold</t>
  </si>
  <si>
    <t>Actual UV Threshold</t>
  </si>
  <si>
    <t>Kohm</t>
  </si>
  <si>
    <t>Volts</t>
  </si>
  <si>
    <t>Amps</t>
  </si>
  <si>
    <t>Ohms</t>
  </si>
  <si>
    <t>Kohms</t>
  </si>
  <si>
    <t>R4, closest Std 1% value</t>
  </si>
  <si>
    <t>Set R9 in Kohms</t>
  </si>
  <si>
    <t>Set R8 in Kohms</t>
  </si>
  <si>
    <t>R7, closest Std 1% value</t>
  </si>
  <si>
    <t>R8, closest Std 1% value</t>
  </si>
  <si>
    <t>R9, closest Std 1% value</t>
  </si>
  <si>
    <t>Set TimerOff in milliseconds</t>
  </si>
  <si>
    <t>Vout</t>
  </si>
  <si>
    <t>OC</t>
  </si>
  <si>
    <t>VFLB</t>
  </si>
  <si>
    <t>FLB OC</t>
  </si>
  <si>
    <t>Worst Case OV High</t>
  </si>
  <si>
    <t>Worst Case UV High</t>
  </si>
  <si>
    <t>Worst Case UV Low</t>
  </si>
  <si>
    <t>Worst Case OV Low</t>
  </si>
  <si>
    <t>Worst Case OC High</t>
  </si>
  <si>
    <t>Worst Case OC Low</t>
  </si>
  <si>
    <t>Worst Case PG High</t>
  </si>
  <si>
    <t>Worst Case PG Low</t>
  </si>
  <si>
    <t>Set Timer in milliseconds</t>
  </si>
  <si>
    <t>Worst Case Timer high</t>
  </si>
  <si>
    <t>Worst Case Timer low</t>
  </si>
  <si>
    <t>Worst Case TimerOff high</t>
  </si>
  <si>
    <t>Worst Case TimerOff low</t>
  </si>
  <si>
    <t>Set Resistor Tolerances</t>
  </si>
  <si>
    <t>Vsense Low</t>
  </si>
  <si>
    <t>Vsense High</t>
  </si>
  <si>
    <t>Power</t>
  </si>
  <si>
    <t>Vout Factor</t>
  </si>
  <si>
    <t>Max Power</t>
  </si>
  <si>
    <t>Vds</t>
  </si>
  <si>
    <t>100uS</t>
  </si>
  <si>
    <t>1mS</t>
  </si>
  <si>
    <t>10mS</t>
  </si>
  <si>
    <t>100mS</t>
  </si>
  <si>
    <t>DC</t>
  </si>
  <si>
    <t>Peak Power</t>
  </si>
  <si>
    <t>Avg Power</t>
  </si>
  <si>
    <t>Avg Current</t>
  </si>
  <si>
    <t>Time</t>
  </si>
  <si>
    <t>40V</t>
  </si>
  <si>
    <t>30V</t>
  </si>
  <si>
    <t>20V</t>
  </si>
  <si>
    <t>10V</t>
  </si>
  <si>
    <t>5V</t>
  </si>
  <si>
    <t>3V</t>
  </si>
  <si>
    <t>2V</t>
  </si>
  <si>
    <t>Timer PW</t>
  </si>
  <si>
    <t>SOA Current</t>
  </si>
  <si>
    <t>Sense Resistor Tolerance (%/100)</t>
  </si>
  <si>
    <t>Other Resistor Tolerance (%/100)</t>
  </si>
  <si>
    <t>Set Capacitor Tolerance (%/100)</t>
  </si>
  <si>
    <t>55V</t>
  </si>
  <si>
    <t>Load Capacitance</t>
  </si>
  <si>
    <t>uF</t>
  </si>
  <si>
    <t>Start up time</t>
  </si>
  <si>
    <t>Seconds</t>
  </si>
  <si>
    <t>Start Up</t>
  </si>
  <si>
    <t>1000mS</t>
  </si>
  <si>
    <t>Wost Case Timer Max</t>
  </si>
  <si>
    <t>Wost Case Timer Min</t>
  </si>
  <si>
    <t>Wost Case TimerOff Max</t>
  </si>
  <si>
    <t>Wost Case TimerOff Min</t>
  </si>
  <si>
    <t>Wost Case Max</t>
  </si>
  <si>
    <t>Wost Case Min</t>
  </si>
  <si>
    <t>Start Up Time from Internal UVLO (set by CtimerOff)</t>
  </si>
  <si>
    <t>FET Selection</t>
  </si>
  <si>
    <t>Max Junction Temperature</t>
  </si>
  <si>
    <t>C/W</t>
  </si>
  <si>
    <t>C</t>
  </si>
  <si>
    <t>Ambient Temperature</t>
  </si>
  <si>
    <t>Max permissible FET power dissipation</t>
  </si>
  <si>
    <t>W</t>
  </si>
  <si>
    <t>ohms</t>
  </si>
  <si>
    <t>Max permissible FET on resistance</t>
  </si>
  <si>
    <t>Derating Factor from FET datasheet</t>
  </si>
  <si>
    <t>Permissible FET on resistance</t>
  </si>
  <si>
    <t>Mosfet thermal resistance from datasheet</t>
  </si>
  <si>
    <t>Actual FET on resistance @ 25C</t>
  </si>
  <si>
    <t>Max FET on resistance at max Junc. Temp.</t>
  </si>
  <si>
    <t>Actual FET power dissipation</t>
  </si>
  <si>
    <t>Actual junction temperature rise</t>
  </si>
  <si>
    <t>Maximum junction temperature</t>
  </si>
  <si>
    <t>Calculated FET Power Derating Factor (DF)</t>
  </si>
  <si>
    <t>Section 2</t>
  </si>
  <si>
    <t>Section 1</t>
  </si>
  <si>
    <t>Section 3</t>
  </si>
  <si>
    <t>Section 4</t>
  </si>
  <si>
    <t>Section 5</t>
  </si>
  <si>
    <t>Section 6</t>
  </si>
  <si>
    <t>revTool</t>
  </si>
  <si>
    <t>revName</t>
  </si>
  <si>
    <t>revLink</t>
  </si>
  <si>
    <t>revText</t>
  </si>
  <si>
    <t>ADM1270 Design Spreadsheet tool</t>
  </si>
  <si>
    <t>ADM1270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</si>
</sst>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"/>
    <numFmt numFmtId="166" formatCode="0.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7"/>
        <bgColor indexed="47"/>
      </patternFill>
    </fill>
    <fill>
      <patternFill patternType="solid">
        <fgColor indexed="11"/>
        <bgColor indexed="47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2"/>
        <bgColor indexed="47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/>
  </cellStyleXfs>
  <cellXfs count="119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1" xfId="0" applyFont="1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4" xfId="0" applyFill="1" applyBorder="1" applyProtection="1">
      <protection hidden="1"/>
    </xf>
    <xf numFmtId="0" fontId="0" fillId="2" borderId="0" xfId="0" applyFill="1" applyProtection="1">
      <protection hidden="1"/>
    </xf>
    <xf numFmtId="0" fontId="0" fillId="2" borderId="6" xfId="0" applyFill="1" applyBorder="1" applyProtection="1">
      <protection hidden="1"/>
    </xf>
    <xf numFmtId="0" fontId="0" fillId="2" borderId="7" xfId="0" applyFill="1" applyBorder="1" applyProtection="1">
      <protection hidden="1"/>
    </xf>
    <xf numFmtId="0" fontId="0" fillId="2" borderId="8" xfId="0" applyFill="1" applyBorder="1" applyProtection="1">
      <protection hidden="1"/>
    </xf>
    <xf numFmtId="0" fontId="0" fillId="2" borderId="9" xfId="0" applyFill="1" applyBorder="1" applyProtection="1">
      <protection hidden="1"/>
    </xf>
    <xf numFmtId="0" fontId="1" fillId="3" borderId="1" xfId="0" applyFont="1" applyFill="1" applyBorder="1" applyProtection="1">
      <protection hidden="1"/>
    </xf>
    <xf numFmtId="0" fontId="0" fillId="3" borderId="2" xfId="0" applyFill="1" applyBorder="1" applyProtection="1">
      <protection hidden="1"/>
    </xf>
    <xf numFmtId="0" fontId="1" fillId="3" borderId="2" xfId="0" applyFont="1" applyFill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2" fillId="3" borderId="0" xfId="0" applyFont="1" applyFill="1" applyProtection="1">
      <protection hidden="1"/>
    </xf>
    <xf numFmtId="0" fontId="0" fillId="3" borderId="6" xfId="0" applyFill="1" applyBorder="1" applyProtection="1">
      <protection hidden="1"/>
    </xf>
    <xf numFmtId="0" fontId="0" fillId="3" borderId="0" xfId="0" applyFill="1" applyProtection="1">
      <protection hidden="1"/>
    </xf>
    <xf numFmtId="0" fontId="2" fillId="3" borderId="4" xfId="0" applyFont="1" applyFill="1" applyBorder="1" applyProtection="1">
      <protection hidden="1"/>
    </xf>
    <xf numFmtId="0" fontId="0" fillId="4" borderId="0" xfId="0" applyFill="1" applyProtection="1">
      <protection hidden="1"/>
    </xf>
    <xf numFmtId="2" fontId="0" fillId="4" borderId="0" xfId="0" applyNumberFormat="1" applyFill="1" applyProtection="1">
      <protection hidden="1"/>
    </xf>
    <xf numFmtId="2" fontId="0" fillId="5" borderId="0" xfId="0" applyNumberFormat="1" applyFill="1" applyProtection="1">
      <protection hidden="1"/>
    </xf>
    <xf numFmtId="2" fontId="0" fillId="3" borderId="0" xfId="0" applyNumberFormat="1" applyFill="1" applyProtection="1">
      <protection hidden="1"/>
    </xf>
    <xf numFmtId="0" fontId="0" fillId="3" borderId="7" xfId="0" applyFill="1" applyBorder="1" applyProtection="1">
      <protection hidden="1"/>
    </xf>
    <xf numFmtId="0" fontId="0" fillId="3" borderId="8" xfId="0" applyFill="1" applyBorder="1" applyProtection="1">
      <protection hidden="1"/>
    </xf>
    <xf numFmtId="0" fontId="0" fillId="3" borderId="9" xfId="0" applyFill="1" applyBorder="1" applyProtection="1">
      <protection hidden="1"/>
    </xf>
    <xf numFmtId="0" fontId="0" fillId="6" borderId="1" xfId="0" applyFill="1" applyBorder="1" applyProtection="1">
      <protection hidden="1"/>
    </xf>
    <xf numFmtId="0" fontId="0" fillId="6" borderId="2" xfId="0" applyFill="1" applyBorder="1" applyProtection="1">
      <protection hidden="1"/>
    </xf>
    <xf numFmtId="0" fontId="1" fillId="6" borderId="2" xfId="0" applyFont="1" applyFill="1" applyBorder="1" applyProtection="1">
      <protection hidden="1"/>
    </xf>
    <xf numFmtId="0" fontId="0" fillId="6" borderId="3" xfId="0" applyFill="1" applyBorder="1" applyProtection="1">
      <protection hidden="1"/>
    </xf>
    <xf numFmtId="0" fontId="1" fillId="6" borderId="4" xfId="0" applyFont="1" applyFill="1" applyBorder="1" applyProtection="1">
      <protection hidden="1"/>
    </xf>
    <xf numFmtId="0" fontId="0" fillId="6" borderId="0" xfId="0" applyFill="1" applyProtection="1">
      <protection hidden="1"/>
    </xf>
    <xf numFmtId="0" fontId="0" fillId="6" borderId="6" xfId="0" applyFill="1" applyBorder="1" applyProtection="1">
      <protection hidden="1"/>
    </xf>
    <xf numFmtId="0" fontId="0" fillId="6" borderId="4" xfId="0" applyFill="1" applyBorder="1" applyProtection="1">
      <protection hidden="1"/>
    </xf>
    <xf numFmtId="0" fontId="2" fillId="6" borderId="0" xfId="0" applyFont="1" applyFill="1" applyProtection="1">
      <protection hidden="1"/>
    </xf>
    <xf numFmtId="0" fontId="2" fillId="6" borderId="4" xfId="0" applyFont="1" applyFill="1" applyBorder="1" applyProtection="1">
      <protection hidden="1"/>
    </xf>
    <xf numFmtId="0" fontId="0" fillId="7" borderId="0" xfId="0" applyFill="1" applyProtection="1">
      <protection hidden="1"/>
    </xf>
    <xf numFmtId="164" fontId="0" fillId="7" borderId="0" xfId="0" applyNumberFormat="1" applyFill="1" applyProtection="1">
      <protection hidden="1"/>
    </xf>
    <xf numFmtId="0" fontId="6" fillId="6" borderId="4" xfId="0" applyFont="1" applyFill="1" applyBorder="1" applyProtection="1">
      <protection hidden="1"/>
    </xf>
    <xf numFmtId="0" fontId="0" fillId="8" borderId="0" xfId="0" applyFill="1" applyProtection="1">
      <protection hidden="1"/>
    </xf>
    <xf numFmtId="164" fontId="0" fillId="5" borderId="0" xfId="0" applyNumberFormat="1" applyFill="1" applyProtection="1">
      <protection hidden="1"/>
    </xf>
    <xf numFmtId="0" fontId="0" fillId="6" borderId="7" xfId="0" applyFill="1" applyBorder="1" applyProtection="1">
      <protection hidden="1"/>
    </xf>
    <xf numFmtId="0" fontId="0" fillId="8" borderId="8" xfId="0" applyFill="1" applyBorder="1" applyProtection="1">
      <protection hidden="1"/>
    </xf>
    <xf numFmtId="0" fontId="0" fillId="6" borderId="8" xfId="0" applyFill="1" applyBorder="1" applyProtection="1">
      <protection hidden="1"/>
    </xf>
    <xf numFmtId="0" fontId="0" fillId="6" borderId="9" xfId="0" applyFill="1" applyBorder="1" applyProtection="1">
      <protection hidden="1"/>
    </xf>
    <xf numFmtId="0" fontId="0" fillId="9" borderId="1" xfId="0" applyFill="1" applyBorder="1" applyProtection="1">
      <protection hidden="1"/>
    </xf>
    <xf numFmtId="0" fontId="0" fillId="9" borderId="2" xfId="0" applyFill="1" applyBorder="1" applyProtection="1">
      <protection hidden="1"/>
    </xf>
    <xf numFmtId="0" fontId="1" fillId="9" borderId="2" xfId="0" applyFont="1" applyFill="1" applyBorder="1" applyProtection="1">
      <protection hidden="1"/>
    </xf>
    <xf numFmtId="0" fontId="0" fillId="9" borderId="3" xfId="0" applyFill="1" applyBorder="1" applyProtection="1">
      <protection hidden="1"/>
    </xf>
    <xf numFmtId="0" fontId="1" fillId="9" borderId="4" xfId="0" applyFont="1" applyFill="1" applyBorder="1" applyProtection="1">
      <protection hidden="1"/>
    </xf>
    <xf numFmtId="0" fontId="0" fillId="9" borderId="0" xfId="0" applyFill="1" applyProtection="1">
      <protection hidden="1"/>
    </xf>
    <xf numFmtId="0" fontId="0" fillId="9" borderId="6" xfId="0" applyFill="1" applyBorder="1" applyProtection="1">
      <protection hidden="1"/>
    </xf>
    <xf numFmtId="0" fontId="0" fillId="9" borderId="4" xfId="0" applyFill="1" applyBorder="1" applyProtection="1">
      <protection hidden="1"/>
    </xf>
    <xf numFmtId="0" fontId="2" fillId="9" borderId="0" xfId="0" applyFont="1" applyFill="1" applyProtection="1">
      <protection hidden="1"/>
    </xf>
    <xf numFmtId="0" fontId="5" fillId="9" borderId="4" xfId="0" applyFont="1" applyFill="1" applyBorder="1" applyProtection="1">
      <protection hidden="1"/>
    </xf>
    <xf numFmtId="0" fontId="2" fillId="9" borderId="4" xfId="0" applyFont="1" applyFill="1" applyBorder="1" applyProtection="1">
      <protection hidden="1"/>
    </xf>
    <xf numFmtId="2" fontId="0" fillId="9" borderId="0" xfId="0" applyNumberFormat="1" applyFill="1" applyProtection="1">
      <protection hidden="1"/>
    </xf>
    <xf numFmtId="0" fontId="0" fillId="10" borderId="4" xfId="0" applyFill="1" applyBorder="1" applyProtection="1">
      <protection hidden="1"/>
    </xf>
    <xf numFmtId="164" fontId="0" fillId="9" borderId="0" xfId="0" applyNumberFormat="1" applyFill="1" applyProtection="1">
      <protection hidden="1"/>
    </xf>
    <xf numFmtId="0" fontId="0" fillId="9" borderId="7" xfId="0" applyFill="1" applyBorder="1" applyProtection="1">
      <protection hidden="1"/>
    </xf>
    <xf numFmtId="0" fontId="0" fillId="9" borderId="8" xfId="0" applyFill="1" applyBorder="1" applyProtection="1">
      <protection hidden="1"/>
    </xf>
    <xf numFmtId="0" fontId="0" fillId="9" borderId="9" xfId="0" applyFill="1" applyBorder="1" applyProtection="1">
      <protection hidden="1"/>
    </xf>
    <xf numFmtId="0" fontId="0" fillId="11" borderId="1" xfId="0" applyFill="1" applyBorder="1" applyProtection="1">
      <protection hidden="1"/>
    </xf>
    <xf numFmtId="0" fontId="0" fillId="11" borderId="2" xfId="0" applyFill="1" applyBorder="1" applyProtection="1">
      <protection hidden="1"/>
    </xf>
    <xf numFmtId="0" fontId="1" fillId="11" borderId="2" xfId="0" applyFont="1" applyFill="1" applyBorder="1" applyProtection="1">
      <protection hidden="1"/>
    </xf>
    <xf numFmtId="0" fontId="0" fillId="11" borderId="3" xfId="0" applyFill="1" applyBorder="1" applyProtection="1">
      <protection hidden="1"/>
    </xf>
    <xf numFmtId="0" fontId="0" fillId="11" borderId="4" xfId="0" applyFill="1" applyBorder="1" applyProtection="1">
      <protection hidden="1"/>
    </xf>
    <xf numFmtId="0" fontId="0" fillId="11" borderId="0" xfId="0" applyFill="1" applyProtection="1">
      <protection hidden="1"/>
    </xf>
    <xf numFmtId="0" fontId="0" fillId="11" borderId="6" xfId="0" applyFill="1" applyBorder="1" applyProtection="1">
      <protection hidden="1"/>
    </xf>
    <xf numFmtId="0" fontId="2" fillId="11" borderId="0" xfId="0" applyFont="1" applyFill="1" applyProtection="1">
      <protection hidden="1"/>
    </xf>
    <xf numFmtId="0" fontId="1" fillId="0" borderId="0" xfId="0" applyFont="1" applyProtection="1">
      <protection hidden="1"/>
    </xf>
    <xf numFmtId="166" fontId="0" fillId="5" borderId="0" xfId="0" applyNumberFormat="1" applyFill="1" applyProtection="1">
      <protection hidden="1"/>
    </xf>
    <xf numFmtId="0" fontId="0" fillId="11" borderId="7" xfId="0" applyFill="1" applyBorder="1" applyProtection="1">
      <protection hidden="1"/>
    </xf>
    <xf numFmtId="0" fontId="0" fillId="11" borderId="8" xfId="0" applyFill="1" applyBorder="1" applyProtection="1">
      <protection hidden="1"/>
    </xf>
    <xf numFmtId="0" fontId="0" fillId="11" borderId="9" xfId="0" applyFill="1" applyBorder="1" applyProtection="1">
      <protection hidden="1"/>
    </xf>
    <xf numFmtId="0" fontId="0" fillId="8" borderId="1" xfId="0" applyFill="1" applyBorder="1" applyProtection="1">
      <protection hidden="1"/>
    </xf>
    <xf numFmtId="0" fontId="0" fillId="8" borderId="2" xfId="0" applyFill="1" applyBorder="1" applyProtection="1">
      <protection hidden="1"/>
    </xf>
    <xf numFmtId="0" fontId="1" fillId="8" borderId="2" xfId="0" applyFont="1" applyFill="1" applyBorder="1" applyProtection="1">
      <protection hidden="1"/>
    </xf>
    <xf numFmtId="0" fontId="0" fillId="8" borderId="3" xfId="0" applyFill="1" applyBorder="1" applyProtection="1">
      <protection hidden="1"/>
    </xf>
    <xf numFmtId="0" fontId="0" fillId="8" borderId="4" xfId="0" applyFill="1" applyBorder="1" applyProtection="1">
      <protection hidden="1"/>
    </xf>
    <xf numFmtId="0" fontId="0" fillId="8" borderId="6" xfId="0" applyFill="1" applyBorder="1" applyProtection="1">
      <protection hidden="1"/>
    </xf>
    <xf numFmtId="0" fontId="0" fillId="8" borderId="5" xfId="0" applyFill="1" applyBorder="1" applyProtection="1">
      <protection hidden="1"/>
    </xf>
    <xf numFmtId="164" fontId="0" fillId="8" borderId="5" xfId="0" applyNumberFormat="1" applyFill="1" applyBorder="1" applyProtection="1">
      <protection hidden="1"/>
    </xf>
    <xf numFmtId="2" fontId="0" fillId="8" borderId="5" xfId="0" applyNumberFormat="1" applyFill="1" applyBorder="1" applyProtection="1">
      <protection hidden="1"/>
    </xf>
    <xf numFmtId="0" fontId="0" fillId="8" borderId="7" xfId="0" applyFill="1" applyBorder="1" applyProtection="1">
      <protection hidden="1"/>
    </xf>
    <xf numFmtId="0" fontId="0" fillId="8" borderId="9" xfId="0" applyFill="1" applyBorder="1" applyProtection="1">
      <protection hidden="1"/>
    </xf>
    <xf numFmtId="0" fontId="0" fillId="12" borderId="1" xfId="0" applyFill="1" applyBorder="1" applyProtection="1">
      <protection hidden="1"/>
    </xf>
    <xf numFmtId="0" fontId="0" fillId="12" borderId="2" xfId="0" applyFill="1" applyBorder="1" applyProtection="1">
      <protection hidden="1"/>
    </xf>
    <xf numFmtId="0" fontId="1" fillId="12" borderId="2" xfId="0" applyFont="1" applyFill="1" applyBorder="1" applyProtection="1">
      <protection hidden="1"/>
    </xf>
    <xf numFmtId="0" fontId="0" fillId="12" borderId="3" xfId="0" applyFill="1" applyBorder="1" applyProtection="1">
      <protection hidden="1"/>
    </xf>
    <xf numFmtId="0" fontId="0" fillId="12" borderId="4" xfId="0" applyFill="1" applyBorder="1" applyProtection="1">
      <protection hidden="1"/>
    </xf>
    <xf numFmtId="0" fontId="0" fillId="12" borderId="0" xfId="0" applyFill="1" applyProtection="1">
      <protection hidden="1"/>
    </xf>
    <xf numFmtId="0" fontId="0" fillId="12" borderId="6" xfId="0" applyFill="1" applyBorder="1" applyProtection="1">
      <protection hidden="1"/>
    </xf>
    <xf numFmtId="164" fontId="0" fillId="12" borderId="0" xfId="0" applyNumberFormat="1" applyFill="1" applyProtection="1">
      <protection hidden="1"/>
    </xf>
    <xf numFmtId="2" fontId="0" fillId="12" borderId="0" xfId="0" applyNumberFormat="1" applyFill="1" applyProtection="1">
      <protection hidden="1"/>
    </xf>
    <xf numFmtId="0" fontId="0" fillId="12" borderId="7" xfId="0" applyFill="1" applyBorder="1" applyProtection="1">
      <protection hidden="1"/>
    </xf>
    <xf numFmtId="0" fontId="0" fillId="12" borderId="8" xfId="0" applyFill="1" applyBorder="1" applyProtection="1">
      <protection hidden="1"/>
    </xf>
    <xf numFmtId="0" fontId="0" fillId="12" borderId="9" xfId="0" applyFill="1" applyBorder="1" applyProtection="1">
      <protection hidden="1"/>
    </xf>
    <xf numFmtId="11" fontId="0" fillId="0" borderId="0" xfId="0" applyNumberFormat="1" applyProtection="1">
      <protection hidden="1"/>
    </xf>
    <xf numFmtId="2" fontId="0" fillId="2" borderId="0" xfId="0" applyNumberFormat="1" applyFill="1" applyProtection="1">
      <protection hidden="1"/>
    </xf>
    <xf numFmtId="0" fontId="2" fillId="0" borderId="4" xfId="0" applyFont="1" applyBorder="1" applyProtection="1">
      <protection hidden="1"/>
    </xf>
    <xf numFmtId="0" fontId="2" fillId="0" borderId="0" xfId="0" applyFont="1" applyProtection="1">
      <protection hidden="1"/>
    </xf>
    <xf numFmtId="0" fontId="4" fillId="0" borderId="0" xfId="0" applyFont="1" applyProtection="1">
      <protection hidden="1"/>
    </xf>
    <xf numFmtId="164" fontId="0" fillId="2" borderId="0" xfId="0" applyNumberFormat="1" applyFill="1" applyProtection="1">
      <protection hidden="1"/>
    </xf>
    <xf numFmtId="2" fontId="0" fillId="0" borderId="0" xfId="0" applyNumberFormat="1" applyProtection="1">
      <protection hidden="1"/>
    </xf>
    <xf numFmtId="164" fontId="0" fillId="0" borderId="0" xfId="0" applyNumberFormat="1" applyProtection="1">
      <protection hidden="1"/>
    </xf>
    <xf numFmtId="165" fontId="0" fillId="0" borderId="0" xfId="0" applyNumberFormat="1" applyProtection="1">
      <protection hidden="1"/>
    </xf>
    <xf numFmtId="0" fontId="0" fillId="13" borderId="0" xfId="0" applyFill="1" applyProtection="1">
      <protection hidden="1"/>
    </xf>
    <xf numFmtId="0" fontId="1" fillId="13" borderId="0" xfId="0" applyFont="1" applyFill="1" applyProtection="1">
      <protection hidden="1"/>
    </xf>
    <xf numFmtId="0" fontId="2" fillId="13" borderId="0" xfId="0" applyFont="1" applyFill="1" applyProtection="1">
      <protection hidden="1"/>
    </xf>
    <xf numFmtId="0" fontId="1" fillId="2" borderId="0" xfId="0" applyFont="1" applyFill="1" applyAlignment="1" applyProtection="1">
      <alignment horizontal="center"/>
      <protection hidden="1"/>
    </xf>
    <xf numFmtId="0" fontId="0" fillId="14" borderId="0" xfId="0" applyFill="1" applyProtection="1">
      <protection hidden="1"/>
    </xf>
    <xf numFmtId="0" fontId="0" fillId="15" borderId="0" xfId="0" applyFill="1" applyProtection="1">
      <protection hidden="1"/>
    </xf>
    <xf numFmtId="0" fontId="0" fillId="0" borderId="0" xfId="0" applyProtection="1">
      <protection locked="0" hidden="1"/>
    </xf>
    <xf numFmtId="0" fontId="2" fillId="0" borderId="0" xfId="0" applyFont="1" applyProtection="1">
      <protection locked="0" hidden="1"/>
    </xf>
    <xf numFmtId="0" fontId="0" fillId="0" borderId="5" xfId="0" applyBorder="1" applyProtection="1">
      <protection locked="0" hidden="1"/>
    </xf>
    <xf numFmtId="164" fontId="0" fillId="0" borderId="5" xfId="0" applyNumberFormat="1" applyBorder="1" applyProtection="1">
      <protection locked="0" hidden="1"/>
    </xf>
  </cellXfs>
  <cellStyles count="2">
    <cellStyle name="Normal" xfId="0" builtinId="0"/>
    <cellStyle name="Normal 2" xfId="1" xr:uid="{E74B9B04-83DB-4351-A3E8-9B9ECB271B7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4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Overcurrent vs Output Voltage in Foldback</a:t>
            </a:r>
          </a:p>
        </c:rich>
      </c:tx>
      <c:layout>
        <c:manualLayout>
          <c:xMode val="edge"/>
          <c:yMode val="edge"/>
          <c:x val="0.29166666666666669"/>
          <c:y val="6.58436213991769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333454435009821E-2"/>
          <c:y val="0.15226368044238772"/>
          <c:w val="0.88095366117010376"/>
          <c:h val="0.72428129075297942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34.789915966386552</c:v>
                </c:pt>
                <c:pt idx="1">
                  <c:v>34.789915966386552</c:v>
                </c:pt>
                <c:pt idx="2">
                  <c:v>34.789915966386552</c:v>
                </c:pt>
                <c:pt idx="3">
                  <c:v>34.789915966386552</c:v>
                </c:pt>
                <c:pt idx="4">
                  <c:v>34.789915966386552</c:v>
                </c:pt>
                <c:pt idx="5">
                  <c:v>34.789915966386552</c:v>
                </c:pt>
                <c:pt idx="6">
                  <c:v>34.789915966386552</c:v>
                </c:pt>
                <c:pt idx="7">
                  <c:v>34.789915966386552</c:v>
                </c:pt>
                <c:pt idx="8">
                  <c:v>34.789915966386552</c:v>
                </c:pt>
                <c:pt idx="9">
                  <c:v>34.789915966386552</c:v>
                </c:pt>
                <c:pt idx="10">
                  <c:v>34.789915966386552</c:v>
                </c:pt>
                <c:pt idx="11">
                  <c:v>34.789915966386552</c:v>
                </c:pt>
                <c:pt idx="12">
                  <c:v>34.789915966386552</c:v>
                </c:pt>
                <c:pt idx="13">
                  <c:v>34.789915966386552</c:v>
                </c:pt>
                <c:pt idx="14">
                  <c:v>34.789915966386552</c:v>
                </c:pt>
                <c:pt idx="15">
                  <c:v>34.789915966386552</c:v>
                </c:pt>
                <c:pt idx="16">
                  <c:v>34.789915966386552</c:v>
                </c:pt>
                <c:pt idx="17">
                  <c:v>34.789915966386552</c:v>
                </c:pt>
                <c:pt idx="18">
                  <c:v>34.789915966386552</c:v>
                </c:pt>
                <c:pt idx="19">
                  <c:v>34.789915966386552</c:v>
                </c:pt>
                <c:pt idx="20">
                  <c:v>34.789915966386552</c:v>
                </c:pt>
                <c:pt idx="21">
                  <c:v>34.632596685082873</c:v>
                </c:pt>
                <c:pt idx="22">
                  <c:v>34.458563535911601</c:v>
                </c:pt>
                <c:pt idx="23">
                  <c:v>34.284530386740329</c:v>
                </c:pt>
                <c:pt idx="24">
                  <c:v>34.110497237569056</c:v>
                </c:pt>
                <c:pt idx="25">
                  <c:v>33.936464088397791</c:v>
                </c:pt>
                <c:pt idx="26">
                  <c:v>33.762430939226519</c:v>
                </c:pt>
                <c:pt idx="27">
                  <c:v>33.588397790055247</c:v>
                </c:pt>
                <c:pt idx="28">
                  <c:v>33.414364640883981</c:v>
                </c:pt>
                <c:pt idx="29">
                  <c:v>33.240331491712709</c:v>
                </c:pt>
                <c:pt idx="30">
                  <c:v>33.06629834254143</c:v>
                </c:pt>
                <c:pt idx="31">
                  <c:v>32.892265193370164</c:v>
                </c:pt>
                <c:pt idx="32">
                  <c:v>32.718232044198892</c:v>
                </c:pt>
                <c:pt idx="33">
                  <c:v>32.544198895027627</c:v>
                </c:pt>
                <c:pt idx="34">
                  <c:v>32.370165745856362</c:v>
                </c:pt>
                <c:pt idx="35">
                  <c:v>32.196132596685089</c:v>
                </c:pt>
                <c:pt idx="36">
                  <c:v>32.02209944751381</c:v>
                </c:pt>
                <c:pt idx="37">
                  <c:v>31.848066298342541</c:v>
                </c:pt>
                <c:pt idx="38">
                  <c:v>31.674033149171272</c:v>
                </c:pt>
                <c:pt idx="39">
                  <c:v>31.5</c:v>
                </c:pt>
                <c:pt idx="40">
                  <c:v>31.325966850828728</c:v>
                </c:pt>
                <c:pt idx="41">
                  <c:v>31.151933701657462</c:v>
                </c:pt>
                <c:pt idx="42">
                  <c:v>30.977900552486187</c:v>
                </c:pt>
                <c:pt idx="43">
                  <c:v>30.803867403314918</c:v>
                </c:pt>
                <c:pt idx="44">
                  <c:v>30.629834254143645</c:v>
                </c:pt>
                <c:pt idx="45">
                  <c:v>30.455801104972377</c:v>
                </c:pt>
                <c:pt idx="46">
                  <c:v>30.281767955801104</c:v>
                </c:pt>
                <c:pt idx="47">
                  <c:v>30.107734806629836</c:v>
                </c:pt>
                <c:pt idx="48">
                  <c:v>29.933701657458563</c:v>
                </c:pt>
                <c:pt idx="49">
                  <c:v>29.759668508287287</c:v>
                </c:pt>
                <c:pt idx="50">
                  <c:v>29.585635359116022</c:v>
                </c:pt>
                <c:pt idx="51">
                  <c:v>29.41160220994475</c:v>
                </c:pt>
                <c:pt idx="52">
                  <c:v>29.237569060773481</c:v>
                </c:pt>
                <c:pt idx="53">
                  <c:v>29.063535911602209</c:v>
                </c:pt>
                <c:pt idx="54">
                  <c:v>28.88950276243094</c:v>
                </c:pt>
                <c:pt idx="55">
                  <c:v>28.715469613259664</c:v>
                </c:pt>
                <c:pt idx="56">
                  <c:v>28.541436464088392</c:v>
                </c:pt>
                <c:pt idx="57">
                  <c:v>28.367403314917127</c:v>
                </c:pt>
                <c:pt idx="58">
                  <c:v>28.193370165745858</c:v>
                </c:pt>
                <c:pt idx="59">
                  <c:v>28.019337016574589</c:v>
                </c:pt>
                <c:pt idx="60">
                  <c:v>27.84530386740332</c:v>
                </c:pt>
                <c:pt idx="61">
                  <c:v>27.671270718232044</c:v>
                </c:pt>
                <c:pt idx="62">
                  <c:v>27.497237569060772</c:v>
                </c:pt>
                <c:pt idx="63">
                  <c:v>27.323204419889503</c:v>
                </c:pt>
                <c:pt idx="64">
                  <c:v>27.149171270718231</c:v>
                </c:pt>
                <c:pt idx="65">
                  <c:v>26.975138121546962</c:v>
                </c:pt>
                <c:pt idx="66">
                  <c:v>26.801104972375697</c:v>
                </c:pt>
                <c:pt idx="67">
                  <c:v>26.627071823204421</c:v>
                </c:pt>
                <c:pt idx="68">
                  <c:v>26.453038674033149</c:v>
                </c:pt>
                <c:pt idx="69">
                  <c:v>26.27900552486188</c:v>
                </c:pt>
                <c:pt idx="70">
                  <c:v>26.104972375690608</c:v>
                </c:pt>
                <c:pt idx="71">
                  <c:v>25.930939226519335</c:v>
                </c:pt>
                <c:pt idx="72">
                  <c:v>25.756906077348066</c:v>
                </c:pt>
                <c:pt idx="73">
                  <c:v>25.582872928176794</c:v>
                </c:pt>
                <c:pt idx="74">
                  <c:v>25.408839779005522</c:v>
                </c:pt>
                <c:pt idx="75">
                  <c:v>25.234806629834253</c:v>
                </c:pt>
                <c:pt idx="76">
                  <c:v>25.060773480662984</c:v>
                </c:pt>
                <c:pt idx="77">
                  <c:v>24.886740331491712</c:v>
                </c:pt>
                <c:pt idx="78">
                  <c:v>24.712707182320443</c:v>
                </c:pt>
                <c:pt idx="79">
                  <c:v>24.538674033149171</c:v>
                </c:pt>
                <c:pt idx="80">
                  <c:v>24.364640883977895</c:v>
                </c:pt>
                <c:pt idx="81">
                  <c:v>24.190607734806626</c:v>
                </c:pt>
                <c:pt idx="82">
                  <c:v>24.016574585635357</c:v>
                </c:pt>
                <c:pt idx="83">
                  <c:v>23.842541436464089</c:v>
                </c:pt>
                <c:pt idx="84">
                  <c:v>23.668508287292823</c:v>
                </c:pt>
                <c:pt idx="85">
                  <c:v>23.494475138121551</c:v>
                </c:pt>
                <c:pt idx="86">
                  <c:v>23.320441988950275</c:v>
                </c:pt>
                <c:pt idx="87">
                  <c:v>23.146408839779006</c:v>
                </c:pt>
                <c:pt idx="88">
                  <c:v>22.972375690607734</c:v>
                </c:pt>
                <c:pt idx="89">
                  <c:v>22.798342541436465</c:v>
                </c:pt>
                <c:pt idx="90">
                  <c:v>22.624309392265193</c:v>
                </c:pt>
                <c:pt idx="91">
                  <c:v>22.450276243093928</c:v>
                </c:pt>
                <c:pt idx="92">
                  <c:v>22.276243093922652</c:v>
                </c:pt>
                <c:pt idx="93">
                  <c:v>22.10220994475138</c:v>
                </c:pt>
                <c:pt idx="94">
                  <c:v>21.928176795580111</c:v>
                </c:pt>
                <c:pt idx="95">
                  <c:v>21.754143646408838</c:v>
                </c:pt>
                <c:pt idx="96">
                  <c:v>21.58011049723757</c:v>
                </c:pt>
                <c:pt idx="97">
                  <c:v>21.406077348066297</c:v>
                </c:pt>
                <c:pt idx="98">
                  <c:v>21.232044198895029</c:v>
                </c:pt>
                <c:pt idx="99">
                  <c:v>21.058011049723753</c:v>
                </c:pt>
                <c:pt idx="100">
                  <c:v>20.883977900552487</c:v>
                </c:pt>
                <c:pt idx="101">
                  <c:v>20.709944751381215</c:v>
                </c:pt>
                <c:pt idx="102">
                  <c:v>20.535911602209946</c:v>
                </c:pt>
                <c:pt idx="103">
                  <c:v>20.361878453038671</c:v>
                </c:pt>
                <c:pt idx="104">
                  <c:v>20.187845303867402</c:v>
                </c:pt>
                <c:pt idx="105">
                  <c:v>20.013812154696129</c:v>
                </c:pt>
                <c:pt idx="106">
                  <c:v>19.839779005524861</c:v>
                </c:pt>
                <c:pt idx="107">
                  <c:v>19.665745856353588</c:v>
                </c:pt>
                <c:pt idx="108">
                  <c:v>19.491712707182323</c:v>
                </c:pt>
                <c:pt idx="109">
                  <c:v>19.317679558011051</c:v>
                </c:pt>
                <c:pt idx="110">
                  <c:v>19.143646408839782</c:v>
                </c:pt>
                <c:pt idx="111">
                  <c:v>18.96961325966851</c:v>
                </c:pt>
                <c:pt idx="112">
                  <c:v>18.795580110497241</c:v>
                </c:pt>
                <c:pt idx="113">
                  <c:v>18.621546961325969</c:v>
                </c:pt>
                <c:pt idx="114">
                  <c:v>18.447513812154696</c:v>
                </c:pt>
                <c:pt idx="115">
                  <c:v>18.273480662983427</c:v>
                </c:pt>
                <c:pt idx="116">
                  <c:v>18.099447513812155</c:v>
                </c:pt>
                <c:pt idx="117">
                  <c:v>17.925414364640883</c:v>
                </c:pt>
                <c:pt idx="118">
                  <c:v>17.751381215469614</c:v>
                </c:pt>
                <c:pt idx="119">
                  <c:v>17.577348066298342</c:v>
                </c:pt>
                <c:pt idx="120">
                  <c:v>17.403314917127073</c:v>
                </c:pt>
                <c:pt idx="121">
                  <c:v>17.229281767955801</c:v>
                </c:pt>
                <c:pt idx="122">
                  <c:v>17.055248618784528</c:v>
                </c:pt>
                <c:pt idx="123">
                  <c:v>16.881215469613259</c:v>
                </c:pt>
                <c:pt idx="124">
                  <c:v>16.707182320441991</c:v>
                </c:pt>
                <c:pt idx="125">
                  <c:v>16.533149171270715</c:v>
                </c:pt>
                <c:pt idx="126">
                  <c:v>16.359116022099446</c:v>
                </c:pt>
                <c:pt idx="127">
                  <c:v>16.185082872928181</c:v>
                </c:pt>
                <c:pt idx="128">
                  <c:v>16.011049723756905</c:v>
                </c:pt>
                <c:pt idx="129">
                  <c:v>15.837016574585636</c:v>
                </c:pt>
                <c:pt idx="130">
                  <c:v>15.662983425414364</c:v>
                </c:pt>
                <c:pt idx="131">
                  <c:v>15.488950276243093</c:v>
                </c:pt>
                <c:pt idx="132">
                  <c:v>15.314917127071823</c:v>
                </c:pt>
                <c:pt idx="133">
                  <c:v>15.140883977900515</c:v>
                </c:pt>
                <c:pt idx="134">
                  <c:v>14.966850828729248</c:v>
                </c:pt>
                <c:pt idx="135">
                  <c:v>14.792817679557977</c:v>
                </c:pt>
                <c:pt idx="136">
                  <c:v>14.618784530386705</c:v>
                </c:pt>
                <c:pt idx="137">
                  <c:v>14.444751381215433</c:v>
                </c:pt>
                <c:pt idx="138">
                  <c:v>14.270718232044164</c:v>
                </c:pt>
                <c:pt idx="139">
                  <c:v>14.096685082872897</c:v>
                </c:pt>
                <c:pt idx="140">
                  <c:v>13.922651933701623</c:v>
                </c:pt>
                <c:pt idx="141">
                  <c:v>13.748618784530352</c:v>
                </c:pt>
                <c:pt idx="142">
                  <c:v>13.574585635359083</c:v>
                </c:pt>
                <c:pt idx="143">
                  <c:v>13.400552486187811</c:v>
                </c:pt>
                <c:pt idx="144">
                  <c:v>13.226519337016541</c:v>
                </c:pt>
                <c:pt idx="145">
                  <c:v>13.05248618784527</c:v>
                </c:pt>
                <c:pt idx="146">
                  <c:v>12.878453038673996</c:v>
                </c:pt>
                <c:pt idx="147">
                  <c:v>12.704419889502727</c:v>
                </c:pt>
                <c:pt idx="148">
                  <c:v>12.530386740331457</c:v>
                </c:pt>
                <c:pt idx="149">
                  <c:v>12.356353591160184</c:v>
                </c:pt>
                <c:pt idx="150">
                  <c:v>12.182320441988916</c:v>
                </c:pt>
                <c:pt idx="151">
                  <c:v>12.008287292817645</c:v>
                </c:pt>
                <c:pt idx="152">
                  <c:v>11.834254143646374</c:v>
                </c:pt>
                <c:pt idx="153">
                  <c:v>11.660220994475104</c:v>
                </c:pt>
                <c:pt idx="154">
                  <c:v>11.486187845303833</c:v>
                </c:pt>
                <c:pt idx="155">
                  <c:v>11.312154696132563</c:v>
                </c:pt>
                <c:pt idx="156">
                  <c:v>11.138121546961292</c:v>
                </c:pt>
                <c:pt idx="157">
                  <c:v>10.964088397790022</c:v>
                </c:pt>
                <c:pt idx="158">
                  <c:v>10.790055248618748</c:v>
                </c:pt>
                <c:pt idx="159">
                  <c:v>10.616022099447479</c:v>
                </c:pt>
                <c:pt idx="160">
                  <c:v>10.441988950276208</c:v>
                </c:pt>
                <c:pt idx="161">
                  <c:v>10.267955801104936</c:v>
                </c:pt>
                <c:pt idx="162">
                  <c:v>10.093922651933665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8FA-4EDC-A783-3B444B54627B}"/>
            </c:ext>
          </c:extLst>
        </c:ser>
        <c:ser>
          <c:idx val="3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Calculations'!$I$60:$I$279</c:f>
              <c:numCache>
                <c:formatCode>General</c:formatCode>
                <c:ptCount val="220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</c:numCache>
            </c:numRef>
          </c:xVal>
          <c:yVal>
            <c:numRef>
              <c:f>'Design Calculations'!$L$60:$L$279</c:f>
              <c:numCache>
                <c:formatCode>0.0000</c:formatCode>
                <c:ptCount val="2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8FA-4EDC-A783-3B444B5462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040"/>
        <c:axId val="256193648"/>
      </c:scatterChart>
      <c:valAx>
        <c:axId val="25619404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946491063617044"/>
              <c:y val="0.934158322802242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648"/>
        <c:crosses val="autoZero"/>
        <c:crossBetween val="midCat"/>
        <c:minorUnit val="1"/>
      </c:valAx>
      <c:valAx>
        <c:axId val="25619364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 Limit</a:t>
                </a:r>
              </a:p>
            </c:rich>
          </c:tx>
          <c:layout>
            <c:manualLayout>
              <c:xMode val="edge"/>
              <c:yMode val="edge"/>
              <c:x val="7.4404761904761901E-3"/>
              <c:y val="0.41563872417182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6815507436570426"/>
          <c:y val="0.19958890941101495"/>
          <c:w val="0.12351206099237594"/>
          <c:h val="9.05351954462481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FET Power Dissipation in Foldback</a:t>
            </a:r>
          </a:p>
        </c:rich>
      </c:tx>
      <c:layout>
        <c:manualLayout>
          <c:xMode val="edge"/>
          <c:yMode val="edge"/>
          <c:x val="0.29210134128166915"/>
          <c:y val="5.43259557344064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457526080476907E-2"/>
          <c:y val="0.14373731043990476"/>
          <c:w val="0.86885245901639341"/>
          <c:h val="0.73306028324351424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2.4352941176471301</c:v>
                </c:pt>
                <c:pt idx="2">
                  <c:v>4.8705882352941368</c:v>
                </c:pt>
                <c:pt idx="3">
                  <c:v>7.3058823529412678</c:v>
                </c:pt>
                <c:pt idx="4">
                  <c:v>9.7411764705882735</c:v>
                </c:pt>
                <c:pt idx="5">
                  <c:v>12.176470588235404</c:v>
                </c:pt>
                <c:pt idx="6">
                  <c:v>14.611764705882411</c:v>
                </c:pt>
                <c:pt idx="7">
                  <c:v>17.047058823529479</c:v>
                </c:pt>
                <c:pt idx="8">
                  <c:v>19.482352941176547</c:v>
                </c:pt>
                <c:pt idx="9">
                  <c:v>21.917647058823615</c:v>
                </c:pt>
                <c:pt idx="10">
                  <c:v>24.352941176470623</c:v>
                </c:pt>
                <c:pt idx="11">
                  <c:v>26.788235294117754</c:v>
                </c:pt>
                <c:pt idx="12">
                  <c:v>29.223529411764762</c:v>
                </c:pt>
                <c:pt idx="13">
                  <c:v>31.65882352941189</c:v>
                </c:pt>
                <c:pt idx="14">
                  <c:v>34.094117647058894</c:v>
                </c:pt>
                <c:pt idx="15">
                  <c:v>36.529411764706026</c:v>
                </c:pt>
                <c:pt idx="16">
                  <c:v>38.964705882352973</c:v>
                </c:pt>
                <c:pt idx="17">
                  <c:v>41.400000000000105</c:v>
                </c:pt>
                <c:pt idx="18">
                  <c:v>43.835294117647109</c:v>
                </c:pt>
                <c:pt idx="19">
                  <c:v>46.270588235294241</c:v>
                </c:pt>
                <c:pt idx="20">
                  <c:v>48.705882352941245</c:v>
                </c:pt>
                <c:pt idx="21">
                  <c:v>50.909917127071907</c:v>
                </c:pt>
                <c:pt idx="22">
                  <c:v>53.066187845303958</c:v>
                </c:pt>
                <c:pt idx="23">
                  <c:v>55.198093922652035</c:v>
                </c:pt>
                <c:pt idx="24">
                  <c:v>57.305635359116124</c:v>
                </c:pt>
                <c:pt idx="25">
                  <c:v>59.388812154696197</c:v>
                </c:pt>
                <c:pt idx="26">
                  <c:v>61.447624309392332</c:v>
                </c:pt>
                <c:pt idx="27">
                  <c:v>63.482071823204492</c:v>
                </c:pt>
                <c:pt idx="28">
                  <c:v>65.492154696132687</c:v>
                </c:pt>
                <c:pt idx="29">
                  <c:v>67.477872928176893</c:v>
                </c:pt>
                <c:pt idx="30">
                  <c:v>69.439226519337112</c:v>
                </c:pt>
                <c:pt idx="31">
                  <c:v>71.376215469613371</c:v>
                </c:pt>
                <c:pt idx="32">
                  <c:v>73.288839779005585</c:v>
                </c:pt>
                <c:pt idx="33">
                  <c:v>75.177099447513896</c:v>
                </c:pt>
                <c:pt idx="34">
                  <c:v>77.040994475138163</c:v>
                </c:pt>
                <c:pt idx="35">
                  <c:v>78.880524861878499</c:v>
                </c:pt>
                <c:pt idx="36">
                  <c:v>80.695690607734846</c:v>
                </c:pt>
                <c:pt idx="37">
                  <c:v>82.486491712707235</c:v>
                </c:pt>
                <c:pt idx="38">
                  <c:v>84.252928176795649</c:v>
                </c:pt>
                <c:pt idx="39">
                  <c:v>85.995000000000076</c:v>
                </c:pt>
                <c:pt idx="40">
                  <c:v>87.712707182320514</c:v>
                </c:pt>
                <c:pt idx="41">
                  <c:v>89.406049723756951</c:v>
                </c:pt>
                <c:pt idx="42">
                  <c:v>91.075027624309428</c:v>
                </c:pt>
                <c:pt idx="43">
                  <c:v>92.719640883977945</c:v>
                </c:pt>
                <c:pt idx="44">
                  <c:v>94.339889502762489</c:v>
                </c:pt>
                <c:pt idx="45">
                  <c:v>95.935773480663045</c:v>
                </c:pt>
                <c:pt idx="46">
                  <c:v>97.507292817679627</c:v>
                </c:pt>
                <c:pt idx="47">
                  <c:v>99.054447513812235</c:v>
                </c:pt>
                <c:pt idx="48">
                  <c:v>100.57723756906086</c:v>
                </c:pt>
                <c:pt idx="49">
                  <c:v>102.07566298342549</c:v>
                </c:pt>
                <c:pt idx="50">
                  <c:v>103.54972375690613</c:v>
                </c:pt>
                <c:pt idx="51">
                  <c:v>104.99941988950282</c:v>
                </c:pt>
                <c:pt idx="52">
                  <c:v>106.42475138121554</c:v>
                </c:pt>
                <c:pt idx="53">
                  <c:v>107.82571823204427</c:v>
                </c:pt>
                <c:pt idx="54">
                  <c:v>109.20232044198903</c:v>
                </c:pt>
                <c:pt idx="55">
                  <c:v>110.55455801104979</c:v>
                </c:pt>
                <c:pt idx="56">
                  <c:v>111.88243093922659</c:v>
                </c:pt>
                <c:pt idx="57">
                  <c:v>113.18593922651939</c:v>
                </c:pt>
                <c:pt idx="58">
                  <c:v>114.46508287292825</c:v>
                </c:pt>
                <c:pt idx="59">
                  <c:v>115.71986187845307</c:v>
                </c:pt>
                <c:pt idx="60">
                  <c:v>116.95027624309398</c:v>
                </c:pt>
                <c:pt idx="61">
                  <c:v>118.15632596685087</c:v>
                </c:pt>
                <c:pt idx="62">
                  <c:v>119.33801104972379</c:v>
                </c:pt>
                <c:pt idx="63">
                  <c:v>120.49533149171276</c:v>
                </c:pt>
                <c:pt idx="64">
                  <c:v>121.62828729281773</c:v>
                </c:pt>
                <c:pt idx="65">
                  <c:v>122.73687845303874</c:v>
                </c:pt>
                <c:pt idx="66">
                  <c:v>123.82110497237575</c:v>
                </c:pt>
                <c:pt idx="67">
                  <c:v>124.88096685082877</c:v>
                </c:pt>
                <c:pt idx="68">
                  <c:v>125.91646408839783</c:v>
                </c:pt>
                <c:pt idx="69">
                  <c:v>126.92759668508293</c:v>
                </c:pt>
                <c:pt idx="70">
                  <c:v>127.91436464088403</c:v>
                </c:pt>
                <c:pt idx="71">
                  <c:v>128.87676795580117</c:v>
                </c:pt>
                <c:pt idx="72">
                  <c:v>129.81480662983432</c:v>
                </c:pt>
                <c:pt idx="73">
                  <c:v>130.72848066298349</c:v>
                </c:pt>
                <c:pt idx="74">
                  <c:v>131.61779005524869</c:v>
                </c:pt>
                <c:pt idx="75">
                  <c:v>132.48273480662988</c:v>
                </c:pt>
                <c:pt idx="76">
                  <c:v>133.32331491712714</c:v>
                </c:pt>
                <c:pt idx="77">
                  <c:v>134.13953038674038</c:v>
                </c:pt>
                <c:pt idx="78">
                  <c:v>134.93138121546968</c:v>
                </c:pt>
                <c:pt idx="79">
                  <c:v>135.69886740331498</c:v>
                </c:pt>
                <c:pt idx="80">
                  <c:v>136.44198895027628</c:v>
                </c:pt>
                <c:pt idx="81">
                  <c:v>137.16074585635366</c:v>
                </c:pt>
                <c:pt idx="82">
                  <c:v>137.85513812154699</c:v>
                </c:pt>
                <c:pt idx="83">
                  <c:v>138.52516574585641</c:v>
                </c:pt>
                <c:pt idx="84">
                  <c:v>139.17082872928182</c:v>
                </c:pt>
                <c:pt idx="85">
                  <c:v>139.79212707182324</c:v>
                </c:pt>
                <c:pt idx="86">
                  <c:v>140.38906077348068</c:v>
                </c:pt>
                <c:pt idx="87">
                  <c:v>140.96162983425418</c:v>
                </c:pt>
                <c:pt idx="88">
                  <c:v>141.5098342541437</c:v>
                </c:pt>
                <c:pt idx="89">
                  <c:v>142.03367403314923</c:v>
                </c:pt>
                <c:pt idx="90">
                  <c:v>142.53314917127076</c:v>
                </c:pt>
                <c:pt idx="91">
                  <c:v>143.00825966850834</c:v>
                </c:pt>
                <c:pt idx="92">
                  <c:v>143.45900552486191</c:v>
                </c:pt>
                <c:pt idx="93">
                  <c:v>143.88538674033151</c:v>
                </c:pt>
                <c:pt idx="94">
                  <c:v>144.28740331491716</c:v>
                </c:pt>
                <c:pt idx="95">
                  <c:v>144.66505524861881</c:v>
                </c:pt>
                <c:pt idx="96">
                  <c:v>145.01834254143651</c:v>
                </c:pt>
                <c:pt idx="97">
                  <c:v>145.34726519337022</c:v>
                </c:pt>
                <c:pt idx="98">
                  <c:v>145.65182320441997</c:v>
                </c:pt>
                <c:pt idx="99">
                  <c:v>145.93201657458567</c:v>
                </c:pt>
                <c:pt idx="100">
                  <c:v>146.18784530386745</c:v>
                </c:pt>
                <c:pt idx="101">
                  <c:v>146.41930939226523</c:v>
                </c:pt>
                <c:pt idx="102">
                  <c:v>146.62640883977906</c:v>
                </c:pt>
                <c:pt idx="103">
                  <c:v>146.80914364640887</c:v>
                </c:pt>
                <c:pt idx="104">
                  <c:v>146.96751381215475</c:v>
                </c:pt>
                <c:pt idx="105">
                  <c:v>147.10151933701661</c:v>
                </c:pt>
                <c:pt idx="106">
                  <c:v>147.21116022099451</c:v>
                </c:pt>
                <c:pt idx="107">
                  <c:v>147.29643646408843</c:v>
                </c:pt>
                <c:pt idx="108">
                  <c:v>147.35734806629839</c:v>
                </c:pt>
                <c:pt idx="109">
                  <c:v>147.39389502762435</c:v>
                </c:pt>
                <c:pt idx="110">
                  <c:v>147.40607734806633</c:v>
                </c:pt>
                <c:pt idx="111">
                  <c:v>147.39389502762435</c:v>
                </c:pt>
                <c:pt idx="112">
                  <c:v>147.35734806629839</c:v>
                </c:pt>
                <c:pt idx="113">
                  <c:v>147.29643646408846</c:v>
                </c:pt>
                <c:pt idx="114">
                  <c:v>147.21116022099451</c:v>
                </c:pt>
                <c:pt idx="115">
                  <c:v>147.10151933701661</c:v>
                </c:pt>
                <c:pt idx="116">
                  <c:v>146.96751381215472</c:v>
                </c:pt>
                <c:pt idx="117">
                  <c:v>146.80914364640884</c:v>
                </c:pt>
                <c:pt idx="118">
                  <c:v>146.62640883977903</c:v>
                </c:pt>
                <c:pt idx="119">
                  <c:v>146.41930939226521</c:v>
                </c:pt>
                <c:pt idx="120">
                  <c:v>146.18784530386745</c:v>
                </c:pt>
                <c:pt idx="121">
                  <c:v>145.93201657458567</c:v>
                </c:pt>
                <c:pt idx="122">
                  <c:v>145.65182320441991</c:v>
                </c:pt>
                <c:pt idx="123">
                  <c:v>145.34726519337022</c:v>
                </c:pt>
                <c:pt idx="124">
                  <c:v>145.01834254143654</c:v>
                </c:pt>
                <c:pt idx="125">
                  <c:v>144.66505524861881</c:v>
                </c:pt>
                <c:pt idx="126">
                  <c:v>144.28740331491716</c:v>
                </c:pt>
                <c:pt idx="127">
                  <c:v>143.88538674033154</c:v>
                </c:pt>
                <c:pt idx="128">
                  <c:v>143.45900552486188</c:v>
                </c:pt>
                <c:pt idx="129">
                  <c:v>143.00825966850832</c:v>
                </c:pt>
                <c:pt idx="130">
                  <c:v>142.53314917127074</c:v>
                </c:pt>
                <c:pt idx="131">
                  <c:v>142.0336740331492</c:v>
                </c:pt>
                <c:pt idx="132">
                  <c:v>141.50983425414367</c:v>
                </c:pt>
                <c:pt idx="133">
                  <c:v>140.96162983425404</c:v>
                </c:pt>
                <c:pt idx="134">
                  <c:v>140.38906077348059</c:v>
                </c:pt>
                <c:pt idx="135">
                  <c:v>139.79212707182313</c:v>
                </c:pt>
                <c:pt idx="136">
                  <c:v>139.17082872928168</c:v>
                </c:pt>
                <c:pt idx="137">
                  <c:v>138.52516574585624</c:v>
                </c:pt>
                <c:pt idx="138">
                  <c:v>137.85513812154684</c:v>
                </c:pt>
                <c:pt idx="139">
                  <c:v>137.16074585635349</c:v>
                </c:pt>
                <c:pt idx="140">
                  <c:v>136.44198895027611</c:v>
                </c:pt>
                <c:pt idx="141">
                  <c:v>135.69886740331478</c:v>
                </c:pt>
                <c:pt idx="142">
                  <c:v>134.93138121546949</c:v>
                </c:pt>
                <c:pt idx="143">
                  <c:v>134.1395303867402</c:v>
                </c:pt>
                <c:pt idx="144">
                  <c:v>133.32331491712694</c:v>
                </c:pt>
                <c:pt idx="145">
                  <c:v>132.48273480662971</c:v>
                </c:pt>
                <c:pt idx="146">
                  <c:v>131.61779005524846</c:v>
                </c:pt>
                <c:pt idx="147">
                  <c:v>130.72848066298329</c:v>
                </c:pt>
                <c:pt idx="148">
                  <c:v>129.8148066298341</c:v>
                </c:pt>
                <c:pt idx="149">
                  <c:v>128.87676795580094</c:v>
                </c:pt>
                <c:pt idx="150">
                  <c:v>127.9143646408838</c:v>
                </c:pt>
                <c:pt idx="151">
                  <c:v>126.9275966850827</c:v>
                </c:pt>
                <c:pt idx="152">
                  <c:v>125.9164640883976</c:v>
                </c:pt>
                <c:pt idx="153">
                  <c:v>124.88096685082854</c:v>
                </c:pt>
                <c:pt idx="154">
                  <c:v>123.82110497237549</c:v>
                </c:pt>
                <c:pt idx="155">
                  <c:v>122.73687845303849</c:v>
                </c:pt>
                <c:pt idx="156">
                  <c:v>121.62828729281749</c:v>
                </c:pt>
                <c:pt idx="157">
                  <c:v>120.49533149171252</c:v>
                </c:pt>
                <c:pt idx="158">
                  <c:v>119.33801104972352</c:v>
                </c:pt>
                <c:pt idx="159">
                  <c:v>118.15632596685062</c:v>
                </c:pt>
                <c:pt idx="160">
                  <c:v>116.95027624309371</c:v>
                </c:pt>
                <c:pt idx="161">
                  <c:v>115.7198618784528</c:v>
                </c:pt>
                <c:pt idx="162">
                  <c:v>114.46508287292794</c:v>
                </c:pt>
                <c:pt idx="163">
                  <c:v>114.10000000000016</c:v>
                </c:pt>
                <c:pt idx="164">
                  <c:v>114.80000000000015</c:v>
                </c:pt>
                <c:pt idx="165">
                  <c:v>115.50000000000014</c:v>
                </c:pt>
                <c:pt idx="166">
                  <c:v>116.20000000000016</c:v>
                </c:pt>
                <c:pt idx="167">
                  <c:v>116.90000000000015</c:v>
                </c:pt>
                <c:pt idx="168">
                  <c:v>117.60000000000016</c:v>
                </c:pt>
                <c:pt idx="169">
                  <c:v>118.30000000000015</c:v>
                </c:pt>
                <c:pt idx="170">
                  <c:v>119.00000000000017</c:v>
                </c:pt>
                <c:pt idx="171">
                  <c:v>119.70000000000016</c:v>
                </c:pt>
                <c:pt idx="172">
                  <c:v>120.40000000000018</c:v>
                </c:pt>
                <c:pt idx="173">
                  <c:v>121.10000000000016</c:v>
                </c:pt>
                <c:pt idx="174">
                  <c:v>121.80000000000015</c:v>
                </c:pt>
                <c:pt idx="175">
                  <c:v>122.50000000000016</c:v>
                </c:pt>
                <c:pt idx="176">
                  <c:v>123.20000000000016</c:v>
                </c:pt>
                <c:pt idx="177">
                  <c:v>123.90000000000016</c:v>
                </c:pt>
                <c:pt idx="178">
                  <c:v>124.60000000000016</c:v>
                </c:pt>
                <c:pt idx="179">
                  <c:v>125.30000000000015</c:v>
                </c:pt>
                <c:pt idx="180">
                  <c:v>126.00000000000016</c:v>
                </c:pt>
                <c:pt idx="181">
                  <c:v>126.70000000000016</c:v>
                </c:pt>
                <c:pt idx="182">
                  <c:v>127.40000000000016</c:v>
                </c:pt>
                <c:pt idx="183">
                  <c:v>128.10000000000016</c:v>
                </c:pt>
                <c:pt idx="184">
                  <c:v>128.80000000000018</c:v>
                </c:pt>
                <c:pt idx="185">
                  <c:v>129.50000000000017</c:v>
                </c:pt>
                <c:pt idx="186">
                  <c:v>130.20000000000016</c:v>
                </c:pt>
                <c:pt idx="187">
                  <c:v>130.90000000000015</c:v>
                </c:pt>
                <c:pt idx="188">
                  <c:v>131.60000000000016</c:v>
                </c:pt>
                <c:pt idx="189">
                  <c:v>132.30000000000015</c:v>
                </c:pt>
                <c:pt idx="190">
                  <c:v>133.00000000000017</c:v>
                </c:pt>
                <c:pt idx="191">
                  <c:v>133.70000000000016</c:v>
                </c:pt>
                <c:pt idx="192">
                  <c:v>134.40000000000015</c:v>
                </c:pt>
                <c:pt idx="193">
                  <c:v>135.10000000000016</c:v>
                </c:pt>
                <c:pt idx="194">
                  <c:v>135.80000000000015</c:v>
                </c:pt>
                <c:pt idx="195">
                  <c:v>136.50000000000017</c:v>
                </c:pt>
                <c:pt idx="196">
                  <c:v>137.20000000000016</c:v>
                </c:pt>
                <c:pt idx="197">
                  <c:v>137.90000000000018</c:v>
                </c:pt>
                <c:pt idx="198">
                  <c:v>138.60000000000016</c:v>
                </c:pt>
                <c:pt idx="199">
                  <c:v>139.30000000000015</c:v>
                </c:pt>
                <c:pt idx="200">
                  <c:v>140.00000000000017</c:v>
                </c:pt>
                <c:pt idx="201">
                  <c:v>140.70000000000016</c:v>
                </c:pt>
                <c:pt idx="202">
                  <c:v>141.40000000000018</c:v>
                </c:pt>
                <c:pt idx="203">
                  <c:v>142.10000000000014</c:v>
                </c:pt>
                <c:pt idx="204">
                  <c:v>142.80000000000015</c:v>
                </c:pt>
                <c:pt idx="205">
                  <c:v>143.50000000000017</c:v>
                </c:pt>
                <c:pt idx="206">
                  <c:v>144.20000000000016</c:v>
                </c:pt>
                <c:pt idx="207">
                  <c:v>144.90000000000018</c:v>
                </c:pt>
                <c:pt idx="208">
                  <c:v>145.60000000000014</c:v>
                </c:pt>
                <c:pt idx="209">
                  <c:v>146.30000000000018</c:v>
                </c:pt>
                <c:pt idx="210">
                  <c:v>147.00000000000017</c:v>
                </c:pt>
                <c:pt idx="211">
                  <c:v>147.70000000000016</c:v>
                </c:pt>
                <c:pt idx="212">
                  <c:v>148.40000000000015</c:v>
                </c:pt>
                <c:pt idx="213">
                  <c:v>149.10000000000016</c:v>
                </c:pt>
                <c:pt idx="214">
                  <c:v>149.80000000000015</c:v>
                </c:pt>
                <c:pt idx="215">
                  <c:v>150.50000000000017</c:v>
                </c:pt>
                <c:pt idx="216">
                  <c:v>151.20000000000016</c:v>
                </c:pt>
                <c:pt idx="217">
                  <c:v>151.90000000000015</c:v>
                </c:pt>
                <c:pt idx="218">
                  <c:v>152.60000000000016</c:v>
                </c:pt>
                <c:pt idx="219">
                  <c:v>153.30000000000015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B9-4063-9FA0-1A5B481071B0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EB9-4063-9FA0-1A5B48107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4432"/>
        <c:axId val="256205408"/>
      </c:scatterChart>
      <c:valAx>
        <c:axId val="25619443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Output Voltage in Foldback</a:t>
                </a:r>
              </a:p>
            </c:rich>
          </c:tx>
          <c:layout>
            <c:manualLayout>
              <c:xMode val="edge"/>
              <c:yMode val="edge"/>
              <c:x val="0.37257824143070045"/>
              <c:y val="0.934292368383529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5408"/>
        <c:crosses val="autoZero"/>
        <c:crossBetween val="midCat"/>
        <c:minorUnit val="1"/>
      </c:valAx>
      <c:valAx>
        <c:axId val="256205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Power Dissipation (W)</a:t>
                </a:r>
              </a:p>
            </c:rich>
          </c:tx>
          <c:layout>
            <c:manualLayout>
              <c:xMode val="edge"/>
              <c:yMode val="edge"/>
              <c:x val="7.4515648286140089E-3"/>
              <c:y val="0.347023030571882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44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1967213114754101"/>
          <c:y val="0.15694164989939638"/>
          <c:w val="0.1236959761549925"/>
          <c:h val="8.853118712273641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7723231346"/>
          <c:y val="2.77777338134240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2-4BDD-A996-BC12704867B1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12-4BDD-A996-BC12704867B1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12-4BDD-A996-BC12704867B1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12-4BDD-A996-BC12704867B1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12-4BDD-A996-BC12704867B1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12-4BDD-A996-BC12704867B1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25400">
              <a:solidFill>
                <a:srgbClr val="800000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A12-4BDD-A996-BC12704867B1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A12-4BDD-A996-BC12704867B1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AA12-4BDD-A996-BC12704867B1}"/>
            </c:ext>
          </c:extLst>
        </c:ser>
        <c:ser>
          <c:idx val="0"/>
          <c:order val="9"/>
          <c:tx>
            <c:strRef>
              <c:f>'Design Worksheet_BAT'!$C$90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'Design Worksheet_BAT'!$B$91</c:f>
              <c:numCache>
                <c:formatCode>General</c:formatCode>
                <c:ptCount val="1"/>
                <c:pt idx="0">
                  <c:v>9.34835292009973E-5</c:v>
                </c:pt>
              </c:numCache>
            </c:numRef>
          </c:xVal>
          <c:yVal>
            <c:numRef>
              <c:f>'Design Worksheet_BAT'!$C$91</c:f>
              <c:numCache>
                <c:formatCode>0.000</c:formatCode>
                <c:ptCount val="1"/>
                <c:pt idx="0">
                  <c:v>31.317269969068398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A12-4BDD-A996-BC1270486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198352"/>
        <c:axId val="256199136"/>
      </c:scatterChart>
      <c:valAx>
        <c:axId val="256198352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21294585469"/>
              <c:y val="0.939237746035514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9136"/>
        <c:crossesAt val="1.0000000000000001E-5"/>
        <c:crossBetween val="midCat"/>
      </c:valAx>
      <c:valAx>
        <c:axId val="256199136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71651964081E-2"/>
              <c:y val="0.4652784482341717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8352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0758211180281161"/>
          <c:y val="9.7152604668135065E-2"/>
          <c:w val="0.27918208779859199"/>
          <c:h val="0.162479413691379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955567854"/>
          <c:y val="3.0060126161528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391998211193562E-2"/>
          <c:y val="0.14071294559099437"/>
          <c:w val="0.75931921354916876"/>
          <c:h val="0.7298311444652908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FC-452A-A3E3-60FFDA69967E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FC-452A-A3E3-60FFDA69967E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FC-452A-A3E3-60FFDA69967E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2FC-452A-A3E3-60FFDA69967E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2FC-452A-A3E3-60FFDA69967E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1.0546408839776917E-2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2FC-452A-A3E3-60FFDA69967E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2FC-452A-A3E3-60FFDA69967E}"/>
            </c:ext>
          </c:extLst>
        </c:ser>
        <c:ser>
          <c:idx val="5"/>
          <c:order val="7"/>
          <c:tx>
            <c:strRef>
              <c:f>'Design Worksheet_BAT'!$C$93</c:f>
              <c:strCache>
                <c:ptCount val="1"/>
                <c:pt idx="0">
                  <c:v>Start Up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'Design Worksheet_BAT'!$B$94</c:f>
              <c:numCache>
                <c:formatCode>0.00</c:formatCode>
                <c:ptCount val="1"/>
                <c:pt idx="0">
                  <c:v>29.276489216489217</c:v>
                </c:pt>
              </c:numCache>
            </c:numRef>
          </c:xVal>
          <c:yVal>
            <c:numRef>
              <c:f>'Design Worksheet_BAT'!$C$94</c:f>
              <c:numCache>
                <c:formatCode>0.000</c:formatCode>
                <c:ptCount val="1"/>
                <c:pt idx="0">
                  <c:v>31.317269969068398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FC-452A-A3E3-60FFDA6996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1880"/>
        <c:axId val="256203448"/>
      </c:scatterChart>
      <c:valAx>
        <c:axId val="25620188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4418728807"/>
              <c:y val="0.9238484682848040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448"/>
        <c:crossesAt val="1E-4"/>
        <c:crossBetween val="midCat"/>
      </c:valAx>
      <c:valAx>
        <c:axId val="256203448"/>
        <c:scaling>
          <c:logBase val="10"/>
          <c:orientation val="minMax"/>
          <c:min val="1E-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16372753725E-2"/>
              <c:y val="0.4549103031914631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188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7753018093185631"/>
          <c:y val="0.37898686679174481"/>
          <c:w val="0.11821097442691864"/>
          <c:h val="0.2401500938086303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SOA Plot</a:t>
            </a:r>
          </a:p>
        </c:rich>
      </c:tx>
      <c:layout>
        <c:manualLayout>
          <c:xMode val="edge"/>
          <c:yMode val="edge"/>
          <c:x val="0.4605543710021322"/>
          <c:y val="3.006012024048096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4221748400852878E-2"/>
          <c:y val="0.15030074827462372"/>
          <c:w val="0.76545842217484006"/>
          <c:h val="0.71142354183321899"/>
        </c:manualLayout>
      </c:layout>
      <c:scatterChart>
        <c:scatterStyle val="lineMarker"/>
        <c:varyColors val="0"/>
        <c:ser>
          <c:idx val="0"/>
          <c:order val="0"/>
          <c:tx>
            <c:strRef>
              <c:f>'SOA Calculations'!$J$3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Calculations'!$I$4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Calculations'!$J$4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7-4243-824F-27A6AB2E081C}"/>
            </c:ext>
          </c:extLst>
        </c:ser>
        <c:ser>
          <c:idx val="2"/>
          <c:order val="1"/>
          <c:tx>
            <c:strRef>
              <c:f>'SOA Calculations'!$P$1</c:f>
              <c:strCache>
                <c:ptCount val="1"/>
                <c:pt idx="0">
                  <c:v>1mS</c:v>
                </c:pt>
              </c:strCache>
            </c:strRef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'SOA Calculations'!$O$2:$O$6</c:f>
              <c:numCache>
                <c:formatCode>General</c:formatCode>
                <c:ptCount val="5"/>
                <c:pt idx="0">
                  <c:v>0.1</c:v>
                </c:pt>
                <c:pt idx="1">
                  <c:v>1.25</c:v>
                </c:pt>
                <c:pt idx="2">
                  <c:v>9</c:v>
                </c:pt>
                <c:pt idx="3">
                  <c:v>60</c:v>
                </c:pt>
              </c:numCache>
            </c:numRef>
          </c:xVal>
          <c:yVal>
            <c:numRef>
              <c:f>'SOA Calculations'!$P$2:$P$6</c:f>
              <c:numCache>
                <c:formatCode>General</c:formatCode>
                <c:ptCount val="5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97-4243-824F-27A6AB2E081C}"/>
            </c:ext>
          </c:extLst>
        </c:ser>
        <c:ser>
          <c:idx val="3"/>
          <c:order val="2"/>
          <c:tx>
            <c:strRef>
              <c:f>'SOA Calculations'!$S$1</c:f>
              <c:strCache>
                <c:ptCount val="1"/>
                <c:pt idx="0">
                  <c:v>10mS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'SOA Calculations'!$R$2:$R$5</c:f>
              <c:numCache>
                <c:formatCode>General</c:formatCode>
                <c:ptCount val="4"/>
                <c:pt idx="0">
                  <c:v>0.1</c:v>
                </c:pt>
                <c:pt idx="1">
                  <c:v>1.25</c:v>
                </c:pt>
                <c:pt idx="2">
                  <c:v>3</c:v>
                </c:pt>
                <c:pt idx="3">
                  <c:v>60</c:v>
                </c:pt>
              </c:numCache>
            </c:numRef>
          </c:xVal>
          <c:yVal>
            <c:numRef>
              <c:f>'SOA Calculations'!$S$2:$S$5</c:f>
              <c:numCache>
                <c:formatCode>General</c:formatCode>
                <c:ptCount val="4"/>
                <c:pt idx="0">
                  <c:v>1</c:v>
                </c:pt>
                <c:pt idx="1">
                  <c:v>12</c:v>
                </c:pt>
                <c:pt idx="2">
                  <c:v>12</c:v>
                </c:pt>
                <c:pt idx="3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97-4243-824F-27A6AB2E081C}"/>
            </c:ext>
          </c:extLst>
        </c:ser>
        <c:ser>
          <c:idx val="4"/>
          <c:order val="3"/>
          <c:tx>
            <c:strRef>
              <c:f>'SOA Calculations'!$V$1</c:f>
              <c:strCache>
                <c:ptCount val="1"/>
                <c:pt idx="0">
                  <c:v>100mS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'SOA Calculations'!$U$2:$U$6</c:f>
              <c:numCache>
                <c:formatCode>General</c:formatCode>
                <c:ptCount val="5"/>
                <c:pt idx="0">
                  <c:v>0.1</c:v>
                </c:pt>
                <c:pt idx="1">
                  <c:v>0.85</c:v>
                </c:pt>
                <c:pt idx="2">
                  <c:v>1.5</c:v>
                </c:pt>
                <c:pt idx="3">
                  <c:v>60</c:v>
                </c:pt>
              </c:numCache>
            </c:numRef>
          </c:xVal>
          <c:yVal>
            <c:numRef>
              <c:f>'SOA Calculations'!$V$2:$V$6</c:f>
              <c:numCache>
                <c:formatCode>General</c:formatCode>
                <c:ptCount val="5"/>
                <c:pt idx="0">
                  <c:v>1</c:v>
                </c:pt>
                <c:pt idx="1">
                  <c:v>8.1999999999999993</c:v>
                </c:pt>
                <c:pt idx="2">
                  <c:v>8.1999999999999993</c:v>
                </c:pt>
                <c:pt idx="3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C97-4243-824F-27A6AB2E081C}"/>
            </c:ext>
          </c:extLst>
        </c:ser>
        <c:ser>
          <c:idx val="7"/>
          <c:order val="4"/>
          <c:tx>
            <c:strRef>
              <c:f>'SOA Calculations'!$J$8</c:f>
              <c:strCache>
                <c:ptCount val="1"/>
                <c:pt idx="0">
                  <c:v>Peak Power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Calculations'!$I$9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'SOA Calculations'!$J$9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C97-4243-824F-27A6AB2E081C}"/>
            </c:ext>
          </c:extLst>
        </c:ser>
        <c:ser>
          <c:idx val="8"/>
          <c:order val="5"/>
          <c:tx>
            <c:strRef>
              <c:f>'SOA Calculations'!$J$12</c:f>
              <c:strCache>
                <c:ptCount val="1"/>
                <c:pt idx="0">
                  <c:v>Avg Current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circle"/>
            <c:size val="11"/>
            <c:spPr>
              <a:solidFill>
                <a:srgbClr val="00FF00"/>
              </a:solidFill>
              <a:ln>
                <a:solidFill>
                  <a:srgbClr val="00FF00"/>
                </a:solidFill>
                <a:prstDash val="solid"/>
              </a:ln>
            </c:spPr>
          </c:marker>
          <c:xVal>
            <c:numRef>
              <c:f>'SOA Calculations'!$I$13</c:f>
              <c:numCache>
                <c:formatCode>General</c:formatCode>
                <c:ptCount val="1"/>
                <c:pt idx="0">
                  <c:v>6.9999999999986129E-2</c:v>
                </c:pt>
              </c:numCache>
            </c:numRef>
          </c:xVal>
          <c:yVal>
            <c:numRef>
              <c:f>'SOA Calculations'!$J$13</c:f>
              <c:numCache>
                <c:formatCode>General</c:formatCode>
                <c:ptCount val="1"/>
                <c:pt idx="0">
                  <c:v>1.0546408839776917E-2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C97-4243-824F-27A6AB2E081C}"/>
            </c:ext>
          </c:extLst>
        </c:ser>
        <c:ser>
          <c:idx val="1"/>
          <c:order val="6"/>
          <c:tx>
            <c:strRef>
              <c:f>'SOA Calculations'!$AB$1</c:f>
              <c:strCache>
                <c:ptCount val="1"/>
                <c:pt idx="0">
                  <c:v>DC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'SOA Calculations'!$AA$2:$AA$6</c:f>
              <c:numCache>
                <c:formatCode>General</c:formatCode>
                <c:ptCount val="5"/>
                <c:pt idx="0">
                  <c:v>0.1</c:v>
                </c:pt>
                <c:pt idx="1">
                  <c:v>0.23</c:v>
                </c:pt>
                <c:pt idx="2">
                  <c:v>0.4</c:v>
                </c:pt>
                <c:pt idx="3">
                  <c:v>60</c:v>
                </c:pt>
              </c:numCache>
            </c:numRef>
          </c:xVal>
          <c:yVal>
            <c:numRef>
              <c:f>'SOA Calculations'!$AB$2:$AB$6</c:f>
              <c:numCache>
                <c:formatCode>General</c:formatCode>
                <c:ptCount val="5"/>
                <c:pt idx="0">
                  <c:v>1</c:v>
                </c:pt>
                <c:pt idx="1">
                  <c:v>2.25</c:v>
                </c:pt>
                <c:pt idx="2">
                  <c:v>2.25</c:v>
                </c:pt>
                <c:pt idx="3">
                  <c:v>1.4999999999999999E-2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C97-4243-824F-27A6AB2E0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3840"/>
        <c:axId val="256208152"/>
      </c:scatterChart>
      <c:valAx>
        <c:axId val="256203840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Voltage</a:t>
                </a:r>
              </a:p>
            </c:rich>
          </c:tx>
          <c:layout>
            <c:manualLayout>
              <c:xMode val="edge"/>
              <c:yMode val="edge"/>
              <c:x val="0.43923240938166314"/>
              <c:y val="0.92384853696895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152"/>
        <c:crossesAt val="1E-4"/>
        <c:crossBetween val="midCat"/>
      </c:valAx>
      <c:valAx>
        <c:axId val="256208152"/>
        <c:scaling>
          <c:logBase val="10"/>
          <c:orientation val="minMax"/>
          <c:max val="100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7057569296375266E-2"/>
              <c:y val="0.454910240428363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840"/>
        <c:crossesAt val="1E-3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7739872068230274"/>
          <c:y val="0.37074148296593185"/>
          <c:w val="0.99573560767590619"/>
          <c:h val="0.6272545090180360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Time vs Current</a:t>
            </a:r>
          </a:p>
        </c:rich>
      </c:tx>
      <c:layout>
        <c:manualLayout>
          <c:xMode val="edge"/>
          <c:yMode val="edge"/>
          <c:x val="0.44337349397590359"/>
          <c:y val="2.777777777777777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132530120481926E-2"/>
          <c:y val="0.12326409787342983"/>
          <c:w val="0.88674698795180718"/>
          <c:h val="0.76389018400435382"/>
        </c:manualLayout>
      </c:layout>
      <c:scatterChart>
        <c:scatterStyle val="lineMarker"/>
        <c:varyColors val="0"/>
        <c:ser>
          <c:idx val="9"/>
          <c:order val="0"/>
          <c:tx>
            <c:strRef>
              <c:f>'SOA Calculations'!$J$16</c:f>
              <c:strCache>
                <c:ptCount val="1"/>
                <c:pt idx="0">
                  <c:v>Timer PW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1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'SOA Calculations'!$J$17</c:f>
              <c:numCache>
                <c:formatCode>General</c:formatCode>
                <c:ptCount val="1"/>
                <c:pt idx="0">
                  <c:v>1.2466666666666668E-2</c:v>
                </c:pt>
              </c:numCache>
            </c:numRef>
          </c:xVal>
          <c:yVal>
            <c:numRef>
              <c:f>'SOA Calculations'!$I$17</c:f>
              <c:numCache>
                <c:formatCode>General</c:formatCode>
                <c:ptCount val="1"/>
                <c:pt idx="0">
                  <c:v>0.17403314917123622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F-45B6-8C11-696C25524EA4}"/>
            </c:ext>
          </c:extLst>
        </c:ser>
        <c:ser>
          <c:idx val="10"/>
          <c:order val="1"/>
          <c:tx>
            <c:strRef>
              <c:f>'SOA Calculations'!$Q$80</c:f>
              <c:strCache>
                <c:ptCount val="1"/>
                <c:pt idx="0">
                  <c:v>55V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Calculations'!$Q$81:$Q$84</c:f>
              <c:numCache>
                <c:formatCode>General</c:formatCode>
                <c:ptCount val="4"/>
                <c:pt idx="0">
                  <c:v>0.65454545454545454</c:v>
                </c:pt>
                <c:pt idx="1">
                  <c:v>0.22363636363636366</c:v>
                </c:pt>
                <c:pt idx="2">
                  <c:v>6.9545454545454549E-2</c:v>
                </c:pt>
                <c:pt idx="3">
                  <c:v>1.6363636363636365E-2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F-45B6-8C11-696C25524EA4}"/>
            </c:ext>
          </c:extLst>
        </c:ser>
        <c:ser>
          <c:idx val="11"/>
          <c:order val="2"/>
          <c:tx>
            <c:strRef>
              <c:f>'SOA Calculations'!$R$80</c:f>
              <c:strCache>
                <c:ptCount val="1"/>
                <c:pt idx="0">
                  <c:v>40V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Calculations'!$R$81:$R$84</c:f>
              <c:numCache>
                <c:formatCode>General</c:formatCode>
                <c:ptCount val="4"/>
                <c:pt idx="0">
                  <c:v>0.9</c:v>
                </c:pt>
                <c:pt idx="1">
                  <c:v>0.3075</c:v>
                </c:pt>
                <c:pt idx="2">
                  <c:v>9.5625000000000002E-2</c:v>
                </c:pt>
                <c:pt idx="3">
                  <c:v>2.2499999999999999E-2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F-45B6-8C11-696C25524EA4}"/>
            </c:ext>
          </c:extLst>
        </c:ser>
        <c:ser>
          <c:idx val="12"/>
          <c:order val="3"/>
          <c:tx>
            <c:strRef>
              <c:f>'SOA Calculations'!$S$80</c:f>
              <c:strCache>
                <c:ptCount val="1"/>
                <c:pt idx="0">
                  <c:v>30V</c:v>
                </c:pt>
              </c:strCache>
            </c:strRef>
          </c:tx>
          <c:spPr>
            <a:ln w="12700">
              <a:solidFill>
                <a:srgbClr val="99CC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Calculations'!$S$81:$S$84</c:f>
              <c:numCache>
                <c:formatCode>General</c:formatCode>
                <c:ptCount val="4"/>
                <c:pt idx="0">
                  <c:v>1.2</c:v>
                </c:pt>
                <c:pt idx="1">
                  <c:v>0.41000000000000003</c:v>
                </c:pt>
                <c:pt idx="2">
                  <c:v>0.1275</c:v>
                </c:pt>
                <c:pt idx="3">
                  <c:v>3.0000000000000002E-2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5F-45B6-8C11-696C25524EA4}"/>
            </c:ext>
          </c:extLst>
        </c:ser>
        <c:ser>
          <c:idx val="13"/>
          <c:order val="4"/>
          <c:tx>
            <c:strRef>
              <c:f>'SOA Calculations'!$T$80</c:f>
              <c:strCache>
                <c:ptCount val="1"/>
                <c:pt idx="0">
                  <c:v>20V</c:v>
                </c:pt>
              </c:strCache>
            </c:strRef>
          </c:tx>
          <c:spPr>
            <a:ln w="12700">
              <a:solidFill>
                <a:srgbClr val="FF99CC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Calculations'!$T$81:$T$84</c:f>
              <c:numCache>
                <c:formatCode>General</c:formatCode>
                <c:ptCount val="4"/>
                <c:pt idx="0">
                  <c:v>1.8</c:v>
                </c:pt>
                <c:pt idx="1">
                  <c:v>0.61499999999999999</c:v>
                </c:pt>
                <c:pt idx="2">
                  <c:v>0.19125</c:v>
                </c:pt>
                <c:pt idx="3">
                  <c:v>4.4999999999999998E-2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5F-45B6-8C11-696C25524EA4}"/>
            </c:ext>
          </c:extLst>
        </c:ser>
        <c:ser>
          <c:idx val="14"/>
          <c:order val="5"/>
          <c:tx>
            <c:strRef>
              <c:f>'SOA Calculations'!$U$80</c:f>
              <c:strCache>
                <c:ptCount val="1"/>
                <c:pt idx="0">
                  <c:v>10V</c:v>
                </c:pt>
              </c:strCache>
            </c:strRef>
          </c:tx>
          <c:spPr>
            <a:ln w="12700">
              <a:solidFill>
                <a:srgbClr val="CC99FF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Calculations'!$U$81:$U$84</c:f>
              <c:numCache>
                <c:formatCode>General</c:formatCode>
                <c:ptCount val="4"/>
                <c:pt idx="0">
                  <c:v>3.6</c:v>
                </c:pt>
                <c:pt idx="1">
                  <c:v>1.23</c:v>
                </c:pt>
                <c:pt idx="2">
                  <c:v>0.38250000000000001</c:v>
                </c:pt>
                <c:pt idx="3">
                  <c:v>0.09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A5F-45B6-8C11-696C25524EA4}"/>
            </c:ext>
          </c:extLst>
        </c:ser>
        <c:ser>
          <c:idx val="15"/>
          <c:order val="6"/>
          <c:tx>
            <c:strRef>
              <c:f>'SOA Calculations'!$V$80</c:f>
              <c:strCache>
                <c:ptCount val="1"/>
                <c:pt idx="0">
                  <c:v>5V</c:v>
                </c:pt>
              </c:strCache>
            </c:strRef>
          </c:tx>
          <c:spPr>
            <a:ln w="12700">
              <a:solidFill>
                <a:srgbClr val="FFCC99"/>
              </a:solidFill>
              <a:prstDash val="solid"/>
            </a:ln>
          </c:spPr>
          <c:marker>
            <c:symbol val="none"/>
          </c:marker>
          <c:xVal>
            <c:numRef>
              <c:f>'SOA Calculations'!$P$81:$P$84</c:f>
              <c:numCache>
                <c:formatCode>General</c:formatCode>
                <c:ptCount val="4"/>
                <c:pt idx="0" formatCode="0.00E+00">
                  <c:v>0.01</c:v>
                </c:pt>
                <c:pt idx="1">
                  <c:v>0.1</c:v>
                </c:pt>
                <c:pt idx="2">
                  <c:v>1</c:v>
                </c:pt>
                <c:pt idx="3">
                  <c:v>1000</c:v>
                </c:pt>
              </c:numCache>
            </c:numRef>
          </c:xVal>
          <c:yVal>
            <c:numRef>
              <c:f>'SOA Calculations'!$V$81:$V$84</c:f>
              <c:numCache>
                <c:formatCode>General</c:formatCode>
                <c:ptCount val="4"/>
                <c:pt idx="0">
                  <c:v>7.2</c:v>
                </c:pt>
                <c:pt idx="1">
                  <c:v>2.46</c:v>
                </c:pt>
                <c:pt idx="2">
                  <c:v>0.76500000000000001</c:v>
                </c:pt>
                <c:pt idx="3">
                  <c:v>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A5F-45B6-8C11-696C25524EA4}"/>
            </c:ext>
          </c:extLst>
        </c:ser>
        <c:ser>
          <c:idx val="16"/>
          <c:order val="7"/>
          <c:tx>
            <c:strRef>
              <c:f>'SOA Calculations'!$W$80</c:f>
              <c:strCache>
                <c:ptCount val="1"/>
                <c:pt idx="0">
                  <c:v>3V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Calculations'!$W$83:$W$84</c:f>
              <c:numCache>
                <c:formatCode>General</c:formatCode>
                <c:ptCount val="2"/>
                <c:pt idx="0">
                  <c:v>1.2750000000000001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A5F-45B6-8C11-696C25524EA4}"/>
            </c:ext>
          </c:extLst>
        </c:ser>
        <c:ser>
          <c:idx val="17"/>
          <c:order val="8"/>
          <c:tx>
            <c:strRef>
              <c:f>'SOA Calculations'!$X$80</c:f>
              <c:strCache>
                <c:ptCount val="1"/>
                <c:pt idx="0">
                  <c:v>2V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none"/>
          </c:marker>
          <c:xVal>
            <c:numRef>
              <c:f>'SOA Calculations'!$P$83:$P$84</c:f>
              <c:numCache>
                <c:formatCode>General</c:formatCode>
                <c:ptCount val="2"/>
                <c:pt idx="0">
                  <c:v>1</c:v>
                </c:pt>
                <c:pt idx="1">
                  <c:v>1000</c:v>
                </c:pt>
              </c:numCache>
            </c:numRef>
          </c:xVal>
          <c:yVal>
            <c:numRef>
              <c:f>'SOA Calculations'!$X$83:$X$84</c:f>
              <c:numCache>
                <c:formatCode>General</c:formatCode>
                <c:ptCount val="2"/>
                <c:pt idx="0">
                  <c:v>1.9125000000000001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A5F-45B6-8C11-696C25524E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976"/>
        <c:axId val="256195608"/>
      </c:scatterChart>
      <c:valAx>
        <c:axId val="256206976"/>
        <c:scaling>
          <c:logBase val="10"/>
          <c:orientation val="minMax"/>
          <c:max val="1000"/>
          <c:min val="0.0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(Seconds)</a:t>
                </a:r>
              </a:p>
            </c:rich>
          </c:tx>
          <c:layout>
            <c:manualLayout>
              <c:xMode val="edge"/>
              <c:yMode val="edge"/>
              <c:x val="0.472289156626506"/>
              <c:y val="0.93923775153105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5608"/>
        <c:crossesAt val="1.0000000000000001E-5"/>
        <c:crossBetween val="midCat"/>
      </c:valAx>
      <c:valAx>
        <c:axId val="256195608"/>
        <c:scaling>
          <c:logBase val="10"/>
          <c:orientation val="minMax"/>
          <c:min val="0.0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Current</a:t>
                </a:r>
              </a:p>
            </c:rich>
          </c:tx>
          <c:layout>
            <c:manualLayout>
              <c:xMode val="edge"/>
              <c:yMode val="edge"/>
              <c:x val="1.8072289156626505E-2"/>
              <c:y val="0.465278506853309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976"/>
        <c:crossesAt val="1.0000000000000001E-5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0481927710843373"/>
          <c:y val="0.10243073782443861"/>
          <c:w val="0.98433734939759043"/>
          <c:h val="0.270833880139982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20661157025"/>
          <c:y val="3.2911502654096488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074380165289256"/>
          <c:y val="0.15246636771300448"/>
          <c:w val="0.71239669421487606"/>
          <c:h val="0.713004484304932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Calculations'!$F$59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Calculations'!$F$60:$F$279</c:f>
              <c:numCache>
                <c:formatCode>General</c:formatCode>
                <c:ptCount val="220"/>
                <c:pt idx="0">
                  <c:v>34.789915966386552</c:v>
                </c:pt>
                <c:pt idx="1">
                  <c:v>34.789915966386552</c:v>
                </c:pt>
                <c:pt idx="2">
                  <c:v>34.789915966386552</c:v>
                </c:pt>
                <c:pt idx="3">
                  <c:v>34.789915966386552</c:v>
                </c:pt>
                <c:pt idx="4">
                  <c:v>34.789915966386552</c:v>
                </c:pt>
                <c:pt idx="5">
                  <c:v>34.789915966386552</c:v>
                </c:pt>
                <c:pt idx="6">
                  <c:v>34.789915966386552</c:v>
                </c:pt>
                <c:pt idx="7">
                  <c:v>34.789915966386552</c:v>
                </c:pt>
                <c:pt idx="8">
                  <c:v>34.789915966386552</c:v>
                </c:pt>
                <c:pt idx="9">
                  <c:v>34.789915966386552</c:v>
                </c:pt>
                <c:pt idx="10">
                  <c:v>34.789915966386552</c:v>
                </c:pt>
                <c:pt idx="11">
                  <c:v>34.789915966386552</c:v>
                </c:pt>
                <c:pt idx="12">
                  <c:v>34.789915966386552</c:v>
                </c:pt>
                <c:pt idx="13">
                  <c:v>34.789915966386552</c:v>
                </c:pt>
                <c:pt idx="14">
                  <c:v>34.789915966386552</c:v>
                </c:pt>
                <c:pt idx="15">
                  <c:v>34.789915966386552</c:v>
                </c:pt>
                <c:pt idx="16">
                  <c:v>34.789915966386552</c:v>
                </c:pt>
                <c:pt idx="17">
                  <c:v>34.789915966386552</c:v>
                </c:pt>
                <c:pt idx="18">
                  <c:v>34.789915966386552</c:v>
                </c:pt>
                <c:pt idx="19">
                  <c:v>34.789915966386552</c:v>
                </c:pt>
                <c:pt idx="20">
                  <c:v>34.789915966386552</c:v>
                </c:pt>
                <c:pt idx="21">
                  <c:v>34.632596685082873</c:v>
                </c:pt>
                <c:pt idx="22">
                  <c:v>34.458563535911601</c:v>
                </c:pt>
                <c:pt idx="23">
                  <c:v>34.284530386740329</c:v>
                </c:pt>
                <c:pt idx="24">
                  <c:v>34.110497237569056</c:v>
                </c:pt>
                <c:pt idx="25">
                  <c:v>33.936464088397791</c:v>
                </c:pt>
                <c:pt idx="26">
                  <c:v>33.762430939226519</c:v>
                </c:pt>
                <c:pt idx="27">
                  <c:v>33.588397790055247</c:v>
                </c:pt>
                <c:pt idx="28">
                  <c:v>33.414364640883981</c:v>
                </c:pt>
                <c:pt idx="29">
                  <c:v>33.240331491712709</c:v>
                </c:pt>
                <c:pt idx="30">
                  <c:v>33.06629834254143</c:v>
                </c:pt>
                <c:pt idx="31">
                  <c:v>32.892265193370164</c:v>
                </c:pt>
                <c:pt idx="32">
                  <c:v>32.718232044198892</c:v>
                </c:pt>
                <c:pt idx="33">
                  <c:v>32.544198895027627</c:v>
                </c:pt>
                <c:pt idx="34">
                  <c:v>32.370165745856362</c:v>
                </c:pt>
                <c:pt idx="35">
                  <c:v>32.196132596685089</c:v>
                </c:pt>
                <c:pt idx="36">
                  <c:v>32.02209944751381</c:v>
                </c:pt>
                <c:pt idx="37">
                  <c:v>31.848066298342541</c:v>
                </c:pt>
                <c:pt idx="38">
                  <c:v>31.674033149171272</c:v>
                </c:pt>
                <c:pt idx="39">
                  <c:v>31.5</c:v>
                </c:pt>
                <c:pt idx="40">
                  <c:v>31.325966850828728</c:v>
                </c:pt>
                <c:pt idx="41">
                  <c:v>31.151933701657462</c:v>
                </c:pt>
                <c:pt idx="42">
                  <c:v>30.977900552486187</c:v>
                </c:pt>
                <c:pt idx="43">
                  <c:v>30.803867403314918</c:v>
                </c:pt>
                <c:pt idx="44">
                  <c:v>30.629834254143645</c:v>
                </c:pt>
                <c:pt idx="45">
                  <c:v>30.455801104972377</c:v>
                </c:pt>
                <c:pt idx="46">
                  <c:v>30.281767955801104</c:v>
                </c:pt>
                <c:pt idx="47">
                  <c:v>30.107734806629836</c:v>
                </c:pt>
                <c:pt idx="48">
                  <c:v>29.933701657458563</c:v>
                </c:pt>
                <c:pt idx="49">
                  <c:v>29.759668508287287</c:v>
                </c:pt>
                <c:pt idx="50">
                  <c:v>29.585635359116022</c:v>
                </c:pt>
                <c:pt idx="51">
                  <c:v>29.41160220994475</c:v>
                </c:pt>
                <c:pt idx="52">
                  <c:v>29.237569060773481</c:v>
                </c:pt>
                <c:pt idx="53">
                  <c:v>29.063535911602209</c:v>
                </c:pt>
                <c:pt idx="54">
                  <c:v>28.88950276243094</c:v>
                </c:pt>
                <c:pt idx="55">
                  <c:v>28.715469613259664</c:v>
                </c:pt>
                <c:pt idx="56">
                  <c:v>28.541436464088392</c:v>
                </c:pt>
                <c:pt idx="57">
                  <c:v>28.367403314917127</c:v>
                </c:pt>
                <c:pt idx="58">
                  <c:v>28.193370165745858</c:v>
                </c:pt>
                <c:pt idx="59">
                  <c:v>28.019337016574589</c:v>
                </c:pt>
                <c:pt idx="60">
                  <c:v>27.84530386740332</c:v>
                </c:pt>
                <c:pt idx="61">
                  <c:v>27.671270718232044</c:v>
                </c:pt>
                <c:pt idx="62">
                  <c:v>27.497237569060772</c:v>
                </c:pt>
                <c:pt idx="63">
                  <c:v>27.323204419889503</c:v>
                </c:pt>
                <c:pt idx="64">
                  <c:v>27.149171270718231</c:v>
                </c:pt>
                <c:pt idx="65">
                  <c:v>26.975138121546962</c:v>
                </c:pt>
                <c:pt idx="66">
                  <c:v>26.801104972375697</c:v>
                </c:pt>
                <c:pt idx="67">
                  <c:v>26.627071823204421</c:v>
                </c:pt>
                <c:pt idx="68">
                  <c:v>26.453038674033149</c:v>
                </c:pt>
                <c:pt idx="69">
                  <c:v>26.27900552486188</c:v>
                </c:pt>
                <c:pt idx="70">
                  <c:v>26.104972375690608</c:v>
                </c:pt>
                <c:pt idx="71">
                  <c:v>25.930939226519335</c:v>
                </c:pt>
                <c:pt idx="72">
                  <c:v>25.756906077348066</c:v>
                </c:pt>
                <c:pt idx="73">
                  <c:v>25.582872928176794</c:v>
                </c:pt>
                <c:pt idx="74">
                  <c:v>25.408839779005522</c:v>
                </c:pt>
                <c:pt idx="75">
                  <c:v>25.234806629834253</c:v>
                </c:pt>
                <c:pt idx="76">
                  <c:v>25.060773480662984</c:v>
                </c:pt>
                <c:pt idx="77">
                  <c:v>24.886740331491712</c:v>
                </c:pt>
                <c:pt idx="78">
                  <c:v>24.712707182320443</c:v>
                </c:pt>
                <c:pt idx="79">
                  <c:v>24.538674033149171</c:v>
                </c:pt>
                <c:pt idx="80">
                  <c:v>24.364640883977895</c:v>
                </c:pt>
                <c:pt idx="81">
                  <c:v>24.190607734806626</c:v>
                </c:pt>
                <c:pt idx="82">
                  <c:v>24.016574585635357</c:v>
                </c:pt>
                <c:pt idx="83">
                  <c:v>23.842541436464089</c:v>
                </c:pt>
                <c:pt idx="84">
                  <c:v>23.668508287292823</c:v>
                </c:pt>
                <c:pt idx="85">
                  <c:v>23.494475138121551</c:v>
                </c:pt>
                <c:pt idx="86">
                  <c:v>23.320441988950275</c:v>
                </c:pt>
                <c:pt idx="87">
                  <c:v>23.146408839779006</c:v>
                </c:pt>
                <c:pt idx="88">
                  <c:v>22.972375690607734</c:v>
                </c:pt>
                <c:pt idx="89">
                  <c:v>22.798342541436465</c:v>
                </c:pt>
                <c:pt idx="90">
                  <c:v>22.624309392265193</c:v>
                </c:pt>
                <c:pt idx="91">
                  <c:v>22.450276243093928</c:v>
                </c:pt>
                <c:pt idx="92">
                  <c:v>22.276243093922652</c:v>
                </c:pt>
                <c:pt idx="93">
                  <c:v>22.10220994475138</c:v>
                </c:pt>
                <c:pt idx="94">
                  <c:v>21.928176795580111</c:v>
                </c:pt>
                <c:pt idx="95">
                  <c:v>21.754143646408838</c:v>
                </c:pt>
                <c:pt idx="96">
                  <c:v>21.58011049723757</c:v>
                </c:pt>
                <c:pt idx="97">
                  <c:v>21.406077348066297</c:v>
                </c:pt>
                <c:pt idx="98">
                  <c:v>21.232044198895029</c:v>
                </c:pt>
                <c:pt idx="99">
                  <c:v>21.058011049723753</c:v>
                </c:pt>
                <c:pt idx="100">
                  <c:v>20.883977900552487</c:v>
                </c:pt>
                <c:pt idx="101">
                  <c:v>20.709944751381215</c:v>
                </c:pt>
                <c:pt idx="102">
                  <c:v>20.535911602209946</c:v>
                </c:pt>
                <c:pt idx="103">
                  <c:v>20.361878453038671</c:v>
                </c:pt>
                <c:pt idx="104">
                  <c:v>20.187845303867402</c:v>
                </c:pt>
                <c:pt idx="105">
                  <c:v>20.013812154696129</c:v>
                </c:pt>
                <c:pt idx="106">
                  <c:v>19.839779005524861</c:v>
                </c:pt>
                <c:pt idx="107">
                  <c:v>19.665745856353588</c:v>
                </c:pt>
                <c:pt idx="108">
                  <c:v>19.491712707182323</c:v>
                </c:pt>
                <c:pt idx="109">
                  <c:v>19.317679558011051</c:v>
                </c:pt>
                <c:pt idx="110">
                  <c:v>19.143646408839782</c:v>
                </c:pt>
                <c:pt idx="111">
                  <c:v>18.96961325966851</c:v>
                </c:pt>
                <c:pt idx="112">
                  <c:v>18.795580110497241</c:v>
                </c:pt>
                <c:pt idx="113">
                  <c:v>18.621546961325969</c:v>
                </c:pt>
                <c:pt idx="114">
                  <c:v>18.447513812154696</c:v>
                </c:pt>
                <c:pt idx="115">
                  <c:v>18.273480662983427</c:v>
                </c:pt>
                <c:pt idx="116">
                  <c:v>18.099447513812155</c:v>
                </c:pt>
                <c:pt idx="117">
                  <c:v>17.925414364640883</c:v>
                </c:pt>
                <c:pt idx="118">
                  <c:v>17.751381215469614</c:v>
                </c:pt>
                <c:pt idx="119">
                  <c:v>17.577348066298342</c:v>
                </c:pt>
                <c:pt idx="120">
                  <c:v>17.403314917127073</c:v>
                </c:pt>
                <c:pt idx="121">
                  <c:v>17.229281767955801</c:v>
                </c:pt>
                <c:pt idx="122">
                  <c:v>17.055248618784528</c:v>
                </c:pt>
                <c:pt idx="123">
                  <c:v>16.881215469613259</c:v>
                </c:pt>
                <c:pt idx="124">
                  <c:v>16.707182320441991</c:v>
                </c:pt>
                <c:pt idx="125">
                  <c:v>16.533149171270715</c:v>
                </c:pt>
                <c:pt idx="126">
                  <c:v>16.359116022099446</c:v>
                </c:pt>
                <c:pt idx="127">
                  <c:v>16.185082872928181</c:v>
                </c:pt>
                <c:pt idx="128">
                  <c:v>16.011049723756905</c:v>
                </c:pt>
                <c:pt idx="129">
                  <c:v>15.837016574585636</c:v>
                </c:pt>
                <c:pt idx="130">
                  <c:v>15.662983425414364</c:v>
                </c:pt>
                <c:pt idx="131">
                  <c:v>15.488950276243093</c:v>
                </c:pt>
                <c:pt idx="132">
                  <c:v>15.314917127071823</c:v>
                </c:pt>
                <c:pt idx="133">
                  <c:v>15.140883977900515</c:v>
                </c:pt>
                <c:pt idx="134">
                  <c:v>14.966850828729248</c:v>
                </c:pt>
                <c:pt idx="135">
                  <c:v>14.792817679557977</c:v>
                </c:pt>
                <c:pt idx="136">
                  <c:v>14.618784530386705</c:v>
                </c:pt>
                <c:pt idx="137">
                  <c:v>14.444751381215433</c:v>
                </c:pt>
                <c:pt idx="138">
                  <c:v>14.270718232044164</c:v>
                </c:pt>
                <c:pt idx="139">
                  <c:v>14.096685082872897</c:v>
                </c:pt>
                <c:pt idx="140">
                  <c:v>13.922651933701623</c:v>
                </c:pt>
                <c:pt idx="141">
                  <c:v>13.748618784530352</c:v>
                </c:pt>
                <c:pt idx="142">
                  <c:v>13.574585635359083</c:v>
                </c:pt>
                <c:pt idx="143">
                  <c:v>13.400552486187811</c:v>
                </c:pt>
                <c:pt idx="144">
                  <c:v>13.226519337016541</c:v>
                </c:pt>
                <c:pt idx="145">
                  <c:v>13.05248618784527</c:v>
                </c:pt>
                <c:pt idx="146">
                  <c:v>12.878453038673996</c:v>
                </c:pt>
                <c:pt idx="147">
                  <c:v>12.704419889502727</c:v>
                </c:pt>
                <c:pt idx="148">
                  <c:v>12.530386740331457</c:v>
                </c:pt>
                <c:pt idx="149">
                  <c:v>12.356353591160184</c:v>
                </c:pt>
                <c:pt idx="150">
                  <c:v>12.182320441988916</c:v>
                </c:pt>
                <c:pt idx="151">
                  <c:v>12.008287292817645</c:v>
                </c:pt>
                <c:pt idx="152">
                  <c:v>11.834254143646374</c:v>
                </c:pt>
                <c:pt idx="153">
                  <c:v>11.660220994475104</c:v>
                </c:pt>
                <c:pt idx="154">
                  <c:v>11.486187845303833</c:v>
                </c:pt>
                <c:pt idx="155">
                  <c:v>11.312154696132563</c:v>
                </c:pt>
                <c:pt idx="156">
                  <c:v>11.138121546961292</c:v>
                </c:pt>
                <c:pt idx="157">
                  <c:v>10.964088397790022</c:v>
                </c:pt>
                <c:pt idx="158">
                  <c:v>10.790055248618748</c:v>
                </c:pt>
                <c:pt idx="159">
                  <c:v>10.616022099447479</c:v>
                </c:pt>
                <c:pt idx="160">
                  <c:v>10.441988950276208</c:v>
                </c:pt>
                <c:pt idx="161">
                  <c:v>10.267955801104936</c:v>
                </c:pt>
                <c:pt idx="162">
                  <c:v>10.093922651933665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</c:v>
                </c:pt>
                <c:pt idx="167">
                  <c:v>10</c:v>
                </c:pt>
                <c:pt idx="168">
                  <c:v>10</c:v>
                </c:pt>
                <c:pt idx="169">
                  <c:v>10</c:v>
                </c:pt>
                <c:pt idx="170">
                  <c:v>10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10</c:v>
                </c:pt>
                <c:pt idx="175">
                  <c:v>10</c:v>
                </c:pt>
                <c:pt idx="176">
                  <c:v>10</c:v>
                </c:pt>
                <c:pt idx="177">
                  <c:v>10</c:v>
                </c:pt>
                <c:pt idx="178">
                  <c:v>10</c:v>
                </c:pt>
                <c:pt idx="179">
                  <c:v>10</c:v>
                </c:pt>
                <c:pt idx="180">
                  <c:v>10</c:v>
                </c:pt>
                <c:pt idx="181">
                  <c:v>10</c:v>
                </c:pt>
                <c:pt idx="182">
                  <c:v>10</c:v>
                </c:pt>
                <c:pt idx="183">
                  <c:v>10</c:v>
                </c:pt>
                <c:pt idx="184">
                  <c:v>10</c:v>
                </c:pt>
                <c:pt idx="185">
                  <c:v>10</c:v>
                </c:pt>
                <c:pt idx="186">
                  <c:v>10</c:v>
                </c:pt>
                <c:pt idx="187">
                  <c:v>10</c:v>
                </c:pt>
                <c:pt idx="188">
                  <c:v>10</c:v>
                </c:pt>
                <c:pt idx="189">
                  <c:v>10</c:v>
                </c:pt>
                <c:pt idx="190">
                  <c:v>10</c:v>
                </c:pt>
                <c:pt idx="191">
                  <c:v>10</c:v>
                </c:pt>
                <c:pt idx="192">
                  <c:v>10</c:v>
                </c:pt>
                <c:pt idx="193">
                  <c:v>10</c:v>
                </c:pt>
                <c:pt idx="194">
                  <c:v>10</c:v>
                </c:pt>
                <c:pt idx="195">
                  <c:v>10</c:v>
                </c:pt>
                <c:pt idx="196">
                  <c:v>10</c:v>
                </c:pt>
                <c:pt idx="197">
                  <c:v>10</c:v>
                </c:pt>
                <c:pt idx="198">
                  <c:v>10</c:v>
                </c:pt>
                <c:pt idx="199">
                  <c:v>10</c:v>
                </c:pt>
                <c:pt idx="200">
                  <c:v>10</c:v>
                </c:pt>
                <c:pt idx="201">
                  <c:v>10</c:v>
                </c:pt>
                <c:pt idx="202">
                  <c:v>10</c:v>
                </c:pt>
                <c:pt idx="203">
                  <c:v>10</c:v>
                </c:pt>
                <c:pt idx="204">
                  <c:v>10</c:v>
                </c:pt>
                <c:pt idx="205">
                  <c:v>10</c:v>
                </c:pt>
                <c:pt idx="206">
                  <c:v>10</c:v>
                </c:pt>
                <c:pt idx="207">
                  <c:v>10</c:v>
                </c:pt>
                <c:pt idx="208">
                  <c:v>10</c:v>
                </c:pt>
                <c:pt idx="209">
                  <c:v>10</c:v>
                </c:pt>
                <c:pt idx="210">
                  <c:v>10</c:v>
                </c:pt>
                <c:pt idx="211">
                  <c:v>10</c:v>
                </c:pt>
                <c:pt idx="212">
                  <c:v>10</c:v>
                </c:pt>
                <c:pt idx="213">
                  <c:v>10</c:v>
                </c:pt>
                <c:pt idx="214">
                  <c:v>10</c:v>
                </c:pt>
                <c:pt idx="215">
                  <c:v>10</c:v>
                </c:pt>
                <c:pt idx="216">
                  <c:v>10</c:v>
                </c:pt>
                <c:pt idx="217">
                  <c:v>10</c:v>
                </c:pt>
                <c:pt idx="218">
                  <c:v>10</c:v>
                </c:pt>
                <c:pt idx="219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A7-4C10-8D45-9B4E5BC162A3}"/>
            </c:ext>
          </c:extLst>
        </c:ser>
        <c:ser>
          <c:idx val="4"/>
          <c:order val="1"/>
          <c:tx>
            <c:strRef>
              <c:f>'Design Calculations'!$L$59</c:f>
              <c:strCache>
                <c:ptCount val="1"/>
                <c:pt idx="0">
                  <c:v>FLB OC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Calculations'!$L$60:$L$290</c:f>
              <c:numCache>
                <c:formatCode>0.0000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A7-4C10-8D45-9B4E5BC16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0312"/>
        <c:axId val="256197176"/>
      </c:scatterChart>
      <c:valAx>
        <c:axId val="256200312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Voltage</a:t>
                </a:r>
              </a:p>
            </c:rich>
          </c:tx>
          <c:layout>
            <c:manualLayout>
              <c:xMode val="edge"/>
              <c:yMode val="edge"/>
              <c:x val="0.37190082644628097"/>
              <c:y val="0.934977578475336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7176"/>
        <c:crosses val="autoZero"/>
        <c:crossBetween val="midCat"/>
        <c:minorUnit val="1"/>
      </c:valAx>
      <c:valAx>
        <c:axId val="2561971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Foldback Current</a:t>
                </a:r>
              </a:p>
            </c:rich>
          </c:tx>
          <c:layout>
            <c:manualLayout>
              <c:xMode val="edge"/>
              <c:yMode val="edge"/>
              <c:x val="1.1570247933884297E-2"/>
              <c:y val="0.383408071748878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03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19834710743803"/>
          <c:y val="0.47982062780269058"/>
          <c:w val="0.99338842975206609"/>
          <c:h val="0.578475336322869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4297514790849163"/>
          <c:y val="3.291138943202569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65687470489555E-2"/>
          <c:y val="0.15436275334424232"/>
          <c:w val="0.75577679548395515"/>
          <c:h val="0.7449680704874303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'Design Calculations'!$G$59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'Design Calculations'!$C$60:$C$279</c:f>
              <c:numCache>
                <c:formatCode>General</c:formatCode>
                <c:ptCount val="220"/>
                <c:pt idx="0">
                  <c:v>15.400000000000002</c:v>
                </c:pt>
                <c:pt idx="1">
                  <c:v>15.33</c:v>
                </c:pt>
                <c:pt idx="2">
                  <c:v>15.260000000000002</c:v>
                </c:pt>
                <c:pt idx="3">
                  <c:v>15.19</c:v>
                </c:pt>
                <c:pt idx="4">
                  <c:v>15.120000000000001</c:v>
                </c:pt>
                <c:pt idx="5">
                  <c:v>15.049999999999999</c:v>
                </c:pt>
                <c:pt idx="6">
                  <c:v>14.98</c:v>
                </c:pt>
                <c:pt idx="7">
                  <c:v>14.91</c:v>
                </c:pt>
                <c:pt idx="8">
                  <c:v>14.84</c:v>
                </c:pt>
                <c:pt idx="9">
                  <c:v>14.77</c:v>
                </c:pt>
                <c:pt idx="10">
                  <c:v>14.700000000000001</c:v>
                </c:pt>
                <c:pt idx="11">
                  <c:v>14.629999999999999</c:v>
                </c:pt>
                <c:pt idx="12">
                  <c:v>14.56</c:v>
                </c:pt>
                <c:pt idx="13">
                  <c:v>14.489999999999998</c:v>
                </c:pt>
                <c:pt idx="14">
                  <c:v>14.42</c:v>
                </c:pt>
                <c:pt idx="15">
                  <c:v>14.349999999999998</c:v>
                </c:pt>
                <c:pt idx="16">
                  <c:v>14.280000000000001</c:v>
                </c:pt>
                <c:pt idx="17">
                  <c:v>14.209999999999999</c:v>
                </c:pt>
                <c:pt idx="18">
                  <c:v>14.14</c:v>
                </c:pt>
                <c:pt idx="19">
                  <c:v>14.069999999999999</c:v>
                </c:pt>
                <c:pt idx="20">
                  <c:v>14</c:v>
                </c:pt>
                <c:pt idx="21">
                  <c:v>13.93</c:v>
                </c:pt>
                <c:pt idx="22">
                  <c:v>13.86</c:v>
                </c:pt>
                <c:pt idx="23">
                  <c:v>13.79</c:v>
                </c:pt>
                <c:pt idx="24">
                  <c:v>13.719999999999999</c:v>
                </c:pt>
                <c:pt idx="25">
                  <c:v>13.65</c:v>
                </c:pt>
                <c:pt idx="26">
                  <c:v>13.58</c:v>
                </c:pt>
                <c:pt idx="27">
                  <c:v>13.51</c:v>
                </c:pt>
                <c:pt idx="28">
                  <c:v>13.44</c:v>
                </c:pt>
                <c:pt idx="29">
                  <c:v>13.37</c:v>
                </c:pt>
                <c:pt idx="30">
                  <c:v>13.299999999999999</c:v>
                </c:pt>
                <c:pt idx="31">
                  <c:v>13.229999999999999</c:v>
                </c:pt>
                <c:pt idx="32">
                  <c:v>13.16</c:v>
                </c:pt>
                <c:pt idx="33">
                  <c:v>13.09</c:v>
                </c:pt>
                <c:pt idx="34">
                  <c:v>13.020000000000001</c:v>
                </c:pt>
                <c:pt idx="35">
                  <c:v>12.950000000000001</c:v>
                </c:pt>
                <c:pt idx="36">
                  <c:v>12.88</c:v>
                </c:pt>
                <c:pt idx="37">
                  <c:v>12.81</c:v>
                </c:pt>
                <c:pt idx="38">
                  <c:v>12.74</c:v>
                </c:pt>
                <c:pt idx="39">
                  <c:v>12.67</c:v>
                </c:pt>
                <c:pt idx="40">
                  <c:v>12.6</c:v>
                </c:pt>
                <c:pt idx="41">
                  <c:v>12.530000000000001</c:v>
                </c:pt>
                <c:pt idx="42">
                  <c:v>12.46</c:v>
                </c:pt>
                <c:pt idx="43">
                  <c:v>12.39</c:v>
                </c:pt>
                <c:pt idx="44">
                  <c:v>12.32</c:v>
                </c:pt>
                <c:pt idx="45">
                  <c:v>12.25</c:v>
                </c:pt>
                <c:pt idx="46">
                  <c:v>12.18</c:v>
                </c:pt>
                <c:pt idx="47">
                  <c:v>12.11</c:v>
                </c:pt>
                <c:pt idx="48">
                  <c:v>12.04</c:v>
                </c:pt>
                <c:pt idx="49">
                  <c:v>11.969999999999999</c:v>
                </c:pt>
                <c:pt idx="50">
                  <c:v>11.9</c:v>
                </c:pt>
                <c:pt idx="51">
                  <c:v>11.83</c:v>
                </c:pt>
                <c:pt idx="52">
                  <c:v>11.76</c:v>
                </c:pt>
                <c:pt idx="53">
                  <c:v>11.69</c:v>
                </c:pt>
                <c:pt idx="54">
                  <c:v>11.62</c:v>
                </c:pt>
                <c:pt idx="55">
                  <c:v>11.549999999999999</c:v>
                </c:pt>
                <c:pt idx="56">
                  <c:v>11.479999999999999</c:v>
                </c:pt>
                <c:pt idx="57">
                  <c:v>11.41</c:v>
                </c:pt>
                <c:pt idx="58">
                  <c:v>11.34</c:v>
                </c:pt>
                <c:pt idx="59">
                  <c:v>11.270000000000001</c:v>
                </c:pt>
                <c:pt idx="60">
                  <c:v>11.200000000000001</c:v>
                </c:pt>
                <c:pt idx="61">
                  <c:v>11.13</c:v>
                </c:pt>
                <c:pt idx="62">
                  <c:v>11.06</c:v>
                </c:pt>
                <c:pt idx="63">
                  <c:v>10.99</c:v>
                </c:pt>
                <c:pt idx="64">
                  <c:v>10.92</c:v>
                </c:pt>
                <c:pt idx="65">
                  <c:v>10.85</c:v>
                </c:pt>
                <c:pt idx="66">
                  <c:v>10.780000000000001</c:v>
                </c:pt>
                <c:pt idx="67">
                  <c:v>10.71</c:v>
                </c:pt>
                <c:pt idx="68">
                  <c:v>10.64</c:v>
                </c:pt>
                <c:pt idx="69">
                  <c:v>10.57</c:v>
                </c:pt>
                <c:pt idx="70">
                  <c:v>10.5</c:v>
                </c:pt>
                <c:pt idx="71">
                  <c:v>10.43</c:v>
                </c:pt>
                <c:pt idx="72">
                  <c:v>10.36</c:v>
                </c:pt>
                <c:pt idx="73">
                  <c:v>10.29</c:v>
                </c:pt>
                <c:pt idx="74">
                  <c:v>10.219999999999999</c:v>
                </c:pt>
                <c:pt idx="75">
                  <c:v>10.15</c:v>
                </c:pt>
                <c:pt idx="76">
                  <c:v>10.08</c:v>
                </c:pt>
                <c:pt idx="77">
                  <c:v>10.01</c:v>
                </c:pt>
                <c:pt idx="78">
                  <c:v>9.94</c:v>
                </c:pt>
                <c:pt idx="79">
                  <c:v>9.8699999999999992</c:v>
                </c:pt>
                <c:pt idx="80">
                  <c:v>9.7999999999999989</c:v>
                </c:pt>
                <c:pt idx="81">
                  <c:v>9.7299999999999986</c:v>
                </c:pt>
                <c:pt idx="82">
                  <c:v>9.66</c:v>
                </c:pt>
                <c:pt idx="83">
                  <c:v>9.59</c:v>
                </c:pt>
                <c:pt idx="84">
                  <c:v>9.5200000000000014</c:v>
                </c:pt>
                <c:pt idx="85">
                  <c:v>9.4500000000000011</c:v>
                </c:pt>
                <c:pt idx="86">
                  <c:v>9.3800000000000008</c:v>
                </c:pt>
                <c:pt idx="87">
                  <c:v>9.31</c:v>
                </c:pt>
                <c:pt idx="88">
                  <c:v>9.24</c:v>
                </c:pt>
                <c:pt idx="89">
                  <c:v>9.17</c:v>
                </c:pt>
                <c:pt idx="90">
                  <c:v>9.1</c:v>
                </c:pt>
                <c:pt idx="91">
                  <c:v>9.0300000000000011</c:v>
                </c:pt>
                <c:pt idx="92">
                  <c:v>8.9600000000000009</c:v>
                </c:pt>
                <c:pt idx="93">
                  <c:v>8.89</c:v>
                </c:pt>
                <c:pt idx="94">
                  <c:v>8.82</c:v>
                </c:pt>
                <c:pt idx="95">
                  <c:v>8.75</c:v>
                </c:pt>
                <c:pt idx="96">
                  <c:v>8.68</c:v>
                </c:pt>
                <c:pt idx="97">
                  <c:v>8.61</c:v>
                </c:pt>
                <c:pt idx="98">
                  <c:v>8.5399999999999991</c:v>
                </c:pt>
                <c:pt idx="99">
                  <c:v>8.4699999999999989</c:v>
                </c:pt>
                <c:pt idx="100">
                  <c:v>8.4</c:v>
                </c:pt>
                <c:pt idx="101">
                  <c:v>8.33</c:v>
                </c:pt>
                <c:pt idx="102">
                  <c:v>8.26</c:v>
                </c:pt>
                <c:pt idx="103">
                  <c:v>8.19</c:v>
                </c:pt>
                <c:pt idx="104">
                  <c:v>8.1199999999999992</c:v>
                </c:pt>
                <c:pt idx="105">
                  <c:v>8.0499999999999989</c:v>
                </c:pt>
                <c:pt idx="106">
                  <c:v>7.9799999999999995</c:v>
                </c:pt>
                <c:pt idx="107">
                  <c:v>7.9099999999999993</c:v>
                </c:pt>
                <c:pt idx="108">
                  <c:v>7.8400000000000007</c:v>
                </c:pt>
                <c:pt idx="109">
                  <c:v>7.7700000000000005</c:v>
                </c:pt>
                <c:pt idx="110">
                  <c:v>7.7000000000000011</c:v>
                </c:pt>
                <c:pt idx="111">
                  <c:v>7.6300000000000008</c:v>
                </c:pt>
                <c:pt idx="112">
                  <c:v>7.5600000000000005</c:v>
                </c:pt>
                <c:pt idx="113">
                  <c:v>7.49</c:v>
                </c:pt>
                <c:pt idx="114">
                  <c:v>7.42</c:v>
                </c:pt>
                <c:pt idx="115">
                  <c:v>7.3500000000000005</c:v>
                </c:pt>
                <c:pt idx="116">
                  <c:v>7.28</c:v>
                </c:pt>
                <c:pt idx="117">
                  <c:v>7.21</c:v>
                </c:pt>
                <c:pt idx="118">
                  <c:v>7.1400000000000006</c:v>
                </c:pt>
                <c:pt idx="119">
                  <c:v>7.07</c:v>
                </c:pt>
                <c:pt idx="120">
                  <c:v>7</c:v>
                </c:pt>
                <c:pt idx="121">
                  <c:v>6.93</c:v>
                </c:pt>
                <c:pt idx="122">
                  <c:v>6.8599999999999994</c:v>
                </c:pt>
                <c:pt idx="123">
                  <c:v>6.79</c:v>
                </c:pt>
                <c:pt idx="124">
                  <c:v>6.72</c:v>
                </c:pt>
                <c:pt idx="125">
                  <c:v>6.6499999999999995</c:v>
                </c:pt>
                <c:pt idx="126">
                  <c:v>6.58</c:v>
                </c:pt>
                <c:pt idx="127">
                  <c:v>6.5100000000000007</c:v>
                </c:pt>
                <c:pt idx="128">
                  <c:v>6.44</c:v>
                </c:pt>
                <c:pt idx="129">
                  <c:v>6.37</c:v>
                </c:pt>
                <c:pt idx="130">
                  <c:v>6.3</c:v>
                </c:pt>
                <c:pt idx="131">
                  <c:v>6.23</c:v>
                </c:pt>
                <c:pt idx="132">
                  <c:v>6.16</c:v>
                </c:pt>
                <c:pt idx="133">
                  <c:v>6.0899999999999856</c:v>
                </c:pt>
                <c:pt idx="134">
                  <c:v>6.0199999999999863</c:v>
                </c:pt>
                <c:pt idx="135">
                  <c:v>5.949999999999986</c:v>
                </c:pt>
                <c:pt idx="136">
                  <c:v>5.8799999999999857</c:v>
                </c:pt>
                <c:pt idx="137">
                  <c:v>5.8099999999999854</c:v>
                </c:pt>
                <c:pt idx="138">
                  <c:v>5.739999999999986</c:v>
                </c:pt>
                <c:pt idx="139">
                  <c:v>5.6699999999999866</c:v>
                </c:pt>
                <c:pt idx="140">
                  <c:v>5.5999999999999863</c:v>
                </c:pt>
                <c:pt idx="141">
                  <c:v>5.529999999999986</c:v>
                </c:pt>
                <c:pt idx="142">
                  <c:v>5.4599999999999866</c:v>
                </c:pt>
                <c:pt idx="143">
                  <c:v>5.3899999999999864</c:v>
                </c:pt>
                <c:pt idx="144">
                  <c:v>5.3199999999999861</c:v>
                </c:pt>
                <c:pt idx="145">
                  <c:v>5.2499999999999858</c:v>
                </c:pt>
                <c:pt idx="146">
                  <c:v>5.1799999999999855</c:v>
                </c:pt>
                <c:pt idx="147">
                  <c:v>5.1099999999999861</c:v>
                </c:pt>
                <c:pt idx="148">
                  <c:v>5.0399999999999858</c:v>
                </c:pt>
                <c:pt idx="149">
                  <c:v>4.9699999999999855</c:v>
                </c:pt>
                <c:pt idx="150">
                  <c:v>4.8999999999999861</c:v>
                </c:pt>
                <c:pt idx="151">
                  <c:v>4.8299999999999859</c:v>
                </c:pt>
                <c:pt idx="152">
                  <c:v>4.7599999999999865</c:v>
                </c:pt>
                <c:pt idx="153">
                  <c:v>4.6899999999999862</c:v>
                </c:pt>
                <c:pt idx="154">
                  <c:v>4.6199999999999859</c:v>
                </c:pt>
                <c:pt idx="155">
                  <c:v>4.5499999999999865</c:v>
                </c:pt>
                <c:pt idx="156">
                  <c:v>4.4799999999999862</c:v>
                </c:pt>
                <c:pt idx="157">
                  <c:v>4.4099999999999859</c:v>
                </c:pt>
                <c:pt idx="158">
                  <c:v>4.3399999999999856</c:v>
                </c:pt>
                <c:pt idx="159">
                  <c:v>4.2699999999999863</c:v>
                </c:pt>
                <c:pt idx="160">
                  <c:v>4.199999999999986</c:v>
                </c:pt>
                <c:pt idx="161">
                  <c:v>4.1299999999999857</c:v>
                </c:pt>
                <c:pt idx="162">
                  <c:v>4.0599999999999854</c:v>
                </c:pt>
                <c:pt idx="163">
                  <c:v>3.9899999999999856</c:v>
                </c:pt>
                <c:pt idx="164">
                  <c:v>3.9199999999999866</c:v>
                </c:pt>
                <c:pt idx="165">
                  <c:v>3.8499999999999863</c:v>
                </c:pt>
                <c:pt idx="166">
                  <c:v>3.779999999999986</c:v>
                </c:pt>
                <c:pt idx="167">
                  <c:v>3.7099999999999862</c:v>
                </c:pt>
                <c:pt idx="168">
                  <c:v>3.6399999999999864</c:v>
                </c:pt>
                <c:pt idx="169">
                  <c:v>3.5699999999999861</c:v>
                </c:pt>
                <c:pt idx="170">
                  <c:v>3.4999999999999858</c:v>
                </c:pt>
                <c:pt idx="171">
                  <c:v>3.4299999999999859</c:v>
                </c:pt>
                <c:pt idx="172">
                  <c:v>3.3599999999999861</c:v>
                </c:pt>
                <c:pt idx="173">
                  <c:v>3.2899999999999858</c:v>
                </c:pt>
                <c:pt idx="174">
                  <c:v>3.219999999999986</c:v>
                </c:pt>
                <c:pt idx="175">
                  <c:v>3.1499999999999861</c:v>
                </c:pt>
                <c:pt idx="176">
                  <c:v>3.0799999999999859</c:v>
                </c:pt>
                <c:pt idx="177">
                  <c:v>3.009999999999986</c:v>
                </c:pt>
                <c:pt idx="178">
                  <c:v>2.9399999999999857</c:v>
                </c:pt>
                <c:pt idx="179">
                  <c:v>2.8699999999999859</c:v>
                </c:pt>
                <c:pt idx="180">
                  <c:v>2.7999999999999861</c:v>
                </c:pt>
                <c:pt idx="181">
                  <c:v>2.7299999999999862</c:v>
                </c:pt>
                <c:pt idx="182">
                  <c:v>2.6599999999999859</c:v>
                </c:pt>
                <c:pt idx="183">
                  <c:v>2.5899999999999861</c:v>
                </c:pt>
                <c:pt idx="184">
                  <c:v>2.5199999999999858</c:v>
                </c:pt>
                <c:pt idx="185">
                  <c:v>2.449999999999986</c:v>
                </c:pt>
                <c:pt idx="186">
                  <c:v>2.3799999999999861</c:v>
                </c:pt>
                <c:pt idx="187">
                  <c:v>2.3099999999999863</c:v>
                </c:pt>
                <c:pt idx="188">
                  <c:v>2.239999999999986</c:v>
                </c:pt>
                <c:pt idx="189">
                  <c:v>2.1699999999999862</c:v>
                </c:pt>
                <c:pt idx="190">
                  <c:v>2.0999999999999859</c:v>
                </c:pt>
                <c:pt idx="191">
                  <c:v>2.029999999999986</c:v>
                </c:pt>
                <c:pt idx="192">
                  <c:v>1.9599999999999858</c:v>
                </c:pt>
                <c:pt idx="193">
                  <c:v>1.8899999999999861</c:v>
                </c:pt>
                <c:pt idx="194">
                  <c:v>1.8199999999999861</c:v>
                </c:pt>
                <c:pt idx="195">
                  <c:v>1.749999999999986</c:v>
                </c:pt>
                <c:pt idx="196">
                  <c:v>1.6799999999999859</c:v>
                </c:pt>
                <c:pt idx="197">
                  <c:v>1.6099999999999861</c:v>
                </c:pt>
                <c:pt idx="198">
                  <c:v>1.539999999999986</c:v>
                </c:pt>
                <c:pt idx="199">
                  <c:v>1.469999999999986</c:v>
                </c:pt>
                <c:pt idx="200">
                  <c:v>1.3999999999999861</c:v>
                </c:pt>
                <c:pt idx="201">
                  <c:v>1.3299999999999861</c:v>
                </c:pt>
                <c:pt idx="202">
                  <c:v>1.259999999999986</c:v>
                </c:pt>
                <c:pt idx="203">
                  <c:v>1.1899999999999862</c:v>
                </c:pt>
                <c:pt idx="204">
                  <c:v>1.1199999999999861</c:v>
                </c:pt>
                <c:pt idx="205">
                  <c:v>1.0499999999999861</c:v>
                </c:pt>
                <c:pt idx="206">
                  <c:v>0.97999999999998588</c:v>
                </c:pt>
                <c:pt idx="207">
                  <c:v>0.90999999999998471</c:v>
                </c:pt>
                <c:pt idx="208">
                  <c:v>0.83999999999998742</c:v>
                </c:pt>
                <c:pt idx="209">
                  <c:v>0.76999999999998603</c:v>
                </c:pt>
                <c:pt idx="210">
                  <c:v>0.69999999999998597</c:v>
                </c:pt>
                <c:pt idx="211">
                  <c:v>0.62999999999998602</c:v>
                </c:pt>
                <c:pt idx="212">
                  <c:v>0.55999999999998606</c:v>
                </c:pt>
                <c:pt idx="213">
                  <c:v>0.48999999999998595</c:v>
                </c:pt>
                <c:pt idx="214">
                  <c:v>0.419999999999986</c:v>
                </c:pt>
                <c:pt idx="215">
                  <c:v>0.34999999999998599</c:v>
                </c:pt>
                <c:pt idx="216">
                  <c:v>0.27999999999998604</c:v>
                </c:pt>
                <c:pt idx="217">
                  <c:v>0.209999999999986</c:v>
                </c:pt>
                <c:pt idx="218">
                  <c:v>0.13999999999998614</c:v>
                </c:pt>
                <c:pt idx="219">
                  <c:v>6.9999999999986129E-2</c:v>
                </c:pt>
              </c:numCache>
            </c:numRef>
          </c:xVal>
          <c:yVal>
            <c:numRef>
              <c:f>'Design Calculations'!$G$60:$G$279</c:f>
              <c:numCache>
                <c:formatCode>General</c:formatCode>
                <c:ptCount val="220"/>
                <c:pt idx="0">
                  <c:v>0</c:v>
                </c:pt>
                <c:pt idx="1">
                  <c:v>2.4352941176471301</c:v>
                </c:pt>
                <c:pt idx="2">
                  <c:v>4.8705882352941368</c:v>
                </c:pt>
                <c:pt idx="3">
                  <c:v>7.3058823529412678</c:v>
                </c:pt>
                <c:pt idx="4">
                  <c:v>9.7411764705882735</c:v>
                </c:pt>
                <c:pt idx="5">
                  <c:v>12.176470588235404</c:v>
                </c:pt>
                <c:pt idx="6">
                  <c:v>14.611764705882411</c:v>
                </c:pt>
                <c:pt idx="7">
                  <c:v>17.047058823529479</c:v>
                </c:pt>
                <c:pt idx="8">
                  <c:v>19.482352941176547</c:v>
                </c:pt>
                <c:pt idx="9">
                  <c:v>21.917647058823615</c:v>
                </c:pt>
                <c:pt idx="10">
                  <c:v>24.352941176470623</c:v>
                </c:pt>
                <c:pt idx="11">
                  <c:v>26.788235294117754</c:v>
                </c:pt>
                <c:pt idx="12">
                  <c:v>29.223529411764762</c:v>
                </c:pt>
                <c:pt idx="13">
                  <c:v>31.65882352941189</c:v>
                </c:pt>
                <c:pt idx="14">
                  <c:v>34.094117647058894</c:v>
                </c:pt>
                <c:pt idx="15">
                  <c:v>36.529411764706026</c:v>
                </c:pt>
                <c:pt idx="16">
                  <c:v>38.964705882352973</c:v>
                </c:pt>
                <c:pt idx="17">
                  <c:v>41.400000000000105</c:v>
                </c:pt>
                <c:pt idx="18">
                  <c:v>43.835294117647109</c:v>
                </c:pt>
                <c:pt idx="19">
                  <c:v>46.270588235294241</c:v>
                </c:pt>
                <c:pt idx="20">
                  <c:v>48.705882352941245</c:v>
                </c:pt>
                <c:pt idx="21">
                  <c:v>50.909917127071907</c:v>
                </c:pt>
                <c:pt idx="22">
                  <c:v>53.066187845303958</c:v>
                </c:pt>
                <c:pt idx="23">
                  <c:v>55.198093922652035</c:v>
                </c:pt>
                <c:pt idx="24">
                  <c:v>57.305635359116124</c:v>
                </c:pt>
                <c:pt idx="25">
                  <c:v>59.388812154696197</c:v>
                </c:pt>
                <c:pt idx="26">
                  <c:v>61.447624309392332</c:v>
                </c:pt>
                <c:pt idx="27">
                  <c:v>63.482071823204492</c:v>
                </c:pt>
                <c:pt idx="28">
                  <c:v>65.492154696132687</c:v>
                </c:pt>
                <c:pt idx="29">
                  <c:v>67.477872928176893</c:v>
                </c:pt>
                <c:pt idx="30">
                  <c:v>69.439226519337112</c:v>
                </c:pt>
                <c:pt idx="31">
                  <c:v>71.376215469613371</c:v>
                </c:pt>
                <c:pt idx="32">
                  <c:v>73.288839779005585</c:v>
                </c:pt>
                <c:pt idx="33">
                  <c:v>75.177099447513896</c:v>
                </c:pt>
                <c:pt idx="34">
                  <c:v>77.040994475138163</c:v>
                </c:pt>
                <c:pt idx="35">
                  <c:v>78.880524861878499</c:v>
                </c:pt>
                <c:pt idx="36">
                  <c:v>80.695690607734846</c:v>
                </c:pt>
                <c:pt idx="37">
                  <c:v>82.486491712707235</c:v>
                </c:pt>
                <c:pt idx="38">
                  <c:v>84.252928176795649</c:v>
                </c:pt>
                <c:pt idx="39">
                  <c:v>85.995000000000076</c:v>
                </c:pt>
                <c:pt idx="40">
                  <c:v>87.712707182320514</c:v>
                </c:pt>
                <c:pt idx="41">
                  <c:v>89.406049723756951</c:v>
                </c:pt>
                <c:pt idx="42">
                  <c:v>91.075027624309428</c:v>
                </c:pt>
                <c:pt idx="43">
                  <c:v>92.719640883977945</c:v>
                </c:pt>
                <c:pt idx="44">
                  <c:v>94.339889502762489</c:v>
                </c:pt>
                <c:pt idx="45">
                  <c:v>95.935773480663045</c:v>
                </c:pt>
                <c:pt idx="46">
                  <c:v>97.507292817679627</c:v>
                </c:pt>
                <c:pt idx="47">
                  <c:v>99.054447513812235</c:v>
                </c:pt>
                <c:pt idx="48">
                  <c:v>100.57723756906086</c:v>
                </c:pt>
                <c:pt idx="49">
                  <c:v>102.07566298342549</c:v>
                </c:pt>
                <c:pt idx="50">
                  <c:v>103.54972375690613</c:v>
                </c:pt>
                <c:pt idx="51">
                  <c:v>104.99941988950282</c:v>
                </c:pt>
                <c:pt idx="52">
                  <c:v>106.42475138121554</c:v>
                </c:pt>
                <c:pt idx="53">
                  <c:v>107.82571823204427</c:v>
                </c:pt>
                <c:pt idx="54">
                  <c:v>109.20232044198903</c:v>
                </c:pt>
                <c:pt idx="55">
                  <c:v>110.55455801104979</c:v>
                </c:pt>
                <c:pt idx="56">
                  <c:v>111.88243093922659</c:v>
                </c:pt>
                <c:pt idx="57">
                  <c:v>113.18593922651939</c:v>
                </c:pt>
                <c:pt idx="58">
                  <c:v>114.46508287292825</c:v>
                </c:pt>
                <c:pt idx="59">
                  <c:v>115.71986187845307</c:v>
                </c:pt>
                <c:pt idx="60">
                  <c:v>116.95027624309398</c:v>
                </c:pt>
                <c:pt idx="61">
                  <c:v>118.15632596685087</c:v>
                </c:pt>
                <c:pt idx="62">
                  <c:v>119.33801104972379</c:v>
                </c:pt>
                <c:pt idx="63">
                  <c:v>120.49533149171276</c:v>
                </c:pt>
                <c:pt idx="64">
                  <c:v>121.62828729281773</c:v>
                </c:pt>
                <c:pt idx="65">
                  <c:v>122.73687845303874</c:v>
                </c:pt>
                <c:pt idx="66">
                  <c:v>123.82110497237575</c:v>
                </c:pt>
                <c:pt idx="67">
                  <c:v>124.88096685082877</c:v>
                </c:pt>
                <c:pt idx="68">
                  <c:v>125.91646408839783</c:v>
                </c:pt>
                <c:pt idx="69">
                  <c:v>126.92759668508293</c:v>
                </c:pt>
                <c:pt idx="70">
                  <c:v>127.91436464088403</c:v>
                </c:pt>
                <c:pt idx="71">
                  <c:v>128.87676795580117</c:v>
                </c:pt>
                <c:pt idx="72">
                  <c:v>129.81480662983432</c:v>
                </c:pt>
                <c:pt idx="73">
                  <c:v>130.72848066298349</c:v>
                </c:pt>
                <c:pt idx="74">
                  <c:v>131.61779005524869</c:v>
                </c:pt>
                <c:pt idx="75">
                  <c:v>132.48273480662988</c:v>
                </c:pt>
                <c:pt idx="76">
                  <c:v>133.32331491712714</c:v>
                </c:pt>
                <c:pt idx="77">
                  <c:v>134.13953038674038</c:v>
                </c:pt>
                <c:pt idx="78">
                  <c:v>134.93138121546968</c:v>
                </c:pt>
                <c:pt idx="79">
                  <c:v>135.69886740331498</c:v>
                </c:pt>
                <c:pt idx="80">
                  <c:v>136.44198895027628</c:v>
                </c:pt>
                <c:pt idx="81">
                  <c:v>137.16074585635366</c:v>
                </c:pt>
                <c:pt idx="82">
                  <c:v>137.85513812154699</c:v>
                </c:pt>
                <c:pt idx="83">
                  <c:v>138.52516574585641</c:v>
                </c:pt>
                <c:pt idx="84">
                  <c:v>139.17082872928182</c:v>
                </c:pt>
                <c:pt idx="85">
                  <c:v>139.79212707182324</c:v>
                </c:pt>
                <c:pt idx="86">
                  <c:v>140.38906077348068</c:v>
                </c:pt>
                <c:pt idx="87">
                  <c:v>140.96162983425418</c:v>
                </c:pt>
                <c:pt idx="88">
                  <c:v>141.5098342541437</c:v>
                </c:pt>
                <c:pt idx="89">
                  <c:v>142.03367403314923</c:v>
                </c:pt>
                <c:pt idx="90">
                  <c:v>142.53314917127076</c:v>
                </c:pt>
                <c:pt idx="91">
                  <c:v>143.00825966850834</c:v>
                </c:pt>
                <c:pt idx="92">
                  <c:v>143.45900552486191</c:v>
                </c:pt>
                <c:pt idx="93">
                  <c:v>143.88538674033151</c:v>
                </c:pt>
                <c:pt idx="94">
                  <c:v>144.28740331491716</c:v>
                </c:pt>
                <c:pt idx="95">
                  <c:v>144.66505524861881</c:v>
                </c:pt>
                <c:pt idx="96">
                  <c:v>145.01834254143651</c:v>
                </c:pt>
                <c:pt idx="97">
                  <c:v>145.34726519337022</c:v>
                </c:pt>
                <c:pt idx="98">
                  <c:v>145.65182320441997</c:v>
                </c:pt>
                <c:pt idx="99">
                  <c:v>145.93201657458567</c:v>
                </c:pt>
                <c:pt idx="100">
                  <c:v>146.18784530386745</c:v>
                </c:pt>
                <c:pt idx="101">
                  <c:v>146.41930939226523</c:v>
                </c:pt>
                <c:pt idx="102">
                  <c:v>146.62640883977906</c:v>
                </c:pt>
                <c:pt idx="103">
                  <c:v>146.80914364640887</c:v>
                </c:pt>
                <c:pt idx="104">
                  <c:v>146.96751381215475</c:v>
                </c:pt>
                <c:pt idx="105">
                  <c:v>147.10151933701661</c:v>
                </c:pt>
                <c:pt idx="106">
                  <c:v>147.21116022099451</c:v>
                </c:pt>
                <c:pt idx="107">
                  <c:v>147.29643646408843</c:v>
                </c:pt>
                <c:pt idx="108">
                  <c:v>147.35734806629839</c:v>
                </c:pt>
                <c:pt idx="109">
                  <c:v>147.39389502762435</c:v>
                </c:pt>
                <c:pt idx="110">
                  <c:v>147.40607734806633</c:v>
                </c:pt>
                <c:pt idx="111">
                  <c:v>147.39389502762435</c:v>
                </c:pt>
                <c:pt idx="112">
                  <c:v>147.35734806629839</c:v>
                </c:pt>
                <c:pt idx="113">
                  <c:v>147.29643646408846</c:v>
                </c:pt>
                <c:pt idx="114">
                  <c:v>147.21116022099451</c:v>
                </c:pt>
                <c:pt idx="115">
                  <c:v>147.10151933701661</c:v>
                </c:pt>
                <c:pt idx="116">
                  <c:v>146.96751381215472</c:v>
                </c:pt>
                <c:pt idx="117">
                  <c:v>146.80914364640884</c:v>
                </c:pt>
                <c:pt idx="118">
                  <c:v>146.62640883977903</c:v>
                </c:pt>
                <c:pt idx="119">
                  <c:v>146.41930939226521</c:v>
                </c:pt>
                <c:pt idx="120">
                  <c:v>146.18784530386745</c:v>
                </c:pt>
                <c:pt idx="121">
                  <c:v>145.93201657458567</c:v>
                </c:pt>
                <c:pt idx="122">
                  <c:v>145.65182320441991</c:v>
                </c:pt>
                <c:pt idx="123">
                  <c:v>145.34726519337022</c:v>
                </c:pt>
                <c:pt idx="124">
                  <c:v>145.01834254143654</c:v>
                </c:pt>
                <c:pt idx="125">
                  <c:v>144.66505524861881</c:v>
                </c:pt>
                <c:pt idx="126">
                  <c:v>144.28740331491716</c:v>
                </c:pt>
                <c:pt idx="127">
                  <c:v>143.88538674033154</c:v>
                </c:pt>
                <c:pt idx="128">
                  <c:v>143.45900552486188</c:v>
                </c:pt>
                <c:pt idx="129">
                  <c:v>143.00825966850832</c:v>
                </c:pt>
                <c:pt idx="130">
                  <c:v>142.53314917127074</c:v>
                </c:pt>
                <c:pt idx="131">
                  <c:v>142.0336740331492</c:v>
                </c:pt>
                <c:pt idx="132">
                  <c:v>141.50983425414367</c:v>
                </c:pt>
                <c:pt idx="133">
                  <c:v>140.96162983425404</c:v>
                </c:pt>
                <c:pt idx="134">
                  <c:v>140.38906077348059</c:v>
                </c:pt>
                <c:pt idx="135">
                  <c:v>139.79212707182313</c:v>
                </c:pt>
                <c:pt idx="136">
                  <c:v>139.17082872928168</c:v>
                </c:pt>
                <c:pt idx="137">
                  <c:v>138.52516574585624</c:v>
                </c:pt>
                <c:pt idx="138">
                  <c:v>137.85513812154684</c:v>
                </c:pt>
                <c:pt idx="139">
                  <c:v>137.16074585635349</c:v>
                </c:pt>
                <c:pt idx="140">
                  <c:v>136.44198895027611</c:v>
                </c:pt>
                <c:pt idx="141">
                  <c:v>135.69886740331478</c:v>
                </c:pt>
                <c:pt idx="142">
                  <c:v>134.93138121546949</c:v>
                </c:pt>
                <c:pt idx="143">
                  <c:v>134.1395303867402</c:v>
                </c:pt>
                <c:pt idx="144">
                  <c:v>133.32331491712694</c:v>
                </c:pt>
                <c:pt idx="145">
                  <c:v>132.48273480662971</c:v>
                </c:pt>
                <c:pt idx="146">
                  <c:v>131.61779005524846</c:v>
                </c:pt>
                <c:pt idx="147">
                  <c:v>130.72848066298329</c:v>
                </c:pt>
                <c:pt idx="148">
                  <c:v>129.8148066298341</c:v>
                </c:pt>
                <c:pt idx="149">
                  <c:v>128.87676795580094</c:v>
                </c:pt>
                <c:pt idx="150">
                  <c:v>127.9143646408838</c:v>
                </c:pt>
                <c:pt idx="151">
                  <c:v>126.9275966850827</c:v>
                </c:pt>
                <c:pt idx="152">
                  <c:v>125.9164640883976</c:v>
                </c:pt>
                <c:pt idx="153">
                  <c:v>124.88096685082854</c:v>
                </c:pt>
                <c:pt idx="154">
                  <c:v>123.82110497237549</c:v>
                </c:pt>
                <c:pt idx="155">
                  <c:v>122.73687845303849</c:v>
                </c:pt>
                <c:pt idx="156">
                  <c:v>121.62828729281749</c:v>
                </c:pt>
                <c:pt idx="157">
                  <c:v>120.49533149171252</c:v>
                </c:pt>
                <c:pt idx="158">
                  <c:v>119.33801104972352</c:v>
                </c:pt>
                <c:pt idx="159">
                  <c:v>118.15632596685062</c:v>
                </c:pt>
                <c:pt idx="160">
                  <c:v>116.95027624309371</c:v>
                </c:pt>
                <c:pt idx="161">
                  <c:v>115.7198618784528</c:v>
                </c:pt>
                <c:pt idx="162">
                  <c:v>114.46508287292794</c:v>
                </c:pt>
                <c:pt idx="163">
                  <c:v>114.10000000000016</c:v>
                </c:pt>
                <c:pt idx="164">
                  <c:v>114.80000000000015</c:v>
                </c:pt>
                <c:pt idx="165">
                  <c:v>115.50000000000014</c:v>
                </c:pt>
                <c:pt idx="166">
                  <c:v>116.20000000000016</c:v>
                </c:pt>
                <c:pt idx="167">
                  <c:v>116.90000000000015</c:v>
                </c:pt>
                <c:pt idx="168">
                  <c:v>117.60000000000016</c:v>
                </c:pt>
                <c:pt idx="169">
                  <c:v>118.30000000000015</c:v>
                </c:pt>
                <c:pt idx="170">
                  <c:v>119.00000000000017</c:v>
                </c:pt>
                <c:pt idx="171">
                  <c:v>119.70000000000016</c:v>
                </c:pt>
                <c:pt idx="172">
                  <c:v>120.40000000000018</c:v>
                </c:pt>
                <c:pt idx="173">
                  <c:v>121.10000000000016</c:v>
                </c:pt>
                <c:pt idx="174">
                  <c:v>121.80000000000015</c:v>
                </c:pt>
                <c:pt idx="175">
                  <c:v>122.50000000000016</c:v>
                </c:pt>
                <c:pt idx="176">
                  <c:v>123.20000000000016</c:v>
                </c:pt>
                <c:pt idx="177">
                  <c:v>123.90000000000016</c:v>
                </c:pt>
                <c:pt idx="178">
                  <c:v>124.60000000000016</c:v>
                </c:pt>
                <c:pt idx="179">
                  <c:v>125.30000000000015</c:v>
                </c:pt>
                <c:pt idx="180">
                  <c:v>126.00000000000016</c:v>
                </c:pt>
                <c:pt idx="181">
                  <c:v>126.70000000000016</c:v>
                </c:pt>
                <c:pt idx="182">
                  <c:v>127.40000000000016</c:v>
                </c:pt>
                <c:pt idx="183">
                  <c:v>128.10000000000016</c:v>
                </c:pt>
                <c:pt idx="184">
                  <c:v>128.80000000000018</c:v>
                </c:pt>
                <c:pt idx="185">
                  <c:v>129.50000000000017</c:v>
                </c:pt>
                <c:pt idx="186">
                  <c:v>130.20000000000016</c:v>
                </c:pt>
                <c:pt idx="187">
                  <c:v>130.90000000000015</c:v>
                </c:pt>
                <c:pt idx="188">
                  <c:v>131.60000000000016</c:v>
                </c:pt>
                <c:pt idx="189">
                  <c:v>132.30000000000015</c:v>
                </c:pt>
                <c:pt idx="190">
                  <c:v>133.00000000000017</c:v>
                </c:pt>
                <c:pt idx="191">
                  <c:v>133.70000000000016</c:v>
                </c:pt>
                <c:pt idx="192">
                  <c:v>134.40000000000015</c:v>
                </c:pt>
                <c:pt idx="193">
                  <c:v>135.10000000000016</c:v>
                </c:pt>
                <c:pt idx="194">
                  <c:v>135.80000000000015</c:v>
                </c:pt>
                <c:pt idx="195">
                  <c:v>136.50000000000017</c:v>
                </c:pt>
                <c:pt idx="196">
                  <c:v>137.20000000000016</c:v>
                </c:pt>
                <c:pt idx="197">
                  <c:v>137.90000000000018</c:v>
                </c:pt>
                <c:pt idx="198">
                  <c:v>138.60000000000016</c:v>
                </c:pt>
                <c:pt idx="199">
                  <c:v>139.30000000000015</c:v>
                </c:pt>
                <c:pt idx="200">
                  <c:v>140.00000000000017</c:v>
                </c:pt>
                <c:pt idx="201">
                  <c:v>140.70000000000016</c:v>
                </c:pt>
                <c:pt idx="202">
                  <c:v>141.40000000000018</c:v>
                </c:pt>
                <c:pt idx="203">
                  <c:v>142.10000000000014</c:v>
                </c:pt>
                <c:pt idx="204">
                  <c:v>142.80000000000015</c:v>
                </c:pt>
                <c:pt idx="205">
                  <c:v>143.50000000000017</c:v>
                </c:pt>
                <c:pt idx="206">
                  <c:v>144.20000000000016</c:v>
                </c:pt>
                <c:pt idx="207">
                  <c:v>144.90000000000018</c:v>
                </c:pt>
                <c:pt idx="208">
                  <c:v>145.60000000000014</c:v>
                </c:pt>
                <c:pt idx="209">
                  <c:v>146.30000000000018</c:v>
                </c:pt>
                <c:pt idx="210">
                  <c:v>147.00000000000017</c:v>
                </c:pt>
                <c:pt idx="211">
                  <c:v>147.70000000000016</c:v>
                </c:pt>
                <c:pt idx="212">
                  <c:v>148.40000000000015</c:v>
                </c:pt>
                <c:pt idx="213">
                  <c:v>149.10000000000016</c:v>
                </c:pt>
                <c:pt idx="214">
                  <c:v>149.80000000000015</c:v>
                </c:pt>
                <c:pt idx="215">
                  <c:v>150.50000000000017</c:v>
                </c:pt>
                <c:pt idx="216">
                  <c:v>151.20000000000016</c:v>
                </c:pt>
                <c:pt idx="217">
                  <c:v>151.90000000000015</c:v>
                </c:pt>
                <c:pt idx="218">
                  <c:v>152.60000000000016</c:v>
                </c:pt>
                <c:pt idx="219">
                  <c:v>153.30000000000015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553-4A10-9980-E7DA55342AAC}"/>
            </c:ext>
          </c:extLst>
        </c:ser>
        <c:ser>
          <c:idx val="4"/>
          <c:order val="1"/>
          <c:tx>
            <c:strRef>
              <c:f>'Design Calculations'!$M$59</c:f>
              <c:strCache>
                <c:ptCount val="1"/>
                <c:pt idx="0">
                  <c:v>Power</c:v>
                </c:pt>
              </c:strCache>
            </c:strRef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Ref>
              <c:f>'Design Calculations'!$I$60:$I$290</c:f>
              <c:numCache>
                <c:formatCode>General</c:formatCode>
                <c:ptCount val="231"/>
                <c:pt idx="0">
                  <c:v>16.8</c:v>
                </c:pt>
                <c:pt idx="1">
                  <c:v>16.73</c:v>
                </c:pt>
                <c:pt idx="2">
                  <c:v>16.66</c:v>
                </c:pt>
                <c:pt idx="3">
                  <c:v>16.59</c:v>
                </c:pt>
                <c:pt idx="4">
                  <c:v>16.52</c:v>
                </c:pt>
                <c:pt idx="5">
                  <c:v>16.45</c:v>
                </c:pt>
                <c:pt idx="6">
                  <c:v>16.38</c:v>
                </c:pt>
                <c:pt idx="7">
                  <c:v>16.310000000000002</c:v>
                </c:pt>
                <c:pt idx="8">
                  <c:v>16.239999999999998</c:v>
                </c:pt>
                <c:pt idx="9">
                  <c:v>16.170000000000002</c:v>
                </c:pt>
                <c:pt idx="10">
                  <c:v>16.099999999999998</c:v>
                </c:pt>
                <c:pt idx="11">
                  <c:v>16.03</c:v>
                </c:pt>
                <c:pt idx="12">
                  <c:v>15.959999999999999</c:v>
                </c:pt>
                <c:pt idx="13">
                  <c:v>15.89</c:v>
                </c:pt>
                <c:pt idx="14">
                  <c:v>15.819999999999999</c:v>
                </c:pt>
                <c:pt idx="15">
                  <c:v>15.75</c:v>
                </c:pt>
                <c:pt idx="16">
                  <c:v>15.680000000000001</c:v>
                </c:pt>
                <c:pt idx="17">
                  <c:v>15.61</c:v>
                </c:pt>
                <c:pt idx="18">
                  <c:v>15.540000000000001</c:v>
                </c:pt>
                <c:pt idx="19">
                  <c:v>15.469999999999999</c:v>
                </c:pt>
                <c:pt idx="20">
                  <c:v>15.400000000000002</c:v>
                </c:pt>
                <c:pt idx="21">
                  <c:v>15.33</c:v>
                </c:pt>
                <c:pt idx="22">
                  <c:v>15.260000000000002</c:v>
                </c:pt>
                <c:pt idx="23">
                  <c:v>15.19</c:v>
                </c:pt>
                <c:pt idx="24">
                  <c:v>15.120000000000001</c:v>
                </c:pt>
                <c:pt idx="25">
                  <c:v>15.049999999999999</c:v>
                </c:pt>
                <c:pt idx="26">
                  <c:v>14.98</c:v>
                </c:pt>
                <c:pt idx="27">
                  <c:v>14.91</c:v>
                </c:pt>
                <c:pt idx="28">
                  <c:v>14.84</c:v>
                </c:pt>
                <c:pt idx="29">
                  <c:v>14.77</c:v>
                </c:pt>
                <c:pt idx="30">
                  <c:v>14.700000000000001</c:v>
                </c:pt>
                <c:pt idx="31">
                  <c:v>14.629999999999999</c:v>
                </c:pt>
                <c:pt idx="32">
                  <c:v>14.56</c:v>
                </c:pt>
                <c:pt idx="33">
                  <c:v>14.489999999999998</c:v>
                </c:pt>
                <c:pt idx="34">
                  <c:v>14.42</c:v>
                </c:pt>
                <c:pt idx="35">
                  <c:v>14.349999999999998</c:v>
                </c:pt>
                <c:pt idx="36">
                  <c:v>14.280000000000001</c:v>
                </c:pt>
                <c:pt idx="37">
                  <c:v>14.209999999999999</c:v>
                </c:pt>
                <c:pt idx="38">
                  <c:v>14.14</c:v>
                </c:pt>
                <c:pt idx="39">
                  <c:v>14.069999999999999</c:v>
                </c:pt>
                <c:pt idx="40">
                  <c:v>14</c:v>
                </c:pt>
                <c:pt idx="41">
                  <c:v>13.930000000000057</c:v>
                </c:pt>
                <c:pt idx="42">
                  <c:v>13.860000000000056</c:v>
                </c:pt>
                <c:pt idx="43">
                  <c:v>13.79000000000007</c:v>
                </c:pt>
                <c:pt idx="44">
                  <c:v>13.72000000000007</c:v>
                </c:pt>
                <c:pt idx="45">
                  <c:v>13.65000000000007</c:v>
                </c:pt>
                <c:pt idx="46">
                  <c:v>13.580000000000069</c:v>
                </c:pt>
                <c:pt idx="47">
                  <c:v>13.510000000000069</c:v>
                </c:pt>
                <c:pt idx="48">
                  <c:v>13.440000000000069</c:v>
                </c:pt>
                <c:pt idx="49">
                  <c:v>13.370000000000068</c:v>
                </c:pt>
                <c:pt idx="50">
                  <c:v>13.30000000000007</c:v>
                </c:pt>
                <c:pt idx="51">
                  <c:v>13.23000000000007</c:v>
                </c:pt>
                <c:pt idx="52">
                  <c:v>13.160000000000085</c:v>
                </c:pt>
                <c:pt idx="53">
                  <c:v>13.090000000000085</c:v>
                </c:pt>
                <c:pt idx="54">
                  <c:v>13.020000000000085</c:v>
                </c:pt>
                <c:pt idx="55">
                  <c:v>12.950000000000085</c:v>
                </c:pt>
                <c:pt idx="56">
                  <c:v>12.880000000000084</c:v>
                </c:pt>
                <c:pt idx="57">
                  <c:v>12.810000000000084</c:v>
                </c:pt>
                <c:pt idx="58">
                  <c:v>12.740000000000084</c:v>
                </c:pt>
                <c:pt idx="59">
                  <c:v>12.670000000000083</c:v>
                </c:pt>
                <c:pt idx="60">
                  <c:v>12.600000000000085</c:v>
                </c:pt>
                <c:pt idx="61">
                  <c:v>12.530000000000099</c:v>
                </c:pt>
                <c:pt idx="62">
                  <c:v>12.460000000000099</c:v>
                </c:pt>
                <c:pt idx="63">
                  <c:v>12.390000000000098</c:v>
                </c:pt>
                <c:pt idx="64">
                  <c:v>12.320000000000098</c:v>
                </c:pt>
                <c:pt idx="65">
                  <c:v>12.250000000000098</c:v>
                </c:pt>
                <c:pt idx="66">
                  <c:v>12.180000000000097</c:v>
                </c:pt>
                <c:pt idx="67">
                  <c:v>12.110000000000097</c:v>
                </c:pt>
                <c:pt idx="68">
                  <c:v>12.040000000000099</c:v>
                </c:pt>
                <c:pt idx="69">
                  <c:v>11.970000000000098</c:v>
                </c:pt>
                <c:pt idx="70">
                  <c:v>11.900000000000098</c:v>
                </c:pt>
                <c:pt idx="71">
                  <c:v>11.830000000000112</c:v>
                </c:pt>
                <c:pt idx="72">
                  <c:v>11.760000000000112</c:v>
                </c:pt>
                <c:pt idx="73">
                  <c:v>11.690000000000111</c:v>
                </c:pt>
                <c:pt idx="74">
                  <c:v>11.620000000000111</c:v>
                </c:pt>
                <c:pt idx="75">
                  <c:v>11.550000000000111</c:v>
                </c:pt>
                <c:pt idx="76">
                  <c:v>11.480000000000111</c:v>
                </c:pt>
                <c:pt idx="77">
                  <c:v>11.410000000000112</c:v>
                </c:pt>
                <c:pt idx="78">
                  <c:v>11.340000000000114</c:v>
                </c:pt>
                <c:pt idx="79">
                  <c:v>11.270000000000113</c:v>
                </c:pt>
                <c:pt idx="80">
                  <c:v>11.200000000000127</c:v>
                </c:pt>
                <c:pt idx="81">
                  <c:v>11.130000000000127</c:v>
                </c:pt>
                <c:pt idx="82">
                  <c:v>11.060000000000127</c:v>
                </c:pt>
                <c:pt idx="83">
                  <c:v>10.990000000000126</c:v>
                </c:pt>
                <c:pt idx="84">
                  <c:v>10.920000000000126</c:v>
                </c:pt>
                <c:pt idx="85">
                  <c:v>10.850000000000126</c:v>
                </c:pt>
                <c:pt idx="86">
                  <c:v>10.780000000000125</c:v>
                </c:pt>
                <c:pt idx="87">
                  <c:v>10.710000000000125</c:v>
                </c:pt>
                <c:pt idx="88">
                  <c:v>10.640000000000127</c:v>
                </c:pt>
                <c:pt idx="89">
                  <c:v>10.570000000000126</c:v>
                </c:pt>
                <c:pt idx="90">
                  <c:v>10.50000000000014</c:v>
                </c:pt>
                <c:pt idx="91">
                  <c:v>10.43000000000014</c:v>
                </c:pt>
                <c:pt idx="92">
                  <c:v>10.36000000000014</c:v>
                </c:pt>
                <c:pt idx="93">
                  <c:v>10.290000000000139</c:v>
                </c:pt>
                <c:pt idx="94">
                  <c:v>10.220000000000139</c:v>
                </c:pt>
                <c:pt idx="95">
                  <c:v>10.150000000000139</c:v>
                </c:pt>
                <c:pt idx="96">
                  <c:v>10.08000000000014</c:v>
                </c:pt>
                <c:pt idx="97">
                  <c:v>10.01000000000014</c:v>
                </c:pt>
                <c:pt idx="98">
                  <c:v>9.9400000000001398</c:v>
                </c:pt>
                <c:pt idx="99">
                  <c:v>9.8700000000001538</c:v>
                </c:pt>
                <c:pt idx="100">
                  <c:v>9.8000000000001535</c:v>
                </c:pt>
                <c:pt idx="101">
                  <c:v>9.730000000000155</c:v>
                </c:pt>
                <c:pt idx="102">
                  <c:v>9.6600000000001547</c:v>
                </c:pt>
                <c:pt idx="103">
                  <c:v>9.5900000000001544</c:v>
                </c:pt>
                <c:pt idx="104">
                  <c:v>9.5200000000001541</c:v>
                </c:pt>
                <c:pt idx="105">
                  <c:v>9.4500000000001538</c:v>
                </c:pt>
                <c:pt idx="106">
                  <c:v>9.3800000000001553</c:v>
                </c:pt>
                <c:pt idx="107">
                  <c:v>9.310000000000155</c:v>
                </c:pt>
                <c:pt idx="108">
                  <c:v>9.240000000000169</c:v>
                </c:pt>
                <c:pt idx="109">
                  <c:v>9.1700000000001687</c:v>
                </c:pt>
                <c:pt idx="110">
                  <c:v>9.1000000000001684</c:v>
                </c:pt>
                <c:pt idx="111">
                  <c:v>9.0300000000001681</c:v>
                </c:pt>
                <c:pt idx="112">
                  <c:v>8.9600000000001678</c:v>
                </c:pt>
                <c:pt idx="113">
                  <c:v>8.8900000000001675</c:v>
                </c:pt>
                <c:pt idx="114">
                  <c:v>8.8200000000001673</c:v>
                </c:pt>
                <c:pt idx="115">
                  <c:v>8.750000000000167</c:v>
                </c:pt>
                <c:pt idx="116">
                  <c:v>8.6800000000001685</c:v>
                </c:pt>
                <c:pt idx="117">
                  <c:v>8.6100000000001682</c:v>
                </c:pt>
                <c:pt idx="118">
                  <c:v>8.5400000000001821</c:v>
                </c:pt>
                <c:pt idx="119">
                  <c:v>8.4700000000001818</c:v>
                </c:pt>
                <c:pt idx="120">
                  <c:v>8.4000000000001815</c:v>
                </c:pt>
                <c:pt idx="121">
                  <c:v>8.3300000000001813</c:v>
                </c:pt>
                <c:pt idx="122">
                  <c:v>8.260000000000181</c:v>
                </c:pt>
                <c:pt idx="123">
                  <c:v>8.1900000000001807</c:v>
                </c:pt>
                <c:pt idx="124">
                  <c:v>8.1200000000001822</c:v>
                </c:pt>
                <c:pt idx="125">
                  <c:v>8.0500000000001819</c:v>
                </c:pt>
                <c:pt idx="126">
                  <c:v>7.9800000000001825</c:v>
                </c:pt>
                <c:pt idx="127">
                  <c:v>7.9100000000001964</c:v>
                </c:pt>
                <c:pt idx="128">
                  <c:v>7.840000000000197</c:v>
                </c:pt>
                <c:pt idx="129">
                  <c:v>7.7700000000001967</c:v>
                </c:pt>
                <c:pt idx="130">
                  <c:v>7.7000000000001965</c:v>
                </c:pt>
                <c:pt idx="131">
                  <c:v>7.6300000000001962</c:v>
                </c:pt>
                <c:pt idx="132">
                  <c:v>7.5600000000001959</c:v>
                </c:pt>
                <c:pt idx="133">
                  <c:v>7.4900000000001965</c:v>
                </c:pt>
                <c:pt idx="134">
                  <c:v>7.4200000000001962</c:v>
                </c:pt>
                <c:pt idx="135">
                  <c:v>7.3500000000001959</c:v>
                </c:pt>
                <c:pt idx="136">
                  <c:v>7.2800000000001965</c:v>
                </c:pt>
                <c:pt idx="137">
                  <c:v>7.2100000000002105</c:v>
                </c:pt>
                <c:pt idx="138">
                  <c:v>7.1400000000002102</c:v>
                </c:pt>
                <c:pt idx="139">
                  <c:v>7.0700000000002099</c:v>
                </c:pt>
                <c:pt idx="140">
                  <c:v>7.0000000000002096</c:v>
                </c:pt>
                <c:pt idx="141">
                  <c:v>6.9300000000002093</c:v>
                </c:pt>
                <c:pt idx="142">
                  <c:v>6.8600000000002099</c:v>
                </c:pt>
                <c:pt idx="143">
                  <c:v>6.7900000000002096</c:v>
                </c:pt>
                <c:pt idx="144">
                  <c:v>6.7200000000002102</c:v>
                </c:pt>
                <c:pt idx="145">
                  <c:v>6.65000000000021</c:v>
                </c:pt>
                <c:pt idx="146">
                  <c:v>6.5800000000002239</c:v>
                </c:pt>
                <c:pt idx="147">
                  <c:v>6.5100000000002245</c:v>
                </c:pt>
                <c:pt idx="148">
                  <c:v>6.4400000000002242</c:v>
                </c:pt>
                <c:pt idx="149">
                  <c:v>6.3700000000002239</c:v>
                </c:pt>
                <c:pt idx="150">
                  <c:v>6.3000000000002236</c:v>
                </c:pt>
                <c:pt idx="151">
                  <c:v>6.2300000000002242</c:v>
                </c:pt>
                <c:pt idx="152">
                  <c:v>6.160000000000224</c:v>
                </c:pt>
                <c:pt idx="153">
                  <c:v>6.0900000000002237</c:v>
                </c:pt>
                <c:pt idx="154">
                  <c:v>6.0200000000002234</c:v>
                </c:pt>
                <c:pt idx="155">
                  <c:v>5.9500000000002373</c:v>
                </c:pt>
                <c:pt idx="156">
                  <c:v>5.8800000000002388</c:v>
                </c:pt>
                <c:pt idx="157">
                  <c:v>5.8100000000002385</c:v>
                </c:pt>
                <c:pt idx="158">
                  <c:v>5.7400000000002382</c:v>
                </c:pt>
                <c:pt idx="159">
                  <c:v>5.670000000000238</c:v>
                </c:pt>
                <c:pt idx="160">
                  <c:v>5.6000000000002377</c:v>
                </c:pt>
                <c:pt idx="161">
                  <c:v>5.5300000000002383</c:v>
                </c:pt>
                <c:pt idx="162">
                  <c:v>5.460000000000238</c:v>
                </c:pt>
                <c:pt idx="163">
                  <c:v>5.3900000000002377</c:v>
                </c:pt>
                <c:pt idx="164">
                  <c:v>5.3200000000002383</c:v>
                </c:pt>
                <c:pt idx="165">
                  <c:v>5.2500000000002522</c:v>
                </c:pt>
                <c:pt idx="166">
                  <c:v>5.180000000000252</c:v>
                </c:pt>
                <c:pt idx="167">
                  <c:v>5.1100000000002517</c:v>
                </c:pt>
                <c:pt idx="168">
                  <c:v>5.0400000000002514</c:v>
                </c:pt>
                <c:pt idx="169">
                  <c:v>4.970000000000252</c:v>
                </c:pt>
                <c:pt idx="170">
                  <c:v>4.9000000000002526</c:v>
                </c:pt>
                <c:pt idx="171">
                  <c:v>4.8300000000002523</c:v>
                </c:pt>
                <c:pt idx="172">
                  <c:v>4.760000000000252</c:v>
                </c:pt>
                <c:pt idx="173">
                  <c:v>4.6900000000002517</c:v>
                </c:pt>
                <c:pt idx="174">
                  <c:v>4.6200000000002657</c:v>
                </c:pt>
                <c:pt idx="175">
                  <c:v>4.5500000000002663</c:v>
                </c:pt>
                <c:pt idx="176">
                  <c:v>4.480000000000266</c:v>
                </c:pt>
                <c:pt idx="177">
                  <c:v>4.4100000000002657</c:v>
                </c:pt>
                <c:pt idx="178">
                  <c:v>4.3400000000002654</c:v>
                </c:pt>
                <c:pt idx="179">
                  <c:v>4.270000000000266</c:v>
                </c:pt>
                <c:pt idx="180">
                  <c:v>4.2000000000002657</c:v>
                </c:pt>
                <c:pt idx="181">
                  <c:v>4.1300000000002663</c:v>
                </c:pt>
                <c:pt idx="182">
                  <c:v>4.0600000000002661</c:v>
                </c:pt>
                <c:pt idx="183">
                  <c:v>3.99000000000028</c:v>
                </c:pt>
                <c:pt idx="184">
                  <c:v>3.9200000000002801</c:v>
                </c:pt>
                <c:pt idx="185">
                  <c:v>3.8500000000002803</c:v>
                </c:pt>
                <c:pt idx="186">
                  <c:v>3.78000000000028</c:v>
                </c:pt>
                <c:pt idx="187">
                  <c:v>3.7100000000002797</c:v>
                </c:pt>
                <c:pt idx="188">
                  <c:v>3.6400000000002799</c:v>
                </c:pt>
                <c:pt idx="189">
                  <c:v>3.5700000000002801</c:v>
                </c:pt>
                <c:pt idx="190">
                  <c:v>3.5000000000002798</c:v>
                </c:pt>
                <c:pt idx="191">
                  <c:v>3.4300000000002799</c:v>
                </c:pt>
                <c:pt idx="192">
                  <c:v>3.3600000000002801</c:v>
                </c:pt>
                <c:pt idx="193">
                  <c:v>3.290000000000294</c:v>
                </c:pt>
                <c:pt idx="194">
                  <c:v>3.2200000000002937</c:v>
                </c:pt>
                <c:pt idx="195">
                  <c:v>3.1500000000002939</c:v>
                </c:pt>
                <c:pt idx="196">
                  <c:v>3.0800000000002941</c:v>
                </c:pt>
                <c:pt idx="197">
                  <c:v>3.0100000000002942</c:v>
                </c:pt>
                <c:pt idx="198">
                  <c:v>2.9400000000002939</c:v>
                </c:pt>
                <c:pt idx="199">
                  <c:v>2.8700000000002941</c:v>
                </c:pt>
                <c:pt idx="200">
                  <c:v>2.8000000000002938</c:v>
                </c:pt>
                <c:pt idx="201">
                  <c:v>2.7300000000002798</c:v>
                </c:pt>
                <c:pt idx="202">
                  <c:v>2.6600000000002799</c:v>
                </c:pt>
                <c:pt idx="203">
                  <c:v>2.5900000000002801</c:v>
                </c:pt>
                <c:pt idx="204">
                  <c:v>2.5200000000002802</c:v>
                </c:pt>
                <c:pt idx="205">
                  <c:v>2.45000000000028</c:v>
                </c:pt>
                <c:pt idx="206">
                  <c:v>2.3800000000002801</c:v>
                </c:pt>
                <c:pt idx="207">
                  <c:v>2.3100000000002798</c:v>
                </c:pt>
                <c:pt idx="208">
                  <c:v>2.24000000000028</c:v>
                </c:pt>
                <c:pt idx="209">
                  <c:v>2.1700000000002801</c:v>
                </c:pt>
                <c:pt idx="210">
                  <c:v>2.1000000000002803</c:v>
                </c:pt>
                <c:pt idx="211">
                  <c:v>2.03000000000028</c:v>
                </c:pt>
                <c:pt idx="212">
                  <c:v>1.96000000000028</c:v>
                </c:pt>
                <c:pt idx="213">
                  <c:v>1.8900000000002799</c:v>
                </c:pt>
                <c:pt idx="214">
                  <c:v>1.8200000000002798</c:v>
                </c:pt>
                <c:pt idx="215">
                  <c:v>1.7500000000002802</c:v>
                </c:pt>
                <c:pt idx="216">
                  <c:v>1.6800000000002799</c:v>
                </c:pt>
                <c:pt idx="217">
                  <c:v>1.6100000000002801</c:v>
                </c:pt>
                <c:pt idx="218">
                  <c:v>1.54000000000028</c:v>
                </c:pt>
                <c:pt idx="219">
                  <c:v>1.47000000000028</c:v>
                </c:pt>
                <c:pt idx="220">
                  <c:v>1.4000000000002801</c:v>
                </c:pt>
                <c:pt idx="221">
                  <c:v>1.3300000000002801</c:v>
                </c:pt>
                <c:pt idx="222">
                  <c:v>1.2600000000002816</c:v>
                </c:pt>
                <c:pt idx="223">
                  <c:v>1.1900000000002786</c:v>
                </c:pt>
                <c:pt idx="224">
                  <c:v>1.1200000000002814</c:v>
                </c:pt>
                <c:pt idx="225">
                  <c:v>1.0500000000002785</c:v>
                </c:pt>
                <c:pt idx="226">
                  <c:v>0.98000000000028009</c:v>
                </c:pt>
                <c:pt idx="227">
                  <c:v>0.91000000000027859</c:v>
                </c:pt>
                <c:pt idx="228">
                  <c:v>0.84000000000028008</c:v>
                </c:pt>
                <c:pt idx="229">
                  <c:v>0.77000000000027857</c:v>
                </c:pt>
                <c:pt idx="230">
                  <c:v>0.70000000000027995</c:v>
                </c:pt>
              </c:numCache>
            </c:numRef>
          </c:xVal>
          <c:yVal>
            <c:numRef>
              <c:f>'Design Calculations'!$M$60:$M$290</c:f>
              <c:numCache>
                <c:formatCode>General</c:formatCode>
                <c:ptCount val="23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553-4A10-9980-E7DA55342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8936"/>
        <c:axId val="256203056"/>
      </c:scatterChart>
      <c:valAx>
        <c:axId val="25620893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3056"/>
        <c:crosses val="autoZero"/>
        <c:crossBetween val="midCat"/>
        <c:minorUnit val="1"/>
      </c:valAx>
      <c:valAx>
        <c:axId val="2562030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8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85643564356435642"/>
          <c:y val="0.47874720357941836"/>
          <c:w val="0.99339933993399332"/>
          <c:h val="0.577181208053691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400852878464817"/>
          <c:y val="3.0060120240480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710021321961619E-2"/>
          <c:y val="0.13827668841265384"/>
          <c:w val="0.84968017057569301"/>
          <c:h val="0.7715438411430685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Sheet1!$N$11</c:f>
              <c:strCache>
                <c:ptCount val="1"/>
                <c:pt idx="0">
                  <c:v>Vout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Sheet1!$M$12:$M$2000</c:f>
              <c:numCache>
                <c:formatCode>General</c:formatCode>
                <c:ptCount val="1989"/>
                <c:pt idx="0">
                  <c:v>1.3999999999997225E-6</c:v>
                </c:pt>
                <c:pt idx="1">
                  <c:v>2.0999999999997224E-6</c:v>
                </c:pt>
                <c:pt idx="2">
                  <c:v>2.7999999999997208E-6</c:v>
                </c:pt>
                <c:pt idx="3">
                  <c:v>3.4999999999997209E-6</c:v>
                </c:pt>
                <c:pt idx="4">
                  <c:v>4.1999999999997201E-6</c:v>
                </c:pt>
                <c:pt idx="5">
                  <c:v>4.8999999999997202E-6</c:v>
                </c:pt>
                <c:pt idx="6">
                  <c:v>5.5999999999997194E-6</c:v>
                </c:pt>
                <c:pt idx="7">
                  <c:v>6.2999999999997203E-6</c:v>
                </c:pt>
                <c:pt idx="8">
                  <c:v>6.9999999999997195E-6</c:v>
                </c:pt>
                <c:pt idx="9">
                  <c:v>7.6999999999997196E-6</c:v>
                </c:pt>
                <c:pt idx="10">
                  <c:v>8.3999999999997197E-6</c:v>
                </c:pt>
                <c:pt idx="11">
                  <c:v>9.0999999999997333E-6</c:v>
                </c:pt>
                <c:pt idx="12">
                  <c:v>9.7999999999997063E-6</c:v>
                </c:pt>
                <c:pt idx="13">
                  <c:v>1.0499999999999718E-5</c:v>
                </c:pt>
                <c:pt idx="14">
                  <c:v>1.119999999999972E-5</c:v>
                </c:pt>
                <c:pt idx="15">
                  <c:v>1.189999999999972E-5</c:v>
                </c:pt>
                <c:pt idx="16">
                  <c:v>1.259999999999972E-5</c:v>
                </c:pt>
                <c:pt idx="17">
                  <c:v>1.3299999999999719E-5</c:v>
                </c:pt>
                <c:pt idx="18">
                  <c:v>1.3999999999999719E-5</c:v>
                </c:pt>
                <c:pt idx="19">
                  <c:v>1.4699999999999719E-5</c:v>
                </c:pt>
                <c:pt idx="20">
                  <c:v>1.5399999999999717E-5</c:v>
                </c:pt>
                <c:pt idx="21">
                  <c:v>1.6099999999999717E-5</c:v>
                </c:pt>
                <c:pt idx="22">
                  <c:v>1.6799999999999717E-5</c:v>
                </c:pt>
                <c:pt idx="23">
                  <c:v>1.7499999999999714E-5</c:v>
                </c:pt>
                <c:pt idx="24">
                  <c:v>1.8199999999999714E-5</c:v>
                </c:pt>
                <c:pt idx="25">
                  <c:v>1.8899999999999714E-5</c:v>
                </c:pt>
                <c:pt idx="26">
                  <c:v>1.9599999999999714E-5</c:v>
                </c:pt>
                <c:pt idx="27">
                  <c:v>2.0299999999999711E-5</c:v>
                </c:pt>
                <c:pt idx="28">
                  <c:v>2.0999999999999714E-5</c:v>
                </c:pt>
                <c:pt idx="29">
                  <c:v>2.1699999999999714E-5</c:v>
                </c:pt>
                <c:pt idx="30">
                  <c:v>2.2399999999999718E-5</c:v>
                </c:pt>
                <c:pt idx="31">
                  <c:v>2.3099999999999714E-5</c:v>
                </c:pt>
                <c:pt idx="32">
                  <c:v>2.3799999999999718E-5</c:v>
                </c:pt>
                <c:pt idx="33">
                  <c:v>2.4499999999999715E-5</c:v>
                </c:pt>
                <c:pt idx="34">
                  <c:v>2.5199999999999711E-5</c:v>
                </c:pt>
                <c:pt idx="35">
                  <c:v>2.5899999999999708E-5</c:v>
                </c:pt>
                <c:pt idx="36">
                  <c:v>2.6599999999999711E-5</c:v>
                </c:pt>
                <c:pt idx="37">
                  <c:v>2.7299999999999708E-5</c:v>
                </c:pt>
                <c:pt idx="38">
                  <c:v>2.7999999999999712E-5</c:v>
                </c:pt>
                <c:pt idx="39">
                  <c:v>2.8699999999999708E-5</c:v>
                </c:pt>
                <c:pt idx="40">
                  <c:v>2.9399999999999705E-5</c:v>
                </c:pt>
                <c:pt idx="41">
                  <c:v>3.0099999999999702E-5</c:v>
                </c:pt>
                <c:pt idx="42">
                  <c:v>3.0799999999999705E-5</c:v>
                </c:pt>
                <c:pt idx="43">
                  <c:v>3.1499999999999702E-5</c:v>
                </c:pt>
                <c:pt idx="44">
                  <c:v>3.2199999999999705E-5</c:v>
                </c:pt>
                <c:pt idx="45">
                  <c:v>3.2899999999999702E-5</c:v>
                </c:pt>
                <c:pt idx="46">
                  <c:v>3.3599999999999699E-5</c:v>
                </c:pt>
                <c:pt idx="47">
                  <c:v>3.4299999999999702E-5</c:v>
                </c:pt>
                <c:pt idx="48">
                  <c:v>3.4999999999999699E-5</c:v>
                </c:pt>
                <c:pt idx="49">
                  <c:v>3.5699999999999695E-5</c:v>
                </c:pt>
                <c:pt idx="50">
                  <c:v>3.6399999999999699E-5</c:v>
                </c:pt>
                <c:pt idx="51">
                  <c:v>3.7099999999999702E-5</c:v>
                </c:pt>
                <c:pt idx="52">
                  <c:v>3.7799999999999699E-5</c:v>
                </c:pt>
                <c:pt idx="53">
                  <c:v>3.8499999999999696E-5</c:v>
                </c:pt>
                <c:pt idx="54">
                  <c:v>3.9199999999999699E-5</c:v>
                </c:pt>
                <c:pt idx="55">
                  <c:v>3.9899999999999703E-5</c:v>
                </c:pt>
                <c:pt idx="56">
                  <c:v>4.0599999999999693E-5</c:v>
                </c:pt>
                <c:pt idx="57">
                  <c:v>4.1296728072586987E-5</c:v>
                </c:pt>
                <c:pt idx="58">
                  <c:v>4.1984287426813012E-5</c:v>
                </c:pt>
                <c:pt idx="59">
                  <c:v>4.2660291161640284E-5</c:v>
                </c:pt>
                <c:pt idx="60">
                  <c:v>4.3325121281015866E-5</c:v>
                </c:pt>
                <c:pt idx="61">
                  <c:v>4.397914115454793E-5</c:v>
                </c:pt>
                <c:pt idx="62">
                  <c:v>4.4622696710103489E-5</c:v>
                </c:pt>
                <c:pt idx="63">
                  <c:v>4.5256117532500695E-5</c:v>
                </c:pt>
                <c:pt idx="64">
                  <c:v>4.5879717877031277E-5</c:v>
                </c:pt>
                <c:pt idx="65">
                  <c:v>4.6493797605614819E-5</c:v>
                </c:pt>
                <c:pt idx="66">
                  <c:v>4.7098643052565531E-5</c:v>
                </c:pt>
                <c:pt idx="67">
                  <c:v>4.7694527826228086E-5</c:v>
                </c:pt>
                <c:pt idx="68">
                  <c:v>4.8281713552099942E-5</c:v>
                </c:pt>
                <c:pt idx="69">
                  <c:v>4.886045056249163E-5</c:v>
                </c:pt>
                <c:pt idx="70">
                  <c:v>4.9430978537274918E-5</c:v>
                </c:pt>
                <c:pt idx="71">
                  <c:v>4.9993527099823486E-5</c:v>
                </c:pt>
                <c:pt idx="72">
                  <c:v>5.0548316371854141E-5</c:v>
                </c:pt>
                <c:pt idx="73">
                  <c:v>5.1095557490523829E-5</c:v>
                </c:pt>
                <c:pt idx="74">
                  <c:v>5.163545309082212E-5</c:v>
                </c:pt>
                <c:pt idx="75">
                  <c:v>5.2168197756017121E-5</c:v>
                </c:pt>
                <c:pt idx="76">
                  <c:v>5.2693978438660549E-5</c:v>
                </c:pt>
                <c:pt idx="77">
                  <c:v>5.3212974854431159E-5</c:v>
                </c:pt>
                <c:pt idx="78">
                  <c:v>5.3725359850892585E-5</c:v>
                </c:pt>
                <c:pt idx="79">
                  <c:v>5.4231299753058905E-5</c:v>
                </c:pt>
                <c:pt idx="80">
                  <c:v>5.4730954687496449E-5</c:v>
                </c:pt>
                <c:pt idx="81">
                  <c:v>5.5224478886542114E-5</c:v>
                </c:pt>
                <c:pt idx="82">
                  <c:v>5.5712020974084196E-5</c:v>
                </c:pt>
                <c:pt idx="83">
                  <c:v>5.6193724234230573E-5</c:v>
                </c:pt>
                <c:pt idx="84">
                  <c:v>5.6669726864079358E-5</c:v>
                </c:pt>
                <c:pt idx="85">
                  <c:v>5.7140162211707694E-5</c:v>
                </c:pt>
                <c:pt idx="86">
                  <c:v>5.7605159000403902E-5</c:v>
                </c:pt>
                <c:pt idx="87">
                  <c:v>5.8064841540086536E-5</c:v>
                </c:pt>
                <c:pt idx="88">
                  <c:v>5.8519329926778314E-5</c:v>
                </c:pt>
                <c:pt idx="89">
                  <c:v>5.8968740230937217E-5</c:v>
                </c:pt>
                <c:pt idx="90">
                  <c:v>5.9413184675381665E-5</c:v>
                </c:pt>
                <c:pt idx="91">
                  <c:v>5.9852771803493385E-5</c:v>
                </c:pt>
                <c:pt idx="92">
                  <c:v>6.0287606638328222E-5</c:v>
                </c:pt>
                <c:pt idx="93">
                  <c:v>6.0717790833218297E-5</c:v>
                </c:pt>
                <c:pt idx="94">
                  <c:v>6.1143422814405836E-5</c:v>
                </c:pt>
                <c:pt idx="95">
                  <c:v>6.1564597916209215E-5</c:v>
                </c:pt>
                <c:pt idx="96">
                  <c:v>6.1981408509185614E-5</c:v>
                </c:pt>
                <c:pt idx="97">
                  <c:v>6.2393944121721229E-5</c:v>
                </c:pt>
                <c:pt idx="98">
                  <c:v>6.2802291555449379E-5</c:v>
                </c:pt>
                <c:pt idx="99">
                  <c:v>6.3206534994868696E-5</c:v>
                </c:pt>
                <c:pt idx="100">
                  <c:v>6.3606756111507729E-5</c:v>
                </c:pt>
                <c:pt idx="101">
                  <c:v>6.4003034162958192E-5</c:v>
                </c:pt>
                <c:pt idx="102">
                  <c:v>6.4395446087077429E-5</c:v>
                </c:pt>
                <c:pt idx="103">
                  <c:v>6.4784066591639966E-5</c:v>
                </c:pt>
                <c:pt idx="104">
                  <c:v>6.5168968239699514E-5</c:v>
                </c:pt>
                <c:pt idx="105">
                  <c:v>6.5550221530905403E-5</c:v>
                </c:pt>
                <c:pt idx="106">
                  <c:v>6.5927894979001385E-5</c:v>
                </c:pt>
                <c:pt idx="107">
                  <c:v>6.6302055185719726E-5</c:v>
                </c:pt>
                <c:pt idx="108">
                  <c:v>6.6672766911270168E-5</c:v>
                </c:pt>
                <c:pt idx="109">
                  <c:v>6.7040093141610102E-5</c:v>
                </c:pt>
                <c:pt idx="110">
                  <c:v>6.7404095152670933E-5</c:v>
                </c:pt>
                <c:pt idx="111">
                  <c:v>6.7764832571704311E-5</c:v>
                </c:pt>
                <c:pt idx="112">
                  <c:v>6.8122363435901839E-5</c:v>
                </c:pt>
                <c:pt idx="113">
                  <c:v>6.8476744248432427E-5</c:v>
                </c:pt>
                <c:pt idx="114">
                  <c:v>6.8828030032032619E-5</c:v>
                </c:pt>
                <c:pt idx="115">
                  <c:v>6.9176274380276966E-5</c:v>
                </c:pt>
                <c:pt idx="116">
                  <c:v>6.9521529506647974E-5</c:v>
                </c:pt>
                <c:pt idx="117">
                  <c:v>6.9863846291517948E-5</c:v>
                </c:pt>
                <c:pt idx="118">
                  <c:v>7.0203274327148513E-5</c:v>
                </c:pt>
                <c:pt idx="119">
                  <c:v>7.0539861960807279E-5</c:v>
                </c:pt>
                <c:pt idx="120">
                  <c:v>7.0873656336095428E-5</c:v>
                </c:pt>
                <c:pt idx="121">
                  <c:v>7.1204703432574618E-5</c:v>
                </c:pt>
                <c:pt idx="122">
                  <c:v>7.1533048103776436E-5</c:v>
                </c:pt>
                <c:pt idx="123">
                  <c:v>7.185873411367297E-5</c:v>
                </c:pt>
                <c:pt idx="124">
                  <c:v>7.2181804171682782E-5</c:v>
                </c:pt>
                <c:pt idx="125">
                  <c:v>7.2502299966282165E-5</c:v>
                </c:pt>
                <c:pt idx="126">
                  <c:v>7.2820262197287872E-5</c:v>
                </c:pt>
                <c:pt idx="127">
                  <c:v>7.3135730606873933E-5</c:v>
                </c:pt>
                <c:pt idx="128">
                  <c:v>7.3448744009381507E-5</c:v>
                </c:pt>
                <c:pt idx="129">
                  <c:v>7.3759340319977815E-5</c:v>
                </c:pt>
                <c:pt idx="130">
                  <c:v>7.4067556582217063E-5</c:v>
                </c:pt>
                <c:pt idx="131">
                  <c:v>7.4373428994553356E-5</c:v>
                </c:pt>
                <c:pt idx="132">
                  <c:v>7.4676992935853142E-5</c:v>
                </c:pt>
                <c:pt idx="133">
                  <c:v>7.497828298995219E-5</c:v>
                </c:pt>
                <c:pt idx="134">
                  <c:v>7.5277332969299571E-5</c:v>
                </c:pt>
                <c:pt idx="135">
                  <c:v>7.5574175937729261E-5</c:v>
                </c:pt>
                <c:pt idx="136">
                  <c:v>7.5868844232397545E-5</c:v>
                </c:pt>
                <c:pt idx="137">
                  <c:v>7.6161369484922792E-5</c:v>
                </c:pt>
                <c:pt idx="138">
                  <c:v>7.6451782641761935E-5</c:v>
                </c:pt>
                <c:pt idx="139">
                  <c:v>7.6740113983856723E-5</c:v>
                </c:pt>
                <c:pt idx="140">
                  <c:v>7.7026393145580724E-5</c:v>
                </c:pt>
                <c:pt idx="141">
                  <c:v>7.7310649133016928E-5</c:v>
                </c:pt>
                <c:pt idx="142">
                  <c:v>7.7592910341593921E-5</c:v>
                </c:pt>
                <c:pt idx="143">
                  <c:v>7.7873204573107672E-5</c:v>
                </c:pt>
                <c:pt idx="144">
                  <c:v>7.8151559052154197E-5</c:v>
                </c:pt>
                <c:pt idx="145">
                  <c:v>7.8428000441997637E-5</c:v>
                </c:pt>
                <c:pt idx="146">
                  <c:v>7.8702554859896764E-5</c:v>
                </c:pt>
                <c:pt idx="147">
                  <c:v>7.8975247891911827E-5</c:v>
                </c:pt>
                <c:pt idx="148">
                  <c:v>7.9246104607212981E-5</c:v>
                </c:pt>
                <c:pt idx="149">
                  <c:v>7.9515149571910115E-5</c:v>
                </c:pt>
                <c:pt idx="150">
                  <c:v>7.9782406862423218E-5</c:v>
                </c:pt>
                <c:pt idx="151">
                  <c:v>8.004790007841149E-5</c:v>
                </c:pt>
                <c:pt idx="152">
                  <c:v>8.0311652355278518E-5</c:v>
                </c:pt>
                <c:pt idx="153">
                  <c:v>8.0573686376270195E-5</c:v>
                </c:pt>
                <c:pt idx="154">
                  <c:v>8.0834024384181014E-5</c:v>
                </c:pt>
                <c:pt idx="155">
                  <c:v>8.1092688192684048E-5</c:v>
                </c:pt>
                <c:pt idx="156">
                  <c:v>8.1349699197298892E-5</c:v>
                </c:pt>
                <c:pt idx="157">
                  <c:v>8.1605078386011415E-5</c:v>
                </c:pt>
                <c:pt idx="158">
                  <c:v>8.1858846349558567E-5</c:v>
                </c:pt>
                <c:pt idx="159">
                  <c:v>8.2111023291390681E-5</c:v>
                </c:pt>
                <c:pt idx="160">
                  <c:v>8.2361629037323525E-5</c:v>
                </c:pt>
                <c:pt idx="161">
                  <c:v>8.2610683044891464E-5</c:v>
                </c:pt>
                <c:pt idx="162">
                  <c:v>8.285820441241283E-5</c:v>
                </c:pt>
                <c:pt idx="163">
                  <c:v>8.3104211887778098E-5</c:v>
                </c:pt>
                <c:pt idx="164">
                  <c:v>8.3348723876970941E-5</c:v>
                </c:pt>
                <c:pt idx="165">
                  <c:v>8.3591758452331803E-5</c:v>
                </c:pt>
                <c:pt idx="166">
                  <c:v>8.383333336057338E-5</c:v>
                </c:pt>
                <c:pt idx="167">
                  <c:v>8.4073466030556803E-5</c:v>
                </c:pt>
                <c:pt idx="168">
                  <c:v>8.4312173580837057E-5</c:v>
                </c:pt>
                <c:pt idx="169">
                  <c:v>8.4549472826985864E-5</c:v>
                </c:pt>
                <c:pt idx="170">
                  <c:v>8.4785380288699777E-5</c:v>
                </c:pt>
                <c:pt idx="171">
                  <c:v>8.5019912196701076E-5</c:v>
                </c:pt>
                <c:pt idx="172">
                  <c:v>8.5253084499438593E-5</c:v>
                </c:pt>
                <c:pt idx="173">
                  <c:v>8.5484912869595491E-5</c:v>
                </c:pt>
                <c:pt idx="174">
                  <c:v>8.5715412710410513E-5</c:v>
                </c:pt>
                <c:pt idx="175">
                  <c:v>8.5944599161819188E-5</c:v>
                </c:pt>
                <c:pt idx="176">
                  <c:v>8.6172487106421009E-5</c:v>
                </c:pt>
                <c:pt idx="177">
                  <c:v>8.6399091175278601E-5</c:v>
                </c:pt>
                <c:pt idx="178">
                  <c:v>8.6624425753554363E-5</c:v>
                </c:pt>
                <c:pt idx="179">
                  <c:v>8.6848504985990137E-5</c:v>
                </c:pt>
                <c:pt idx="180">
                  <c:v>8.7071342782235139E-5</c:v>
                </c:pt>
                <c:pt idx="181">
                  <c:v>8.7292952822026998E-5</c:v>
                </c:pt>
                <c:pt idx="182">
                  <c:v>8.7513348560230958E-5</c:v>
                </c:pt>
                <c:pt idx="183">
                  <c:v>8.7732543231741701E-5</c:v>
                </c:pt>
                <c:pt idx="184">
                  <c:v>8.7950549856252391E-5</c:v>
                </c:pt>
                <c:pt idx="185">
                  <c:v>8.8167381242895094E-5</c:v>
                </c:pt>
                <c:pt idx="186">
                  <c:v>8.8383049994756867E-5</c:v>
                </c:pt>
                <c:pt idx="187">
                  <c:v>8.8597568513275389E-5</c:v>
                </c:pt>
                <c:pt idx="188">
                  <c:v>8.8810949002517939E-5</c:v>
                </c:pt>
                <c:pt idx="189">
                  <c:v>8.9023203473347605E-5</c:v>
                </c:pt>
                <c:pt idx="190">
                  <c:v>8.9234343747480004E-5</c:v>
                </c:pt>
                <c:pt idx="191">
                  <c:v>8.944438146143417E-5</c:v>
                </c:pt>
                <c:pt idx="192">
                  <c:v>8.9653328070380775E-5</c:v>
                </c:pt>
                <c:pt idx="193">
                  <c:v>8.9861194851890969E-5</c:v>
                </c:pt>
                <c:pt idx="194">
                  <c:v>9.0067992909588767E-5</c:v>
                </c:pt>
                <c:pt idx="195">
                  <c:v>9.0273733176710107E-5</c:v>
                </c:pt>
                <c:pt idx="196">
                  <c:v>9.0478426419571294E-5</c:v>
                </c:pt>
                <c:pt idx="197">
                  <c:v>9.0682083240949639E-5</c:v>
                </c:pt>
                <c:pt idx="198">
                  <c:v>9.0884714083378968E-5</c:v>
                </c:pt>
                <c:pt idx="199">
                  <c:v>9.1086377772365366E-5</c:v>
                </c:pt>
                <c:pt idx="200">
                  <c:v>9.1287585501833955E-5</c:v>
                </c:pt>
                <c:pt idx="201">
                  <c:v>9.1488793231302558E-5</c:v>
                </c:pt>
                <c:pt idx="202">
                  <c:v>9.1690000960771147E-5</c:v>
                </c:pt>
                <c:pt idx="203">
                  <c:v>9.189120869023975E-5</c:v>
                </c:pt>
                <c:pt idx="204">
                  <c:v>9.2092416419708339E-5</c:v>
                </c:pt>
                <c:pt idx="205">
                  <c:v>9.2293624149176941E-5</c:v>
                </c:pt>
                <c:pt idx="206">
                  <c:v>9.249483187864553E-5</c:v>
                </c:pt>
                <c:pt idx="207">
                  <c:v>9.2696039608114133E-5</c:v>
                </c:pt>
                <c:pt idx="208">
                  <c:v>9.2897247337582722E-5</c:v>
                </c:pt>
                <c:pt idx="209">
                  <c:v>9.3098455067051325E-5</c:v>
                </c:pt>
                <c:pt idx="210">
                  <c:v>9.3299662796519914E-5</c:v>
                </c:pt>
                <c:pt idx="211">
                  <c:v>9.3500870525988516E-5</c:v>
                </c:pt>
                <c:pt idx="212">
                  <c:v>9.3702078255457119E-5</c:v>
                </c:pt>
                <c:pt idx="213">
                  <c:v>9.3903285984925722E-5</c:v>
                </c:pt>
                <c:pt idx="214">
                  <c:v>9.4104493714394311E-5</c:v>
                </c:pt>
                <c:pt idx="215">
                  <c:v>9.4305701443862913E-5</c:v>
                </c:pt>
                <c:pt idx="216">
                  <c:v>9.4506909173331502E-5</c:v>
                </c:pt>
                <c:pt idx="217">
                  <c:v>9.4708116902800105E-5</c:v>
                </c:pt>
                <c:pt idx="218">
                  <c:v>9.4909324632268694E-5</c:v>
                </c:pt>
                <c:pt idx="219">
                  <c:v>9.5110532361737297E-5</c:v>
                </c:pt>
                <c:pt idx="220">
                  <c:v>9.5512947820674475E-5</c:v>
                </c:pt>
                <c:pt idx="221">
                  <c:v>9.5714155550143064E-5</c:v>
                </c:pt>
                <c:pt idx="222">
                  <c:v>9.5915363279611666E-5</c:v>
                </c:pt>
                <c:pt idx="223">
                  <c:v>9.6116571009080255E-5</c:v>
                </c:pt>
                <c:pt idx="224">
                  <c:v>9.6317778738548858E-5</c:v>
                </c:pt>
                <c:pt idx="225">
                  <c:v>9.6518986468017447E-5</c:v>
                </c:pt>
                <c:pt idx="226">
                  <c:v>9.6720194197486036E-5</c:v>
                </c:pt>
                <c:pt idx="227">
                  <c:v>9.6921401926954639E-5</c:v>
                </c:pt>
                <c:pt idx="228">
                  <c:v>9.7122609656423228E-5</c:v>
                </c:pt>
                <c:pt idx="229">
                  <c:v>9.7323817385891831E-5</c:v>
                </c:pt>
                <c:pt idx="230">
                  <c:v>9.752502511536042E-5</c:v>
                </c:pt>
                <c:pt idx="231">
                  <c:v>9.7726232844829036E-5</c:v>
                </c:pt>
                <c:pt idx="232">
                  <c:v>9.7927440574297625E-5</c:v>
                </c:pt>
                <c:pt idx="233">
                  <c:v>9.8128648303766241E-5</c:v>
                </c:pt>
                <c:pt idx="234">
                  <c:v>9.832985603323483E-5</c:v>
                </c:pt>
                <c:pt idx="235">
                  <c:v>9.8531063762703433E-5</c:v>
                </c:pt>
                <c:pt idx="236">
                  <c:v>9.8732271492172035E-5</c:v>
                </c:pt>
                <c:pt idx="237">
                  <c:v>9.8933479221640638E-5</c:v>
                </c:pt>
                <c:pt idx="238">
                  <c:v>9.913468695110924E-5</c:v>
                </c:pt>
                <c:pt idx="239">
                  <c:v>9.9335894680577843E-5</c:v>
                </c:pt>
                <c:pt idx="240">
                  <c:v>9.9537102410046446E-5</c:v>
                </c:pt>
                <c:pt idx="241">
                  <c:v>9.9738310139515048E-5</c:v>
                </c:pt>
                <c:pt idx="242">
                  <c:v>9.9939517868983637E-5</c:v>
                </c:pt>
                <c:pt idx="243">
                  <c:v>1.0014072559845225E-4</c:v>
                </c:pt>
                <c:pt idx="244">
                  <c:v>1.0034193332792084E-4</c:v>
                </c:pt>
                <c:pt idx="245">
                  <c:v>1.0054314105738946E-4</c:v>
                </c:pt>
                <c:pt idx="246">
                  <c:v>1.0074434878685805E-4</c:v>
                </c:pt>
                <c:pt idx="247">
                  <c:v>1.0094555651632666E-4</c:v>
                </c:pt>
                <c:pt idx="248">
                  <c:v>1.0114676424579525E-4</c:v>
                </c:pt>
                <c:pt idx="249">
                  <c:v>1.0134797197526386E-4</c:v>
                </c:pt>
                <c:pt idx="250">
                  <c:v>1.0154917970473246E-4</c:v>
                </c:pt>
                <c:pt idx="251">
                  <c:v>1.0175038743420106E-4</c:v>
                </c:pt>
                <c:pt idx="252">
                  <c:v>1.0195159516366966E-4</c:v>
                </c:pt>
                <c:pt idx="253">
                  <c:v>1.0215280289313825E-4</c:v>
                </c:pt>
                <c:pt idx="254">
                  <c:v>1.0235401062260687E-4</c:v>
                </c:pt>
                <c:pt idx="255">
                  <c:v>1.0255521835207546E-4</c:v>
                </c:pt>
                <c:pt idx="256">
                  <c:v>1.0275642608154407E-4</c:v>
                </c:pt>
                <c:pt idx="257">
                  <c:v>1.0295763381101266E-4</c:v>
                </c:pt>
                <c:pt idx="258">
                  <c:v>1.0315884154048128E-4</c:v>
                </c:pt>
                <c:pt idx="259">
                  <c:v>1.0336004926994987E-4</c:v>
                </c:pt>
                <c:pt idx="260">
                  <c:v>1.0356125699941847E-4</c:v>
                </c:pt>
                <c:pt idx="261">
                  <c:v>1.0376246472888747E-4</c:v>
                </c:pt>
                <c:pt idx="262">
                  <c:v>1.0396367245835566E-4</c:v>
                </c:pt>
                <c:pt idx="263">
                  <c:v>1.0416488018782466E-4</c:v>
                </c:pt>
                <c:pt idx="264">
                  <c:v>1.0436608791729285E-4</c:v>
                </c:pt>
                <c:pt idx="265">
                  <c:v>1.0456729564676185E-4</c:v>
                </c:pt>
                <c:pt idx="266">
                  <c:v>1.0476850337623005E-4</c:v>
                </c:pt>
                <c:pt idx="267">
                  <c:v>1.0496971110569904E-4</c:v>
                </c:pt>
                <c:pt idx="268">
                  <c:v>1.0517091883516724E-4</c:v>
                </c:pt>
                <c:pt idx="269">
                  <c:v>1.0537212656463623E-4</c:v>
                </c:pt>
                <c:pt idx="270">
                  <c:v>1.0557333429410484E-4</c:v>
                </c:pt>
                <c:pt idx="271">
                  <c:v>1.0577454202357344E-4</c:v>
                </c:pt>
                <c:pt idx="272">
                  <c:v>1.0597574975304204E-4</c:v>
                </c:pt>
                <c:pt idx="273">
                  <c:v>1.0617695748251064E-4</c:v>
                </c:pt>
                <c:pt idx="274">
                  <c:v>1.0637816521197925E-4</c:v>
                </c:pt>
                <c:pt idx="275">
                  <c:v>1.0657937294144784E-4</c:v>
                </c:pt>
                <c:pt idx="276">
                  <c:v>1.0678058067091645E-4</c:v>
                </c:pt>
                <c:pt idx="277">
                  <c:v>1.0698178840038504E-4</c:v>
                </c:pt>
                <c:pt idx="278">
                  <c:v>1.0718299612985364E-4</c:v>
                </c:pt>
                <c:pt idx="279">
                  <c:v>1.0738420385932225E-4</c:v>
                </c:pt>
                <c:pt idx="280">
                  <c:v>1.0758541158879085E-4</c:v>
                </c:pt>
                <c:pt idx="281">
                  <c:v>1.0778661931825945E-4</c:v>
                </c:pt>
                <c:pt idx="282">
                  <c:v>1.0798782704772804E-4</c:v>
                </c:pt>
                <c:pt idx="283">
                  <c:v>1.0818903477719666E-4</c:v>
                </c:pt>
                <c:pt idx="284">
                  <c:v>1.0839024250666525E-4</c:v>
                </c:pt>
                <c:pt idx="285">
                  <c:v>1.0859145023613386E-4</c:v>
                </c:pt>
                <c:pt idx="286">
                  <c:v>1.0879265796560245E-4</c:v>
                </c:pt>
                <c:pt idx="287">
                  <c:v>1.0899386569507107E-4</c:v>
                </c:pt>
                <c:pt idx="288">
                  <c:v>1.0919507342453966E-4</c:v>
                </c:pt>
                <c:pt idx="289">
                  <c:v>1.0939628115400826E-4</c:v>
                </c:pt>
                <c:pt idx="290">
                  <c:v>1.0959748888347686E-4</c:v>
                </c:pt>
                <c:pt idx="291">
                  <c:v>1.0979869661294546E-4</c:v>
                </c:pt>
                <c:pt idx="292">
                  <c:v>1.0999990434241407E-4</c:v>
                </c:pt>
                <c:pt idx="293">
                  <c:v>1.1020111207188267E-4</c:v>
                </c:pt>
                <c:pt idx="294">
                  <c:v>1.1040231980135127E-4</c:v>
                </c:pt>
                <c:pt idx="295">
                  <c:v>1.1060352753081987E-4</c:v>
                </c:pt>
                <c:pt idx="296">
                  <c:v>1.1080473526028848E-4</c:v>
                </c:pt>
                <c:pt idx="297">
                  <c:v>1.1100594298975708E-4</c:v>
                </c:pt>
                <c:pt idx="298">
                  <c:v>1.1120715071922568E-4</c:v>
                </c:pt>
                <c:pt idx="299">
                  <c:v>1.1140835844869428E-4</c:v>
                </c:pt>
                <c:pt idx="300">
                  <c:v>1.1160956617816287E-4</c:v>
                </c:pt>
                <c:pt idx="301">
                  <c:v>1.1181077390763149E-4</c:v>
                </c:pt>
                <c:pt idx="302">
                  <c:v>1.1201198163710008E-4</c:v>
                </c:pt>
                <c:pt idx="303">
                  <c:v>1.1221318936656868E-4</c:v>
                </c:pt>
                <c:pt idx="304">
                  <c:v>1.1241439709603728E-4</c:v>
                </c:pt>
                <c:pt idx="305">
                  <c:v>1.1261560482550589E-4</c:v>
                </c:pt>
                <c:pt idx="306">
                  <c:v>1.1281681255497449E-4</c:v>
                </c:pt>
                <c:pt idx="307">
                  <c:v>1.1301802028444308E-4</c:v>
                </c:pt>
                <c:pt idx="308">
                  <c:v>1.1321922801391169E-4</c:v>
                </c:pt>
                <c:pt idx="309">
                  <c:v>1.1342043574338028E-4</c:v>
                </c:pt>
                <c:pt idx="310">
                  <c:v>1.136216434728489E-4</c:v>
                </c:pt>
                <c:pt idx="311">
                  <c:v>1.1382285120231749E-4</c:v>
                </c:pt>
                <c:pt idx="312">
                  <c:v>1.1402405893178611E-4</c:v>
                </c:pt>
                <c:pt idx="313">
                  <c:v>1.1422526666125469E-4</c:v>
                </c:pt>
                <c:pt idx="314">
                  <c:v>1.144264743907233E-4</c:v>
                </c:pt>
                <c:pt idx="315">
                  <c:v>1.146276821201919E-4</c:v>
                </c:pt>
                <c:pt idx="316">
                  <c:v>1.148288898496605E-4</c:v>
                </c:pt>
                <c:pt idx="317">
                  <c:v>1.150300975791291E-4</c:v>
                </c:pt>
                <c:pt idx="318">
                  <c:v>1.1523130530859771E-4</c:v>
                </c:pt>
                <c:pt idx="319">
                  <c:v>1.1543251303806631E-4</c:v>
                </c:pt>
                <c:pt idx="320">
                  <c:v>1.1563372076753491E-4</c:v>
                </c:pt>
                <c:pt idx="321">
                  <c:v>1.1583492849700352E-4</c:v>
                </c:pt>
                <c:pt idx="322">
                  <c:v>1.1603613622647212E-4</c:v>
                </c:pt>
                <c:pt idx="323">
                  <c:v>1.1623734395594072E-4</c:v>
                </c:pt>
                <c:pt idx="324">
                  <c:v>1.1643855168540932E-4</c:v>
                </c:pt>
                <c:pt idx="325">
                  <c:v>1.1663975941487791E-4</c:v>
                </c:pt>
                <c:pt idx="326">
                  <c:v>1.1684096714434653E-4</c:v>
                </c:pt>
                <c:pt idx="327">
                  <c:v>1.1704217487381512E-4</c:v>
                </c:pt>
                <c:pt idx="328">
                  <c:v>1.1724338260328372E-4</c:v>
                </c:pt>
                <c:pt idx="329">
                  <c:v>1.1744459033275232E-4</c:v>
                </c:pt>
                <c:pt idx="330">
                  <c:v>1.1764579806222093E-4</c:v>
                </c:pt>
                <c:pt idx="331">
                  <c:v>1.1784700579168953E-4</c:v>
                </c:pt>
                <c:pt idx="332">
                  <c:v>1.1804821352115812E-4</c:v>
                </c:pt>
                <c:pt idx="333">
                  <c:v>1.1824942125062673E-4</c:v>
                </c:pt>
                <c:pt idx="334">
                  <c:v>1.1845062898009532E-4</c:v>
                </c:pt>
                <c:pt idx="335">
                  <c:v>1.1865183670956394E-4</c:v>
                </c:pt>
                <c:pt idx="336">
                  <c:v>1.1885304443903253E-4</c:v>
                </c:pt>
                <c:pt idx="337">
                  <c:v>1.1905425216850114E-4</c:v>
                </c:pt>
                <c:pt idx="338">
                  <c:v>1.1925545989796973E-4</c:v>
                </c:pt>
                <c:pt idx="339">
                  <c:v>1.1945666762743834E-4</c:v>
                </c:pt>
                <c:pt idx="340">
                  <c:v>1.1965787535690694E-4</c:v>
                </c:pt>
                <c:pt idx="341">
                  <c:v>1.1985908308637554E-4</c:v>
                </c:pt>
                <c:pt idx="342">
                  <c:v>1.2006029081584414E-4</c:v>
                </c:pt>
                <c:pt idx="343">
                  <c:v>1.2026149854531275E-4</c:v>
                </c:pt>
                <c:pt idx="344">
                  <c:v>1.2046270627478135E-4</c:v>
                </c:pt>
                <c:pt idx="345">
                  <c:v>1.2066391400424995E-4</c:v>
                </c:pt>
                <c:pt idx="346">
                  <c:v>1.2086512173371855E-4</c:v>
                </c:pt>
                <c:pt idx="347">
                  <c:v>1.2106632946318716E-4</c:v>
                </c:pt>
                <c:pt idx="348">
                  <c:v>1.2126753719265576E-4</c:v>
                </c:pt>
                <c:pt idx="349">
                  <c:v>1.2146874492212436E-4</c:v>
                </c:pt>
                <c:pt idx="350">
                  <c:v>1.2166995265159336E-4</c:v>
                </c:pt>
                <c:pt idx="351">
                  <c:v>1.2187116038106155E-4</c:v>
                </c:pt>
                <c:pt idx="352">
                  <c:v>1.2207236811053016E-4</c:v>
                </c:pt>
                <c:pt idx="353">
                  <c:v>1.2227357583999916E-4</c:v>
                </c:pt>
                <c:pt idx="354">
                  <c:v>1.2247478356946777E-4</c:v>
                </c:pt>
                <c:pt idx="355">
                  <c:v>1.2267599129893637E-4</c:v>
                </c:pt>
                <c:pt idx="356">
                  <c:v>1.2287719902840497E-4</c:v>
                </c:pt>
                <c:pt idx="357">
                  <c:v>1.2307840675787358E-4</c:v>
                </c:pt>
                <c:pt idx="358">
                  <c:v>1.2327961448734218E-4</c:v>
                </c:pt>
                <c:pt idx="359">
                  <c:v>1.2348082221681078E-4</c:v>
                </c:pt>
                <c:pt idx="360">
                  <c:v>1.2368202994627938E-4</c:v>
                </c:pt>
                <c:pt idx="361">
                  <c:v>1.2388323767574799E-4</c:v>
                </c:pt>
                <c:pt idx="362">
                  <c:v>1.2408444540521659E-4</c:v>
                </c:pt>
                <c:pt idx="363">
                  <c:v>1.2428565313468519E-4</c:v>
                </c:pt>
                <c:pt idx="364">
                  <c:v>1.2448686086415379E-4</c:v>
                </c:pt>
                <c:pt idx="365">
                  <c:v>1.246880685936224E-4</c:v>
                </c:pt>
                <c:pt idx="366">
                  <c:v>1.24889276323091E-4</c:v>
                </c:pt>
                <c:pt idx="367">
                  <c:v>1.250904840525596E-4</c:v>
                </c:pt>
                <c:pt idx="368">
                  <c:v>1.252916917820282E-4</c:v>
                </c:pt>
                <c:pt idx="369">
                  <c:v>1.2549289951149681E-4</c:v>
                </c:pt>
                <c:pt idx="370">
                  <c:v>1.2569410724096541E-4</c:v>
                </c:pt>
                <c:pt idx="371">
                  <c:v>1.2589531497043401E-4</c:v>
                </c:pt>
                <c:pt idx="372">
                  <c:v>1.2609652269990261E-4</c:v>
                </c:pt>
                <c:pt idx="373">
                  <c:v>1.2629773042937122E-4</c:v>
                </c:pt>
                <c:pt idx="374">
                  <c:v>1.2649893815883982E-4</c:v>
                </c:pt>
                <c:pt idx="375">
                  <c:v>1.2670014588830842E-4</c:v>
                </c:pt>
                <c:pt idx="376">
                  <c:v>1.2690135361777702E-4</c:v>
                </c:pt>
                <c:pt idx="377">
                  <c:v>1.2710256134724563E-4</c:v>
                </c:pt>
                <c:pt idx="378">
                  <c:v>1.2730376907671423E-4</c:v>
                </c:pt>
                <c:pt idx="379">
                  <c:v>1.2750497680618283E-4</c:v>
                </c:pt>
                <c:pt idx="380">
                  <c:v>1.2770618453565144E-4</c:v>
                </c:pt>
                <c:pt idx="381">
                  <c:v>1.2790739226512004E-4</c:v>
                </c:pt>
                <c:pt idx="382">
                  <c:v>1.2810859999458864E-4</c:v>
                </c:pt>
                <c:pt idx="383">
                  <c:v>1.2830980772405724E-4</c:v>
                </c:pt>
                <c:pt idx="384">
                  <c:v>1.2851101545352585E-4</c:v>
                </c:pt>
                <c:pt idx="385">
                  <c:v>1.2871222318299445E-4</c:v>
                </c:pt>
                <c:pt idx="386">
                  <c:v>1.2891343091246305E-4</c:v>
                </c:pt>
                <c:pt idx="387">
                  <c:v>1.2911463864193165E-4</c:v>
                </c:pt>
                <c:pt idx="388">
                  <c:v>1.2931584637140026E-4</c:v>
                </c:pt>
                <c:pt idx="389">
                  <c:v>1.2951705410086886E-4</c:v>
                </c:pt>
                <c:pt idx="390">
                  <c:v>1.2971826183033746E-4</c:v>
                </c:pt>
                <c:pt idx="391">
                  <c:v>1.2991946955980606E-4</c:v>
                </c:pt>
                <c:pt idx="392">
                  <c:v>1.3012067728927467E-4</c:v>
                </c:pt>
                <c:pt idx="393">
                  <c:v>1.3032188501874327E-4</c:v>
                </c:pt>
                <c:pt idx="394">
                  <c:v>1.3052309274821187E-4</c:v>
                </c:pt>
                <c:pt idx="395">
                  <c:v>1.3072430047768047E-4</c:v>
                </c:pt>
                <c:pt idx="396">
                  <c:v>1.3092550820714908E-4</c:v>
                </c:pt>
                <c:pt idx="397">
                  <c:v>1.3112671593661768E-4</c:v>
                </c:pt>
                <c:pt idx="398">
                  <c:v>1.3132792366608628E-4</c:v>
                </c:pt>
                <c:pt idx="399">
                  <c:v>1.3152913139555488E-4</c:v>
                </c:pt>
                <c:pt idx="400">
                  <c:v>1.3173033912502349E-4</c:v>
                </c:pt>
                <c:pt idx="401">
                  <c:v>1.3193154685449209E-4</c:v>
                </c:pt>
                <c:pt idx="402">
                  <c:v>1.3213275458396072E-4</c:v>
                </c:pt>
                <c:pt idx="403">
                  <c:v>1.3233396231342932E-4</c:v>
                </c:pt>
                <c:pt idx="404">
                  <c:v>1.3253517004289793E-4</c:v>
                </c:pt>
                <c:pt idx="405">
                  <c:v>1.3273637777236653E-4</c:v>
                </c:pt>
                <c:pt idx="406">
                  <c:v>1.3293758550183513E-4</c:v>
                </c:pt>
                <c:pt idx="407">
                  <c:v>1.3313879323130373E-4</c:v>
                </c:pt>
                <c:pt idx="408">
                  <c:v>1.3334000096077234E-4</c:v>
                </c:pt>
                <c:pt idx="409">
                  <c:v>1.3354120869024094E-4</c:v>
                </c:pt>
                <c:pt idx="410">
                  <c:v>1.3374241641970954E-4</c:v>
                </c:pt>
                <c:pt idx="411">
                  <c:v>1.3394362414917814E-4</c:v>
                </c:pt>
                <c:pt idx="412">
                  <c:v>1.3414483187864675E-4</c:v>
                </c:pt>
                <c:pt idx="413">
                  <c:v>1.3434603960811535E-4</c:v>
                </c:pt>
                <c:pt idx="414">
                  <c:v>1.3454724733758395E-4</c:v>
                </c:pt>
                <c:pt idx="415">
                  <c:v>1.3474845506705255E-4</c:v>
                </c:pt>
                <c:pt idx="416">
                  <c:v>1.3494966279652116E-4</c:v>
                </c:pt>
                <c:pt idx="417">
                  <c:v>1.3515087052598976E-4</c:v>
                </c:pt>
                <c:pt idx="418">
                  <c:v>1.3535207825545836E-4</c:v>
                </c:pt>
                <c:pt idx="419">
                  <c:v>1.3555328598492696E-4</c:v>
                </c:pt>
                <c:pt idx="420">
                  <c:v>1.3575449371439557E-4</c:v>
                </c:pt>
                <c:pt idx="421">
                  <c:v>1.3595570144386417E-4</c:v>
                </c:pt>
                <c:pt idx="422">
                  <c:v>1.3615690917333277E-4</c:v>
                </c:pt>
                <c:pt idx="423">
                  <c:v>1.363581169028014E-4</c:v>
                </c:pt>
                <c:pt idx="424">
                  <c:v>1.3655932463227E-4</c:v>
                </c:pt>
                <c:pt idx="425">
                  <c:v>1.3676053236173861E-4</c:v>
                </c:pt>
                <c:pt idx="426">
                  <c:v>1.3696174009120721E-4</c:v>
                </c:pt>
                <c:pt idx="427">
                  <c:v>1.3716294782067584E-4</c:v>
                </c:pt>
                <c:pt idx="428">
                  <c:v>1.3736415555014444E-4</c:v>
                </c:pt>
                <c:pt idx="429">
                  <c:v>1.3756536327961304E-4</c:v>
                </c:pt>
                <c:pt idx="430">
                  <c:v>1.3776657100908165E-4</c:v>
                </c:pt>
                <c:pt idx="431">
                  <c:v>1.3796777873855025E-4</c:v>
                </c:pt>
                <c:pt idx="432">
                  <c:v>1.3816898646801885E-4</c:v>
                </c:pt>
                <c:pt idx="433">
                  <c:v>1.3837019419748746E-4</c:v>
                </c:pt>
                <c:pt idx="434">
                  <c:v>1.3857140192695606E-4</c:v>
                </c:pt>
                <c:pt idx="435">
                  <c:v>1.3877260965642466E-4</c:v>
                </c:pt>
                <c:pt idx="436">
                  <c:v>1.3897381738589326E-4</c:v>
                </c:pt>
                <c:pt idx="437">
                  <c:v>1.3917502511536187E-4</c:v>
                </c:pt>
                <c:pt idx="438">
                  <c:v>1.3937623284483047E-4</c:v>
                </c:pt>
                <c:pt idx="439">
                  <c:v>1.3957744057429907E-4</c:v>
                </c:pt>
                <c:pt idx="440">
                  <c:v>1.3977864830376767E-4</c:v>
                </c:pt>
                <c:pt idx="441">
                  <c:v>1.3997985603323628E-4</c:v>
                </c:pt>
                <c:pt idx="442">
                  <c:v>1.4018106376270488E-4</c:v>
                </c:pt>
                <c:pt idx="443">
                  <c:v>1.4038227149217348E-4</c:v>
                </c:pt>
                <c:pt idx="444">
                  <c:v>1.4058347922164208E-4</c:v>
                </c:pt>
                <c:pt idx="445">
                  <c:v>1.4078468695111069E-4</c:v>
                </c:pt>
                <c:pt idx="446">
                  <c:v>1.4098589468057929E-4</c:v>
                </c:pt>
                <c:pt idx="447">
                  <c:v>1.4118710241004789E-4</c:v>
                </c:pt>
                <c:pt idx="448">
                  <c:v>1.4138831013951652E-4</c:v>
                </c:pt>
                <c:pt idx="449">
                  <c:v>1.4158951786898512E-4</c:v>
                </c:pt>
                <c:pt idx="450">
                  <c:v>1.4179072559845373E-4</c:v>
                </c:pt>
                <c:pt idx="451">
                  <c:v>1.4199193332792233E-4</c:v>
                </c:pt>
                <c:pt idx="452">
                  <c:v>1.4219314105739096E-4</c:v>
                </c:pt>
                <c:pt idx="453">
                  <c:v>1.4239434878685956E-4</c:v>
                </c:pt>
                <c:pt idx="454">
                  <c:v>1.4259555651632816E-4</c:v>
                </c:pt>
                <c:pt idx="455">
                  <c:v>1.4279676424579677E-4</c:v>
                </c:pt>
                <c:pt idx="456">
                  <c:v>1.4299797197526496E-4</c:v>
                </c:pt>
                <c:pt idx="457">
                  <c:v>1.4319917970473397E-4</c:v>
                </c:pt>
                <c:pt idx="458">
                  <c:v>1.4340038743420257E-4</c:v>
                </c:pt>
                <c:pt idx="459">
                  <c:v>1.4360159516367118E-4</c:v>
                </c:pt>
                <c:pt idx="460">
                  <c:v>1.4380280289313937E-4</c:v>
                </c:pt>
                <c:pt idx="461">
                  <c:v>1.4400401062260798E-4</c:v>
                </c:pt>
                <c:pt idx="462">
                  <c:v>1.4420521835207699E-4</c:v>
                </c:pt>
                <c:pt idx="463">
                  <c:v>1.4440642608154559E-4</c:v>
                </c:pt>
                <c:pt idx="464">
                  <c:v>1.4460763381101378E-4</c:v>
                </c:pt>
                <c:pt idx="465">
                  <c:v>1.4480884154048239E-4</c:v>
                </c:pt>
                <c:pt idx="466">
                  <c:v>1.4501004926995099E-4</c:v>
                </c:pt>
                <c:pt idx="467">
                  <c:v>1.4521125699941959E-4</c:v>
                </c:pt>
                <c:pt idx="468">
                  <c:v>1.4541246472888819E-4</c:v>
                </c:pt>
                <c:pt idx="469">
                  <c:v>1.456136724583568E-4</c:v>
                </c:pt>
                <c:pt idx="470">
                  <c:v>1.458148801878254E-4</c:v>
                </c:pt>
                <c:pt idx="471">
                  <c:v>1.46016087917294E-4</c:v>
                </c:pt>
                <c:pt idx="472">
                  <c:v>1.462172956467626E-4</c:v>
                </c:pt>
                <c:pt idx="473">
                  <c:v>1.4641850337623121E-4</c:v>
                </c:pt>
                <c:pt idx="474">
                  <c:v>1.4661971110569978E-4</c:v>
                </c:pt>
                <c:pt idx="475">
                  <c:v>1.4682091883516841E-4</c:v>
                </c:pt>
                <c:pt idx="476">
                  <c:v>1.4702212656463702E-4</c:v>
                </c:pt>
                <c:pt idx="477">
                  <c:v>1.4722333429410562E-4</c:v>
                </c:pt>
                <c:pt idx="478">
                  <c:v>1.4742454202357419E-4</c:v>
                </c:pt>
                <c:pt idx="479">
                  <c:v>1.476257497530428E-4</c:v>
                </c:pt>
                <c:pt idx="480">
                  <c:v>1.4782695748251143E-4</c:v>
                </c:pt>
                <c:pt idx="481">
                  <c:v>1.4802816521198003E-4</c:v>
                </c:pt>
                <c:pt idx="482">
                  <c:v>1.482293729414486E-4</c:v>
                </c:pt>
                <c:pt idx="483">
                  <c:v>1.4843058067091721E-4</c:v>
                </c:pt>
                <c:pt idx="484">
                  <c:v>1.4863178840038584E-4</c:v>
                </c:pt>
                <c:pt idx="485">
                  <c:v>1.4883299612985441E-4</c:v>
                </c:pt>
                <c:pt idx="486">
                  <c:v>1.4903420385932301E-4</c:v>
                </c:pt>
                <c:pt idx="487">
                  <c:v>1.4923541158879162E-4</c:v>
                </c:pt>
                <c:pt idx="488">
                  <c:v>1.4943661931826022E-4</c:v>
                </c:pt>
                <c:pt idx="489">
                  <c:v>1.4963782704772882E-4</c:v>
                </c:pt>
                <c:pt idx="490">
                  <c:v>1.4983903477719742E-4</c:v>
                </c:pt>
                <c:pt idx="491">
                  <c:v>1.5004024250666603E-4</c:v>
                </c:pt>
                <c:pt idx="492">
                  <c:v>1.5024145023613463E-4</c:v>
                </c:pt>
                <c:pt idx="493">
                  <c:v>1.5044265796560323E-4</c:v>
                </c:pt>
                <c:pt idx="494">
                  <c:v>1.5064386569507184E-4</c:v>
                </c:pt>
                <c:pt idx="495">
                  <c:v>1.5084507342454044E-4</c:v>
                </c:pt>
                <c:pt idx="496">
                  <c:v>1.5104628115400904E-4</c:v>
                </c:pt>
                <c:pt idx="497">
                  <c:v>1.5124748888347764E-4</c:v>
                </c:pt>
                <c:pt idx="498">
                  <c:v>1.5144869661294625E-4</c:v>
                </c:pt>
                <c:pt idx="499">
                  <c:v>1.5164990434241482E-4</c:v>
                </c:pt>
                <c:pt idx="500">
                  <c:v>1.5185111207188345E-4</c:v>
                </c:pt>
                <c:pt idx="501">
                  <c:v>1.5205231980135205E-4</c:v>
                </c:pt>
                <c:pt idx="502">
                  <c:v>1.5225352753082066E-4</c:v>
                </c:pt>
                <c:pt idx="503">
                  <c:v>1.5245473526028923E-4</c:v>
                </c:pt>
                <c:pt idx="504">
                  <c:v>1.5265594298975783E-4</c:v>
                </c:pt>
                <c:pt idx="505">
                  <c:v>1.5285715071922646E-4</c:v>
                </c:pt>
                <c:pt idx="506">
                  <c:v>1.5305835844869507E-4</c:v>
                </c:pt>
                <c:pt idx="507">
                  <c:v>1.5325956617816364E-4</c:v>
                </c:pt>
                <c:pt idx="508">
                  <c:v>1.5346077390763224E-4</c:v>
                </c:pt>
                <c:pt idx="509">
                  <c:v>1.5366198163710087E-4</c:v>
                </c:pt>
                <c:pt idx="510">
                  <c:v>1.5386318936656945E-4</c:v>
                </c:pt>
                <c:pt idx="511">
                  <c:v>1.5406439709603805E-4</c:v>
                </c:pt>
                <c:pt idx="512">
                  <c:v>1.5426560482550666E-4</c:v>
                </c:pt>
                <c:pt idx="513">
                  <c:v>1.5446681255497526E-4</c:v>
                </c:pt>
                <c:pt idx="514">
                  <c:v>1.5466802028444386E-4</c:v>
                </c:pt>
                <c:pt idx="515">
                  <c:v>1.5486922801391246E-4</c:v>
                </c:pt>
                <c:pt idx="516">
                  <c:v>1.5507043574338107E-4</c:v>
                </c:pt>
                <c:pt idx="517">
                  <c:v>1.5527164347284967E-4</c:v>
                </c:pt>
                <c:pt idx="518">
                  <c:v>1.5547285120231827E-4</c:v>
                </c:pt>
                <c:pt idx="519">
                  <c:v>1.5567405893178687E-4</c:v>
                </c:pt>
                <c:pt idx="520">
                  <c:v>1.5587526666125548E-4</c:v>
                </c:pt>
                <c:pt idx="521">
                  <c:v>1.5607647439072408E-4</c:v>
                </c:pt>
                <c:pt idx="522">
                  <c:v>1.5627768212019268E-4</c:v>
                </c:pt>
                <c:pt idx="523">
                  <c:v>1.5647888984966128E-4</c:v>
                </c:pt>
                <c:pt idx="524">
                  <c:v>1.5668009757912986E-4</c:v>
                </c:pt>
                <c:pt idx="525">
                  <c:v>1.5688130530859849E-4</c:v>
                </c:pt>
                <c:pt idx="526">
                  <c:v>1.5708251303806709E-4</c:v>
                </c:pt>
                <c:pt idx="527">
                  <c:v>1.5728372076753569E-4</c:v>
                </c:pt>
                <c:pt idx="528">
                  <c:v>1.5748492849700427E-4</c:v>
                </c:pt>
                <c:pt idx="529">
                  <c:v>1.5768613622647287E-4</c:v>
                </c:pt>
                <c:pt idx="530">
                  <c:v>1.578873439559415E-4</c:v>
                </c:pt>
                <c:pt idx="531">
                  <c:v>1.580885516854101E-4</c:v>
                </c:pt>
                <c:pt idx="532">
                  <c:v>1.5828975941487868E-4</c:v>
                </c:pt>
                <c:pt idx="533">
                  <c:v>1.5849096714434728E-4</c:v>
                </c:pt>
                <c:pt idx="534">
                  <c:v>1.5869217487381591E-4</c:v>
                </c:pt>
                <c:pt idx="535">
                  <c:v>1.5889338260328449E-4</c:v>
                </c:pt>
                <c:pt idx="536">
                  <c:v>1.5909459033275309E-4</c:v>
                </c:pt>
                <c:pt idx="537">
                  <c:v>1.5929579806222169E-4</c:v>
                </c:pt>
                <c:pt idx="538">
                  <c:v>1.594970057916903E-4</c:v>
                </c:pt>
                <c:pt idx="539">
                  <c:v>1.596982135211589E-4</c:v>
                </c:pt>
                <c:pt idx="540">
                  <c:v>1.598994212506275E-4</c:v>
                </c:pt>
                <c:pt idx="541">
                  <c:v>1.601006289800961E-4</c:v>
                </c:pt>
                <c:pt idx="542">
                  <c:v>1.6030183670956471E-4</c:v>
                </c:pt>
                <c:pt idx="543">
                  <c:v>1.6050304443903331E-4</c:v>
                </c:pt>
                <c:pt idx="544">
                  <c:v>1.6070425216850191E-4</c:v>
                </c:pt>
                <c:pt idx="545">
                  <c:v>1.6090545989797051E-4</c:v>
                </c:pt>
                <c:pt idx="546">
                  <c:v>1.6110666762743912E-4</c:v>
                </c:pt>
                <c:pt idx="547">
                  <c:v>1.6130787535690772E-4</c:v>
                </c:pt>
                <c:pt idx="548">
                  <c:v>1.6150908308637632E-4</c:v>
                </c:pt>
                <c:pt idx="549">
                  <c:v>1.6171029081584452E-4</c:v>
                </c:pt>
                <c:pt idx="550">
                  <c:v>1.6191149854531312E-4</c:v>
                </c:pt>
                <c:pt idx="551">
                  <c:v>1.6211270627478213E-4</c:v>
                </c:pt>
                <c:pt idx="552">
                  <c:v>1.6231391400425073E-4</c:v>
                </c:pt>
                <c:pt idx="553">
                  <c:v>1.6251512173371931E-4</c:v>
                </c:pt>
                <c:pt idx="554">
                  <c:v>1.6271632946318753E-4</c:v>
                </c:pt>
                <c:pt idx="555">
                  <c:v>1.6291753719265613E-4</c:v>
                </c:pt>
                <c:pt idx="556">
                  <c:v>1.6311874492212514E-4</c:v>
                </c:pt>
                <c:pt idx="557">
                  <c:v>1.6331995265159372E-4</c:v>
                </c:pt>
                <c:pt idx="558">
                  <c:v>1.6352116038106194E-4</c:v>
                </c:pt>
                <c:pt idx="559">
                  <c:v>1.6372236811053052E-4</c:v>
                </c:pt>
                <c:pt idx="560">
                  <c:v>1.6392357583999912E-4</c:v>
                </c:pt>
                <c:pt idx="561">
                  <c:v>1.6412478356946775E-4</c:v>
                </c:pt>
                <c:pt idx="562">
                  <c:v>1.6432599129893635E-4</c:v>
                </c:pt>
                <c:pt idx="563">
                  <c:v>1.6452719902840493E-4</c:v>
                </c:pt>
                <c:pt idx="564">
                  <c:v>1.6472840675787353E-4</c:v>
                </c:pt>
                <c:pt idx="565">
                  <c:v>1.6492961448734216E-4</c:v>
                </c:pt>
                <c:pt idx="566">
                  <c:v>1.6513082221681076E-4</c:v>
                </c:pt>
                <c:pt idx="567">
                  <c:v>1.6533202994627934E-4</c:v>
                </c:pt>
                <c:pt idx="568">
                  <c:v>1.6553323767574794E-4</c:v>
                </c:pt>
                <c:pt idx="569">
                  <c:v>1.6573444540521657E-4</c:v>
                </c:pt>
                <c:pt idx="570">
                  <c:v>1.6593565313468515E-4</c:v>
                </c:pt>
                <c:pt idx="571">
                  <c:v>1.6613686086415375E-4</c:v>
                </c:pt>
                <c:pt idx="572">
                  <c:v>1.6633806859362235E-4</c:v>
                </c:pt>
                <c:pt idx="573">
                  <c:v>1.6653927632309095E-4</c:v>
                </c:pt>
                <c:pt idx="574">
                  <c:v>1.6674048405255956E-4</c:v>
                </c:pt>
                <c:pt idx="575">
                  <c:v>1.6694169178202816E-4</c:v>
                </c:pt>
                <c:pt idx="576">
                  <c:v>1.6714289951149676E-4</c:v>
                </c:pt>
                <c:pt idx="577">
                  <c:v>1.6734410724096536E-4</c:v>
                </c:pt>
                <c:pt idx="578">
                  <c:v>1.6754531497043397E-4</c:v>
                </c:pt>
                <c:pt idx="579">
                  <c:v>1.6774652269990257E-4</c:v>
                </c:pt>
                <c:pt idx="580">
                  <c:v>1.6794773042937117E-4</c:v>
                </c:pt>
                <c:pt idx="581">
                  <c:v>1.6814893815883975E-4</c:v>
                </c:pt>
                <c:pt idx="582">
                  <c:v>1.6835014588830838E-4</c:v>
                </c:pt>
                <c:pt idx="583">
                  <c:v>1.6855135361777698E-4</c:v>
                </c:pt>
                <c:pt idx="584">
                  <c:v>1.6875256134724556E-4</c:v>
                </c:pt>
                <c:pt idx="585">
                  <c:v>1.6895376907671416E-4</c:v>
                </c:pt>
                <c:pt idx="586">
                  <c:v>1.6915497680618279E-4</c:v>
                </c:pt>
                <c:pt idx="587">
                  <c:v>1.6935618453565139E-4</c:v>
                </c:pt>
                <c:pt idx="588">
                  <c:v>1.6955739226511997E-4</c:v>
                </c:pt>
                <c:pt idx="589">
                  <c:v>1.6975859999458857E-4</c:v>
                </c:pt>
                <c:pt idx="590">
                  <c:v>1.699598077240572E-4</c:v>
                </c:pt>
                <c:pt idx="591">
                  <c:v>1.701610154535258E-4</c:v>
                </c:pt>
                <c:pt idx="592">
                  <c:v>1.7036222318299438E-4</c:v>
                </c:pt>
                <c:pt idx="593">
                  <c:v>1.7056343091246298E-4</c:v>
                </c:pt>
                <c:pt idx="594">
                  <c:v>1.7076463864193161E-4</c:v>
                </c:pt>
                <c:pt idx="595">
                  <c:v>1.7096584637140018E-4</c:v>
                </c:pt>
                <c:pt idx="596">
                  <c:v>1.7116705410086879E-4</c:v>
                </c:pt>
                <c:pt idx="597">
                  <c:v>1.7136826183033739E-4</c:v>
                </c:pt>
                <c:pt idx="598">
                  <c:v>1.7156946955980599E-4</c:v>
                </c:pt>
                <c:pt idx="599">
                  <c:v>1.7177067728927459E-4</c:v>
                </c:pt>
                <c:pt idx="600">
                  <c:v>1.719718850187432E-4</c:v>
                </c:pt>
                <c:pt idx="601">
                  <c:v>1.721730927482118E-4</c:v>
                </c:pt>
                <c:pt idx="602">
                  <c:v>1.723743004776804E-4</c:v>
                </c:pt>
                <c:pt idx="603">
                  <c:v>1.7257550820714901E-4</c:v>
                </c:pt>
                <c:pt idx="604">
                  <c:v>1.7277671593661761E-4</c:v>
                </c:pt>
                <c:pt idx="605">
                  <c:v>1.7297792366608621E-4</c:v>
                </c:pt>
                <c:pt idx="606">
                  <c:v>1.7317913139555479E-4</c:v>
                </c:pt>
                <c:pt idx="607">
                  <c:v>1.7338033912502342E-4</c:v>
                </c:pt>
                <c:pt idx="608">
                  <c:v>1.7358154685449202E-4</c:v>
                </c:pt>
                <c:pt idx="609">
                  <c:v>1.7378275458396059E-4</c:v>
                </c:pt>
                <c:pt idx="610">
                  <c:v>1.739839623134292E-4</c:v>
                </c:pt>
                <c:pt idx="611">
                  <c:v>1.7418517004289783E-4</c:v>
                </c:pt>
                <c:pt idx="612">
                  <c:v>1.7438637777236643E-4</c:v>
                </c:pt>
                <c:pt idx="613">
                  <c:v>1.74587585501835E-4</c:v>
                </c:pt>
                <c:pt idx="614">
                  <c:v>1.7478879323130361E-4</c:v>
                </c:pt>
                <c:pt idx="615">
                  <c:v>1.7499000096077224E-4</c:v>
                </c:pt>
                <c:pt idx="616">
                  <c:v>1.7519120869024084E-4</c:v>
                </c:pt>
                <c:pt idx="617">
                  <c:v>1.7539241641970941E-4</c:v>
                </c:pt>
                <c:pt idx="618">
                  <c:v>1.7559362414917802E-4</c:v>
                </c:pt>
                <c:pt idx="619">
                  <c:v>1.7579483187864665E-4</c:v>
                </c:pt>
                <c:pt idx="620">
                  <c:v>1.7599603960811522E-4</c:v>
                </c:pt>
                <c:pt idx="621">
                  <c:v>1.7619724733758383E-4</c:v>
                </c:pt>
                <c:pt idx="622">
                  <c:v>1.7639845506705243E-4</c:v>
                </c:pt>
                <c:pt idx="623">
                  <c:v>1.7659966279652103E-4</c:v>
                </c:pt>
                <c:pt idx="624">
                  <c:v>1.7680087052598963E-4</c:v>
                </c:pt>
                <c:pt idx="625">
                  <c:v>1.7700207825545824E-4</c:v>
                </c:pt>
                <c:pt idx="626">
                  <c:v>1.7720328598492684E-4</c:v>
                </c:pt>
                <c:pt idx="627">
                  <c:v>1.7740449371439544E-4</c:v>
                </c:pt>
                <c:pt idx="628">
                  <c:v>1.7760570144386404E-4</c:v>
                </c:pt>
                <c:pt idx="629">
                  <c:v>1.7780690917333265E-4</c:v>
                </c:pt>
                <c:pt idx="630">
                  <c:v>1.7800811690280125E-4</c:v>
                </c:pt>
                <c:pt idx="631">
                  <c:v>1.7820932463226982E-4</c:v>
                </c:pt>
                <c:pt idx="632">
                  <c:v>1.7841053236173845E-4</c:v>
                </c:pt>
                <c:pt idx="633">
                  <c:v>1.7861174009120706E-4</c:v>
                </c:pt>
                <c:pt idx="634">
                  <c:v>1.7881294782067563E-4</c:v>
                </c:pt>
                <c:pt idx="635">
                  <c:v>1.7901415555014423E-4</c:v>
                </c:pt>
                <c:pt idx="636">
                  <c:v>1.7921536327961286E-4</c:v>
                </c:pt>
                <c:pt idx="637">
                  <c:v>1.7941657100908147E-4</c:v>
                </c:pt>
                <c:pt idx="638">
                  <c:v>1.7961777873855004E-4</c:v>
                </c:pt>
                <c:pt idx="639">
                  <c:v>1.7981898646801865E-4</c:v>
                </c:pt>
                <c:pt idx="640">
                  <c:v>1.8002019419748727E-4</c:v>
                </c:pt>
                <c:pt idx="641">
                  <c:v>1.8022140192695588E-4</c:v>
                </c:pt>
                <c:pt idx="642">
                  <c:v>1.8042260965642445E-4</c:v>
                </c:pt>
                <c:pt idx="643">
                  <c:v>1.8062381738589306E-4</c:v>
                </c:pt>
                <c:pt idx="644">
                  <c:v>1.8082502511536169E-4</c:v>
                </c:pt>
                <c:pt idx="645">
                  <c:v>1.8102623284483026E-4</c:v>
                </c:pt>
                <c:pt idx="646">
                  <c:v>1.8122744057429886E-4</c:v>
                </c:pt>
                <c:pt idx="647">
                  <c:v>1.8142864830376709E-4</c:v>
                </c:pt>
                <c:pt idx="648">
                  <c:v>1.8162985603323566E-4</c:v>
                </c:pt>
                <c:pt idx="649">
                  <c:v>1.8183106376270426E-4</c:v>
                </c:pt>
                <c:pt idx="650">
                  <c:v>1.8203227149217287E-4</c:v>
                </c:pt>
                <c:pt idx="651">
                  <c:v>1.822334792216415E-4</c:v>
                </c:pt>
                <c:pt idx="652">
                  <c:v>1.8243468695111007E-4</c:v>
                </c:pt>
                <c:pt idx="653">
                  <c:v>1.8263589468057868E-4</c:v>
                </c:pt>
                <c:pt idx="654">
                  <c:v>1.8283710241004728E-4</c:v>
                </c:pt>
                <c:pt idx="655">
                  <c:v>1.8303831013951588E-4</c:v>
                </c:pt>
                <c:pt idx="656">
                  <c:v>1.8323951786898448E-4</c:v>
                </c:pt>
                <c:pt idx="657">
                  <c:v>1.8344072559845309E-4</c:v>
                </c:pt>
                <c:pt idx="658">
                  <c:v>1.8364193332792169E-4</c:v>
                </c:pt>
                <c:pt idx="659">
                  <c:v>1.8384314105739029E-4</c:v>
                </c:pt>
                <c:pt idx="660">
                  <c:v>1.8404434878685889E-4</c:v>
                </c:pt>
                <c:pt idx="661">
                  <c:v>1.842455565163275E-4</c:v>
                </c:pt>
                <c:pt idx="662">
                  <c:v>1.844467642457961E-4</c:v>
                </c:pt>
                <c:pt idx="663">
                  <c:v>1.846479719752647E-4</c:v>
                </c:pt>
                <c:pt idx="664">
                  <c:v>1.848491797047333E-4</c:v>
                </c:pt>
                <c:pt idx="665">
                  <c:v>1.8505038743420191E-4</c:v>
                </c:pt>
                <c:pt idx="666">
                  <c:v>1.8525159516367048E-4</c:v>
                </c:pt>
                <c:pt idx="667">
                  <c:v>1.8545280289313911E-4</c:v>
                </c:pt>
                <c:pt idx="668">
                  <c:v>1.8565401062260771E-4</c:v>
                </c:pt>
                <c:pt idx="669">
                  <c:v>1.8585521835207629E-4</c:v>
                </c:pt>
                <c:pt idx="670">
                  <c:v>1.8605642608154489E-4</c:v>
                </c:pt>
                <c:pt idx="671">
                  <c:v>1.8625763381101352E-4</c:v>
                </c:pt>
                <c:pt idx="672">
                  <c:v>1.8645884154048212E-4</c:v>
                </c:pt>
                <c:pt idx="673">
                  <c:v>1.866600492699507E-4</c:v>
                </c:pt>
                <c:pt idx="674">
                  <c:v>1.868612569994193E-4</c:v>
                </c:pt>
                <c:pt idx="675">
                  <c:v>1.8706246472888791E-4</c:v>
                </c:pt>
                <c:pt idx="676">
                  <c:v>1.8726367245835654E-4</c:v>
                </c:pt>
                <c:pt idx="677">
                  <c:v>1.8746488018782511E-4</c:v>
                </c:pt>
                <c:pt idx="678">
                  <c:v>1.8766608791729371E-4</c:v>
                </c:pt>
                <c:pt idx="679">
                  <c:v>1.8786729564676232E-4</c:v>
                </c:pt>
                <c:pt idx="680">
                  <c:v>1.8806850337623092E-4</c:v>
                </c:pt>
                <c:pt idx="681">
                  <c:v>1.8826971110569952E-4</c:v>
                </c:pt>
                <c:pt idx="682">
                  <c:v>1.8847091883516812E-4</c:v>
                </c:pt>
                <c:pt idx="683">
                  <c:v>1.8867212656463673E-4</c:v>
                </c:pt>
                <c:pt idx="684">
                  <c:v>1.8887333429410533E-4</c:v>
                </c:pt>
                <c:pt idx="685">
                  <c:v>1.8907454202357393E-4</c:v>
                </c:pt>
                <c:pt idx="686">
                  <c:v>1.8927574975304253E-4</c:v>
                </c:pt>
                <c:pt idx="687">
                  <c:v>1.8947695748251114E-4</c:v>
                </c:pt>
                <c:pt idx="688">
                  <c:v>1.8967816521197974E-4</c:v>
                </c:pt>
                <c:pt idx="689">
                  <c:v>1.8987937294144834E-4</c:v>
                </c:pt>
                <c:pt idx="690">
                  <c:v>1.9008058067091694E-4</c:v>
                </c:pt>
                <c:pt idx="691">
                  <c:v>1.9028178840038552E-4</c:v>
                </c:pt>
                <c:pt idx="692">
                  <c:v>1.9048299612985415E-4</c:v>
                </c:pt>
                <c:pt idx="693">
                  <c:v>1.9068420385932275E-4</c:v>
                </c:pt>
                <c:pt idx="694">
                  <c:v>1.9088541158879133E-4</c:v>
                </c:pt>
                <c:pt idx="695">
                  <c:v>1.9108661931825993E-4</c:v>
                </c:pt>
                <c:pt idx="696">
                  <c:v>1.9128782704772856E-4</c:v>
                </c:pt>
                <c:pt idx="697">
                  <c:v>1.9148903477719716E-4</c:v>
                </c:pt>
                <c:pt idx="698">
                  <c:v>1.9169024250666574E-4</c:v>
                </c:pt>
                <c:pt idx="699">
                  <c:v>1.9189145023613434E-4</c:v>
                </c:pt>
                <c:pt idx="700">
                  <c:v>1.9209265796560294E-4</c:v>
                </c:pt>
                <c:pt idx="701">
                  <c:v>1.9229386569507157E-4</c:v>
                </c:pt>
                <c:pt idx="702">
                  <c:v>1.9249507342454015E-4</c:v>
                </c:pt>
                <c:pt idx="703">
                  <c:v>1.9269628115400875E-4</c:v>
                </c:pt>
                <c:pt idx="704">
                  <c:v>1.9289748888347735E-4</c:v>
                </c:pt>
                <c:pt idx="705">
                  <c:v>1.9309869661294596E-4</c:v>
                </c:pt>
                <c:pt idx="706">
                  <c:v>1.9329990434241456E-4</c:v>
                </c:pt>
                <c:pt idx="707">
                  <c:v>1.9350111207188316E-4</c:v>
                </c:pt>
                <c:pt idx="708">
                  <c:v>1.9370231980135176E-4</c:v>
                </c:pt>
                <c:pt idx="709">
                  <c:v>1.9390352753082037E-4</c:v>
                </c:pt>
                <c:pt idx="710">
                  <c:v>1.9410473526028897E-4</c:v>
                </c:pt>
                <c:pt idx="711">
                  <c:v>1.9430594298975757E-4</c:v>
                </c:pt>
                <c:pt idx="712">
                  <c:v>1.9450715071922618E-4</c:v>
                </c:pt>
                <c:pt idx="713">
                  <c:v>1.9470835844869478E-4</c:v>
                </c:pt>
                <c:pt idx="714">
                  <c:v>1.9490956617816338E-4</c:v>
                </c:pt>
                <c:pt idx="715">
                  <c:v>1.9511077390763198E-4</c:v>
                </c:pt>
                <c:pt idx="716">
                  <c:v>1.9531198163710056E-4</c:v>
                </c:pt>
                <c:pt idx="717">
                  <c:v>1.9551318936656919E-4</c:v>
                </c:pt>
                <c:pt idx="718">
                  <c:v>1.9571439709603779E-4</c:v>
                </c:pt>
                <c:pt idx="719">
                  <c:v>1.9591560482550637E-4</c:v>
                </c:pt>
                <c:pt idx="720">
                  <c:v>1.9611681255497497E-4</c:v>
                </c:pt>
                <c:pt idx="721">
                  <c:v>1.963180202844436E-4</c:v>
                </c:pt>
                <c:pt idx="722">
                  <c:v>1.965192280139122E-4</c:v>
                </c:pt>
                <c:pt idx="723">
                  <c:v>1.9672043574338078E-4</c:v>
                </c:pt>
                <c:pt idx="724">
                  <c:v>1.9692164347284938E-4</c:v>
                </c:pt>
                <c:pt idx="725">
                  <c:v>1.9712285120231798E-4</c:v>
                </c:pt>
                <c:pt idx="726">
                  <c:v>1.9732405893178661E-4</c:v>
                </c:pt>
                <c:pt idx="727">
                  <c:v>1.9752526666125519E-4</c:v>
                </c:pt>
                <c:pt idx="728">
                  <c:v>1.9772647439072379E-4</c:v>
                </c:pt>
                <c:pt idx="729">
                  <c:v>1.9792768212019239E-4</c:v>
                </c:pt>
                <c:pt idx="730">
                  <c:v>1.98128889849661E-4</c:v>
                </c:pt>
                <c:pt idx="731">
                  <c:v>1.983300975791296E-4</c:v>
                </c:pt>
                <c:pt idx="732">
                  <c:v>1.985313053085982E-4</c:v>
                </c:pt>
                <c:pt idx="733">
                  <c:v>1.987325130380668E-4</c:v>
                </c:pt>
                <c:pt idx="734">
                  <c:v>1.9893372076753541E-4</c:v>
                </c:pt>
                <c:pt idx="735">
                  <c:v>1.9913492849700401E-4</c:v>
                </c:pt>
                <c:pt idx="736">
                  <c:v>1.9933613622647261E-4</c:v>
                </c:pt>
                <c:pt idx="737">
                  <c:v>1.9953734395594121E-4</c:v>
                </c:pt>
                <c:pt idx="738">
                  <c:v>1.9973855168540982E-4</c:v>
                </c:pt>
                <c:pt idx="739">
                  <c:v>1.9993975941487842E-4</c:v>
                </c:pt>
                <c:pt idx="740">
                  <c:v>2.0014096714434702E-4</c:v>
                </c:pt>
                <c:pt idx="741">
                  <c:v>2.0034217487381522E-4</c:v>
                </c:pt>
                <c:pt idx="742">
                  <c:v>2.0054338260328382E-4</c:v>
                </c:pt>
                <c:pt idx="743">
                  <c:v>2.0074459033275242E-4</c:v>
                </c:pt>
                <c:pt idx="744">
                  <c:v>2.0094579806222103E-4</c:v>
                </c:pt>
                <c:pt idx="745">
                  <c:v>2.0114700579168963E-4</c:v>
                </c:pt>
                <c:pt idx="746">
                  <c:v>2.0134821352115823E-4</c:v>
                </c:pt>
                <c:pt idx="747">
                  <c:v>2.0154942125062683E-4</c:v>
                </c:pt>
                <c:pt idx="748">
                  <c:v>2.0175062898009541E-4</c:v>
                </c:pt>
                <c:pt idx="749">
                  <c:v>2.0195183670956404E-4</c:v>
                </c:pt>
                <c:pt idx="750">
                  <c:v>2.0215304443903264E-4</c:v>
                </c:pt>
                <c:pt idx="751">
                  <c:v>2.0235425216850122E-4</c:v>
                </c:pt>
                <c:pt idx="752">
                  <c:v>2.0255545989796982E-4</c:v>
                </c:pt>
                <c:pt idx="753">
                  <c:v>2.0275666762743845E-4</c:v>
                </c:pt>
                <c:pt idx="754">
                  <c:v>2.0295787535690702E-4</c:v>
                </c:pt>
                <c:pt idx="755">
                  <c:v>2.0315908308637563E-4</c:v>
                </c:pt>
                <c:pt idx="756">
                  <c:v>2.0336029081584423E-4</c:v>
                </c:pt>
                <c:pt idx="757">
                  <c:v>2.0356149854531286E-4</c:v>
                </c:pt>
                <c:pt idx="758">
                  <c:v>2.0376270627478143E-4</c:v>
                </c:pt>
                <c:pt idx="759">
                  <c:v>2.0396391400425004E-4</c:v>
                </c:pt>
                <c:pt idx="760">
                  <c:v>2.0416512173371864E-4</c:v>
                </c:pt>
                <c:pt idx="761">
                  <c:v>2.0436632946318727E-4</c:v>
                </c:pt>
                <c:pt idx="762">
                  <c:v>2.0456753719265585E-4</c:v>
                </c:pt>
                <c:pt idx="763">
                  <c:v>2.0476874492212445E-4</c:v>
                </c:pt>
                <c:pt idx="764">
                  <c:v>2.0496995265159305E-4</c:v>
                </c:pt>
                <c:pt idx="765">
                  <c:v>2.0517116038106165E-4</c:v>
                </c:pt>
                <c:pt idx="766">
                  <c:v>2.0537236811053026E-4</c:v>
                </c:pt>
                <c:pt idx="767">
                  <c:v>2.0557357583999886E-4</c:v>
                </c:pt>
                <c:pt idx="768">
                  <c:v>2.0577478356946746E-4</c:v>
                </c:pt>
                <c:pt idx="769">
                  <c:v>2.0597599129893606E-4</c:v>
                </c:pt>
                <c:pt idx="770">
                  <c:v>2.0617719902840467E-4</c:v>
                </c:pt>
                <c:pt idx="771">
                  <c:v>2.0637840675787327E-4</c:v>
                </c:pt>
                <c:pt idx="772">
                  <c:v>2.0657961448734187E-4</c:v>
                </c:pt>
                <c:pt idx="773">
                  <c:v>2.0678082221681045E-4</c:v>
                </c:pt>
                <c:pt idx="774">
                  <c:v>2.0698202994627908E-4</c:v>
                </c:pt>
                <c:pt idx="775">
                  <c:v>2.0718323767574768E-4</c:v>
                </c:pt>
                <c:pt idx="776">
                  <c:v>2.0738444540521625E-4</c:v>
                </c:pt>
                <c:pt idx="777">
                  <c:v>2.0758565313468486E-4</c:v>
                </c:pt>
                <c:pt idx="778">
                  <c:v>2.0778686086415349E-4</c:v>
                </c:pt>
                <c:pt idx="779">
                  <c:v>2.0798806859362206E-4</c:v>
                </c:pt>
                <c:pt idx="780">
                  <c:v>2.0818927632309067E-4</c:v>
                </c:pt>
                <c:pt idx="781">
                  <c:v>2.0839048405255927E-4</c:v>
                </c:pt>
                <c:pt idx="782">
                  <c:v>2.085916917820279E-4</c:v>
                </c:pt>
                <c:pt idx="783">
                  <c:v>2.0879289951149647E-4</c:v>
                </c:pt>
                <c:pt idx="784">
                  <c:v>2.0899410724096508E-4</c:v>
                </c:pt>
                <c:pt idx="785">
                  <c:v>2.0919531497043368E-4</c:v>
                </c:pt>
                <c:pt idx="786">
                  <c:v>2.0939652269990231E-4</c:v>
                </c:pt>
                <c:pt idx="787">
                  <c:v>2.0959773042937088E-4</c:v>
                </c:pt>
                <c:pt idx="788">
                  <c:v>2.0979893815883949E-4</c:v>
                </c:pt>
                <c:pt idx="789">
                  <c:v>2.1000014588830809E-4</c:v>
                </c:pt>
                <c:pt idx="790">
                  <c:v>2.1020135361777669E-4</c:v>
                </c:pt>
                <c:pt idx="791">
                  <c:v>2.1040256134724529E-4</c:v>
                </c:pt>
                <c:pt idx="792">
                  <c:v>2.106037690767139E-4</c:v>
                </c:pt>
                <c:pt idx="793">
                  <c:v>2.108049768061825E-4</c:v>
                </c:pt>
                <c:pt idx="794">
                  <c:v>2.110061845356511E-4</c:v>
                </c:pt>
                <c:pt idx="795">
                  <c:v>2.112073922651197E-4</c:v>
                </c:pt>
                <c:pt idx="796">
                  <c:v>2.1140859999458831E-4</c:v>
                </c:pt>
                <c:pt idx="797">
                  <c:v>2.1160980772405691E-4</c:v>
                </c:pt>
                <c:pt idx="798">
                  <c:v>2.1181101545352549E-4</c:v>
                </c:pt>
                <c:pt idx="799">
                  <c:v>2.1201222318299411E-4</c:v>
                </c:pt>
                <c:pt idx="800">
                  <c:v>2.1221343091246272E-4</c:v>
                </c:pt>
                <c:pt idx="801">
                  <c:v>2.1241463864193132E-4</c:v>
                </c:pt>
                <c:pt idx="802">
                  <c:v>2.1261584637139992E-4</c:v>
                </c:pt>
                <c:pt idx="803">
                  <c:v>2.1281705410086853E-4</c:v>
                </c:pt>
                <c:pt idx="804">
                  <c:v>2.130182618303371E-4</c:v>
                </c:pt>
                <c:pt idx="805">
                  <c:v>2.132194695598057E-4</c:v>
                </c:pt>
                <c:pt idx="806">
                  <c:v>2.1342067728927431E-4</c:v>
                </c:pt>
                <c:pt idx="807">
                  <c:v>2.1362188501874291E-4</c:v>
                </c:pt>
                <c:pt idx="808">
                  <c:v>2.1382309274821151E-4</c:v>
                </c:pt>
                <c:pt idx="809">
                  <c:v>2.1402430047768014E-4</c:v>
                </c:pt>
                <c:pt idx="810">
                  <c:v>2.1422550820714874E-4</c:v>
                </c:pt>
                <c:pt idx="811">
                  <c:v>2.1442671593661735E-4</c:v>
                </c:pt>
                <c:pt idx="812">
                  <c:v>2.1462792366608592E-4</c:v>
                </c:pt>
                <c:pt idx="813">
                  <c:v>2.1482913139555452E-4</c:v>
                </c:pt>
                <c:pt idx="814">
                  <c:v>2.1503033912502313E-4</c:v>
                </c:pt>
                <c:pt idx="815">
                  <c:v>2.152315468544917E-4</c:v>
                </c:pt>
                <c:pt idx="816">
                  <c:v>2.1543275458396031E-4</c:v>
                </c:pt>
                <c:pt idx="817">
                  <c:v>2.1563396231342893E-4</c:v>
                </c:pt>
                <c:pt idx="818">
                  <c:v>2.1583517004289751E-4</c:v>
                </c:pt>
                <c:pt idx="819">
                  <c:v>2.1603637777236611E-4</c:v>
                </c:pt>
                <c:pt idx="820">
                  <c:v>2.1623758550183472E-4</c:v>
                </c:pt>
                <c:pt idx="821">
                  <c:v>2.1643879323130332E-4</c:v>
                </c:pt>
                <c:pt idx="822">
                  <c:v>2.1664000096077192E-4</c:v>
                </c:pt>
                <c:pt idx="823">
                  <c:v>2.168412086902405E-4</c:v>
                </c:pt>
                <c:pt idx="824">
                  <c:v>2.170424164197091E-4</c:v>
                </c:pt>
                <c:pt idx="825">
                  <c:v>2.172436241491777E-4</c:v>
                </c:pt>
                <c:pt idx="826">
                  <c:v>2.1744483187864633E-4</c:v>
                </c:pt>
                <c:pt idx="827">
                  <c:v>2.1764603960811493E-4</c:v>
                </c:pt>
                <c:pt idx="828">
                  <c:v>2.1784724733758354E-4</c:v>
                </c:pt>
                <c:pt idx="829">
                  <c:v>2.1804845506705211E-4</c:v>
                </c:pt>
                <c:pt idx="830">
                  <c:v>2.1824966279652071E-4</c:v>
                </c:pt>
                <c:pt idx="831">
                  <c:v>2.1845087052598932E-4</c:v>
                </c:pt>
                <c:pt idx="832">
                  <c:v>2.1865207825545792E-4</c:v>
                </c:pt>
                <c:pt idx="833">
                  <c:v>2.1885328598492652E-4</c:v>
                </c:pt>
                <c:pt idx="834">
                  <c:v>2.1905449371439515E-4</c:v>
                </c:pt>
                <c:pt idx="835">
                  <c:v>2.1925570144386332E-4</c:v>
                </c:pt>
                <c:pt idx="836">
                  <c:v>2.1945690917333195E-4</c:v>
                </c:pt>
                <c:pt idx="837">
                  <c:v>2.1965811690280055E-4</c:v>
                </c:pt>
                <c:pt idx="838">
                  <c:v>2.1985932463226916E-4</c:v>
                </c:pt>
                <c:pt idx="839">
                  <c:v>2.2006053236173773E-4</c:v>
                </c:pt>
                <c:pt idx="840">
                  <c:v>2.2026174009120633E-4</c:v>
                </c:pt>
                <c:pt idx="841">
                  <c:v>2.2046294782067494E-4</c:v>
                </c:pt>
                <c:pt idx="842">
                  <c:v>2.2066415555014354E-4</c:v>
                </c:pt>
                <c:pt idx="843">
                  <c:v>2.2086536327961214E-4</c:v>
                </c:pt>
                <c:pt idx="844">
                  <c:v>2.2106657100908077E-4</c:v>
                </c:pt>
                <c:pt idx="845">
                  <c:v>2.2126777873854937E-4</c:v>
                </c:pt>
                <c:pt idx="846">
                  <c:v>2.2146898646801798E-4</c:v>
                </c:pt>
                <c:pt idx="847">
                  <c:v>2.2167019419748655E-4</c:v>
                </c:pt>
                <c:pt idx="848">
                  <c:v>2.2187140192695516E-4</c:v>
                </c:pt>
                <c:pt idx="849">
                  <c:v>2.2207260965642376E-4</c:v>
                </c:pt>
                <c:pt idx="850">
                  <c:v>2.2227381738589233E-4</c:v>
                </c:pt>
                <c:pt idx="851">
                  <c:v>2.2247502511536094E-4</c:v>
                </c:pt>
                <c:pt idx="852">
                  <c:v>2.2267623284482954E-4</c:v>
                </c:pt>
                <c:pt idx="853">
                  <c:v>2.2287744057429817E-4</c:v>
                </c:pt>
                <c:pt idx="854">
                  <c:v>2.2307864830376677E-4</c:v>
                </c:pt>
                <c:pt idx="855">
                  <c:v>2.2327985603323537E-4</c:v>
                </c:pt>
                <c:pt idx="856">
                  <c:v>2.2348106376270398E-4</c:v>
                </c:pt>
                <c:pt idx="857">
                  <c:v>2.2368227149217258E-4</c:v>
                </c:pt>
                <c:pt idx="858">
                  <c:v>2.2388347922164115E-4</c:v>
                </c:pt>
                <c:pt idx="859">
                  <c:v>2.2408468695110976E-4</c:v>
                </c:pt>
                <c:pt idx="860">
                  <c:v>2.2428589468057836E-4</c:v>
                </c:pt>
                <c:pt idx="861">
                  <c:v>2.2448710241004699E-4</c:v>
                </c:pt>
                <c:pt idx="862">
                  <c:v>2.2468831013951559E-4</c:v>
                </c:pt>
                <c:pt idx="863">
                  <c:v>2.2488951786898419E-4</c:v>
                </c:pt>
                <c:pt idx="864">
                  <c:v>2.2509072559845277E-4</c:v>
                </c:pt>
                <c:pt idx="865">
                  <c:v>2.2529193332792137E-4</c:v>
                </c:pt>
                <c:pt idx="866">
                  <c:v>2.2549314105738998E-4</c:v>
                </c:pt>
                <c:pt idx="867">
                  <c:v>2.2569434878685858E-4</c:v>
                </c:pt>
                <c:pt idx="868">
                  <c:v>2.2589555651632718E-4</c:v>
                </c:pt>
                <c:pt idx="869">
                  <c:v>2.2609676424579581E-4</c:v>
                </c:pt>
                <c:pt idx="870">
                  <c:v>2.2629797197526441E-4</c:v>
                </c:pt>
                <c:pt idx="871">
                  <c:v>2.2649917970473302E-4</c:v>
                </c:pt>
                <c:pt idx="872">
                  <c:v>2.2670038743420159E-4</c:v>
                </c:pt>
                <c:pt idx="873">
                  <c:v>2.2690159516367019E-4</c:v>
                </c:pt>
                <c:pt idx="874">
                  <c:v>2.271028028931388E-4</c:v>
                </c:pt>
                <c:pt idx="875">
                  <c:v>2.2730401062260737E-4</c:v>
                </c:pt>
                <c:pt idx="876">
                  <c:v>2.2750521835207597E-4</c:v>
                </c:pt>
                <c:pt idx="877">
                  <c:v>2.2770642608154458E-4</c:v>
                </c:pt>
                <c:pt idx="878">
                  <c:v>2.2790763381101321E-4</c:v>
                </c:pt>
                <c:pt idx="879">
                  <c:v>2.2810884154048181E-4</c:v>
                </c:pt>
                <c:pt idx="880">
                  <c:v>2.2831004926995041E-4</c:v>
                </c:pt>
                <c:pt idx="881">
                  <c:v>2.2851125699941901E-4</c:v>
                </c:pt>
                <c:pt idx="882">
                  <c:v>2.2871246472888762E-4</c:v>
                </c:pt>
                <c:pt idx="883">
                  <c:v>2.2891367245835619E-4</c:v>
                </c:pt>
                <c:pt idx="884">
                  <c:v>2.291148801878248E-4</c:v>
                </c:pt>
                <c:pt idx="885">
                  <c:v>2.293160879172934E-4</c:v>
                </c:pt>
                <c:pt idx="886">
                  <c:v>2.2951729564676203E-4</c:v>
                </c:pt>
                <c:pt idx="887">
                  <c:v>2.2971850337623063E-4</c:v>
                </c:pt>
                <c:pt idx="888">
                  <c:v>2.2991971110569923E-4</c:v>
                </c:pt>
                <c:pt idx="889">
                  <c:v>2.3012091883516781E-4</c:v>
                </c:pt>
                <c:pt idx="890">
                  <c:v>2.3032212656463641E-4</c:v>
                </c:pt>
                <c:pt idx="891">
                  <c:v>2.3052333429410501E-4</c:v>
                </c:pt>
                <c:pt idx="892">
                  <c:v>2.3072454202357362E-4</c:v>
                </c:pt>
                <c:pt idx="893">
                  <c:v>2.3092574975304222E-4</c:v>
                </c:pt>
                <c:pt idx="894">
                  <c:v>2.3112695748251085E-4</c:v>
                </c:pt>
                <c:pt idx="895">
                  <c:v>2.3132816521197945E-4</c:v>
                </c:pt>
                <c:pt idx="896">
                  <c:v>2.3152937294144805E-4</c:v>
                </c:pt>
                <c:pt idx="897">
                  <c:v>2.3173058067091663E-4</c:v>
                </c:pt>
                <c:pt idx="898">
                  <c:v>2.3193178840038523E-4</c:v>
                </c:pt>
                <c:pt idx="899">
                  <c:v>2.3213299612985383E-4</c:v>
                </c:pt>
                <c:pt idx="900">
                  <c:v>2.3233420385932241E-4</c:v>
                </c:pt>
                <c:pt idx="901">
                  <c:v>2.3253541158879101E-4</c:v>
                </c:pt>
                <c:pt idx="902">
                  <c:v>2.3273661931825962E-4</c:v>
                </c:pt>
                <c:pt idx="903">
                  <c:v>2.3293782704772824E-4</c:v>
                </c:pt>
                <c:pt idx="904">
                  <c:v>2.3313903477719685E-4</c:v>
                </c:pt>
                <c:pt idx="905">
                  <c:v>2.3334024250666545E-4</c:v>
                </c:pt>
                <c:pt idx="906">
                  <c:v>2.3354145023613405E-4</c:v>
                </c:pt>
                <c:pt idx="907">
                  <c:v>2.3374265796560266E-4</c:v>
                </c:pt>
                <c:pt idx="908">
                  <c:v>2.3394386569507123E-4</c:v>
                </c:pt>
                <c:pt idx="909">
                  <c:v>2.3414507342453983E-4</c:v>
                </c:pt>
                <c:pt idx="910">
                  <c:v>2.3434628115400844E-4</c:v>
                </c:pt>
                <c:pt idx="911">
                  <c:v>2.3454748888347707E-4</c:v>
                </c:pt>
                <c:pt idx="912">
                  <c:v>2.3474869661294567E-4</c:v>
                </c:pt>
                <c:pt idx="913">
                  <c:v>2.3494990434241427E-4</c:v>
                </c:pt>
                <c:pt idx="914">
                  <c:v>2.3515111207188285E-4</c:v>
                </c:pt>
                <c:pt idx="915">
                  <c:v>2.3535231980135148E-4</c:v>
                </c:pt>
                <c:pt idx="916">
                  <c:v>2.3555352753082005E-4</c:v>
                </c:pt>
                <c:pt idx="917">
                  <c:v>2.3575473526028863E-4</c:v>
                </c:pt>
                <c:pt idx="918">
                  <c:v>2.3595594298975726E-4</c:v>
                </c:pt>
                <c:pt idx="919">
                  <c:v>2.3615715071922589E-4</c:v>
                </c:pt>
                <c:pt idx="920">
                  <c:v>2.3635835844869446E-4</c:v>
                </c:pt>
                <c:pt idx="921">
                  <c:v>2.3655956617816309E-4</c:v>
                </c:pt>
                <c:pt idx="922">
                  <c:v>2.3676077390763167E-4</c:v>
                </c:pt>
                <c:pt idx="923">
                  <c:v>2.369619816371003E-4</c:v>
                </c:pt>
                <c:pt idx="924">
                  <c:v>2.3716318936656887E-4</c:v>
                </c:pt>
                <c:pt idx="925">
                  <c:v>2.3736439709603745E-4</c:v>
                </c:pt>
                <c:pt idx="926">
                  <c:v>2.3756560482550608E-4</c:v>
                </c:pt>
                <c:pt idx="927">
                  <c:v>2.3776681255497465E-4</c:v>
                </c:pt>
                <c:pt idx="928">
                  <c:v>2.3796802028444328E-4</c:v>
                </c:pt>
                <c:pt idx="929">
                  <c:v>2.3816922801391145E-4</c:v>
                </c:pt>
                <c:pt idx="930">
                  <c:v>2.3837043574338008E-4</c:v>
                </c:pt>
                <c:pt idx="931">
                  <c:v>2.3857164347284871E-4</c:v>
                </c:pt>
                <c:pt idx="932">
                  <c:v>2.3877285120231729E-4</c:v>
                </c:pt>
                <c:pt idx="933">
                  <c:v>2.3897405893178586E-4</c:v>
                </c:pt>
                <c:pt idx="934">
                  <c:v>2.3917526666125449E-4</c:v>
                </c:pt>
                <c:pt idx="935">
                  <c:v>2.3937647439072307E-4</c:v>
                </c:pt>
                <c:pt idx="936">
                  <c:v>2.395776821201917E-4</c:v>
                </c:pt>
                <c:pt idx="937">
                  <c:v>2.3977888984966027E-4</c:v>
                </c:pt>
                <c:pt idx="938">
                  <c:v>2.399800975791289E-4</c:v>
                </c:pt>
                <c:pt idx="939">
                  <c:v>2.4018130530859753E-4</c:v>
                </c:pt>
                <c:pt idx="940">
                  <c:v>2.4038251303806611E-4</c:v>
                </c:pt>
                <c:pt idx="941">
                  <c:v>2.4058372076753468E-4</c:v>
                </c:pt>
                <c:pt idx="942">
                  <c:v>2.4078492849700331E-4</c:v>
                </c:pt>
                <c:pt idx="943">
                  <c:v>2.4098613622647189E-4</c:v>
                </c:pt>
                <c:pt idx="944">
                  <c:v>2.4118734395594052E-4</c:v>
                </c:pt>
                <c:pt idx="945">
                  <c:v>2.4138855168540909E-4</c:v>
                </c:pt>
                <c:pt idx="946">
                  <c:v>2.4158975941487767E-4</c:v>
                </c:pt>
                <c:pt idx="947">
                  <c:v>2.4179096714434633E-4</c:v>
                </c:pt>
                <c:pt idx="948">
                  <c:v>2.419921748738149E-4</c:v>
                </c:pt>
                <c:pt idx="949">
                  <c:v>2.4219338260328348E-4</c:v>
                </c:pt>
                <c:pt idx="950">
                  <c:v>2.4239459033275211E-4</c:v>
                </c:pt>
                <c:pt idx="951">
                  <c:v>2.4259579806222068E-4</c:v>
                </c:pt>
                <c:pt idx="952">
                  <c:v>2.4279700579168926E-4</c:v>
                </c:pt>
                <c:pt idx="953">
                  <c:v>2.4299821352115789E-4</c:v>
                </c:pt>
                <c:pt idx="954">
                  <c:v>2.4319942125062646E-4</c:v>
                </c:pt>
                <c:pt idx="955">
                  <c:v>2.4340062898009509E-4</c:v>
                </c:pt>
                <c:pt idx="956">
                  <c:v>2.4360183670956372E-4</c:v>
                </c:pt>
                <c:pt idx="957">
                  <c:v>2.438030444390323E-4</c:v>
                </c:pt>
                <c:pt idx="958">
                  <c:v>2.4400425216850087E-4</c:v>
                </c:pt>
                <c:pt idx="959">
                  <c:v>2.4420545989796948E-4</c:v>
                </c:pt>
                <c:pt idx="960">
                  <c:v>2.4440666762743805E-4</c:v>
                </c:pt>
                <c:pt idx="961">
                  <c:v>2.4460787535690668E-4</c:v>
                </c:pt>
                <c:pt idx="962">
                  <c:v>2.4480908308637526E-4</c:v>
                </c:pt>
                <c:pt idx="963">
                  <c:v>2.4501029081584389E-4</c:v>
                </c:pt>
                <c:pt idx="964">
                  <c:v>2.4521149854531252E-4</c:v>
                </c:pt>
                <c:pt idx="965">
                  <c:v>2.4541270627478109E-4</c:v>
                </c:pt>
                <c:pt idx="966">
                  <c:v>2.4561391400424967E-4</c:v>
                </c:pt>
                <c:pt idx="967">
                  <c:v>2.458151217337183E-4</c:v>
                </c:pt>
                <c:pt idx="968">
                  <c:v>2.4601632946318687E-4</c:v>
                </c:pt>
                <c:pt idx="969">
                  <c:v>2.462175371926555E-4</c:v>
                </c:pt>
                <c:pt idx="970">
                  <c:v>2.4641874492212408E-4</c:v>
                </c:pt>
                <c:pt idx="971">
                  <c:v>2.4661995265159265E-4</c:v>
                </c:pt>
                <c:pt idx="972">
                  <c:v>2.4682116038106134E-4</c:v>
                </c:pt>
                <c:pt idx="973">
                  <c:v>2.4702236811052991E-4</c:v>
                </c:pt>
                <c:pt idx="974">
                  <c:v>2.4722357583999849E-4</c:v>
                </c:pt>
                <c:pt idx="975">
                  <c:v>2.4742478356946712E-4</c:v>
                </c:pt>
                <c:pt idx="976">
                  <c:v>2.4762599129893569E-4</c:v>
                </c:pt>
                <c:pt idx="977">
                  <c:v>2.4782719902840427E-4</c:v>
                </c:pt>
                <c:pt idx="978">
                  <c:v>2.480284067578729E-4</c:v>
                </c:pt>
                <c:pt idx="979">
                  <c:v>2.4822961448734147E-4</c:v>
                </c:pt>
                <c:pt idx="980">
                  <c:v>2.484308222168101E-4</c:v>
                </c:pt>
                <c:pt idx="981">
                  <c:v>2.4863202994627873E-4</c:v>
                </c:pt>
                <c:pt idx="982">
                  <c:v>2.4883323767574731E-4</c:v>
                </c:pt>
                <c:pt idx="983">
                  <c:v>2.4903444540521588E-4</c:v>
                </c:pt>
                <c:pt idx="984">
                  <c:v>2.4923565313468451E-4</c:v>
                </c:pt>
                <c:pt idx="985">
                  <c:v>2.4943686086415309E-4</c:v>
                </c:pt>
                <c:pt idx="986">
                  <c:v>2.4963806859362172E-4</c:v>
                </c:pt>
                <c:pt idx="987">
                  <c:v>2.498392763230903E-4</c:v>
                </c:pt>
                <c:pt idx="988">
                  <c:v>2.5004048405255893E-4</c:v>
                </c:pt>
                <c:pt idx="989">
                  <c:v>2.5024169178202755E-4</c:v>
                </c:pt>
                <c:pt idx="990">
                  <c:v>2.5044289951149613E-4</c:v>
                </c:pt>
                <c:pt idx="991">
                  <c:v>2.5064410724096471E-4</c:v>
                </c:pt>
                <c:pt idx="992">
                  <c:v>2.5084531497043334E-4</c:v>
                </c:pt>
                <c:pt idx="993">
                  <c:v>2.5104652269990191E-4</c:v>
                </c:pt>
                <c:pt idx="994">
                  <c:v>2.5124773042937054E-4</c:v>
                </c:pt>
                <c:pt idx="995">
                  <c:v>2.5144893815883912E-4</c:v>
                </c:pt>
                <c:pt idx="996">
                  <c:v>2.5165014588830769E-4</c:v>
                </c:pt>
                <c:pt idx="997">
                  <c:v>2.5185135361777638E-4</c:v>
                </c:pt>
                <c:pt idx="998">
                  <c:v>2.5205256134724495E-4</c:v>
                </c:pt>
                <c:pt idx="999">
                  <c:v>2.5225376907671353E-4</c:v>
                </c:pt>
                <c:pt idx="1000">
                  <c:v>2.5245497680618216E-4</c:v>
                </c:pt>
                <c:pt idx="1001">
                  <c:v>2.5265618453565073E-4</c:v>
                </c:pt>
                <c:pt idx="1002">
                  <c:v>2.5285739226511931E-4</c:v>
                </c:pt>
                <c:pt idx="1003">
                  <c:v>2.5305859999458794E-4</c:v>
                </c:pt>
                <c:pt idx="1004">
                  <c:v>2.5325980772405651E-4</c:v>
                </c:pt>
                <c:pt idx="1005">
                  <c:v>2.5346101545352514E-4</c:v>
                </c:pt>
                <c:pt idx="1006">
                  <c:v>2.5366222318299377E-4</c:v>
                </c:pt>
                <c:pt idx="1007">
                  <c:v>2.5386343091246235E-4</c:v>
                </c:pt>
                <c:pt idx="1008">
                  <c:v>2.5406463864193092E-4</c:v>
                </c:pt>
                <c:pt idx="1009">
                  <c:v>2.5426584637139955E-4</c:v>
                </c:pt>
                <c:pt idx="1010">
                  <c:v>2.5446705410086813E-4</c:v>
                </c:pt>
                <c:pt idx="1011">
                  <c:v>2.5466826183033676E-4</c:v>
                </c:pt>
                <c:pt idx="1012">
                  <c:v>2.5486946955980533E-4</c:v>
                </c:pt>
                <c:pt idx="1013">
                  <c:v>2.5507067728927396E-4</c:v>
                </c:pt>
                <c:pt idx="1014">
                  <c:v>2.5527188501874259E-4</c:v>
                </c:pt>
                <c:pt idx="1015">
                  <c:v>2.5547309274821117E-4</c:v>
                </c:pt>
                <c:pt idx="1016">
                  <c:v>2.5567430047767974E-4</c:v>
                </c:pt>
                <c:pt idx="1017">
                  <c:v>2.5587550820714837E-4</c:v>
                </c:pt>
                <c:pt idx="1018">
                  <c:v>2.5607671593661695E-4</c:v>
                </c:pt>
                <c:pt idx="1019">
                  <c:v>2.5627792366608558E-4</c:v>
                </c:pt>
                <c:pt idx="1020">
                  <c:v>2.5647913139555415E-4</c:v>
                </c:pt>
                <c:pt idx="1021">
                  <c:v>2.5668033912502273E-4</c:v>
                </c:pt>
                <c:pt idx="1022">
                  <c:v>2.5688154685449141E-4</c:v>
                </c:pt>
                <c:pt idx="1023">
                  <c:v>2.5708275458395999E-4</c:v>
                </c:pt>
                <c:pt idx="1024">
                  <c:v>2.5728396231342856E-4</c:v>
                </c:pt>
                <c:pt idx="1025">
                  <c:v>2.5748517004289719E-4</c:v>
                </c:pt>
                <c:pt idx="1026">
                  <c:v>2.5768637777236577E-4</c:v>
                </c:pt>
                <c:pt idx="1027">
                  <c:v>2.5788758550183435E-4</c:v>
                </c:pt>
                <c:pt idx="1028">
                  <c:v>2.5808879323130298E-4</c:v>
                </c:pt>
                <c:pt idx="1029">
                  <c:v>2.5829000096077155E-4</c:v>
                </c:pt>
                <c:pt idx="1030">
                  <c:v>2.5849120869024018E-4</c:v>
                </c:pt>
                <c:pt idx="1031">
                  <c:v>2.5869241641970838E-4</c:v>
                </c:pt>
                <c:pt idx="1032">
                  <c:v>2.5889362414917701E-4</c:v>
                </c:pt>
                <c:pt idx="1033">
                  <c:v>2.5909483187864564E-4</c:v>
                </c:pt>
                <c:pt idx="1034">
                  <c:v>2.5929603960811465E-4</c:v>
                </c:pt>
                <c:pt idx="1035">
                  <c:v>2.5949724733758284E-4</c:v>
                </c:pt>
                <c:pt idx="1036">
                  <c:v>2.5969845506705142E-4</c:v>
                </c:pt>
                <c:pt idx="1037">
                  <c:v>2.5989966279651999E-4</c:v>
                </c:pt>
                <c:pt idx="1038">
                  <c:v>2.6010087052598862E-4</c:v>
                </c:pt>
                <c:pt idx="1039">
                  <c:v>2.603020782554572E-4</c:v>
                </c:pt>
                <c:pt idx="1040">
                  <c:v>2.6050328598492583E-4</c:v>
                </c:pt>
                <c:pt idx="1041">
                  <c:v>2.6070449371439446E-4</c:v>
                </c:pt>
                <c:pt idx="1042">
                  <c:v>2.6090570144386303E-4</c:v>
                </c:pt>
                <c:pt idx="1043">
                  <c:v>2.6110690917333166E-4</c:v>
                </c:pt>
                <c:pt idx="1044">
                  <c:v>2.6130811690280024E-4</c:v>
                </c:pt>
                <c:pt idx="1045">
                  <c:v>2.6150932463226881E-4</c:v>
                </c:pt>
                <c:pt idx="1046">
                  <c:v>2.6171053236173744E-4</c:v>
                </c:pt>
                <c:pt idx="1047">
                  <c:v>2.6191174009120602E-4</c:v>
                </c:pt>
                <c:pt idx="1048">
                  <c:v>2.6211294782067459E-4</c:v>
                </c:pt>
                <c:pt idx="1049">
                  <c:v>2.6231415555014328E-4</c:v>
                </c:pt>
                <c:pt idx="1050">
                  <c:v>2.6251536327961185E-4</c:v>
                </c:pt>
                <c:pt idx="1051">
                  <c:v>2.6271657100908043E-4</c:v>
                </c:pt>
                <c:pt idx="1052">
                  <c:v>2.6291777873854906E-4</c:v>
                </c:pt>
                <c:pt idx="1053">
                  <c:v>2.6311898646801763E-4</c:v>
                </c:pt>
                <c:pt idx="1054">
                  <c:v>2.6332019419748621E-4</c:v>
                </c:pt>
                <c:pt idx="1055">
                  <c:v>2.6352140192695484E-4</c:v>
                </c:pt>
                <c:pt idx="1056">
                  <c:v>2.6372260965642341E-4</c:v>
                </c:pt>
                <c:pt idx="1057">
                  <c:v>2.6392381738589204E-4</c:v>
                </c:pt>
                <c:pt idx="1058">
                  <c:v>2.6412502511536067E-4</c:v>
                </c:pt>
                <c:pt idx="1059">
                  <c:v>2.6432623284482925E-4</c:v>
                </c:pt>
                <c:pt idx="1060">
                  <c:v>2.6452744057429788E-4</c:v>
                </c:pt>
                <c:pt idx="1061">
                  <c:v>2.6472864830376646E-4</c:v>
                </c:pt>
                <c:pt idx="1062">
                  <c:v>2.6492985603323503E-4</c:v>
                </c:pt>
                <c:pt idx="1063">
                  <c:v>2.6513106376270366E-4</c:v>
                </c:pt>
                <c:pt idx="1064">
                  <c:v>2.6533227149217224E-4</c:v>
                </c:pt>
                <c:pt idx="1065">
                  <c:v>2.6553347922164087E-4</c:v>
                </c:pt>
                <c:pt idx="1066">
                  <c:v>2.657346869511095E-4</c:v>
                </c:pt>
                <c:pt idx="1067">
                  <c:v>2.6593589468057807E-4</c:v>
                </c:pt>
                <c:pt idx="1068">
                  <c:v>2.661371024100467E-4</c:v>
                </c:pt>
                <c:pt idx="1069">
                  <c:v>2.6633831013951528E-4</c:v>
                </c:pt>
                <c:pt idx="1070">
                  <c:v>2.6653951786898385E-4</c:v>
                </c:pt>
                <c:pt idx="1071">
                  <c:v>2.6674072559845248E-4</c:v>
                </c:pt>
                <c:pt idx="1072">
                  <c:v>2.6694193332792106E-4</c:v>
                </c:pt>
                <c:pt idx="1073">
                  <c:v>2.6714314105738963E-4</c:v>
                </c:pt>
                <c:pt idx="1074">
                  <c:v>2.6734434878685832E-4</c:v>
                </c:pt>
                <c:pt idx="1075">
                  <c:v>2.6754555651632689E-4</c:v>
                </c:pt>
                <c:pt idx="1076">
                  <c:v>2.6774676424579547E-4</c:v>
                </c:pt>
                <c:pt idx="1077">
                  <c:v>2.679479719752641E-4</c:v>
                </c:pt>
                <c:pt idx="1078">
                  <c:v>2.6814917970473267E-4</c:v>
                </c:pt>
                <c:pt idx="1079">
                  <c:v>2.6835038743420125E-4</c:v>
                </c:pt>
                <c:pt idx="1080">
                  <c:v>2.6855159516366988E-4</c:v>
                </c:pt>
                <c:pt idx="1081">
                  <c:v>2.6875280289313845E-4</c:v>
                </c:pt>
                <c:pt idx="1082">
                  <c:v>2.6895401062260708E-4</c:v>
                </c:pt>
                <c:pt idx="1083">
                  <c:v>2.6915521835207571E-4</c:v>
                </c:pt>
                <c:pt idx="1084">
                  <c:v>2.6935642608154429E-4</c:v>
                </c:pt>
                <c:pt idx="1085">
                  <c:v>2.6955763381101292E-4</c:v>
                </c:pt>
                <c:pt idx="1086">
                  <c:v>2.6975884154048149E-4</c:v>
                </c:pt>
                <c:pt idx="1087">
                  <c:v>2.6996004926995007E-4</c:v>
                </c:pt>
                <c:pt idx="1088">
                  <c:v>2.701612569994187E-4</c:v>
                </c:pt>
                <c:pt idx="1089">
                  <c:v>2.7036246472888727E-4</c:v>
                </c:pt>
                <c:pt idx="1090">
                  <c:v>2.705636724583559E-4</c:v>
                </c:pt>
                <c:pt idx="1091">
                  <c:v>2.7076488018782453E-4</c:v>
                </c:pt>
                <c:pt idx="1092">
                  <c:v>2.7096608791729311E-4</c:v>
                </c:pt>
                <c:pt idx="1093">
                  <c:v>2.7116729564676174E-4</c:v>
                </c:pt>
                <c:pt idx="1094">
                  <c:v>2.7136850337623031E-4</c:v>
                </c:pt>
                <c:pt idx="1095">
                  <c:v>2.7156971110569889E-4</c:v>
                </c:pt>
                <c:pt idx="1096">
                  <c:v>2.7177091883516752E-4</c:v>
                </c:pt>
                <c:pt idx="1097">
                  <c:v>2.719721265646361E-4</c:v>
                </c:pt>
                <c:pt idx="1098">
                  <c:v>2.7217333429410467E-4</c:v>
                </c:pt>
                <c:pt idx="1099">
                  <c:v>2.7237454202357335E-4</c:v>
                </c:pt>
                <c:pt idx="1100">
                  <c:v>2.7257574975304193E-4</c:v>
                </c:pt>
                <c:pt idx="1101">
                  <c:v>2.7277695748251051E-4</c:v>
                </c:pt>
                <c:pt idx="1102">
                  <c:v>2.7297816521197914E-4</c:v>
                </c:pt>
                <c:pt idx="1103">
                  <c:v>2.7317937294144771E-4</c:v>
                </c:pt>
                <c:pt idx="1104">
                  <c:v>2.7338058067091629E-4</c:v>
                </c:pt>
                <c:pt idx="1105">
                  <c:v>2.7358178840038492E-4</c:v>
                </c:pt>
                <c:pt idx="1106">
                  <c:v>2.7378299612985349E-4</c:v>
                </c:pt>
                <c:pt idx="1107">
                  <c:v>2.7398420385932212E-4</c:v>
                </c:pt>
                <c:pt idx="1108">
                  <c:v>2.7418541158879075E-4</c:v>
                </c:pt>
                <c:pt idx="1109">
                  <c:v>2.7438661931825933E-4</c:v>
                </c:pt>
                <c:pt idx="1110">
                  <c:v>2.7458782704772796E-4</c:v>
                </c:pt>
                <c:pt idx="1111">
                  <c:v>2.7478903477719653E-4</c:v>
                </c:pt>
                <c:pt idx="1112">
                  <c:v>2.7499024250666511E-4</c:v>
                </c:pt>
                <c:pt idx="1113">
                  <c:v>2.7519145023613374E-4</c:v>
                </c:pt>
                <c:pt idx="1114">
                  <c:v>2.7539265796560231E-4</c:v>
                </c:pt>
                <c:pt idx="1115">
                  <c:v>2.7559386569507094E-4</c:v>
                </c:pt>
                <c:pt idx="1116">
                  <c:v>2.7579507342453957E-4</c:v>
                </c:pt>
                <c:pt idx="1117">
                  <c:v>2.7599628115400815E-4</c:v>
                </c:pt>
                <c:pt idx="1118">
                  <c:v>2.7619748888347678E-4</c:v>
                </c:pt>
                <c:pt idx="1119">
                  <c:v>2.7639869661294535E-4</c:v>
                </c:pt>
                <c:pt idx="1120">
                  <c:v>2.7659990434241355E-4</c:v>
                </c:pt>
                <c:pt idx="1121">
                  <c:v>2.7680111207188256E-4</c:v>
                </c:pt>
                <c:pt idx="1122">
                  <c:v>2.7700231980135113E-4</c:v>
                </c:pt>
                <c:pt idx="1123">
                  <c:v>2.7720352753081971E-4</c:v>
                </c:pt>
                <c:pt idx="1124">
                  <c:v>2.7740473526028839E-4</c:v>
                </c:pt>
                <c:pt idx="1125">
                  <c:v>2.7760594298975653E-4</c:v>
                </c:pt>
                <c:pt idx="1126">
                  <c:v>2.7780715071922522E-4</c:v>
                </c:pt>
                <c:pt idx="1127">
                  <c:v>2.7800835844869379E-4</c:v>
                </c:pt>
                <c:pt idx="1128">
                  <c:v>2.782095661781628E-4</c:v>
                </c:pt>
                <c:pt idx="1129">
                  <c:v>2.78410773907631E-4</c:v>
                </c:pt>
                <c:pt idx="1130">
                  <c:v>2.7861198163709957E-4</c:v>
                </c:pt>
                <c:pt idx="1131">
                  <c:v>2.788131893665682E-4</c:v>
                </c:pt>
                <c:pt idx="1132">
                  <c:v>2.7901439709603678E-4</c:v>
                </c:pt>
                <c:pt idx="1133">
                  <c:v>2.7921560482550536E-4</c:v>
                </c:pt>
                <c:pt idx="1134">
                  <c:v>2.7941681255497404E-4</c:v>
                </c:pt>
                <c:pt idx="1135">
                  <c:v>2.7961802028444261E-4</c:v>
                </c:pt>
                <c:pt idx="1136">
                  <c:v>2.7981922801391119E-4</c:v>
                </c:pt>
                <c:pt idx="1137">
                  <c:v>2.8002043574337982E-4</c:v>
                </c:pt>
                <c:pt idx="1138">
                  <c:v>2.802216434728484E-4</c:v>
                </c:pt>
                <c:pt idx="1139">
                  <c:v>2.8042285120231703E-4</c:v>
                </c:pt>
                <c:pt idx="1140">
                  <c:v>2.806240589317856E-4</c:v>
                </c:pt>
                <c:pt idx="1141">
                  <c:v>2.8082526666125418E-4</c:v>
                </c:pt>
                <c:pt idx="1142">
                  <c:v>2.8102647439072281E-4</c:v>
                </c:pt>
                <c:pt idx="1143">
                  <c:v>2.8122768212019144E-4</c:v>
                </c:pt>
                <c:pt idx="1144">
                  <c:v>2.8142888984966001E-4</c:v>
                </c:pt>
                <c:pt idx="1145">
                  <c:v>2.8163009757912864E-4</c:v>
                </c:pt>
                <c:pt idx="1146">
                  <c:v>2.8183130530859722E-4</c:v>
                </c:pt>
                <c:pt idx="1147">
                  <c:v>2.8203251303806579E-4</c:v>
                </c:pt>
                <c:pt idx="1148">
                  <c:v>2.8223372076753442E-4</c:v>
                </c:pt>
                <c:pt idx="1149">
                  <c:v>2.82434928497003E-4</c:v>
                </c:pt>
                <c:pt idx="1150">
                  <c:v>2.8263613622647157E-4</c:v>
                </c:pt>
                <c:pt idx="1151">
                  <c:v>2.8283734395594026E-4</c:v>
                </c:pt>
                <c:pt idx="1152">
                  <c:v>2.8303855168540883E-4</c:v>
                </c:pt>
                <c:pt idx="1153">
                  <c:v>2.8323975941487741E-4</c:v>
                </c:pt>
                <c:pt idx="1154">
                  <c:v>2.8344096714434604E-4</c:v>
                </c:pt>
                <c:pt idx="1155">
                  <c:v>2.8364217487381461E-4</c:v>
                </c:pt>
                <c:pt idx="1156">
                  <c:v>2.8384338260328324E-4</c:v>
                </c:pt>
                <c:pt idx="1157">
                  <c:v>2.8404459033275182E-4</c:v>
                </c:pt>
                <c:pt idx="1158">
                  <c:v>2.8424579806222039E-4</c:v>
                </c:pt>
                <c:pt idx="1159">
                  <c:v>2.8444700579168908E-4</c:v>
                </c:pt>
                <c:pt idx="1160">
                  <c:v>2.8464821352115765E-4</c:v>
                </c:pt>
                <c:pt idx="1161">
                  <c:v>2.8484942125062623E-4</c:v>
                </c:pt>
                <c:pt idx="1162">
                  <c:v>2.8505062898009486E-4</c:v>
                </c:pt>
                <c:pt idx="1163">
                  <c:v>2.8525183670956343E-4</c:v>
                </c:pt>
                <c:pt idx="1164">
                  <c:v>2.8545304443903206E-4</c:v>
                </c:pt>
                <c:pt idx="1165">
                  <c:v>2.8565425216850064E-4</c:v>
                </c:pt>
                <c:pt idx="1166">
                  <c:v>2.8585545989796921E-4</c:v>
                </c:pt>
                <c:pt idx="1167">
                  <c:v>2.8605666762743784E-4</c:v>
                </c:pt>
                <c:pt idx="1168">
                  <c:v>2.8625787535690647E-4</c:v>
                </c:pt>
                <c:pt idx="1169">
                  <c:v>2.8645908308637505E-4</c:v>
                </c:pt>
                <c:pt idx="1170">
                  <c:v>2.8666029081584368E-4</c:v>
                </c:pt>
                <c:pt idx="1171">
                  <c:v>2.8686149854531225E-4</c:v>
                </c:pt>
                <c:pt idx="1172">
                  <c:v>2.8706270627478083E-4</c:v>
                </c:pt>
                <c:pt idx="1173">
                  <c:v>2.8726391400424946E-4</c:v>
                </c:pt>
                <c:pt idx="1174">
                  <c:v>2.8746512173371804E-4</c:v>
                </c:pt>
                <c:pt idx="1175">
                  <c:v>2.8766632946318661E-4</c:v>
                </c:pt>
                <c:pt idx="1176">
                  <c:v>2.878675371926553E-4</c:v>
                </c:pt>
                <c:pt idx="1177">
                  <c:v>2.8806874492212387E-4</c:v>
                </c:pt>
                <c:pt idx="1178">
                  <c:v>2.8826995265159245E-4</c:v>
                </c:pt>
                <c:pt idx="1179">
                  <c:v>2.8847116038106108E-4</c:v>
                </c:pt>
                <c:pt idx="1180">
                  <c:v>2.8867236811052965E-4</c:v>
                </c:pt>
                <c:pt idx="1181">
                  <c:v>2.8887357583999828E-4</c:v>
                </c:pt>
                <c:pt idx="1182">
                  <c:v>2.8907478356946686E-4</c:v>
                </c:pt>
                <c:pt idx="1183">
                  <c:v>2.8927599129893543E-4</c:v>
                </c:pt>
                <c:pt idx="1184">
                  <c:v>2.8947719902840412E-4</c:v>
                </c:pt>
                <c:pt idx="1185">
                  <c:v>2.8967840675787269E-4</c:v>
                </c:pt>
                <c:pt idx="1186">
                  <c:v>2.8987961448734127E-4</c:v>
                </c:pt>
                <c:pt idx="1187">
                  <c:v>2.900808222168099E-4</c:v>
                </c:pt>
                <c:pt idx="1188">
                  <c:v>2.9028202994627847E-4</c:v>
                </c:pt>
                <c:pt idx="1189">
                  <c:v>2.904832376757471E-4</c:v>
                </c:pt>
                <c:pt idx="1190">
                  <c:v>2.9068444540521568E-4</c:v>
                </c:pt>
                <c:pt idx="1191">
                  <c:v>2.9088565313468425E-4</c:v>
                </c:pt>
                <c:pt idx="1192">
                  <c:v>2.9108686086415288E-4</c:v>
                </c:pt>
                <c:pt idx="1193">
                  <c:v>2.9128806859362151E-4</c:v>
                </c:pt>
                <c:pt idx="1194">
                  <c:v>2.9148927632309009E-4</c:v>
                </c:pt>
                <c:pt idx="1195">
                  <c:v>2.9169048405255872E-4</c:v>
                </c:pt>
                <c:pt idx="1196">
                  <c:v>2.9189169178202729E-4</c:v>
                </c:pt>
                <c:pt idx="1197">
                  <c:v>2.9209289951149587E-4</c:v>
                </c:pt>
                <c:pt idx="1198">
                  <c:v>2.922941072409645E-4</c:v>
                </c:pt>
                <c:pt idx="1199">
                  <c:v>2.9249531497043307E-4</c:v>
                </c:pt>
                <c:pt idx="1200">
                  <c:v>2.9269652269990165E-4</c:v>
                </c:pt>
                <c:pt idx="1201">
                  <c:v>2.9289773042937033E-4</c:v>
                </c:pt>
                <c:pt idx="1202">
                  <c:v>2.9309893815883891E-4</c:v>
                </c:pt>
                <c:pt idx="1203">
                  <c:v>2.9330014588830748E-4</c:v>
                </c:pt>
                <c:pt idx="1204">
                  <c:v>2.9350135361777611E-4</c:v>
                </c:pt>
                <c:pt idx="1205">
                  <c:v>2.9370256134724469E-4</c:v>
                </c:pt>
                <c:pt idx="1206">
                  <c:v>2.9390376907671332E-4</c:v>
                </c:pt>
                <c:pt idx="1207">
                  <c:v>2.9410497680618189E-4</c:v>
                </c:pt>
                <c:pt idx="1208">
                  <c:v>2.9430618453565047E-4</c:v>
                </c:pt>
                <c:pt idx="1209">
                  <c:v>2.9450739226511915E-4</c:v>
                </c:pt>
                <c:pt idx="1210">
                  <c:v>2.9470859999458773E-4</c:v>
                </c:pt>
                <c:pt idx="1211">
                  <c:v>2.9490980772405631E-4</c:v>
                </c:pt>
                <c:pt idx="1212">
                  <c:v>2.9511101545352494E-4</c:v>
                </c:pt>
                <c:pt idx="1213">
                  <c:v>2.9531222318299351E-4</c:v>
                </c:pt>
                <c:pt idx="1214">
                  <c:v>2.9551343091246214E-4</c:v>
                </c:pt>
                <c:pt idx="1215">
                  <c:v>2.9571463864193072E-4</c:v>
                </c:pt>
                <c:pt idx="1216">
                  <c:v>2.9591584637139929E-4</c:v>
                </c:pt>
                <c:pt idx="1217">
                  <c:v>2.9611705410086792E-4</c:v>
                </c:pt>
                <c:pt idx="1218">
                  <c:v>2.9631826183033612E-4</c:v>
                </c:pt>
                <c:pt idx="1219">
                  <c:v>2.9651946955980475E-4</c:v>
                </c:pt>
                <c:pt idx="1220">
                  <c:v>2.9672067728927338E-4</c:v>
                </c:pt>
                <c:pt idx="1221">
                  <c:v>2.9692188501874195E-4</c:v>
                </c:pt>
                <c:pt idx="1222">
                  <c:v>2.9712309274821058E-4</c:v>
                </c:pt>
                <c:pt idx="1223">
                  <c:v>2.9732430047767916E-4</c:v>
                </c:pt>
                <c:pt idx="1224">
                  <c:v>2.9752550820714773E-4</c:v>
                </c:pt>
                <c:pt idx="1225">
                  <c:v>2.9772671593661636E-4</c:v>
                </c:pt>
                <c:pt idx="1226">
                  <c:v>2.9792792366608494E-4</c:v>
                </c:pt>
                <c:pt idx="1227">
                  <c:v>2.9812913139555357E-4</c:v>
                </c:pt>
                <c:pt idx="1228">
                  <c:v>2.983303391250222E-4</c:v>
                </c:pt>
                <c:pt idx="1229">
                  <c:v>2.9853154685449077E-4</c:v>
                </c:pt>
                <c:pt idx="1230">
                  <c:v>2.987327545839594E-4</c:v>
                </c:pt>
                <c:pt idx="1231">
                  <c:v>2.9893396231342798E-4</c:v>
                </c:pt>
                <c:pt idx="1232">
                  <c:v>2.9913517004289655E-4</c:v>
                </c:pt>
                <c:pt idx="1233">
                  <c:v>2.9933637777236518E-4</c:v>
                </c:pt>
                <c:pt idx="1234">
                  <c:v>2.9953758550183376E-4</c:v>
                </c:pt>
                <c:pt idx="1235">
                  <c:v>2.9973879323130239E-4</c:v>
                </c:pt>
                <c:pt idx="1236">
                  <c:v>2.9994000096077102E-4</c:v>
                </c:pt>
                <c:pt idx="1237">
                  <c:v>3.0014120869023959E-4</c:v>
                </c:pt>
                <c:pt idx="1238">
                  <c:v>3.0034241641970822E-4</c:v>
                </c:pt>
                <c:pt idx="1239">
                  <c:v>3.005436241491768E-4</c:v>
                </c:pt>
                <c:pt idx="1240">
                  <c:v>3.0074483187864537E-4</c:v>
                </c:pt>
                <c:pt idx="1241">
                  <c:v>3.00946039608114E-4</c:v>
                </c:pt>
                <c:pt idx="1242">
                  <c:v>3.0114724733758258E-4</c:v>
                </c:pt>
                <c:pt idx="1243">
                  <c:v>3.0134845506705116E-4</c:v>
                </c:pt>
                <c:pt idx="1244">
                  <c:v>3.0154966279651979E-4</c:v>
                </c:pt>
                <c:pt idx="1245">
                  <c:v>3.0175087052598841E-4</c:v>
                </c:pt>
                <c:pt idx="1246">
                  <c:v>3.0195207825545699E-4</c:v>
                </c:pt>
                <c:pt idx="1247">
                  <c:v>3.0215328598492562E-4</c:v>
                </c:pt>
                <c:pt idx="1248">
                  <c:v>3.023544937143942E-4</c:v>
                </c:pt>
                <c:pt idx="1249">
                  <c:v>3.0255570144386277E-4</c:v>
                </c:pt>
                <c:pt idx="1250">
                  <c:v>3.027569091733314E-4</c:v>
                </c:pt>
                <c:pt idx="1251">
                  <c:v>3.0295811690279998E-4</c:v>
                </c:pt>
                <c:pt idx="1252">
                  <c:v>3.0315932463226861E-4</c:v>
                </c:pt>
                <c:pt idx="1253">
                  <c:v>3.0336053236173724E-4</c:v>
                </c:pt>
                <c:pt idx="1254">
                  <c:v>3.0356174009120581E-4</c:v>
                </c:pt>
                <c:pt idx="1255">
                  <c:v>3.0376294782067444E-4</c:v>
                </c:pt>
                <c:pt idx="1256">
                  <c:v>3.0396415555014302E-4</c:v>
                </c:pt>
                <c:pt idx="1257">
                  <c:v>3.0416536327961159E-4</c:v>
                </c:pt>
                <c:pt idx="1258">
                  <c:v>3.0436657100908022E-4</c:v>
                </c:pt>
                <c:pt idx="1259">
                  <c:v>3.045677787385488E-4</c:v>
                </c:pt>
                <c:pt idx="1260">
                  <c:v>3.0476898646801743E-4</c:v>
                </c:pt>
                <c:pt idx="1261">
                  <c:v>3.0497019419748606E-4</c:v>
                </c:pt>
                <c:pt idx="1262">
                  <c:v>3.0517140192695463E-4</c:v>
                </c:pt>
                <c:pt idx="1263">
                  <c:v>3.0537260965642326E-4</c:v>
                </c:pt>
                <c:pt idx="1264">
                  <c:v>3.0557381738589184E-4</c:v>
                </c:pt>
                <c:pt idx="1265">
                  <c:v>3.0577502511536041E-4</c:v>
                </c:pt>
                <c:pt idx="1266">
                  <c:v>3.0597623284482904E-4</c:v>
                </c:pt>
                <c:pt idx="1267">
                  <c:v>3.0617744057429762E-4</c:v>
                </c:pt>
                <c:pt idx="1268">
                  <c:v>3.0637864830376619E-4</c:v>
                </c:pt>
                <c:pt idx="1269">
                  <c:v>3.0657985603323482E-4</c:v>
                </c:pt>
                <c:pt idx="1270">
                  <c:v>3.0678106376270345E-4</c:v>
                </c:pt>
                <c:pt idx="1271">
                  <c:v>3.0698227149217203E-4</c:v>
                </c:pt>
                <c:pt idx="1272">
                  <c:v>3.0718347922164066E-4</c:v>
                </c:pt>
                <c:pt idx="1273">
                  <c:v>3.0738468695110923E-4</c:v>
                </c:pt>
                <c:pt idx="1274">
                  <c:v>3.0758589468057781E-4</c:v>
                </c:pt>
                <c:pt idx="1275">
                  <c:v>3.0778710241004644E-4</c:v>
                </c:pt>
                <c:pt idx="1276">
                  <c:v>3.0798831013951501E-4</c:v>
                </c:pt>
                <c:pt idx="1277">
                  <c:v>3.0818951786898364E-4</c:v>
                </c:pt>
                <c:pt idx="1278">
                  <c:v>3.0839072559845227E-4</c:v>
                </c:pt>
                <c:pt idx="1279">
                  <c:v>3.0859193332792085E-4</c:v>
                </c:pt>
                <c:pt idx="1280">
                  <c:v>3.0879314105738948E-4</c:v>
                </c:pt>
                <c:pt idx="1281">
                  <c:v>3.0899434878685805E-4</c:v>
                </c:pt>
                <c:pt idx="1282">
                  <c:v>3.0919555651632663E-4</c:v>
                </c:pt>
                <c:pt idx="1283">
                  <c:v>3.0939676424579526E-4</c:v>
                </c:pt>
                <c:pt idx="1284">
                  <c:v>3.0959797197526384E-4</c:v>
                </c:pt>
                <c:pt idx="1285">
                  <c:v>3.0979917970473247E-4</c:v>
                </c:pt>
                <c:pt idx="1286">
                  <c:v>3.1000038743420109E-4</c:v>
                </c:pt>
                <c:pt idx="1287">
                  <c:v>3.1020159516366967E-4</c:v>
                </c:pt>
                <c:pt idx="1288">
                  <c:v>3.104028028931383E-4</c:v>
                </c:pt>
                <c:pt idx="1289">
                  <c:v>3.1060401062260688E-4</c:v>
                </c:pt>
                <c:pt idx="1290">
                  <c:v>3.1080521835207545E-4</c:v>
                </c:pt>
                <c:pt idx="1291">
                  <c:v>3.1100642608154408E-4</c:v>
                </c:pt>
                <c:pt idx="1292">
                  <c:v>3.1120763381101266E-4</c:v>
                </c:pt>
                <c:pt idx="1293">
                  <c:v>3.1140884154048123E-4</c:v>
                </c:pt>
                <c:pt idx="1294">
                  <c:v>3.1161004926994986E-4</c:v>
                </c:pt>
                <c:pt idx="1295">
                  <c:v>3.1181125699941849E-4</c:v>
                </c:pt>
                <c:pt idx="1296">
                  <c:v>3.1201246472888707E-4</c:v>
                </c:pt>
                <c:pt idx="1297">
                  <c:v>3.122136724583557E-4</c:v>
                </c:pt>
                <c:pt idx="1298">
                  <c:v>3.1241488018782427E-4</c:v>
                </c:pt>
                <c:pt idx="1299">
                  <c:v>3.1261608791729285E-4</c:v>
                </c:pt>
                <c:pt idx="1300">
                  <c:v>3.1281729564676148E-4</c:v>
                </c:pt>
                <c:pt idx="1301">
                  <c:v>3.1301850337623005E-4</c:v>
                </c:pt>
                <c:pt idx="1302">
                  <c:v>3.1321971110569868E-4</c:v>
                </c:pt>
                <c:pt idx="1303">
                  <c:v>3.1342091883516731E-4</c:v>
                </c:pt>
                <c:pt idx="1304">
                  <c:v>3.1362212656463589E-4</c:v>
                </c:pt>
                <c:pt idx="1305">
                  <c:v>3.1382333429410452E-4</c:v>
                </c:pt>
                <c:pt idx="1306">
                  <c:v>3.1402454202357309E-4</c:v>
                </c:pt>
                <c:pt idx="1307">
                  <c:v>3.1422574975304167E-4</c:v>
                </c:pt>
                <c:pt idx="1308">
                  <c:v>3.144269574825103E-4</c:v>
                </c:pt>
                <c:pt idx="1309">
                  <c:v>3.1462816521197887E-4</c:v>
                </c:pt>
                <c:pt idx="1310">
                  <c:v>3.148293729414475E-4</c:v>
                </c:pt>
                <c:pt idx="1311">
                  <c:v>3.1503058067091613E-4</c:v>
                </c:pt>
                <c:pt idx="1312">
                  <c:v>3.1523178840038433E-4</c:v>
                </c:pt>
                <c:pt idx="1313">
                  <c:v>3.154329961298529E-4</c:v>
                </c:pt>
                <c:pt idx="1314">
                  <c:v>3.1563420385932153E-4</c:v>
                </c:pt>
                <c:pt idx="1315">
                  <c:v>3.1583541158879016E-4</c:v>
                </c:pt>
                <c:pt idx="1316">
                  <c:v>3.1603661931825874E-4</c:v>
                </c:pt>
                <c:pt idx="1317">
                  <c:v>3.1623782704772732E-4</c:v>
                </c:pt>
                <c:pt idx="1318">
                  <c:v>3.1643903477719594E-4</c:v>
                </c:pt>
                <c:pt idx="1319">
                  <c:v>3.1664024250666452E-4</c:v>
                </c:pt>
                <c:pt idx="1320">
                  <c:v>3.168414502361331E-4</c:v>
                </c:pt>
                <c:pt idx="1321">
                  <c:v>3.1704265796560173E-4</c:v>
                </c:pt>
                <c:pt idx="1322">
                  <c:v>3.1724386569507036E-4</c:v>
                </c:pt>
                <c:pt idx="1323">
                  <c:v>3.1744507342453893E-4</c:v>
                </c:pt>
                <c:pt idx="1324">
                  <c:v>3.1764628115400756E-4</c:v>
                </c:pt>
                <c:pt idx="1325">
                  <c:v>3.1784748888347614E-4</c:v>
                </c:pt>
                <c:pt idx="1326">
                  <c:v>3.1804869661294477E-4</c:v>
                </c:pt>
                <c:pt idx="1327">
                  <c:v>3.1824990434241334E-4</c:v>
                </c:pt>
                <c:pt idx="1328">
                  <c:v>3.1845111207188192E-4</c:v>
                </c:pt>
                <c:pt idx="1329">
                  <c:v>3.1865231980135055E-4</c:v>
                </c:pt>
                <c:pt idx="1330">
                  <c:v>3.1885352753081918E-4</c:v>
                </c:pt>
                <c:pt idx="1331">
                  <c:v>3.1905473526028775E-4</c:v>
                </c:pt>
                <c:pt idx="1332">
                  <c:v>3.1925594298975638E-4</c:v>
                </c:pt>
                <c:pt idx="1333">
                  <c:v>3.1945715071922496E-4</c:v>
                </c:pt>
                <c:pt idx="1334">
                  <c:v>3.1965835844869359E-4</c:v>
                </c:pt>
                <c:pt idx="1335">
                  <c:v>3.1985956617816216E-4</c:v>
                </c:pt>
                <c:pt idx="1336">
                  <c:v>3.2006077390763074E-4</c:v>
                </c:pt>
                <c:pt idx="1337">
                  <c:v>3.2026198163709937E-4</c:v>
                </c:pt>
                <c:pt idx="1338">
                  <c:v>3.2046318936656794E-4</c:v>
                </c:pt>
                <c:pt idx="1339">
                  <c:v>3.2066439709603657E-4</c:v>
                </c:pt>
                <c:pt idx="1340">
                  <c:v>3.208656048255052E-4</c:v>
                </c:pt>
                <c:pt idx="1341">
                  <c:v>3.2106681255497378E-4</c:v>
                </c:pt>
                <c:pt idx="1342">
                  <c:v>3.2126802028444235E-4</c:v>
                </c:pt>
                <c:pt idx="1343">
                  <c:v>3.2146922801391098E-4</c:v>
                </c:pt>
                <c:pt idx="1344">
                  <c:v>3.2167043574337956E-4</c:v>
                </c:pt>
                <c:pt idx="1345">
                  <c:v>3.2187164347284813E-4</c:v>
                </c:pt>
                <c:pt idx="1346">
                  <c:v>3.2207285120231676E-4</c:v>
                </c:pt>
                <c:pt idx="1347">
                  <c:v>3.2227405893178539E-4</c:v>
                </c:pt>
                <c:pt idx="1348">
                  <c:v>3.2247526666125397E-4</c:v>
                </c:pt>
                <c:pt idx="1349">
                  <c:v>3.226764743907226E-4</c:v>
                </c:pt>
                <c:pt idx="1350">
                  <c:v>3.2287768212019117E-4</c:v>
                </c:pt>
                <c:pt idx="1351">
                  <c:v>3.230788898496598E-4</c:v>
                </c:pt>
                <c:pt idx="1352">
                  <c:v>3.2328009757912838E-4</c:v>
                </c:pt>
                <c:pt idx="1353">
                  <c:v>3.2348130530859696E-4</c:v>
                </c:pt>
                <c:pt idx="1354">
                  <c:v>3.2368251303806558E-4</c:v>
                </c:pt>
                <c:pt idx="1355">
                  <c:v>3.2388372076753421E-4</c:v>
                </c:pt>
                <c:pt idx="1356">
                  <c:v>3.2408492849700279E-4</c:v>
                </c:pt>
                <c:pt idx="1357">
                  <c:v>3.2428613622647142E-4</c:v>
                </c:pt>
                <c:pt idx="1358">
                  <c:v>3.2448734395594E-4</c:v>
                </c:pt>
                <c:pt idx="1359">
                  <c:v>3.2468855168540862E-4</c:v>
                </c:pt>
                <c:pt idx="1360">
                  <c:v>3.248897594148772E-4</c:v>
                </c:pt>
                <c:pt idx="1361">
                  <c:v>3.2509096714434578E-4</c:v>
                </c:pt>
                <c:pt idx="1362">
                  <c:v>3.2529217487381441E-4</c:v>
                </c:pt>
                <c:pt idx="1363">
                  <c:v>3.2549338260328298E-4</c:v>
                </c:pt>
                <c:pt idx="1364">
                  <c:v>3.2569459033275161E-4</c:v>
                </c:pt>
                <c:pt idx="1365">
                  <c:v>3.2589579806222024E-4</c:v>
                </c:pt>
                <c:pt idx="1366">
                  <c:v>3.2609700579168882E-4</c:v>
                </c:pt>
                <c:pt idx="1367">
                  <c:v>3.2629821352115739E-4</c:v>
                </c:pt>
                <c:pt idx="1368">
                  <c:v>3.2649942125062602E-4</c:v>
                </c:pt>
                <c:pt idx="1369">
                  <c:v>3.267006289800946E-4</c:v>
                </c:pt>
                <c:pt idx="1370">
                  <c:v>3.2690183670956317E-4</c:v>
                </c:pt>
                <c:pt idx="1371">
                  <c:v>3.271030444390318E-4</c:v>
                </c:pt>
                <c:pt idx="1372">
                  <c:v>3.2730425216850043E-4</c:v>
                </c:pt>
                <c:pt idx="1373">
                  <c:v>3.2750545989796901E-4</c:v>
                </c:pt>
                <c:pt idx="1374">
                  <c:v>3.2770666762743764E-4</c:v>
                </c:pt>
                <c:pt idx="1375">
                  <c:v>3.2790787535690621E-4</c:v>
                </c:pt>
                <c:pt idx="1376">
                  <c:v>3.2810908308637484E-4</c:v>
                </c:pt>
                <c:pt idx="1377">
                  <c:v>3.2831029081584342E-4</c:v>
                </c:pt>
                <c:pt idx="1378">
                  <c:v>3.2851149854531199E-4</c:v>
                </c:pt>
                <c:pt idx="1379">
                  <c:v>3.2871270627478062E-4</c:v>
                </c:pt>
                <c:pt idx="1380">
                  <c:v>3.2891391400424925E-4</c:v>
                </c:pt>
                <c:pt idx="1381">
                  <c:v>3.2911512173371783E-4</c:v>
                </c:pt>
                <c:pt idx="1382">
                  <c:v>3.2931632946318646E-4</c:v>
                </c:pt>
                <c:pt idx="1383">
                  <c:v>3.2951753719265503E-4</c:v>
                </c:pt>
                <c:pt idx="1384">
                  <c:v>3.2971874492212366E-4</c:v>
                </c:pt>
                <c:pt idx="1385">
                  <c:v>3.2991995265159224E-4</c:v>
                </c:pt>
                <c:pt idx="1386">
                  <c:v>3.3012116038106081E-4</c:v>
                </c:pt>
                <c:pt idx="1387">
                  <c:v>3.3032236811052944E-4</c:v>
                </c:pt>
                <c:pt idx="1388">
                  <c:v>3.3052357583999802E-4</c:v>
                </c:pt>
                <c:pt idx="1389">
                  <c:v>3.3072478356946665E-4</c:v>
                </c:pt>
                <c:pt idx="1390">
                  <c:v>3.3092599129893528E-4</c:v>
                </c:pt>
                <c:pt idx="1391">
                  <c:v>3.3112719902840385E-4</c:v>
                </c:pt>
                <c:pt idx="1392">
                  <c:v>3.3132840675787243E-4</c:v>
                </c:pt>
                <c:pt idx="1393">
                  <c:v>3.3152961448734106E-4</c:v>
                </c:pt>
                <c:pt idx="1394">
                  <c:v>3.3173082221680964E-4</c:v>
                </c:pt>
                <c:pt idx="1395">
                  <c:v>3.3193202994627821E-4</c:v>
                </c:pt>
                <c:pt idx="1396">
                  <c:v>3.3213323767574684E-4</c:v>
                </c:pt>
                <c:pt idx="1397">
                  <c:v>3.3233444540521547E-4</c:v>
                </c:pt>
                <c:pt idx="1398">
                  <c:v>3.3253565313468405E-4</c:v>
                </c:pt>
                <c:pt idx="1399">
                  <c:v>3.3273686086415268E-4</c:v>
                </c:pt>
                <c:pt idx="1400">
                  <c:v>3.3293806859362125E-4</c:v>
                </c:pt>
                <c:pt idx="1401">
                  <c:v>3.3313927632308988E-4</c:v>
                </c:pt>
                <c:pt idx="1402">
                  <c:v>3.3334048405255846E-4</c:v>
                </c:pt>
                <c:pt idx="1403">
                  <c:v>3.3354169178202703E-4</c:v>
                </c:pt>
                <c:pt idx="1404">
                  <c:v>3.3374289951149566E-4</c:v>
                </c:pt>
                <c:pt idx="1405">
                  <c:v>3.3394410724096429E-4</c:v>
                </c:pt>
                <c:pt idx="1406">
                  <c:v>3.3414531497043249E-4</c:v>
                </c:pt>
                <c:pt idx="1407">
                  <c:v>3.3434652269990112E-4</c:v>
                </c:pt>
                <c:pt idx="1408">
                  <c:v>3.3454773042936975E-4</c:v>
                </c:pt>
                <c:pt idx="1409">
                  <c:v>3.3474893815883832E-4</c:v>
                </c:pt>
                <c:pt idx="1410">
                  <c:v>3.349501458883069E-4</c:v>
                </c:pt>
                <c:pt idx="1411">
                  <c:v>3.3515135361777553E-4</c:v>
                </c:pt>
                <c:pt idx="1412">
                  <c:v>3.353525613472441E-4</c:v>
                </c:pt>
                <c:pt idx="1413">
                  <c:v>3.3555376907671268E-4</c:v>
                </c:pt>
                <c:pt idx="1414">
                  <c:v>3.3575497680618131E-4</c:v>
                </c:pt>
                <c:pt idx="1415">
                  <c:v>3.3595618453564988E-4</c:v>
                </c:pt>
                <c:pt idx="1416">
                  <c:v>3.3615739226511851E-4</c:v>
                </c:pt>
                <c:pt idx="1417">
                  <c:v>3.3635859999458714E-4</c:v>
                </c:pt>
                <c:pt idx="1418">
                  <c:v>3.3655980772405572E-4</c:v>
                </c:pt>
                <c:pt idx="1419">
                  <c:v>3.3676101545352429E-4</c:v>
                </c:pt>
                <c:pt idx="1420">
                  <c:v>3.3696222318299292E-4</c:v>
                </c:pt>
                <c:pt idx="1421">
                  <c:v>3.371634309124615E-4</c:v>
                </c:pt>
                <c:pt idx="1422">
                  <c:v>3.3736463864193013E-4</c:v>
                </c:pt>
                <c:pt idx="1423">
                  <c:v>3.375658463713987E-4</c:v>
                </c:pt>
                <c:pt idx="1424">
                  <c:v>3.3776705410086733E-4</c:v>
                </c:pt>
                <c:pt idx="1425">
                  <c:v>3.3796826183033596E-4</c:v>
                </c:pt>
                <c:pt idx="1426">
                  <c:v>3.3816946955980454E-4</c:v>
                </c:pt>
                <c:pt idx="1427">
                  <c:v>3.3837067728927311E-4</c:v>
                </c:pt>
                <c:pt idx="1428">
                  <c:v>3.3857188501874174E-4</c:v>
                </c:pt>
                <c:pt idx="1429">
                  <c:v>3.3877309274821032E-4</c:v>
                </c:pt>
                <c:pt idx="1430">
                  <c:v>3.3897430047767895E-4</c:v>
                </c:pt>
                <c:pt idx="1431">
                  <c:v>3.3917550820714753E-4</c:v>
                </c:pt>
                <c:pt idx="1432">
                  <c:v>3.3937671593661616E-4</c:v>
                </c:pt>
                <c:pt idx="1433">
                  <c:v>3.3957792366608478E-4</c:v>
                </c:pt>
                <c:pt idx="1434">
                  <c:v>3.3977913139555336E-4</c:v>
                </c:pt>
                <c:pt idx="1435">
                  <c:v>3.3998033912502194E-4</c:v>
                </c:pt>
                <c:pt idx="1436">
                  <c:v>3.4018154685449057E-4</c:v>
                </c:pt>
                <c:pt idx="1437">
                  <c:v>3.4038275458395914E-4</c:v>
                </c:pt>
                <c:pt idx="1438">
                  <c:v>3.4058396231342772E-4</c:v>
                </c:pt>
                <c:pt idx="1439">
                  <c:v>3.4078517004289635E-4</c:v>
                </c:pt>
                <c:pt idx="1440">
                  <c:v>3.4098637777236492E-4</c:v>
                </c:pt>
                <c:pt idx="1441">
                  <c:v>3.4118758550183355E-4</c:v>
                </c:pt>
                <c:pt idx="1442">
                  <c:v>3.4138879323130218E-4</c:v>
                </c:pt>
                <c:pt idx="1443">
                  <c:v>3.4159000096077076E-4</c:v>
                </c:pt>
                <c:pt idx="1444">
                  <c:v>3.4179120869023933E-4</c:v>
                </c:pt>
                <c:pt idx="1445">
                  <c:v>3.4199241641970796E-4</c:v>
                </c:pt>
                <c:pt idx="1446">
                  <c:v>3.4219362414917654E-4</c:v>
                </c:pt>
                <c:pt idx="1447">
                  <c:v>3.4239483187864517E-4</c:v>
                </c:pt>
                <c:pt idx="1448">
                  <c:v>3.4259603960811374E-4</c:v>
                </c:pt>
                <c:pt idx="1449">
                  <c:v>3.4279724733758237E-4</c:v>
                </c:pt>
                <c:pt idx="1450">
                  <c:v>3.42998455067051E-4</c:v>
                </c:pt>
                <c:pt idx="1451">
                  <c:v>3.4319966279651958E-4</c:v>
                </c:pt>
                <c:pt idx="1452">
                  <c:v>3.4340087052598815E-4</c:v>
                </c:pt>
                <c:pt idx="1453">
                  <c:v>3.4360207825545678E-4</c:v>
                </c:pt>
                <c:pt idx="1454">
                  <c:v>3.4380328598492536E-4</c:v>
                </c:pt>
                <c:pt idx="1455">
                  <c:v>3.4400449371439399E-4</c:v>
                </c:pt>
                <c:pt idx="1456">
                  <c:v>3.4420570144386256E-4</c:v>
                </c:pt>
                <c:pt idx="1457">
                  <c:v>3.4440690917333119E-4</c:v>
                </c:pt>
                <c:pt idx="1458">
                  <c:v>3.4460811690279982E-4</c:v>
                </c:pt>
                <c:pt idx="1459">
                  <c:v>3.448093246322684E-4</c:v>
                </c:pt>
                <c:pt idx="1460">
                  <c:v>3.4501053236173697E-4</c:v>
                </c:pt>
                <c:pt idx="1461">
                  <c:v>3.452117400912056E-4</c:v>
                </c:pt>
                <c:pt idx="1462">
                  <c:v>3.4541294782067418E-4</c:v>
                </c:pt>
                <c:pt idx="1463">
                  <c:v>3.4561415555014275E-4</c:v>
                </c:pt>
                <c:pt idx="1464">
                  <c:v>3.4581536327961138E-4</c:v>
                </c:pt>
                <c:pt idx="1465">
                  <c:v>3.4601657100907996E-4</c:v>
                </c:pt>
                <c:pt idx="1466">
                  <c:v>3.4621777873854859E-4</c:v>
                </c:pt>
                <c:pt idx="1467">
                  <c:v>3.4641898646801722E-4</c:v>
                </c:pt>
                <c:pt idx="1468">
                  <c:v>3.466201941974858E-4</c:v>
                </c:pt>
                <c:pt idx="1469">
                  <c:v>3.4682140192695437E-4</c:v>
                </c:pt>
                <c:pt idx="1470">
                  <c:v>3.47022609656423E-4</c:v>
                </c:pt>
                <c:pt idx="1471">
                  <c:v>3.4722381738589158E-4</c:v>
                </c:pt>
                <c:pt idx="1472">
                  <c:v>3.4742502511536021E-4</c:v>
                </c:pt>
                <c:pt idx="1473">
                  <c:v>3.4762623284482878E-4</c:v>
                </c:pt>
                <c:pt idx="1474">
                  <c:v>3.4782744057429741E-4</c:v>
                </c:pt>
                <c:pt idx="1475">
                  <c:v>3.4802864830376604E-4</c:v>
                </c:pt>
                <c:pt idx="1476">
                  <c:v>3.4822985603323462E-4</c:v>
                </c:pt>
                <c:pt idx="1477">
                  <c:v>3.4843106376270319E-4</c:v>
                </c:pt>
                <c:pt idx="1478">
                  <c:v>3.4863227149217182E-4</c:v>
                </c:pt>
                <c:pt idx="1479">
                  <c:v>3.488334792216404E-4</c:v>
                </c:pt>
                <c:pt idx="1480">
                  <c:v>3.4903468695110903E-4</c:v>
                </c:pt>
                <c:pt idx="1481">
                  <c:v>3.492358946805776E-4</c:v>
                </c:pt>
                <c:pt idx="1482">
                  <c:v>3.4943710241004623E-4</c:v>
                </c:pt>
                <c:pt idx="1483">
                  <c:v>3.4963831013951486E-4</c:v>
                </c:pt>
                <c:pt idx="1484">
                  <c:v>3.4983951786898344E-4</c:v>
                </c:pt>
                <c:pt idx="1485">
                  <c:v>3.5004072559845201E-4</c:v>
                </c:pt>
                <c:pt idx="1486">
                  <c:v>3.5024193332792064E-4</c:v>
                </c:pt>
                <c:pt idx="1487">
                  <c:v>3.5044314105738922E-4</c:v>
                </c:pt>
                <c:pt idx="1488">
                  <c:v>3.5064434878685779E-4</c:v>
                </c:pt>
                <c:pt idx="1489">
                  <c:v>3.5084555651632642E-4</c:v>
                </c:pt>
                <c:pt idx="1490">
                  <c:v>3.51046764245795E-4</c:v>
                </c:pt>
                <c:pt idx="1491">
                  <c:v>3.5124797197526363E-4</c:v>
                </c:pt>
                <c:pt idx="1492">
                  <c:v>3.5144917970473226E-4</c:v>
                </c:pt>
                <c:pt idx="1493">
                  <c:v>3.5165038743420083E-4</c:v>
                </c:pt>
                <c:pt idx="1494">
                  <c:v>3.5185159516366941E-4</c:v>
                </c:pt>
                <c:pt idx="1495">
                  <c:v>3.5205280289313804E-4</c:v>
                </c:pt>
                <c:pt idx="1496">
                  <c:v>3.5225401062260661E-4</c:v>
                </c:pt>
                <c:pt idx="1497">
                  <c:v>3.5245521835207524E-4</c:v>
                </c:pt>
                <c:pt idx="1498">
                  <c:v>3.5265642608154382E-4</c:v>
                </c:pt>
                <c:pt idx="1499">
                  <c:v>3.5285763381101245E-4</c:v>
                </c:pt>
                <c:pt idx="1500">
                  <c:v>3.5305884154048065E-4</c:v>
                </c:pt>
                <c:pt idx="1501">
                  <c:v>3.5326004926994927E-4</c:v>
                </c:pt>
                <c:pt idx="1502">
                  <c:v>3.534612569994179E-4</c:v>
                </c:pt>
                <c:pt idx="1503">
                  <c:v>3.5366246472888648E-4</c:v>
                </c:pt>
                <c:pt idx="1504">
                  <c:v>3.5386367245835511E-4</c:v>
                </c:pt>
                <c:pt idx="1505">
                  <c:v>3.5406488018782369E-4</c:v>
                </c:pt>
                <c:pt idx="1506">
                  <c:v>3.5426608791729226E-4</c:v>
                </c:pt>
                <c:pt idx="1507">
                  <c:v>3.5446729564676089E-4</c:v>
                </c:pt>
                <c:pt idx="1508">
                  <c:v>3.5466850337622947E-4</c:v>
                </c:pt>
                <c:pt idx="1509">
                  <c:v>3.5486971110569804E-4</c:v>
                </c:pt>
                <c:pt idx="1510">
                  <c:v>3.5507091883516673E-4</c:v>
                </c:pt>
                <c:pt idx="1511">
                  <c:v>3.552721265646353E-4</c:v>
                </c:pt>
                <c:pt idx="1512">
                  <c:v>3.5547333429410388E-4</c:v>
                </c:pt>
                <c:pt idx="1513">
                  <c:v>3.5567454202357251E-4</c:v>
                </c:pt>
                <c:pt idx="1514">
                  <c:v>3.5587574975304108E-4</c:v>
                </c:pt>
                <c:pt idx="1515">
                  <c:v>3.5607695748250966E-4</c:v>
                </c:pt>
                <c:pt idx="1516">
                  <c:v>3.5627816521197829E-4</c:v>
                </c:pt>
                <c:pt idx="1517">
                  <c:v>3.5647937294144686E-4</c:v>
                </c:pt>
                <c:pt idx="1518">
                  <c:v>3.5668058067091549E-4</c:v>
                </c:pt>
                <c:pt idx="1519">
                  <c:v>3.5688178840038412E-4</c:v>
                </c:pt>
                <c:pt idx="1520">
                  <c:v>3.570829961298527E-4</c:v>
                </c:pt>
                <c:pt idx="1521">
                  <c:v>3.5728420385932133E-4</c:v>
                </c:pt>
                <c:pt idx="1522">
                  <c:v>3.574854115887899E-4</c:v>
                </c:pt>
                <c:pt idx="1523">
                  <c:v>3.5768661931825848E-4</c:v>
                </c:pt>
                <c:pt idx="1524">
                  <c:v>3.5788782704772711E-4</c:v>
                </c:pt>
                <c:pt idx="1525">
                  <c:v>3.5808903477719568E-4</c:v>
                </c:pt>
                <c:pt idx="1526">
                  <c:v>3.5829024250666431E-4</c:v>
                </c:pt>
                <c:pt idx="1527">
                  <c:v>3.5849145023613294E-4</c:v>
                </c:pt>
                <c:pt idx="1528">
                  <c:v>3.5869265796560152E-4</c:v>
                </c:pt>
                <c:pt idx="1529">
                  <c:v>3.5889386569507015E-4</c:v>
                </c:pt>
                <c:pt idx="1530">
                  <c:v>3.5909507342453872E-4</c:v>
                </c:pt>
                <c:pt idx="1531">
                  <c:v>3.592962811540073E-4</c:v>
                </c:pt>
                <c:pt idx="1532">
                  <c:v>3.5949748888347593E-4</c:v>
                </c:pt>
                <c:pt idx="1533">
                  <c:v>3.596986966129445E-4</c:v>
                </c:pt>
                <c:pt idx="1534">
                  <c:v>3.5989990434241308E-4</c:v>
                </c:pt>
                <c:pt idx="1535">
                  <c:v>3.6010111207188176E-4</c:v>
                </c:pt>
                <c:pt idx="1536">
                  <c:v>3.6030231980135034E-4</c:v>
                </c:pt>
                <c:pt idx="1537">
                  <c:v>3.6050352753081891E-4</c:v>
                </c:pt>
                <c:pt idx="1538">
                  <c:v>3.6070473526028754E-4</c:v>
                </c:pt>
                <c:pt idx="1539">
                  <c:v>3.6090594298975612E-4</c:v>
                </c:pt>
                <c:pt idx="1540">
                  <c:v>3.611071507192247E-4</c:v>
                </c:pt>
                <c:pt idx="1541">
                  <c:v>3.6130835844869333E-4</c:v>
                </c:pt>
                <c:pt idx="1542">
                  <c:v>3.615095661781619E-4</c:v>
                </c:pt>
                <c:pt idx="1543">
                  <c:v>3.6171077390763053E-4</c:v>
                </c:pt>
                <c:pt idx="1544">
                  <c:v>3.6191198163709916E-4</c:v>
                </c:pt>
                <c:pt idx="1545">
                  <c:v>3.6211318936656774E-4</c:v>
                </c:pt>
                <c:pt idx="1546">
                  <c:v>3.6231439709603637E-4</c:v>
                </c:pt>
                <c:pt idx="1547">
                  <c:v>3.6251560482550494E-4</c:v>
                </c:pt>
                <c:pt idx="1548">
                  <c:v>3.6271681255497352E-4</c:v>
                </c:pt>
                <c:pt idx="1549">
                  <c:v>3.6291802028444215E-4</c:v>
                </c:pt>
                <c:pt idx="1550">
                  <c:v>3.6311922801391072E-4</c:v>
                </c:pt>
                <c:pt idx="1551">
                  <c:v>3.6332043574337935E-4</c:v>
                </c:pt>
                <c:pt idx="1552">
                  <c:v>3.6352164347284798E-4</c:v>
                </c:pt>
                <c:pt idx="1553">
                  <c:v>3.6372285120231656E-4</c:v>
                </c:pt>
                <c:pt idx="1554">
                  <c:v>3.6392405893178519E-4</c:v>
                </c:pt>
                <c:pt idx="1555">
                  <c:v>3.6412526666125376E-4</c:v>
                </c:pt>
                <c:pt idx="1556">
                  <c:v>3.6432647439072234E-4</c:v>
                </c:pt>
                <c:pt idx="1557">
                  <c:v>3.6452768212019097E-4</c:v>
                </c:pt>
                <c:pt idx="1558">
                  <c:v>3.6472888984965954E-4</c:v>
                </c:pt>
                <c:pt idx="1559">
                  <c:v>3.6493009757912812E-4</c:v>
                </c:pt>
                <c:pt idx="1560">
                  <c:v>3.651313053085968E-4</c:v>
                </c:pt>
                <c:pt idx="1561">
                  <c:v>3.6533251303806538E-4</c:v>
                </c:pt>
                <c:pt idx="1562">
                  <c:v>3.6553372076753395E-4</c:v>
                </c:pt>
                <c:pt idx="1563">
                  <c:v>3.6573492849700258E-4</c:v>
                </c:pt>
                <c:pt idx="1564">
                  <c:v>3.6593613622647116E-4</c:v>
                </c:pt>
                <c:pt idx="1565">
                  <c:v>3.6613734395593973E-4</c:v>
                </c:pt>
                <c:pt idx="1566">
                  <c:v>3.6633855168540836E-4</c:v>
                </c:pt>
                <c:pt idx="1567">
                  <c:v>3.6653975941487694E-4</c:v>
                </c:pt>
                <c:pt idx="1568">
                  <c:v>3.6674096714434557E-4</c:v>
                </c:pt>
                <c:pt idx="1569">
                  <c:v>3.669421748738142E-4</c:v>
                </c:pt>
                <c:pt idx="1570">
                  <c:v>3.6714338260328277E-4</c:v>
                </c:pt>
                <c:pt idx="1571">
                  <c:v>3.673445903327514E-4</c:v>
                </c:pt>
                <c:pt idx="1572">
                  <c:v>3.6754579806221998E-4</c:v>
                </c:pt>
                <c:pt idx="1573">
                  <c:v>3.6774700579168855E-4</c:v>
                </c:pt>
                <c:pt idx="1574">
                  <c:v>3.6794821352115718E-4</c:v>
                </c:pt>
                <c:pt idx="1575">
                  <c:v>3.6814942125062576E-4</c:v>
                </c:pt>
                <c:pt idx="1576">
                  <c:v>3.6835062898009439E-4</c:v>
                </c:pt>
                <c:pt idx="1577">
                  <c:v>3.6855183670956302E-4</c:v>
                </c:pt>
                <c:pt idx="1578">
                  <c:v>3.6875304443903159E-4</c:v>
                </c:pt>
                <c:pt idx="1579">
                  <c:v>3.6895425216850022E-4</c:v>
                </c:pt>
                <c:pt idx="1580">
                  <c:v>3.691554598979688E-4</c:v>
                </c:pt>
                <c:pt idx="1581">
                  <c:v>3.6935666762743738E-4</c:v>
                </c:pt>
                <c:pt idx="1582">
                  <c:v>3.6955787535690601E-4</c:v>
                </c:pt>
                <c:pt idx="1583">
                  <c:v>3.6975908308637458E-4</c:v>
                </c:pt>
                <c:pt idx="1584">
                  <c:v>3.6996029081584316E-4</c:v>
                </c:pt>
                <c:pt idx="1585">
                  <c:v>3.7016149854531184E-4</c:v>
                </c:pt>
                <c:pt idx="1586">
                  <c:v>3.7036270627478042E-4</c:v>
                </c:pt>
                <c:pt idx="1587">
                  <c:v>3.7056391400424899E-4</c:v>
                </c:pt>
                <c:pt idx="1588">
                  <c:v>3.7076512173371762E-4</c:v>
                </c:pt>
                <c:pt idx="1589">
                  <c:v>3.709663294631862E-4</c:v>
                </c:pt>
                <c:pt idx="1590">
                  <c:v>3.7116753719265477E-4</c:v>
                </c:pt>
                <c:pt idx="1591">
                  <c:v>3.713687449221234E-4</c:v>
                </c:pt>
                <c:pt idx="1592">
                  <c:v>3.7156995265159198E-4</c:v>
                </c:pt>
                <c:pt idx="1593">
                  <c:v>3.7177116038106017E-4</c:v>
                </c:pt>
                <c:pt idx="1594">
                  <c:v>3.7197236811052875E-4</c:v>
                </c:pt>
                <c:pt idx="1595">
                  <c:v>3.7217357583999743E-4</c:v>
                </c:pt>
                <c:pt idx="1596">
                  <c:v>3.7237478356946601E-4</c:v>
                </c:pt>
                <c:pt idx="1597">
                  <c:v>3.7257599129893458E-4</c:v>
                </c:pt>
                <c:pt idx="1598">
                  <c:v>3.7277719902840321E-4</c:v>
                </c:pt>
                <c:pt idx="1599">
                  <c:v>3.7297840675787179E-4</c:v>
                </c:pt>
                <c:pt idx="1600">
                  <c:v>3.7317961448734042E-4</c:v>
                </c:pt>
                <c:pt idx="1601">
                  <c:v>3.7338082221680905E-4</c:v>
                </c:pt>
                <c:pt idx="1602">
                  <c:v>3.7358202994627757E-4</c:v>
                </c:pt>
                <c:pt idx="1603">
                  <c:v>3.7378323767574625E-4</c:v>
                </c:pt>
                <c:pt idx="1604">
                  <c:v>3.7398444540521477E-4</c:v>
                </c:pt>
                <c:pt idx="1605">
                  <c:v>3.741856531346834E-4</c:v>
                </c:pt>
                <c:pt idx="1606">
                  <c:v>3.7438686086415198E-4</c:v>
                </c:pt>
                <c:pt idx="1607">
                  <c:v>3.7458806859362061E-4</c:v>
                </c:pt>
                <c:pt idx="1608">
                  <c:v>3.7478927632308924E-4</c:v>
                </c:pt>
                <c:pt idx="1609">
                  <c:v>3.7499048405255782E-4</c:v>
                </c:pt>
                <c:pt idx="1610">
                  <c:v>3.7519169178202644E-4</c:v>
                </c:pt>
                <c:pt idx="1611">
                  <c:v>3.7539289951149497E-4</c:v>
                </c:pt>
                <c:pt idx="1612">
                  <c:v>3.7559410724096365E-4</c:v>
                </c:pt>
                <c:pt idx="1613">
                  <c:v>3.7579531497043217E-4</c:v>
                </c:pt>
                <c:pt idx="1614">
                  <c:v>3.759965226999008E-4</c:v>
                </c:pt>
                <c:pt idx="1615">
                  <c:v>3.7619773042936938E-4</c:v>
                </c:pt>
                <c:pt idx="1616">
                  <c:v>3.7639893815883801E-4</c:v>
                </c:pt>
                <c:pt idx="1617">
                  <c:v>3.7660014588830664E-4</c:v>
                </c:pt>
                <c:pt idx="1618">
                  <c:v>3.7680135361777521E-4</c:v>
                </c:pt>
                <c:pt idx="1619">
                  <c:v>3.7700256134724384E-4</c:v>
                </c:pt>
                <c:pt idx="1620">
                  <c:v>3.7720376907671242E-4</c:v>
                </c:pt>
                <c:pt idx="1621">
                  <c:v>3.7740497680618105E-4</c:v>
                </c:pt>
                <c:pt idx="1622">
                  <c:v>3.7760618453564962E-4</c:v>
                </c:pt>
                <c:pt idx="1623">
                  <c:v>3.7780739226511825E-4</c:v>
                </c:pt>
                <c:pt idx="1624">
                  <c:v>3.7800859999458688E-4</c:v>
                </c:pt>
                <c:pt idx="1625">
                  <c:v>3.7820980772405546E-4</c:v>
                </c:pt>
                <c:pt idx="1626">
                  <c:v>3.7841101545352409E-4</c:v>
                </c:pt>
                <c:pt idx="1627">
                  <c:v>3.7861222318299261E-4</c:v>
                </c:pt>
                <c:pt idx="1628">
                  <c:v>3.7881343091246129E-4</c:v>
                </c:pt>
                <c:pt idx="1629">
                  <c:v>3.7901463864192981E-4</c:v>
                </c:pt>
                <c:pt idx="1630">
                  <c:v>3.7921584637139844E-4</c:v>
                </c:pt>
              </c:numCache>
            </c:numRef>
          </c:xVal>
          <c:yVal>
            <c:numRef>
              <c:f>Sheet1!$N$12:$N$2000</c:f>
              <c:numCache>
                <c:formatCode>General</c:formatCode>
                <c:ptCount val="1989"/>
                <c:pt idx="0">
                  <c:v>0</c:v>
                </c:pt>
                <c:pt idx="1">
                  <c:v>6.9999999999986129E-2</c:v>
                </c:pt>
                <c:pt idx="2">
                  <c:v>0.13999999999998614</c:v>
                </c:pt>
                <c:pt idx="3">
                  <c:v>0.209999999999986</c:v>
                </c:pt>
                <c:pt idx="4">
                  <c:v>0.27999999999998604</c:v>
                </c:pt>
                <c:pt idx="5">
                  <c:v>0.34999999999998599</c:v>
                </c:pt>
                <c:pt idx="6">
                  <c:v>0.419999999999986</c:v>
                </c:pt>
                <c:pt idx="7">
                  <c:v>0.48999999999998595</c:v>
                </c:pt>
                <c:pt idx="8">
                  <c:v>0.55999999999998606</c:v>
                </c:pt>
                <c:pt idx="9">
                  <c:v>0.62999999999998602</c:v>
                </c:pt>
                <c:pt idx="10">
                  <c:v>0.69999999999998597</c:v>
                </c:pt>
                <c:pt idx="11">
                  <c:v>0.76999999999998603</c:v>
                </c:pt>
                <c:pt idx="12">
                  <c:v>0.83999999999998742</c:v>
                </c:pt>
                <c:pt idx="13">
                  <c:v>0.90999999999998471</c:v>
                </c:pt>
                <c:pt idx="14">
                  <c:v>0.97999999999998588</c:v>
                </c:pt>
                <c:pt idx="15">
                  <c:v>1.0499999999999861</c:v>
                </c:pt>
                <c:pt idx="16">
                  <c:v>1.1199999999999861</c:v>
                </c:pt>
                <c:pt idx="17">
                  <c:v>1.1899999999999862</c:v>
                </c:pt>
                <c:pt idx="18">
                  <c:v>1.259999999999986</c:v>
                </c:pt>
                <c:pt idx="19">
                  <c:v>1.3299999999999861</c:v>
                </c:pt>
                <c:pt idx="20">
                  <c:v>1.3999999999999861</c:v>
                </c:pt>
                <c:pt idx="21">
                  <c:v>1.469999999999986</c:v>
                </c:pt>
                <c:pt idx="22">
                  <c:v>1.539999999999986</c:v>
                </c:pt>
                <c:pt idx="23">
                  <c:v>1.6099999999999861</c:v>
                </c:pt>
                <c:pt idx="24">
                  <c:v>1.6799999999999859</c:v>
                </c:pt>
                <c:pt idx="25">
                  <c:v>1.749999999999986</c:v>
                </c:pt>
                <c:pt idx="26">
                  <c:v>1.8199999999999861</c:v>
                </c:pt>
                <c:pt idx="27">
                  <c:v>1.8899999999999861</c:v>
                </c:pt>
                <c:pt idx="28">
                  <c:v>1.9599999999999858</c:v>
                </c:pt>
                <c:pt idx="29">
                  <c:v>2.029999999999986</c:v>
                </c:pt>
                <c:pt idx="30">
                  <c:v>2.0999999999999859</c:v>
                </c:pt>
                <c:pt idx="31">
                  <c:v>2.1699999999999862</c:v>
                </c:pt>
                <c:pt idx="32">
                  <c:v>2.239999999999986</c:v>
                </c:pt>
                <c:pt idx="33">
                  <c:v>2.3099999999999863</c:v>
                </c:pt>
                <c:pt idx="34">
                  <c:v>2.3799999999999861</c:v>
                </c:pt>
                <c:pt idx="35">
                  <c:v>2.449999999999986</c:v>
                </c:pt>
                <c:pt idx="36">
                  <c:v>2.5199999999999858</c:v>
                </c:pt>
                <c:pt idx="37">
                  <c:v>2.5899999999999861</c:v>
                </c:pt>
                <c:pt idx="38">
                  <c:v>2.6599999999999859</c:v>
                </c:pt>
                <c:pt idx="39">
                  <c:v>2.7299999999999862</c:v>
                </c:pt>
                <c:pt idx="40">
                  <c:v>2.7999999999999861</c:v>
                </c:pt>
                <c:pt idx="41">
                  <c:v>2.8699999999999859</c:v>
                </c:pt>
                <c:pt idx="42">
                  <c:v>2.9399999999999857</c:v>
                </c:pt>
                <c:pt idx="43">
                  <c:v>3.009999999999986</c:v>
                </c:pt>
                <c:pt idx="44">
                  <c:v>3.0799999999999859</c:v>
                </c:pt>
                <c:pt idx="45">
                  <c:v>3.1499999999999861</c:v>
                </c:pt>
                <c:pt idx="46">
                  <c:v>3.219999999999986</c:v>
                </c:pt>
                <c:pt idx="47">
                  <c:v>3.2899999999999858</c:v>
                </c:pt>
                <c:pt idx="48">
                  <c:v>3.3599999999999861</c:v>
                </c:pt>
                <c:pt idx="49">
                  <c:v>3.4299999999999859</c:v>
                </c:pt>
                <c:pt idx="50">
                  <c:v>3.4999999999999858</c:v>
                </c:pt>
                <c:pt idx="51">
                  <c:v>3.5699999999999861</c:v>
                </c:pt>
                <c:pt idx="52">
                  <c:v>3.6399999999999864</c:v>
                </c:pt>
                <c:pt idx="53">
                  <c:v>3.7099999999999862</c:v>
                </c:pt>
                <c:pt idx="54">
                  <c:v>3.779999999999986</c:v>
                </c:pt>
                <c:pt idx="55">
                  <c:v>3.8499999999999863</c:v>
                </c:pt>
                <c:pt idx="56">
                  <c:v>3.9199999999999866</c:v>
                </c:pt>
                <c:pt idx="57">
                  <c:v>3.9899999999999856</c:v>
                </c:pt>
                <c:pt idx="58">
                  <c:v>4.0599999999999854</c:v>
                </c:pt>
                <c:pt idx="59">
                  <c:v>4.1299999999999857</c:v>
                </c:pt>
                <c:pt idx="60">
                  <c:v>4.199999999999986</c:v>
                </c:pt>
                <c:pt idx="61">
                  <c:v>4.2699999999999863</c:v>
                </c:pt>
                <c:pt idx="62">
                  <c:v>4.3399999999999856</c:v>
                </c:pt>
                <c:pt idx="63">
                  <c:v>4.4099999999999859</c:v>
                </c:pt>
                <c:pt idx="64">
                  <c:v>4.4799999999999862</c:v>
                </c:pt>
                <c:pt idx="65">
                  <c:v>4.5499999999999865</c:v>
                </c:pt>
                <c:pt idx="66">
                  <c:v>4.6199999999999859</c:v>
                </c:pt>
                <c:pt idx="67">
                  <c:v>4.6899999999999862</c:v>
                </c:pt>
                <c:pt idx="68">
                  <c:v>4.7599999999999865</c:v>
                </c:pt>
                <c:pt idx="69">
                  <c:v>4.8299999999999859</c:v>
                </c:pt>
                <c:pt idx="70">
                  <c:v>4.8999999999999861</c:v>
                </c:pt>
                <c:pt idx="71">
                  <c:v>4.9699999999999855</c:v>
                </c:pt>
                <c:pt idx="72">
                  <c:v>5.0399999999999858</c:v>
                </c:pt>
                <c:pt idx="73">
                  <c:v>5.1099999999999861</c:v>
                </c:pt>
                <c:pt idx="74">
                  <c:v>5.1799999999999855</c:v>
                </c:pt>
                <c:pt idx="75">
                  <c:v>5.2499999999999858</c:v>
                </c:pt>
                <c:pt idx="76">
                  <c:v>5.3199999999999861</c:v>
                </c:pt>
                <c:pt idx="77">
                  <c:v>5.3899999999999864</c:v>
                </c:pt>
                <c:pt idx="78">
                  <c:v>5.4599999999999866</c:v>
                </c:pt>
                <c:pt idx="79">
                  <c:v>5.529999999999986</c:v>
                </c:pt>
                <c:pt idx="80">
                  <c:v>5.5999999999999863</c:v>
                </c:pt>
                <c:pt idx="81">
                  <c:v>5.6699999999999866</c:v>
                </c:pt>
                <c:pt idx="82">
                  <c:v>5.739999999999986</c:v>
                </c:pt>
                <c:pt idx="83">
                  <c:v>5.8099999999999854</c:v>
                </c:pt>
                <c:pt idx="84">
                  <c:v>5.8799999999999857</c:v>
                </c:pt>
                <c:pt idx="85">
                  <c:v>5.949999999999986</c:v>
                </c:pt>
                <c:pt idx="86">
                  <c:v>6.0199999999999863</c:v>
                </c:pt>
                <c:pt idx="87">
                  <c:v>6.0899999999999856</c:v>
                </c:pt>
                <c:pt idx="88">
                  <c:v>6.16</c:v>
                </c:pt>
                <c:pt idx="89">
                  <c:v>6.23</c:v>
                </c:pt>
                <c:pt idx="90">
                  <c:v>6.3</c:v>
                </c:pt>
                <c:pt idx="91">
                  <c:v>6.37</c:v>
                </c:pt>
                <c:pt idx="92">
                  <c:v>6.44</c:v>
                </c:pt>
                <c:pt idx="93">
                  <c:v>6.5100000000000007</c:v>
                </c:pt>
                <c:pt idx="94">
                  <c:v>6.58</c:v>
                </c:pt>
                <c:pt idx="95">
                  <c:v>6.6499999999999995</c:v>
                </c:pt>
                <c:pt idx="96">
                  <c:v>6.72</c:v>
                </c:pt>
                <c:pt idx="97">
                  <c:v>6.79</c:v>
                </c:pt>
                <c:pt idx="98">
                  <c:v>6.8599999999999994</c:v>
                </c:pt>
                <c:pt idx="99">
                  <c:v>6.93</c:v>
                </c:pt>
                <c:pt idx="100">
                  <c:v>7</c:v>
                </c:pt>
                <c:pt idx="101">
                  <c:v>7.07</c:v>
                </c:pt>
                <c:pt idx="102">
                  <c:v>7.1400000000000006</c:v>
                </c:pt>
                <c:pt idx="103">
                  <c:v>7.21</c:v>
                </c:pt>
                <c:pt idx="104">
                  <c:v>7.28</c:v>
                </c:pt>
                <c:pt idx="105">
                  <c:v>7.3500000000000005</c:v>
                </c:pt>
                <c:pt idx="106">
                  <c:v>7.42</c:v>
                </c:pt>
                <c:pt idx="107">
                  <c:v>7.49</c:v>
                </c:pt>
                <c:pt idx="108">
                  <c:v>7.5600000000000005</c:v>
                </c:pt>
                <c:pt idx="109">
                  <c:v>7.6300000000000008</c:v>
                </c:pt>
                <c:pt idx="110">
                  <c:v>7.7000000000000011</c:v>
                </c:pt>
                <c:pt idx="111">
                  <c:v>7.7700000000000005</c:v>
                </c:pt>
                <c:pt idx="112">
                  <c:v>7.8400000000000007</c:v>
                </c:pt>
                <c:pt idx="113">
                  <c:v>7.9099999999999993</c:v>
                </c:pt>
                <c:pt idx="114">
                  <c:v>7.9799999999999995</c:v>
                </c:pt>
                <c:pt idx="115">
                  <c:v>8.0499999999999989</c:v>
                </c:pt>
                <c:pt idx="116">
                  <c:v>8.1199999999999992</c:v>
                </c:pt>
                <c:pt idx="117">
                  <c:v>8.19</c:v>
                </c:pt>
                <c:pt idx="118">
                  <c:v>8.26</c:v>
                </c:pt>
                <c:pt idx="119">
                  <c:v>8.33</c:v>
                </c:pt>
                <c:pt idx="120">
                  <c:v>8.4</c:v>
                </c:pt>
                <c:pt idx="121">
                  <c:v>8.4699999999999989</c:v>
                </c:pt>
                <c:pt idx="122">
                  <c:v>8.5399999999999991</c:v>
                </c:pt>
                <c:pt idx="123">
                  <c:v>8.61</c:v>
                </c:pt>
                <c:pt idx="124">
                  <c:v>8.68</c:v>
                </c:pt>
                <c:pt idx="125">
                  <c:v>8.75</c:v>
                </c:pt>
                <c:pt idx="126">
                  <c:v>8.82</c:v>
                </c:pt>
                <c:pt idx="127">
                  <c:v>8.89</c:v>
                </c:pt>
                <c:pt idx="128">
                  <c:v>8.9600000000000009</c:v>
                </c:pt>
                <c:pt idx="129">
                  <c:v>9.0300000000000011</c:v>
                </c:pt>
                <c:pt idx="130">
                  <c:v>9.1</c:v>
                </c:pt>
                <c:pt idx="131">
                  <c:v>9.17</c:v>
                </c:pt>
                <c:pt idx="132">
                  <c:v>9.24</c:v>
                </c:pt>
                <c:pt idx="133">
                  <c:v>9.31</c:v>
                </c:pt>
                <c:pt idx="134">
                  <c:v>9.3800000000000008</c:v>
                </c:pt>
                <c:pt idx="135">
                  <c:v>9.4500000000000011</c:v>
                </c:pt>
                <c:pt idx="136">
                  <c:v>9.5200000000000014</c:v>
                </c:pt>
                <c:pt idx="137">
                  <c:v>9.59</c:v>
                </c:pt>
                <c:pt idx="138">
                  <c:v>9.66</c:v>
                </c:pt>
                <c:pt idx="139">
                  <c:v>9.7299999999999986</c:v>
                </c:pt>
                <c:pt idx="140">
                  <c:v>9.7999999999999989</c:v>
                </c:pt>
                <c:pt idx="141">
                  <c:v>9.8699999999999992</c:v>
                </c:pt>
                <c:pt idx="142">
                  <c:v>9.94</c:v>
                </c:pt>
                <c:pt idx="143">
                  <c:v>10.01</c:v>
                </c:pt>
                <c:pt idx="144">
                  <c:v>10.08</c:v>
                </c:pt>
                <c:pt idx="145">
                  <c:v>10.15</c:v>
                </c:pt>
                <c:pt idx="146">
                  <c:v>10.219999999999999</c:v>
                </c:pt>
                <c:pt idx="147">
                  <c:v>10.29</c:v>
                </c:pt>
                <c:pt idx="148">
                  <c:v>10.36</c:v>
                </c:pt>
                <c:pt idx="149">
                  <c:v>10.43</c:v>
                </c:pt>
                <c:pt idx="150">
                  <c:v>10.5</c:v>
                </c:pt>
                <c:pt idx="151">
                  <c:v>10.57</c:v>
                </c:pt>
                <c:pt idx="152">
                  <c:v>10.64</c:v>
                </c:pt>
                <c:pt idx="153">
                  <c:v>10.71</c:v>
                </c:pt>
                <c:pt idx="154">
                  <c:v>10.780000000000001</c:v>
                </c:pt>
                <c:pt idx="155">
                  <c:v>10.85</c:v>
                </c:pt>
                <c:pt idx="156">
                  <c:v>10.92</c:v>
                </c:pt>
                <c:pt idx="157">
                  <c:v>10.99</c:v>
                </c:pt>
                <c:pt idx="158">
                  <c:v>11.06</c:v>
                </c:pt>
                <c:pt idx="159">
                  <c:v>11.13</c:v>
                </c:pt>
                <c:pt idx="160">
                  <c:v>11.200000000000001</c:v>
                </c:pt>
                <c:pt idx="161">
                  <c:v>11.270000000000001</c:v>
                </c:pt>
                <c:pt idx="162">
                  <c:v>11.34</c:v>
                </c:pt>
                <c:pt idx="163">
                  <c:v>11.41</c:v>
                </c:pt>
                <c:pt idx="164">
                  <c:v>11.479999999999999</c:v>
                </c:pt>
                <c:pt idx="165">
                  <c:v>11.549999999999999</c:v>
                </c:pt>
                <c:pt idx="166">
                  <c:v>11.62</c:v>
                </c:pt>
                <c:pt idx="167">
                  <c:v>11.69</c:v>
                </c:pt>
                <c:pt idx="168">
                  <c:v>11.76</c:v>
                </c:pt>
                <c:pt idx="169">
                  <c:v>11.83</c:v>
                </c:pt>
                <c:pt idx="170">
                  <c:v>11.9</c:v>
                </c:pt>
                <c:pt idx="171">
                  <c:v>11.969999999999999</c:v>
                </c:pt>
                <c:pt idx="172">
                  <c:v>12.04</c:v>
                </c:pt>
                <c:pt idx="173">
                  <c:v>12.11</c:v>
                </c:pt>
                <c:pt idx="174">
                  <c:v>12.18</c:v>
                </c:pt>
                <c:pt idx="175">
                  <c:v>12.25</c:v>
                </c:pt>
                <c:pt idx="176">
                  <c:v>12.32</c:v>
                </c:pt>
                <c:pt idx="177">
                  <c:v>12.39</c:v>
                </c:pt>
                <c:pt idx="178">
                  <c:v>12.46</c:v>
                </c:pt>
                <c:pt idx="179">
                  <c:v>12.530000000000001</c:v>
                </c:pt>
                <c:pt idx="180">
                  <c:v>12.6</c:v>
                </c:pt>
                <c:pt idx="181">
                  <c:v>12.67</c:v>
                </c:pt>
                <c:pt idx="182">
                  <c:v>12.74</c:v>
                </c:pt>
                <c:pt idx="183">
                  <c:v>12.81</c:v>
                </c:pt>
                <c:pt idx="184">
                  <c:v>12.88</c:v>
                </c:pt>
                <c:pt idx="185">
                  <c:v>12.950000000000001</c:v>
                </c:pt>
                <c:pt idx="186">
                  <c:v>13.020000000000001</c:v>
                </c:pt>
                <c:pt idx="187">
                  <c:v>13.09</c:v>
                </c:pt>
                <c:pt idx="188">
                  <c:v>13.16</c:v>
                </c:pt>
                <c:pt idx="189">
                  <c:v>13.229999999999999</c:v>
                </c:pt>
                <c:pt idx="190">
                  <c:v>13.299999999999999</c:v>
                </c:pt>
                <c:pt idx="191">
                  <c:v>13.37</c:v>
                </c:pt>
                <c:pt idx="192">
                  <c:v>13.44</c:v>
                </c:pt>
                <c:pt idx="193">
                  <c:v>13.51</c:v>
                </c:pt>
                <c:pt idx="194">
                  <c:v>13.58</c:v>
                </c:pt>
                <c:pt idx="195">
                  <c:v>13.65</c:v>
                </c:pt>
                <c:pt idx="196">
                  <c:v>13.719999999999999</c:v>
                </c:pt>
                <c:pt idx="197">
                  <c:v>13.79</c:v>
                </c:pt>
                <c:pt idx="198">
                  <c:v>13.86</c:v>
                </c:pt>
                <c:pt idx="199">
                  <c:v>13.93</c:v>
                </c:pt>
                <c:pt idx="200">
                  <c:v>14</c:v>
                </c:pt>
                <c:pt idx="201">
                  <c:v>14.069999999999999</c:v>
                </c:pt>
                <c:pt idx="202">
                  <c:v>14.14</c:v>
                </c:pt>
                <c:pt idx="203">
                  <c:v>14.209999999999999</c:v>
                </c:pt>
                <c:pt idx="204">
                  <c:v>14.280000000000001</c:v>
                </c:pt>
                <c:pt idx="205">
                  <c:v>14.349999999999998</c:v>
                </c:pt>
                <c:pt idx="206">
                  <c:v>14.42</c:v>
                </c:pt>
                <c:pt idx="207">
                  <c:v>14.489999999999998</c:v>
                </c:pt>
                <c:pt idx="208">
                  <c:v>14.56</c:v>
                </c:pt>
                <c:pt idx="209">
                  <c:v>14.629999999999999</c:v>
                </c:pt>
                <c:pt idx="210">
                  <c:v>14.700000000000001</c:v>
                </c:pt>
                <c:pt idx="211">
                  <c:v>14.77</c:v>
                </c:pt>
                <c:pt idx="212">
                  <c:v>14.84</c:v>
                </c:pt>
                <c:pt idx="213">
                  <c:v>14.91</c:v>
                </c:pt>
                <c:pt idx="214">
                  <c:v>14.98</c:v>
                </c:pt>
                <c:pt idx="215">
                  <c:v>15.049999999999999</c:v>
                </c:pt>
                <c:pt idx="216">
                  <c:v>15.120000000000001</c:v>
                </c:pt>
                <c:pt idx="217">
                  <c:v>15.19</c:v>
                </c:pt>
                <c:pt idx="218">
                  <c:v>15.260000000000002</c:v>
                </c:pt>
                <c:pt idx="219">
                  <c:v>15.33</c:v>
                </c:pt>
                <c:pt idx="220">
                  <c:v>15.400000000000002</c:v>
                </c:pt>
                <c:pt idx="221">
                  <c:v>15.469999999999999</c:v>
                </c:pt>
                <c:pt idx="222">
                  <c:v>15.540000000000001</c:v>
                </c:pt>
                <c:pt idx="223">
                  <c:v>15.61</c:v>
                </c:pt>
                <c:pt idx="224">
                  <c:v>15.680000000000001</c:v>
                </c:pt>
                <c:pt idx="225">
                  <c:v>15.75</c:v>
                </c:pt>
                <c:pt idx="226">
                  <c:v>15.819999999999999</c:v>
                </c:pt>
                <c:pt idx="227">
                  <c:v>15.89</c:v>
                </c:pt>
                <c:pt idx="228">
                  <c:v>15.959999999999999</c:v>
                </c:pt>
                <c:pt idx="229">
                  <c:v>16.03</c:v>
                </c:pt>
                <c:pt idx="230">
                  <c:v>16.099999999999998</c:v>
                </c:pt>
                <c:pt idx="231">
                  <c:v>16.170000000000002</c:v>
                </c:pt>
                <c:pt idx="232">
                  <c:v>16.239999999999998</c:v>
                </c:pt>
                <c:pt idx="233">
                  <c:v>16.310000000000002</c:v>
                </c:pt>
                <c:pt idx="234">
                  <c:v>16.38</c:v>
                </c:pt>
                <c:pt idx="235">
                  <c:v>16.45</c:v>
                </c:pt>
                <c:pt idx="236">
                  <c:v>16.52</c:v>
                </c:pt>
                <c:pt idx="237">
                  <c:v>16.59</c:v>
                </c:pt>
                <c:pt idx="238">
                  <c:v>16.66</c:v>
                </c:pt>
                <c:pt idx="239">
                  <c:v>16.73</c:v>
                </c:pt>
                <c:pt idx="240">
                  <c:v>16.8</c:v>
                </c:pt>
                <c:pt idx="241">
                  <c:v>16.87</c:v>
                </c:pt>
                <c:pt idx="242">
                  <c:v>16.939999999999998</c:v>
                </c:pt>
                <c:pt idx="243">
                  <c:v>17.010000000000002</c:v>
                </c:pt>
                <c:pt idx="244">
                  <c:v>17.079999999999998</c:v>
                </c:pt>
                <c:pt idx="245">
                  <c:v>17.150000000000002</c:v>
                </c:pt>
                <c:pt idx="246">
                  <c:v>17.22</c:v>
                </c:pt>
                <c:pt idx="247">
                  <c:v>17.290000000000003</c:v>
                </c:pt>
                <c:pt idx="248">
                  <c:v>17.36</c:v>
                </c:pt>
                <c:pt idx="249">
                  <c:v>17.43</c:v>
                </c:pt>
                <c:pt idx="250">
                  <c:v>17.5</c:v>
                </c:pt>
                <c:pt idx="251">
                  <c:v>17.57</c:v>
                </c:pt>
                <c:pt idx="252">
                  <c:v>17.64</c:v>
                </c:pt>
                <c:pt idx="253">
                  <c:v>17.709999999999997</c:v>
                </c:pt>
                <c:pt idx="254">
                  <c:v>17.78</c:v>
                </c:pt>
                <c:pt idx="255">
                  <c:v>17.849999999999998</c:v>
                </c:pt>
                <c:pt idx="256">
                  <c:v>17.920000000000002</c:v>
                </c:pt>
                <c:pt idx="257">
                  <c:v>17.989999999999998</c:v>
                </c:pt>
                <c:pt idx="258">
                  <c:v>18.060000000000002</c:v>
                </c:pt>
                <c:pt idx="259">
                  <c:v>18.13</c:v>
                </c:pt>
                <c:pt idx="260">
                  <c:v>18.2</c:v>
                </c:pt>
                <c:pt idx="261">
                  <c:v>18.270000000000138</c:v>
                </c:pt>
                <c:pt idx="262">
                  <c:v>18.34</c:v>
                </c:pt>
                <c:pt idx="263">
                  <c:v>18.410000000000139</c:v>
                </c:pt>
                <c:pt idx="264">
                  <c:v>18.48</c:v>
                </c:pt>
                <c:pt idx="265">
                  <c:v>18.550000000000139</c:v>
                </c:pt>
                <c:pt idx="266">
                  <c:v>18.62</c:v>
                </c:pt>
                <c:pt idx="267">
                  <c:v>18.69000000000014</c:v>
                </c:pt>
                <c:pt idx="268">
                  <c:v>18.760000000000002</c:v>
                </c:pt>
                <c:pt idx="269">
                  <c:v>18.83000000000014</c:v>
                </c:pt>
                <c:pt idx="270">
                  <c:v>18.900000000000141</c:v>
                </c:pt>
                <c:pt idx="271">
                  <c:v>18.970000000000141</c:v>
                </c:pt>
                <c:pt idx="272">
                  <c:v>19.040000000000141</c:v>
                </c:pt>
                <c:pt idx="273">
                  <c:v>19.110000000000142</c:v>
                </c:pt>
                <c:pt idx="274">
                  <c:v>19.180000000000142</c:v>
                </c:pt>
                <c:pt idx="275">
                  <c:v>19.250000000000139</c:v>
                </c:pt>
                <c:pt idx="276">
                  <c:v>19.320000000000142</c:v>
                </c:pt>
                <c:pt idx="277">
                  <c:v>19.390000000000139</c:v>
                </c:pt>
                <c:pt idx="278">
                  <c:v>19.460000000000139</c:v>
                </c:pt>
                <c:pt idx="279">
                  <c:v>19.53000000000014</c:v>
                </c:pt>
                <c:pt idx="280">
                  <c:v>19.60000000000014</c:v>
                </c:pt>
                <c:pt idx="281">
                  <c:v>19.67000000000014</c:v>
                </c:pt>
                <c:pt idx="282">
                  <c:v>19.740000000000137</c:v>
                </c:pt>
                <c:pt idx="283">
                  <c:v>19.810000000000141</c:v>
                </c:pt>
                <c:pt idx="284">
                  <c:v>19.880000000000138</c:v>
                </c:pt>
                <c:pt idx="285">
                  <c:v>19.950000000000141</c:v>
                </c:pt>
                <c:pt idx="286">
                  <c:v>20.020000000000138</c:v>
                </c:pt>
                <c:pt idx="287">
                  <c:v>20.090000000000142</c:v>
                </c:pt>
                <c:pt idx="288">
                  <c:v>20.160000000000139</c:v>
                </c:pt>
                <c:pt idx="289">
                  <c:v>20.230000000000139</c:v>
                </c:pt>
                <c:pt idx="290">
                  <c:v>20.300000000000139</c:v>
                </c:pt>
                <c:pt idx="291">
                  <c:v>20.37000000000014</c:v>
                </c:pt>
                <c:pt idx="292">
                  <c:v>20.44000000000014</c:v>
                </c:pt>
                <c:pt idx="293">
                  <c:v>20.51000000000014</c:v>
                </c:pt>
                <c:pt idx="294">
                  <c:v>20.58000000000014</c:v>
                </c:pt>
                <c:pt idx="295">
                  <c:v>20.650000000000141</c:v>
                </c:pt>
                <c:pt idx="296">
                  <c:v>20.720000000000141</c:v>
                </c:pt>
                <c:pt idx="297">
                  <c:v>20.790000000000141</c:v>
                </c:pt>
                <c:pt idx="298">
                  <c:v>20.860000000000142</c:v>
                </c:pt>
                <c:pt idx="299">
                  <c:v>20.930000000000142</c:v>
                </c:pt>
                <c:pt idx="300">
                  <c:v>21.000000000000139</c:v>
                </c:pt>
                <c:pt idx="301">
                  <c:v>21.070000000000142</c:v>
                </c:pt>
                <c:pt idx="302">
                  <c:v>21.140000000000139</c:v>
                </c:pt>
                <c:pt idx="303">
                  <c:v>21.210000000000139</c:v>
                </c:pt>
                <c:pt idx="304">
                  <c:v>21.28000000000014</c:v>
                </c:pt>
                <c:pt idx="305">
                  <c:v>21.35000000000014</c:v>
                </c:pt>
                <c:pt idx="306">
                  <c:v>21.42000000000014</c:v>
                </c:pt>
                <c:pt idx="307">
                  <c:v>21.490000000000137</c:v>
                </c:pt>
                <c:pt idx="308">
                  <c:v>21.560000000000141</c:v>
                </c:pt>
                <c:pt idx="309">
                  <c:v>21.630000000000138</c:v>
                </c:pt>
                <c:pt idx="310">
                  <c:v>21.700000000000141</c:v>
                </c:pt>
                <c:pt idx="311">
                  <c:v>21.770000000000138</c:v>
                </c:pt>
                <c:pt idx="312">
                  <c:v>21.840000000000142</c:v>
                </c:pt>
                <c:pt idx="313">
                  <c:v>21.910000000000139</c:v>
                </c:pt>
                <c:pt idx="314">
                  <c:v>21.980000000000139</c:v>
                </c:pt>
                <c:pt idx="315">
                  <c:v>22.050000000000139</c:v>
                </c:pt>
                <c:pt idx="316">
                  <c:v>22.12000000000014</c:v>
                </c:pt>
                <c:pt idx="317">
                  <c:v>22.19000000000014</c:v>
                </c:pt>
                <c:pt idx="318">
                  <c:v>22.26000000000014</c:v>
                </c:pt>
                <c:pt idx="319">
                  <c:v>22.33000000000014</c:v>
                </c:pt>
                <c:pt idx="320">
                  <c:v>22.400000000000141</c:v>
                </c:pt>
                <c:pt idx="321">
                  <c:v>22.470000000000141</c:v>
                </c:pt>
                <c:pt idx="322">
                  <c:v>22.540000000000141</c:v>
                </c:pt>
                <c:pt idx="323">
                  <c:v>22.610000000000142</c:v>
                </c:pt>
                <c:pt idx="324">
                  <c:v>22.680000000000142</c:v>
                </c:pt>
                <c:pt idx="325">
                  <c:v>22.750000000000139</c:v>
                </c:pt>
                <c:pt idx="326">
                  <c:v>22.820000000000142</c:v>
                </c:pt>
                <c:pt idx="327">
                  <c:v>22.890000000000139</c:v>
                </c:pt>
                <c:pt idx="328">
                  <c:v>22.960000000000139</c:v>
                </c:pt>
                <c:pt idx="329">
                  <c:v>23.03000000000014</c:v>
                </c:pt>
                <c:pt idx="330">
                  <c:v>23.10000000000014</c:v>
                </c:pt>
                <c:pt idx="331">
                  <c:v>23.17000000000014</c:v>
                </c:pt>
                <c:pt idx="332">
                  <c:v>23.240000000000137</c:v>
                </c:pt>
                <c:pt idx="333">
                  <c:v>23.310000000000141</c:v>
                </c:pt>
                <c:pt idx="334">
                  <c:v>23.380000000000138</c:v>
                </c:pt>
                <c:pt idx="335">
                  <c:v>23.450000000000141</c:v>
                </c:pt>
                <c:pt idx="336">
                  <c:v>23.520000000000138</c:v>
                </c:pt>
                <c:pt idx="337">
                  <c:v>23.590000000000142</c:v>
                </c:pt>
                <c:pt idx="338">
                  <c:v>23.660000000000139</c:v>
                </c:pt>
                <c:pt idx="339">
                  <c:v>23.730000000000139</c:v>
                </c:pt>
                <c:pt idx="340">
                  <c:v>23.800000000000139</c:v>
                </c:pt>
                <c:pt idx="341">
                  <c:v>23.87000000000014</c:v>
                </c:pt>
                <c:pt idx="342">
                  <c:v>23.94000000000014</c:v>
                </c:pt>
                <c:pt idx="343">
                  <c:v>24.01000000000014</c:v>
                </c:pt>
                <c:pt idx="344">
                  <c:v>24.08000000000014</c:v>
                </c:pt>
                <c:pt idx="345">
                  <c:v>24.150000000000141</c:v>
                </c:pt>
                <c:pt idx="346">
                  <c:v>24.220000000000141</c:v>
                </c:pt>
                <c:pt idx="347">
                  <c:v>24.290000000000141</c:v>
                </c:pt>
                <c:pt idx="348">
                  <c:v>24.360000000000142</c:v>
                </c:pt>
                <c:pt idx="349">
                  <c:v>24.430000000000142</c:v>
                </c:pt>
                <c:pt idx="350">
                  <c:v>24.500000000000281</c:v>
                </c:pt>
                <c:pt idx="351">
                  <c:v>24.570000000000142</c:v>
                </c:pt>
                <c:pt idx="352">
                  <c:v>24.640000000000139</c:v>
                </c:pt>
                <c:pt idx="353">
                  <c:v>24.710000000000282</c:v>
                </c:pt>
                <c:pt idx="354">
                  <c:v>24.780000000000278</c:v>
                </c:pt>
                <c:pt idx="355">
                  <c:v>24.850000000000279</c:v>
                </c:pt>
                <c:pt idx="356">
                  <c:v>24.920000000000279</c:v>
                </c:pt>
                <c:pt idx="357">
                  <c:v>24.990000000000279</c:v>
                </c:pt>
                <c:pt idx="358">
                  <c:v>25.060000000000279</c:v>
                </c:pt>
                <c:pt idx="359">
                  <c:v>25.13000000000028</c:v>
                </c:pt>
                <c:pt idx="360">
                  <c:v>25.20000000000028</c:v>
                </c:pt>
                <c:pt idx="361">
                  <c:v>25.27000000000028</c:v>
                </c:pt>
                <c:pt idx="362">
                  <c:v>25.340000000000281</c:v>
                </c:pt>
                <c:pt idx="363">
                  <c:v>25.410000000000281</c:v>
                </c:pt>
                <c:pt idx="364">
                  <c:v>25.480000000000281</c:v>
                </c:pt>
                <c:pt idx="365">
                  <c:v>25.550000000000278</c:v>
                </c:pt>
                <c:pt idx="366">
                  <c:v>25.620000000000282</c:v>
                </c:pt>
                <c:pt idx="367">
                  <c:v>25.690000000000278</c:v>
                </c:pt>
                <c:pt idx="368">
                  <c:v>25.760000000000282</c:v>
                </c:pt>
                <c:pt idx="369">
                  <c:v>25.830000000000279</c:v>
                </c:pt>
                <c:pt idx="370">
                  <c:v>25.900000000000283</c:v>
                </c:pt>
                <c:pt idx="371">
                  <c:v>25.97000000000028</c:v>
                </c:pt>
                <c:pt idx="372">
                  <c:v>26.04000000000028</c:v>
                </c:pt>
                <c:pt idx="373">
                  <c:v>26.11000000000028</c:v>
                </c:pt>
                <c:pt idx="374">
                  <c:v>26.18000000000028</c:v>
                </c:pt>
                <c:pt idx="375">
                  <c:v>26.250000000000281</c:v>
                </c:pt>
                <c:pt idx="376">
                  <c:v>26.320000000000281</c:v>
                </c:pt>
                <c:pt idx="377">
                  <c:v>26.390000000000281</c:v>
                </c:pt>
                <c:pt idx="378">
                  <c:v>26.460000000000282</c:v>
                </c:pt>
                <c:pt idx="379">
                  <c:v>26.530000000000278</c:v>
                </c:pt>
                <c:pt idx="380">
                  <c:v>26.600000000000279</c:v>
                </c:pt>
                <c:pt idx="381">
                  <c:v>26.670000000000279</c:v>
                </c:pt>
                <c:pt idx="382">
                  <c:v>26.740000000000279</c:v>
                </c:pt>
                <c:pt idx="383">
                  <c:v>26.810000000000279</c:v>
                </c:pt>
                <c:pt idx="384">
                  <c:v>26.88000000000028</c:v>
                </c:pt>
                <c:pt idx="385">
                  <c:v>26.95000000000028</c:v>
                </c:pt>
                <c:pt idx="386">
                  <c:v>27.02000000000028</c:v>
                </c:pt>
                <c:pt idx="387">
                  <c:v>27.090000000000281</c:v>
                </c:pt>
                <c:pt idx="388">
                  <c:v>27.160000000000281</c:v>
                </c:pt>
                <c:pt idx="389">
                  <c:v>27.230000000000281</c:v>
                </c:pt>
                <c:pt idx="390">
                  <c:v>27.300000000000278</c:v>
                </c:pt>
                <c:pt idx="391">
                  <c:v>27.370000000000282</c:v>
                </c:pt>
                <c:pt idx="392">
                  <c:v>27.440000000000278</c:v>
                </c:pt>
                <c:pt idx="393">
                  <c:v>27.510000000000282</c:v>
                </c:pt>
                <c:pt idx="394">
                  <c:v>27.580000000000279</c:v>
                </c:pt>
                <c:pt idx="395">
                  <c:v>27.650000000000283</c:v>
                </c:pt>
                <c:pt idx="396">
                  <c:v>27.72000000000028</c:v>
                </c:pt>
                <c:pt idx="397">
                  <c:v>27.79000000000028</c:v>
                </c:pt>
                <c:pt idx="398">
                  <c:v>27.86000000000028</c:v>
                </c:pt>
                <c:pt idx="399">
                  <c:v>27.93000000000028</c:v>
                </c:pt>
                <c:pt idx="400">
                  <c:v>28.000000000000281</c:v>
                </c:pt>
                <c:pt idx="401">
                  <c:v>28.070000000000277</c:v>
                </c:pt>
                <c:pt idx="402">
                  <c:v>28.140000000000285</c:v>
                </c:pt>
                <c:pt idx="403">
                  <c:v>28.210000000000282</c:v>
                </c:pt>
                <c:pt idx="404">
                  <c:v>28.280000000000278</c:v>
                </c:pt>
                <c:pt idx="405">
                  <c:v>28.350000000000279</c:v>
                </c:pt>
                <c:pt idx="406">
                  <c:v>28.420000000000279</c:v>
                </c:pt>
                <c:pt idx="407">
                  <c:v>28.490000000000283</c:v>
                </c:pt>
                <c:pt idx="408">
                  <c:v>28.560000000000279</c:v>
                </c:pt>
                <c:pt idx="409">
                  <c:v>28.63000000000028</c:v>
                </c:pt>
                <c:pt idx="410">
                  <c:v>28.700000000000276</c:v>
                </c:pt>
                <c:pt idx="411">
                  <c:v>28.77000000000028</c:v>
                </c:pt>
                <c:pt idx="412">
                  <c:v>28.840000000000281</c:v>
                </c:pt>
                <c:pt idx="413">
                  <c:v>28.910000000000281</c:v>
                </c:pt>
                <c:pt idx="414">
                  <c:v>28.980000000000278</c:v>
                </c:pt>
                <c:pt idx="415">
                  <c:v>29.050000000000281</c:v>
                </c:pt>
                <c:pt idx="416">
                  <c:v>29.120000000000282</c:v>
                </c:pt>
                <c:pt idx="417">
                  <c:v>29.190000000000278</c:v>
                </c:pt>
                <c:pt idx="418">
                  <c:v>29.260000000000279</c:v>
                </c:pt>
                <c:pt idx="419">
                  <c:v>29.330000000000283</c:v>
                </c:pt>
                <c:pt idx="420">
                  <c:v>29.400000000000283</c:v>
                </c:pt>
                <c:pt idx="421">
                  <c:v>29.47000000000028</c:v>
                </c:pt>
                <c:pt idx="422">
                  <c:v>29.540000000000276</c:v>
                </c:pt>
                <c:pt idx="423">
                  <c:v>29.610000000000284</c:v>
                </c:pt>
                <c:pt idx="424">
                  <c:v>29.68000000000028</c:v>
                </c:pt>
                <c:pt idx="425">
                  <c:v>29.750000000000281</c:v>
                </c:pt>
                <c:pt idx="426">
                  <c:v>29.820000000000277</c:v>
                </c:pt>
                <c:pt idx="427">
                  <c:v>29.890000000000285</c:v>
                </c:pt>
                <c:pt idx="428">
                  <c:v>29.960000000000282</c:v>
                </c:pt>
                <c:pt idx="429">
                  <c:v>30.030000000000278</c:v>
                </c:pt>
                <c:pt idx="430">
                  <c:v>30.100000000000279</c:v>
                </c:pt>
                <c:pt idx="431">
                  <c:v>30.170000000000279</c:v>
                </c:pt>
                <c:pt idx="432">
                  <c:v>30.240000000000283</c:v>
                </c:pt>
                <c:pt idx="433">
                  <c:v>30.310000000000279</c:v>
                </c:pt>
                <c:pt idx="434">
                  <c:v>30.38000000000028</c:v>
                </c:pt>
                <c:pt idx="435">
                  <c:v>30.450000000000276</c:v>
                </c:pt>
                <c:pt idx="436">
                  <c:v>30.52000000000028</c:v>
                </c:pt>
                <c:pt idx="437">
                  <c:v>30.590000000000281</c:v>
                </c:pt>
                <c:pt idx="438">
                  <c:v>30.660000000000281</c:v>
                </c:pt>
                <c:pt idx="439">
                  <c:v>30.730000000000278</c:v>
                </c:pt>
                <c:pt idx="440">
                  <c:v>30.800000000000281</c:v>
                </c:pt>
                <c:pt idx="441">
                  <c:v>30.870000000000282</c:v>
                </c:pt>
                <c:pt idx="442">
                  <c:v>30.940000000000278</c:v>
                </c:pt>
                <c:pt idx="443">
                  <c:v>31.010000000000279</c:v>
                </c:pt>
                <c:pt idx="444">
                  <c:v>31.080000000000283</c:v>
                </c:pt>
                <c:pt idx="445">
                  <c:v>31.150000000000283</c:v>
                </c:pt>
                <c:pt idx="446">
                  <c:v>31.22000000000028</c:v>
                </c:pt>
                <c:pt idx="447">
                  <c:v>31.290000000000276</c:v>
                </c:pt>
                <c:pt idx="448">
                  <c:v>31.360000000000284</c:v>
                </c:pt>
                <c:pt idx="449">
                  <c:v>31.43000000000028</c:v>
                </c:pt>
                <c:pt idx="450">
                  <c:v>31.500000000000281</c:v>
                </c:pt>
                <c:pt idx="451">
                  <c:v>31.570000000000277</c:v>
                </c:pt>
                <c:pt idx="452">
                  <c:v>31.640000000000285</c:v>
                </c:pt>
                <c:pt idx="453">
                  <c:v>31.710000000000282</c:v>
                </c:pt>
                <c:pt idx="454">
                  <c:v>31.780000000000278</c:v>
                </c:pt>
                <c:pt idx="455">
                  <c:v>31.850000000000279</c:v>
                </c:pt>
                <c:pt idx="456">
                  <c:v>31.92000000000014</c:v>
                </c:pt>
                <c:pt idx="457">
                  <c:v>31.990000000000283</c:v>
                </c:pt>
                <c:pt idx="458">
                  <c:v>32.060000000000279</c:v>
                </c:pt>
                <c:pt idx="459">
                  <c:v>32.13000000000028</c:v>
                </c:pt>
                <c:pt idx="460">
                  <c:v>32.200000000000138</c:v>
                </c:pt>
                <c:pt idx="461">
                  <c:v>32.270000000000138</c:v>
                </c:pt>
                <c:pt idx="462">
                  <c:v>32.340000000000281</c:v>
                </c:pt>
                <c:pt idx="463">
                  <c:v>32.410000000000281</c:v>
                </c:pt>
                <c:pt idx="464">
                  <c:v>32.480000000000139</c:v>
                </c:pt>
                <c:pt idx="465">
                  <c:v>32.550000000000139</c:v>
                </c:pt>
                <c:pt idx="466">
                  <c:v>32.62000000000014</c:v>
                </c:pt>
                <c:pt idx="467">
                  <c:v>32.69000000000014</c:v>
                </c:pt>
                <c:pt idx="468">
                  <c:v>32.76000000000014</c:v>
                </c:pt>
                <c:pt idx="469">
                  <c:v>32.83000000000014</c:v>
                </c:pt>
                <c:pt idx="470">
                  <c:v>32.900000000000141</c:v>
                </c:pt>
                <c:pt idx="471">
                  <c:v>32.970000000000141</c:v>
                </c:pt>
                <c:pt idx="472">
                  <c:v>33.040000000000141</c:v>
                </c:pt>
                <c:pt idx="473">
                  <c:v>33.110000000000142</c:v>
                </c:pt>
                <c:pt idx="474">
                  <c:v>33.180000000000135</c:v>
                </c:pt>
                <c:pt idx="475">
                  <c:v>33.250000000000142</c:v>
                </c:pt>
                <c:pt idx="476">
                  <c:v>33.320000000000142</c:v>
                </c:pt>
                <c:pt idx="477">
                  <c:v>33.390000000000143</c:v>
                </c:pt>
                <c:pt idx="478">
                  <c:v>33.460000000000136</c:v>
                </c:pt>
                <c:pt idx="479">
                  <c:v>33.530000000000136</c:v>
                </c:pt>
                <c:pt idx="480">
                  <c:v>33.600000000000144</c:v>
                </c:pt>
                <c:pt idx="481">
                  <c:v>33.670000000000144</c:v>
                </c:pt>
                <c:pt idx="482">
                  <c:v>33.740000000000137</c:v>
                </c:pt>
                <c:pt idx="483">
                  <c:v>33.810000000000137</c:v>
                </c:pt>
                <c:pt idx="484">
                  <c:v>33.880000000000145</c:v>
                </c:pt>
                <c:pt idx="485">
                  <c:v>33.950000000000138</c:v>
                </c:pt>
                <c:pt idx="486">
                  <c:v>34.020000000000138</c:v>
                </c:pt>
                <c:pt idx="487">
                  <c:v>34.090000000000138</c:v>
                </c:pt>
                <c:pt idx="488">
                  <c:v>34.160000000000139</c:v>
                </c:pt>
                <c:pt idx="489">
                  <c:v>34.230000000000139</c:v>
                </c:pt>
                <c:pt idx="490">
                  <c:v>34.300000000000139</c:v>
                </c:pt>
                <c:pt idx="491">
                  <c:v>34.37000000000014</c:v>
                </c:pt>
                <c:pt idx="492">
                  <c:v>34.44000000000014</c:v>
                </c:pt>
                <c:pt idx="493">
                  <c:v>34.51000000000014</c:v>
                </c:pt>
                <c:pt idx="494">
                  <c:v>34.58000000000014</c:v>
                </c:pt>
                <c:pt idx="495">
                  <c:v>34.650000000000141</c:v>
                </c:pt>
                <c:pt idx="496">
                  <c:v>34.720000000000141</c:v>
                </c:pt>
                <c:pt idx="497">
                  <c:v>34.790000000000141</c:v>
                </c:pt>
                <c:pt idx="498">
                  <c:v>34.860000000000142</c:v>
                </c:pt>
                <c:pt idx="499">
                  <c:v>34.930000000000135</c:v>
                </c:pt>
                <c:pt idx="500">
                  <c:v>35.000000000000142</c:v>
                </c:pt>
                <c:pt idx="501">
                  <c:v>35.070000000000142</c:v>
                </c:pt>
                <c:pt idx="502">
                  <c:v>35.140000000000143</c:v>
                </c:pt>
                <c:pt idx="503">
                  <c:v>35.210000000000136</c:v>
                </c:pt>
                <c:pt idx="504">
                  <c:v>35.280000000000136</c:v>
                </c:pt>
                <c:pt idx="505">
                  <c:v>35.350000000000144</c:v>
                </c:pt>
                <c:pt idx="506">
                  <c:v>35.420000000000144</c:v>
                </c:pt>
                <c:pt idx="507">
                  <c:v>35.490000000000137</c:v>
                </c:pt>
                <c:pt idx="508">
                  <c:v>35.560000000000137</c:v>
                </c:pt>
                <c:pt idx="509">
                  <c:v>35.630000000000145</c:v>
                </c:pt>
                <c:pt idx="510">
                  <c:v>35.700000000000138</c:v>
                </c:pt>
                <c:pt idx="511">
                  <c:v>35.770000000000138</c:v>
                </c:pt>
                <c:pt idx="512">
                  <c:v>35.840000000000138</c:v>
                </c:pt>
                <c:pt idx="513">
                  <c:v>35.910000000000139</c:v>
                </c:pt>
                <c:pt idx="514">
                  <c:v>35.980000000000139</c:v>
                </c:pt>
                <c:pt idx="515">
                  <c:v>36.050000000000139</c:v>
                </c:pt>
                <c:pt idx="516">
                  <c:v>36.12000000000014</c:v>
                </c:pt>
                <c:pt idx="517">
                  <c:v>36.19000000000014</c:v>
                </c:pt>
                <c:pt idx="518">
                  <c:v>36.26000000000014</c:v>
                </c:pt>
                <c:pt idx="519">
                  <c:v>36.33000000000014</c:v>
                </c:pt>
                <c:pt idx="520">
                  <c:v>36.400000000000141</c:v>
                </c:pt>
                <c:pt idx="521">
                  <c:v>36.470000000000141</c:v>
                </c:pt>
                <c:pt idx="522">
                  <c:v>36.540000000000141</c:v>
                </c:pt>
                <c:pt idx="523">
                  <c:v>36.610000000000142</c:v>
                </c:pt>
                <c:pt idx="524">
                  <c:v>36.680000000000135</c:v>
                </c:pt>
                <c:pt idx="525">
                  <c:v>36.750000000000142</c:v>
                </c:pt>
                <c:pt idx="526">
                  <c:v>36.820000000000142</c:v>
                </c:pt>
                <c:pt idx="527">
                  <c:v>36.890000000000143</c:v>
                </c:pt>
                <c:pt idx="528">
                  <c:v>36.960000000000136</c:v>
                </c:pt>
                <c:pt idx="529">
                  <c:v>37.030000000000136</c:v>
                </c:pt>
                <c:pt idx="530">
                  <c:v>37.100000000000144</c:v>
                </c:pt>
                <c:pt idx="531">
                  <c:v>37.170000000000144</c:v>
                </c:pt>
                <c:pt idx="532">
                  <c:v>37.240000000000137</c:v>
                </c:pt>
                <c:pt idx="533">
                  <c:v>37.310000000000137</c:v>
                </c:pt>
                <c:pt idx="534">
                  <c:v>37.380000000000145</c:v>
                </c:pt>
                <c:pt idx="535">
                  <c:v>37.450000000000138</c:v>
                </c:pt>
                <c:pt idx="536">
                  <c:v>37.520000000000138</c:v>
                </c:pt>
                <c:pt idx="537">
                  <c:v>37.590000000000138</c:v>
                </c:pt>
                <c:pt idx="538">
                  <c:v>37.660000000000139</c:v>
                </c:pt>
                <c:pt idx="539">
                  <c:v>37.730000000000139</c:v>
                </c:pt>
                <c:pt idx="540">
                  <c:v>37.800000000000139</c:v>
                </c:pt>
                <c:pt idx="541">
                  <c:v>37.87000000000014</c:v>
                </c:pt>
                <c:pt idx="542">
                  <c:v>37.94000000000014</c:v>
                </c:pt>
                <c:pt idx="543">
                  <c:v>38.01000000000014</c:v>
                </c:pt>
                <c:pt idx="544">
                  <c:v>38.08000000000014</c:v>
                </c:pt>
                <c:pt idx="545">
                  <c:v>38.150000000000141</c:v>
                </c:pt>
                <c:pt idx="546">
                  <c:v>38.220000000000141</c:v>
                </c:pt>
                <c:pt idx="547">
                  <c:v>38.290000000000141</c:v>
                </c:pt>
                <c:pt idx="548">
                  <c:v>38.360000000000142</c:v>
                </c:pt>
                <c:pt idx="549">
                  <c:v>38.43</c:v>
                </c:pt>
                <c:pt idx="550">
                  <c:v>38.5</c:v>
                </c:pt>
                <c:pt idx="551">
                  <c:v>38.570000000000142</c:v>
                </c:pt>
                <c:pt idx="552">
                  <c:v>38.640000000000143</c:v>
                </c:pt>
                <c:pt idx="553">
                  <c:v>38.710000000000136</c:v>
                </c:pt>
                <c:pt idx="554">
                  <c:v>38.78</c:v>
                </c:pt>
                <c:pt idx="555">
                  <c:v>38.85</c:v>
                </c:pt>
                <c:pt idx="556">
                  <c:v>38.920000000000144</c:v>
                </c:pt>
                <c:pt idx="557">
                  <c:v>38.990000000000137</c:v>
                </c:pt>
                <c:pt idx="558">
                  <c:v>39.06</c:v>
                </c:pt>
                <c:pt idx="559">
                  <c:v>39.129999999999995</c:v>
                </c:pt>
                <c:pt idx="560">
                  <c:v>39.199999999999996</c:v>
                </c:pt>
                <c:pt idx="561">
                  <c:v>39.270000000000003</c:v>
                </c:pt>
                <c:pt idx="562">
                  <c:v>39.340000000000003</c:v>
                </c:pt>
                <c:pt idx="563">
                  <c:v>39.409999999999997</c:v>
                </c:pt>
                <c:pt idx="564">
                  <c:v>39.479999999999997</c:v>
                </c:pt>
                <c:pt idx="565">
                  <c:v>39.550000000000004</c:v>
                </c:pt>
                <c:pt idx="566">
                  <c:v>39.620000000000005</c:v>
                </c:pt>
                <c:pt idx="567">
                  <c:v>39.69</c:v>
                </c:pt>
                <c:pt idx="568">
                  <c:v>39.76</c:v>
                </c:pt>
                <c:pt idx="569">
                  <c:v>39.830000000000005</c:v>
                </c:pt>
                <c:pt idx="570">
                  <c:v>39.9</c:v>
                </c:pt>
                <c:pt idx="571">
                  <c:v>39.97</c:v>
                </c:pt>
                <c:pt idx="572">
                  <c:v>40.04</c:v>
                </c:pt>
                <c:pt idx="573">
                  <c:v>40.11</c:v>
                </c:pt>
                <c:pt idx="574">
                  <c:v>40.18</c:v>
                </c:pt>
                <c:pt idx="575">
                  <c:v>40.25</c:v>
                </c:pt>
                <c:pt idx="576">
                  <c:v>40.32</c:v>
                </c:pt>
                <c:pt idx="577">
                  <c:v>40.39</c:v>
                </c:pt>
                <c:pt idx="578">
                  <c:v>40.46</c:v>
                </c:pt>
                <c:pt idx="579">
                  <c:v>40.53</c:v>
                </c:pt>
                <c:pt idx="580">
                  <c:v>40.6</c:v>
                </c:pt>
                <c:pt idx="581">
                  <c:v>40.669999999999995</c:v>
                </c:pt>
                <c:pt idx="582">
                  <c:v>40.74</c:v>
                </c:pt>
                <c:pt idx="583">
                  <c:v>40.81</c:v>
                </c:pt>
                <c:pt idx="584">
                  <c:v>40.879999999999995</c:v>
                </c:pt>
                <c:pt idx="585">
                  <c:v>40.949999999999996</c:v>
                </c:pt>
                <c:pt idx="586">
                  <c:v>41.02</c:v>
                </c:pt>
                <c:pt idx="587">
                  <c:v>41.09</c:v>
                </c:pt>
                <c:pt idx="588">
                  <c:v>41.16</c:v>
                </c:pt>
                <c:pt idx="589">
                  <c:v>41.23</c:v>
                </c:pt>
                <c:pt idx="590">
                  <c:v>41.300000000000004</c:v>
                </c:pt>
                <c:pt idx="591">
                  <c:v>41.370000000000005</c:v>
                </c:pt>
                <c:pt idx="592">
                  <c:v>41.44</c:v>
                </c:pt>
                <c:pt idx="593">
                  <c:v>41.51</c:v>
                </c:pt>
                <c:pt idx="594">
                  <c:v>41.580000000000005</c:v>
                </c:pt>
                <c:pt idx="595">
                  <c:v>41.65</c:v>
                </c:pt>
                <c:pt idx="596">
                  <c:v>41.72</c:v>
                </c:pt>
                <c:pt idx="597">
                  <c:v>41.79</c:v>
                </c:pt>
                <c:pt idx="598">
                  <c:v>41.86</c:v>
                </c:pt>
                <c:pt idx="599">
                  <c:v>41.93</c:v>
                </c:pt>
                <c:pt idx="600">
                  <c:v>42</c:v>
                </c:pt>
                <c:pt idx="601">
                  <c:v>42.07</c:v>
                </c:pt>
                <c:pt idx="602">
                  <c:v>42.14</c:v>
                </c:pt>
                <c:pt idx="603">
                  <c:v>42.21</c:v>
                </c:pt>
                <c:pt idx="604">
                  <c:v>42.28</c:v>
                </c:pt>
                <c:pt idx="605">
                  <c:v>42.35</c:v>
                </c:pt>
                <c:pt idx="606">
                  <c:v>42.419999999999995</c:v>
                </c:pt>
                <c:pt idx="607">
                  <c:v>42.49</c:v>
                </c:pt>
                <c:pt idx="608">
                  <c:v>42.56</c:v>
                </c:pt>
                <c:pt idx="609">
                  <c:v>42.629999999999995</c:v>
                </c:pt>
                <c:pt idx="610">
                  <c:v>42.699999999999996</c:v>
                </c:pt>
                <c:pt idx="611">
                  <c:v>42.77</c:v>
                </c:pt>
                <c:pt idx="612">
                  <c:v>42.84</c:v>
                </c:pt>
                <c:pt idx="613">
                  <c:v>42.91</c:v>
                </c:pt>
                <c:pt idx="614">
                  <c:v>42.98</c:v>
                </c:pt>
                <c:pt idx="615">
                  <c:v>43.050000000000004</c:v>
                </c:pt>
                <c:pt idx="616">
                  <c:v>43.120000000000005</c:v>
                </c:pt>
                <c:pt idx="617">
                  <c:v>43.19</c:v>
                </c:pt>
                <c:pt idx="618">
                  <c:v>43.26</c:v>
                </c:pt>
                <c:pt idx="619">
                  <c:v>43.330000000000005</c:v>
                </c:pt>
                <c:pt idx="620">
                  <c:v>43.4</c:v>
                </c:pt>
                <c:pt idx="621">
                  <c:v>43.47</c:v>
                </c:pt>
                <c:pt idx="622">
                  <c:v>43.54</c:v>
                </c:pt>
                <c:pt idx="623">
                  <c:v>43.61</c:v>
                </c:pt>
                <c:pt idx="624">
                  <c:v>43.68</c:v>
                </c:pt>
                <c:pt idx="625">
                  <c:v>43.75</c:v>
                </c:pt>
                <c:pt idx="626">
                  <c:v>43.82</c:v>
                </c:pt>
                <c:pt idx="627">
                  <c:v>43.89</c:v>
                </c:pt>
                <c:pt idx="628">
                  <c:v>43.96</c:v>
                </c:pt>
                <c:pt idx="629">
                  <c:v>44.03</c:v>
                </c:pt>
                <c:pt idx="630">
                  <c:v>44.1</c:v>
                </c:pt>
                <c:pt idx="631">
                  <c:v>44.169999999999995</c:v>
                </c:pt>
                <c:pt idx="632">
                  <c:v>44.24</c:v>
                </c:pt>
                <c:pt idx="633">
                  <c:v>44.31</c:v>
                </c:pt>
                <c:pt idx="634">
                  <c:v>44.379999999999995</c:v>
                </c:pt>
                <c:pt idx="635">
                  <c:v>44.449999999999996</c:v>
                </c:pt>
                <c:pt idx="636">
                  <c:v>44.52</c:v>
                </c:pt>
                <c:pt idx="637">
                  <c:v>44.59</c:v>
                </c:pt>
                <c:pt idx="638">
                  <c:v>44.66</c:v>
                </c:pt>
                <c:pt idx="639">
                  <c:v>44.73</c:v>
                </c:pt>
                <c:pt idx="640">
                  <c:v>44.800000000000004</c:v>
                </c:pt>
                <c:pt idx="641">
                  <c:v>44.870000000000005</c:v>
                </c:pt>
                <c:pt idx="642">
                  <c:v>44.94</c:v>
                </c:pt>
                <c:pt idx="643">
                  <c:v>45.01</c:v>
                </c:pt>
                <c:pt idx="644">
                  <c:v>45.080000000000005</c:v>
                </c:pt>
                <c:pt idx="645">
                  <c:v>45.15</c:v>
                </c:pt>
                <c:pt idx="646">
                  <c:v>45.22</c:v>
                </c:pt>
                <c:pt idx="647">
                  <c:v>45.289999999999864</c:v>
                </c:pt>
                <c:pt idx="648">
                  <c:v>45.359999999999857</c:v>
                </c:pt>
                <c:pt idx="649">
                  <c:v>45.429999999999858</c:v>
                </c:pt>
                <c:pt idx="650">
                  <c:v>45.499999999999858</c:v>
                </c:pt>
                <c:pt idx="651">
                  <c:v>45.569999999999865</c:v>
                </c:pt>
                <c:pt idx="652">
                  <c:v>45.639999999999858</c:v>
                </c:pt>
                <c:pt idx="653">
                  <c:v>45.709999999999859</c:v>
                </c:pt>
                <c:pt idx="654">
                  <c:v>45.779999999999859</c:v>
                </c:pt>
                <c:pt idx="655">
                  <c:v>45.849999999999859</c:v>
                </c:pt>
                <c:pt idx="656">
                  <c:v>45.91999999999986</c:v>
                </c:pt>
                <c:pt idx="657">
                  <c:v>45.98999999999986</c:v>
                </c:pt>
                <c:pt idx="658">
                  <c:v>46.05999999999986</c:v>
                </c:pt>
                <c:pt idx="659">
                  <c:v>46.12999999999986</c:v>
                </c:pt>
                <c:pt idx="660">
                  <c:v>46.199999999999861</c:v>
                </c:pt>
                <c:pt idx="661">
                  <c:v>46.269999999999861</c:v>
                </c:pt>
                <c:pt idx="662">
                  <c:v>46.339999999999861</c:v>
                </c:pt>
                <c:pt idx="663">
                  <c:v>46.409999999999862</c:v>
                </c:pt>
                <c:pt idx="664">
                  <c:v>46.479999999999862</c:v>
                </c:pt>
                <c:pt idx="665">
                  <c:v>46.549999999999862</c:v>
                </c:pt>
                <c:pt idx="666">
                  <c:v>46.619999999999855</c:v>
                </c:pt>
                <c:pt idx="667">
                  <c:v>46.689999999999863</c:v>
                </c:pt>
                <c:pt idx="668">
                  <c:v>46.759999999999863</c:v>
                </c:pt>
                <c:pt idx="669">
                  <c:v>46.829999999999856</c:v>
                </c:pt>
                <c:pt idx="670">
                  <c:v>46.899999999999856</c:v>
                </c:pt>
                <c:pt idx="671">
                  <c:v>46.969999999999864</c:v>
                </c:pt>
                <c:pt idx="672">
                  <c:v>47.039999999999864</c:v>
                </c:pt>
                <c:pt idx="673">
                  <c:v>47.109999999999857</c:v>
                </c:pt>
                <c:pt idx="674">
                  <c:v>47.179999999999858</c:v>
                </c:pt>
                <c:pt idx="675">
                  <c:v>47.249999999999858</c:v>
                </c:pt>
                <c:pt idx="676">
                  <c:v>47.319999999999865</c:v>
                </c:pt>
                <c:pt idx="677">
                  <c:v>47.389999999999858</c:v>
                </c:pt>
                <c:pt idx="678">
                  <c:v>47.459999999999859</c:v>
                </c:pt>
                <c:pt idx="679">
                  <c:v>47.529999999999859</c:v>
                </c:pt>
                <c:pt idx="680">
                  <c:v>47.599999999999859</c:v>
                </c:pt>
                <c:pt idx="681">
                  <c:v>47.66999999999986</c:v>
                </c:pt>
                <c:pt idx="682">
                  <c:v>47.73999999999986</c:v>
                </c:pt>
                <c:pt idx="683">
                  <c:v>47.80999999999986</c:v>
                </c:pt>
                <c:pt idx="684">
                  <c:v>47.87999999999986</c:v>
                </c:pt>
                <c:pt idx="685">
                  <c:v>47.949999999999861</c:v>
                </c:pt>
                <c:pt idx="686">
                  <c:v>48.019999999999861</c:v>
                </c:pt>
                <c:pt idx="687">
                  <c:v>48.089999999999861</c:v>
                </c:pt>
                <c:pt idx="688">
                  <c:v>48.159999999999862</c:v>
                </c:pt>
                <c:pt idx="689">
                  <c:v>48.229999999999862</c:v>
                </c:pt>
                <c:pt idx="690">
                  <c:v>48.299999999999862</c:v>
                </c:pt>
                <c:pt idx="691">
                  <c:v>48.369999999999855</c:v>
                </c:pt>
                <c:pt idx="692">
                  <c:v>48.439999999999863</c:v>
                </c:pt>
                <c:pt idx="693">
                  <c:v>48.509999999999863</c:v>
                </c:pt>
                <c:pt idx="694">
                  <c:v>48.579999999999856</c:v>
                </c:pt>
                <c:pt idx="695">
                  <c:v>48.649999999999856</c:v>
                </c:pt>
                <c:pt idx="696">
                  <c:v>48.719999999999864</c:v>
                </c:pt>
                <c:pt idx="697">
                  <c:v>48.789999999999864</c:v>
                </c:pt>
                <c:pt idx="698">
                  <c:v>48.859999999999857</c:v>
                </c:pt>
                <c:pt idx="699">
                  <c:v>48.929999999999858</c:v>
                </c:pt>
                <c:pt idx="700">
                  <c:v>48.999999999999858</c:v>
                </c:pt>
                <c:pt idx="701">
                  <c:v>49.069999999999865</c:v>
                </c:pt>
                <c:pt idx="702">
                  <c:v>49.139999999999858</c:v>
                </c:pt>
                <c:pt idx="703">
                  <c:v>49.209999999999859</c:v>
                </c:pt>
                <c:pt idx="704">
                  <c:v>49.279999999999859</c:v>
                </c:pt>
                <c:pt idx="705">
                  <c:v>49.349999999999859</c:v>
                </c:pt>
                <c:pt idx="706">
                  <c:v>49.41999999999986</c:v>
                </c:pt>
                <c:pt idx="707">
                  <c:v>49.48999999999986</c:v>
                </c:pt>
                <c:pt idx="708">
                  <c:v>49.55999999999986</c:v>
                </c:pt>
                <c:pt idx="709">
                  <c:v>49.62999999999986</c:v>
                </c:pt>
                <c:pt idx="710">
                  <c:v>49.699999999999861</c:v>
                </c:pt>
                <c:pt idx="711">
                  <c:v>49.769999999999861</c:v>
                </c:pt>
                <c:pt idx="712">
                  <c:v>49.839999999999861</c:v>
                </c:pt>
                <c:pt idx="713">
                  <c:v>49.909999999999862</c:v>
                </c:pt>
                <c:pt idx="714">
                  <c:v>49.979999999999862</c:v>
                </c:pt>
                <c:pt idx="715">
                  <c:v>50.049999999999862</c:v>
                </c:pt>
                <c:pt idx="716">
                  <c:v>50.119999999999855</c:v>
                </c:pt>
                <c:pt idx="717">
                  <c:v>50.189999999999863</c:v>
                </c:pt>
                <c:pt idx="718">
                  <c:v>50.259999999999863</c:v>
                </c:pt>
                <c:pt idx="719">
                  <c:v>50.329999999999856</c:v>
                </c:pt>
                <c:pt idx="720">
                  <c:v>50.399999999999856</c:v>
                </c:pt>
                <c:pt idx="721">
                  <c:v>50.469999999999864</c:v>
                </c:pt>
                <c:pt idx="722">
                  <c:v>50.539999999999864</c:v>
                </c:pt>
                <c:pt idx="723">
                  <c:v>50.609999999999857</c:v>
                </c:pt>
                <c:pt idx="724">
                  <c:v>50.679999999999858</c:v>
                </c:pt>
                <c:pt idx="725">
                  <c:v>50.749999999999858</c:v>
                </c:pt>
                <c:pt idx="726">
                  <c:v>50.819999999999865</c:v>
                </c:pt>
                <c:pt idx="727">
                  <c:v>50.889999999999858</c:v>
                </c:pt>
                <c:pt idx="728">
                  <c:v>50.959999999999859</c:v>
                </c:pt>
                <c:pt idx="729">
                  <c:v>51.029999999999859</c:v>
                </c:pt>
                <c:pt idx="730">
                  <c:v>51.099999999999859</c:v>
                </c:pt>
                <c:pt idx="731">
                  <c:v>51.16999999999986</c:v>
                </c:pt>
                <c:pt idx="732">
                  <c:v>51.23999999999986</c:v>
                </c:pt>
                <c:pt idx="733">
                  <c:v>51.30999999999986</c:v>
                </c:pt>
                <c:pt idx="734">
                  <c:v>51.37999999999986</c:v>
                </c:pt>
                <c:pt idx="735">
                  <c:v>51.449999999999861</c:v>
                </c:pt>
                <c:pt idx="736">
                  <c:v>51.519999999999861</c:v>
                </c:pt>
                <c:pt idx="737">
                  <c:v>51.589999999999861</c:v>
                </c:pt>
                <c:pt idx="738">
                  <c:v>51.659999999999862</c:v>
                </c:pt>
                <c:pt idx="739">
                  <c:v>51.729999999999862</c:v>
                </c:pt>
                <c:pt idx="740">
                  <c:v>51.799999999999862</c:v>
                </c:pt>
                <c:pt idx="741">
                  <c:v>51.86999999999972</c:v>
                </c:pt>
                <c:pt idx="742">
                  <c:v>51.939999999999721</c:v>
                </c:pt>
                <c:pt idx="743">
                  <c:v>52.009999999999721</c:v>
                </c:pt>
                <c:pt idx="744">
                  <c:v>52.079999999999721</c:v>
                </c:pt>
                <c:pt idx="745">
                  <c:v>52.149999999999721</c:v>
                </c:pt>
                <c:pt idx="746">
                  <c:v>52.219999999999722</c:v>
                </c:pt>
                <c:pt idx="747">
                  <c:v>52.289999999999722</c:v>
                </c:pt>
                <c:pt idx="748">
                  <c:v>52.359999999999715</c:v>
                </c:pt>
                <c:pt idx="749">
                  <c:v>52.429999999999723</c:v>
                </c:pt>
                <c:pt idx="750">
                  <c:v>52.499999999999723</c:v>
                </c:pt>
                <c:pt idx="751">
                  <c:v>52.569999999999716</c:v>
                </c:pt>
                <c:pt idx="752">
                  <c:v>52.639999999999716</c:v>
                </c:pt>
                <c:pt idx="753">
                  <c:v>52.709999999999724</c:v>
                </c:pt>
                <c:pt idx="754">
                  <c:v>52.779999999999717</c:v>
                </c:pt>
                <c:pt idx="755">
                  <c:v>52.849999999999717</c:v>
                </c:pt>
                <c:pt idx="756">
                  <c:v>52.919999999999717</c:v>
                </c:pt>
                <c:pt idx="757">
                  <c:v>52.989999999999725</c:v>
                </c:pt>
                <c:pt idx="758">
                  <c:v>53.059999999999718</c:v>
                </c:pt>
                <c:pt idx="759">
                  <c:v>53.129999999999718</c:v>
                </c:pt>
                <c:pt idx="760">
                  <c:v>53.199999999999719</c:v>
                </c:pt>
                <c:pt idx="761">
                  <c:v>53.269999999999726</c:v>
                </c:pt>
                <c:pt idx="762">
                  <c:v>53.339999999999719</c:v>
                </c:pt>
                <c:pt idx="763">
                  <c:v>53.409999999999719</c:v>
                </c:pt>
                <c:pt idx="764">
                  <c:v>53.47999999999972</c:v>
                </c:pt>
                <c:pt idx="765">
                  <c:v>53.54999999999972</c:v>
                </c:pt>
                <c:pt idx="766">
                  <c:v>53.61999999999972</c:v>
                </c:pt>
                <c:pt idx="767">
                  <c:v>53.689999999999721</c:v>
                </c:pt>
                <c:pt idx="768">
                  <c:v>53.759999999999721</c:v>
                </c:pt>
                <c:pt idx="769">
                  <c:v>53.829999999999721</c:v>
                </c:pt>
                <c:pt idx="770">
                  <c:v>53.899999999999721</c:v>
                </c:pt>
                <c:pt idx="771">
                  <c:v>53.969999999999722</c:v>
                </c:pt>
                <c:pt idx="772">
                  <c:v>54.039999999999722</c:v>
                </c:pt>
                <c:pt idx="773">
                  <c:v>54.109999999999715</c:v>
                </c:pt>
                <c:pt idx="774">
                  <c:v>54.179999999999723</c:v>
                </c:pt>
                <c:pt idx="775">
                  <c:v>54.249999999999723</c:v>
                </c:pt>
                <c:pt idx="776">
                  <c:v>54.319999999999716</c:v>
                </c:pt>
                <c:pt idx="777">
                  <c:v>54.389999999999716</c:v>
                </c:pt>
                <c:pt idx="778">
                  <c:v>54.459999999999724</c:v>
                </c:pt>
                <c:pt idx="779">
                  <c:v>54.529999999999717</c:v>
                </c:pt>
                <c:pt idx="780">
                  <c:v>54.599999999999717</c:v>
                </c:pt>
                <c:pt idx="781">
                  <c:v>54.669999999999717</c:v>
                </c:pt>
                <c:pt idx="782">
                  <c:v>54.739999999999725</c:v>
                </c:pt>
                <c:pt idx="783">
                  <c:v>54.809999999999718</c:v>
                </c:pt>
                <c:pt idx="784">
                  <c:v>54.879999999999718</c:v>
                </c:pt>
                <c:pt idx="785">
                  <c:v>54.949999999999719</c:v>
                </c:pt>
                <c:pt idx="786">
                  <c:v>55.019999999999726</c:v>
                </c:pt>
                <c:pt idx="787">
                  <c:v>55.089999999999719</c:v>
                </c:pt>
                <c:pt idx="788">
                  <c:v>55.159999999999719</c:v>
                </c:pt>
                <c:pt idx="789">
                  <c:v>55.22999999999972</c:v>
                </c:pt>
                <c:pt idx="790">
                  <c:v>55.29999999999972</c:v>
                </c:pt>
                <c:pt idx="791">
                  <c:v>55.36999999999972</c:v>
                </c:pt>
                <c:pt idx="792">
                  <c:v>55.439999999999721</c:v>
                </c:pt>
                <c:pt idx="793">
                  <c:v>55.509999999999721</c:v>
                </c:pt>
                <c:pt idx="794">
                  <c:v>55.579999999999721</c:v>
                </c:pt>
                <c:pt idx="795">
                  <c:v>55.649999999999721</c:v>
                </c:pt>
                <c:pt idx="796">
                  <c:v>55.719999999999722</c:v>
                </c:pt>
                <c:pt idx="797">
                  <c:v>55.789999999999722</c:v>
                </c:pt>
                <c:pt idx="798">
                  <c:v>55.859999999999715</c:v>
                </c:pt>
                <c:pt idx="799">
                  <c:v>55.929999999999723</c:v>
                </c:pt>
                <c:pt idx="800">
                  <c:v>55.999999999999723</c:v>
                </c:pt>
                <c:pt idx="801">
                  <c:v>56.069999999999723</c:v>
                </c:pt>
                <c:pt idx="802">
                  <c:v>56.139999999999723</c:v>
                </c:pt>
                <c:pt idx="803">
                  <c:v>56.209999999999724</c:v>
                </c:pt>
                <c:pt idx="804">
                  <c:v>56.279999999999717</c:v>
                </c:pt>
                <c:pt idx="805">
                  <c:v>56.349999999999717</c:v>
                </c:pt>
                <c:pt idx="806">
                  <c:v>56.419999999999717</c:v>
                </c:pt>
                <c:pt idx="807">
                  <c:v>56.489999999999718</c:v>
                </c:pt>
                <c:pt idx="808">
                  <c:v>56.559999999999718</c:v>
                </c:pt>
                <c:pt idx="809">
                  <c:v>56.629999999999725</c:v>
                </c:pt>
                <c:pt idx="810">
                  <c:v>56.699999999999726</c:v>
                </c:pt>
                <c:pt idx="811">
                  <c:v>56.769999999999726</c:v>
                </c:pt>
                <c:pt idx="812">
                  <c:v>56.839999999999719</c:v>
                </c:pt>
                <c:pt idx="813">
                  <c:v>56.909999999999719</c:v>
                </c:pt>
                <c:pt idx="814">
                  <c:v>56.97999999999972</c:v>
                </c:pt>
                <c:pt idx="815">
                  <c:v>57.049999999999713</c:v>
                </c:pt>
                <c:pt idx="816">
                  <c:v>57.119999999999713</c:v>
                </c:pt>
                <c:pt idx="817">
                  <c:v>57.189999999999728</c:v>
                </c:pt>
                <c:pt idx="818">
                  <c:v>57.259999999999721</c:v>
                </c:pt>
                <c:pt idx="819">
                  <c:v>57.329999999999721</c:v>
                </c:pt>
                <c:pt idx="820">
                  <c:v>57.399999999999721</c:v>
                </c:pt>
                <c:pt idx="821">
                  <c:v>57.469999999999722</c:v>
                </c:pt>
                <c:pt idx="822">
                  <c:v>57.539999999999722</c:v>
                </c:pt>
                <c:pt idx="823">
                  <c:v>57.609999999999715</c:v>
                </c:pt>
                <c:pt idx="824">
                  <c:v>57.679999999999715</c:v>
                </c:pt>
                <c:pt idx="825">
                  <c:v>57.749999999999716</c:v>
                </c:pt>
                <c:pt idx="826">
                  <c:v>57.819999999999723</c:v>
                </c:pt>
                <c:pt idx="827">
                  <c:v>57.889999999999723</c:v>
                </c:pt>
                <c:pt idx="828">
                  <c:v>57.959999999999724</c:v>
                </c:pt>
                <c:pt idx="829">
                  <c:v>58.029999999999717</c:v>
                </c:pt>
                <c:pt idx="830">
                  <c:v>58.099999999999717</c:v>
                </c:pt>
                <c:pt idx="831">
                  <c:v>58.169999999999717</c:v>
                </c:pt>
                <c:pt idx="832">
                  <c:v>58.239999999999718</c:v>
                </c:pt>
                <c:pt idx="833">
                  <c:v>58.309999999999718</c:v>
                </c:pt>
                <c:pt idx="834">
                  <c:v>58.379999999999725</c:v>
                </c:pt>
                <c:pt idx="835">
                  <c:v>58.449999999999577</c:v>
                </c:pt>
                <c:pt idx="836">
                  <c:v>58.519999999999584</c:v>
                </c:pt>
                <c:pt idx="837">
                  <c:v>58.589999999999584</c:v>
                </c:pt>
                <c:pt idx="838">
                  <c:v>58.659999999999584</c:v>
                </c:pt>
                <c:pt idx="839">
                  <c:v>58.729999999999578</c:v>
                </c:pt>
                <c:pt idx="840">
                  <c:v>58.799999999999578</c:v>
                </c:pt>
                <c:pt idx="841">
                  <c:v>58.869999999999578</c:v>
                </c:pt>
                <c:pt idx="842">
                  <c:v>58.939999999999579</c:v>
                </c:pt>
                <c:pt idx="843">
                  <c:v>59.009999999999579</c:v>
                </c:pt>
                <c:pt idx="844">
                  <c:v>59.079999999999586</c:v>
                </c:pt>
                <c:pt idx="845">
                  <c:v>59.149999999999586</c:v>
                </c:pt>
                <c:pt idx="846">
                  <c:v>59.219999999999587</c:v>
                </c:pt>
                <c:pt idx="847">
                  <c:v>59.28999999999958</c:v>
                </c:pt>
                <c:pt idx="848">
                  <c:v>59.35999999999958</c:v>
                </c:pt>
                <c:pt idx="849">
                  <c:v>59.42999999999958</c:v>
                </c:pt>
                <c:pt idx="850">
                  <c:v>59.499999999999574</c:v>
                </c:pt>
                <c:pt idx="851">
                  <c:v>59.569999999999574</c:v>
                </c:pt>
                <c:pt idx="852">
                  <c:v>59.639999999999574</c:v>
                </c:pt>
                <c:pt idx="853">
                  <c:v>59.709999999999582</c:v>
                </c:pt>
                <c:pt idx="854">
                  <c:v>59.779999999999582</c:v>
                </c:pt>
                <c:pt idx="855">
                  <c:v>59.849999999999582</c:v>
                </c:pt>
                <c:pt idx="856">
                  <c:v>59.919999999999582</c:v>
                </c:pt>
                <c:pt idx="857">
                  <c:v>59.989999999999583</c:v>
                </c:pt>
                <c:pt idx="858">
                  <c:v>60.059999999999576</c:v>
                </c:pt>
                <c:pt idx="859">
                  <c:v>60.129999999999576</c:v>
                </c:pt>
                <c:pt idx="860">
                  <c:v>60.199999999999577</c:v>
                </c:pt>
                <c:pt idx="861">
                  <c:v>60.269999999999584</c:v>
                </c:pt>
                <c:pt idx="862">
                  <c:v>60.339999999999584</c:v>
                </c:pt>
                <c:pt idx="863">
                  <c:v>60.409999999999584</c:v>
                </c:pt>
                <c:pt idx="864">
                  <c:v>60.479999999999578</c:v>
                </c:pt>
                <c:pt idx="865">
                  <c:v>60.549999999999578</c:v>
                </c:pt>
                <c:pt idx="866">
                  <c:v>60.619999999999578</c:v>
                </c:pt>
                <c:pt idx="867">
                  <c:v>60.689999999999579</c:v>
                </c:pt>
                <c:pt idx="868">
                  <c:v>60.759999999999579</c:v>
                </c:pt>
                <c:pt idx="869">
                  <c:v>60.829999999999586</c:v>
                </c:pt>
                <c:pt idx="870">
                  <c:v>60.899999999999586</c:v>
                </c:pt>
                <c:pt idx="871">
                  <c:v>60.969999999999587</c:v>
                </c:pt>
                <c:pt idx="872">
                  <c:v>61.03999999999958</c:v>
                </c:pt>
                <c:pt idx="873">
                  <c:v>61.10999999999958</c:v>
                </c:pt>
                <c:pt idx="874">
                  <c:v>61.17999999999958</c:v>
                </c:pt>
                <c:pt idx="875">
                  <c:v>61.249999999999574</c:v>
                </c:pt>
                <c:pt idx="876">
                  <c:v>61.319999999999574</c:v>
                </c:pt>
                <c:pt idx="877">
                  <c:v>61.389999999999574</c:v>
                </c:pt>
                <c:pt idx="878">
                  <c:v>61.459999999999582</c:v>
                </c:pt>
                <c:pt idx="879">
                  <c:v>61.529999999999582</c:v>
                </c:pt>
                <c:pt idx="880">
                  <c:v>61.599999999999582</c:v>
                </c:pt>
                <c:pt idx="881">
                  <c:v>61.669999999999582</c:v>
                </c:pt>
                <c:pt idx="882">
                  <c:v>61.739999999999583</c:v>
                </c:pt>
                <c:pt idx="883">
                  <c:v>61.809999999999576</c:v>
                </c:pt>
                <c:pt idx="884">
                  <c:v>61.879999999999576</c:v>
                </c:pt>
                <c:pt idx="885">
                  <c:v>61.949999999999577</c:v>
                </c:pt>
                <c:pt idx="886">
                  <c:v>62.019999999999584</c:v>
                </c:pt>
                <c:pt idx="887">
                  <c:v>62.089999999999584</c:v>
                </c:pt>
                <c:pt idx="888">
                  <c:v>62.159999999999584</c:v>
                </c:pt>
                <c:pt idx="889">
                  <c:v>62.229999999999578</c:v>
                </c:pt>
                <c:pt idx="890">
                  <c:v>62.299999999999578</c:v>
                </c:pt>
                <c:pt idx="891">
                  <c:v>62.369999999999578</c:v>
                </c:pt>
                <c:pt idx="892">
                  <c:v>62.439999999999579</c:v>
                </c:pt>
                <c:pt idx="893">
                  <c:v>62.509999999999579</c:v>
                </c:pt>
                <c:pt idx="894">
                  <c:v>62.579999999999586</c:v>
                </c:pt>
                <c:pt idx="895">
                  <c:v>62.649999999999586</c:v>
                </c:pt>
                <c:pt idx="896">
                  <c:v>62.719999999999587</c:v>
                </c:pt>
                <c:pt idx="897">
                  <c:v>62.78999999999958</c:v>
                </c:pt>
                <c:pt idx="898">
                  <c:v>62.85999999999958</c:v>
                </c:pt>
                <c:pt idx="899">
                  <c:v>62.92999999999958</c:v>
                </c:pt>
                <c:pt idx="900">
                  <c:v>62.999999999999574</c:v>
                </c:pt>
                <c:pt idx="901">
                  <c:v>63.069999999999574</c:v>
                </c:pt>
                <c:pt idx="902">
                  <c:v>63.139999999999574</c:v>
                </c:pt>
                <c:pt idx="903">
                  <c:v>63.209999999999582</c:v>
                </c:pt>
                <c:pt idx="904">
                  <c:v>63.279999999999582</c:v>
                </c:pt>
                <c:pt idx="905">
                  <c:v>63.349999999999582</c:v>
                </c:pt>
                <c:pt idx="906">
                  <c:v>63.419999999999582</c:v>
                </c:pt>
                <c:pt idx="907">
                  <c:v>63.489999999999583</c:v>
                </c:pt>
                <c:pt idx="908">
                  <c:v>63.559999999999576</c:v>
                </c:pt>
                <c:pt idx="909">
                  <c:v>63.629999999999576</c:v>
                </c:pt>
                <c:pt idx="910">
                  <c:v>63.699999999999577</c:v>
                </c:pt>
                <c:pt idx="911">
                  <c:v>63.769999999999584</c:v>
                </c:pt>
                <c:pt idx="912">
                  <c:v>63.839999999999584</c:v>
                </c:pt>
                <c:pt idx="913">
                  <c:v>63.909999999999584</c:v>
                </c:pt>
                <c:pt idx="914">
                  <c:v>63.979999999999578</c:v>
                </c:pt>
                <c:pt idx="915">
                  <c:v>64.049999999999585</c:v>
                </c:pt>
                <c:pt idx="916">
                  <c:v>64.119999999999578</c:v>
                </c:pt>
                <c:pt idx="917">
                  <c:v>64.189999999999571</c:v>
                </c:pt>
                <c:pt idx="918">
                  <c:v>64.259999999999579</c:v>
                </c:pt>
                <c:pt idx="919">
                  <c:v>64.329999999999586</c:v>
                </c:pt>
                <c:pt idx="920">
                  <c:v>64.399999999999579</c:v>
                </c:pt>
                <c:pt idx="921">
                  <c:v>64.469999999999587</c:v>
                </c:pt>
                <c:pt idx="922">
                  <c:v>64.53999999999958</c:v>
                </c:pt>
                <c:pt idx="923">
                  <c:v>64.609999999999587</c:v>
                </c:pt>
                <c:pt idx="924">
                  <c:v>64.67999999999958</c:v>
                </c:pt>
                <c:pt idx="925">
                  <c:v>64.749999999999574</c:v>
                </c:pt>
                <c:pt idx="926">
                  <c:v>64.819999999999581</c:v>
                </c:pt>
                <c:pt idx="927">
                  <c:v>64.889999999999574</c:v>
                </c:pt>
                <c:pt idx="928">
                  <c:v>64.959999999999582</c:v>
                </c:pt>
                <c:pt idx="929">
                  <c:v>65.029999999999433</c:v>
                </c:pt>
                <c:pt idx="930">
                  <c:v>65.09999999999944</c:v>
                </c:pt>
                <c:pt idx="931">
                  <c:v>65.169999999999447</c:v>
                </c:pt>
                <c:pt idx="932">
                  <c:v>65.239999999999441</c:v>
                </c:pt>
                <c:pt idx="933">
                  <c:v>65.309999999999434</c:v>
                </c:pt>
                <c:pt idx="934">
                  <c:v>65.379999999999441</c:v>
                </c:pt>
                <c:pt idx="935">
                  <c:v>65.449999999999434</c:v>
                </c:pt>
                <c:pt idx="936">
                  <c:v>65.519999999999442</c:v>
                </c:pt>
                <c:pt idx="937">
                  <c:v>65.589999999999435</c:v>
                </c:pt>
                <c:pt idx="938">
                  <c:v>65.659999999999442</c:v>
                </c:pt>
                <c:pt idx="939">
                  <c:v>65.72999999999945</c:v>
                </c:pt>
                <c:pt idx="940">
                  <c:v>65.799999999999443</c:v>
                </c:pt>
                <c:pt idx="941">
                  <c:v>65.869999999999436</c:v>
                </c:pt>
                <c:pt idx="942">
                  <c:v>65.939999999999444</c:v>
                </c:pt>
                <c:pt idx="943">
                  <c:v>66.009999999999437</c:v>
                </c:pt>
                <c:pt idx="944">
                  <c:v>66.079999999999444</c:v>
                </c:pt>
                <c:pt idx="945">
                  <c:v>66.149999999999437</c:v>
                </c:pt>
                <c:pt idx="946">
                  <c:v>66.21999999999943</c:v>
                </c:pt>
                <c:pt idx="947">
                  <c:v>66.289999999999452</c:v>
                </c:pt>
                <c:pt idx="948">
                  <c:v>66.359999999999445</c:v>
                </c:pt>
                <c:pt idx="949">
                  <c:v>66.429999999999438</c:v>
                </c:pt>
                <c:pt idx="950">
                  <c:v>66.499999999999446</c:v>
                </c:pt>
                <c:pt idx="951">
                  <c:v>66.569999999999439</c:v>
                </c:pt>
                <c:pt idx="952">
                  <c:v>66.639999999999432</c:v>
                </c:pt>
                <c:pt idx="953">
                  <c:v>66.70999999999944</c:v>
                </c:pt>
                <c:pt idx="954">
                  <c:v>66.779999999999433</c:v>
                </c:pt>
                <c:pt idx="955">
                  <c:v>66.84999999999944</c:v>
                </c:pt>
                <c:pt idx="956">
                  <c:v>66.919999999999447</c:v>
                </c:pt>
                <c:pt idx="957">
                  <c:v>66.989999999999441</c:v>
                </c:pt>
                <c:pt idx="958">
                  <c:v>67.059999999999434</c:v>
                </c:pt>
                <c:pt idx="959">
                  <c:v>67.129999999999441</c:v>
                </c:pt>
                <c:pt idx="960">
                  <c:v>67.199999999999434</c:v>
                </c:pt>
                <c:pt idx="961">
                  <c:v>67.269999999999442</c:v>
                </c:pt>
                <c:pt idx="962">
                  <c:v>67.339999999999435</c:v>
                </c:pt>
                <c:pt idx="963">
                  <c:v>67.409999999999442</c:v>
                </c:pt>
                <c:pt idx="964">
                  <c:v>67.47999999999945</c:v>
                </c:pt>
                <c:pt idx="965">
                  <c:v>67.549999999999443</c:v>
                </c:pt>
                <c:pt idx="966">
                  <c:v>67.619999999999436</c:v>
                </c:pt>
                <c:pt idx="967">
                  <c:v>67.689999999999444</c:v>
                </c:pt>
                <c:pt idx="968">
                  <c:v>67.759999999999437</c:v>
                </c:pt>
                <c:pt idx="969">
                  <c:v>67.829999999999444</c:v>
                </c:pt>
                <c:pt idx="970">
                  <c:v>67.899999999999437</c:v>
                </c:pt>
                <c:pt idx="971">
                  <c:v>67.96999999999943</c:v>
                </c:pt>
                <c:pt idx="972">
                  <c:v>68.039999999999452</c:v>
                </c:pt>
                <c:pt idx="973">
                  <c:v>68.109999999999445</c:v>
                </c:pt>
                <c:pt idx="974">
                  <c:v>68.179999999999438</c:v>
                </c:pt>
                <c:pt idx="975">
                  <c:v>68.249999999999446</c:v>
                </c:pt>
                <c:pt idx="976">
                  <c:v>68.319999999999439</c:v>
                </c:pt>
                <c:pt idx="977">
                  <c:v>68.389999999999432</c:v>
                </c:pt>
                <c:pt idx="978">
                  <c:v>68.45999999999944</c:v>
                </c:pt>
                <c:pt idx="979">
                  <c:v>68.529999999999433</c:v>
                </c:pt>
                <c:pt idx="980">
                  <c:v>68.59999999999944</c:v>
                </c:pt>
                <c:pt idx="981">
                  <c:v>68.669999999999447</c:v>
                </c:pt>
                <c:pt idx="982">
                  <c:v>68.739999999999441</c:v>
                </c:pt>
                <c:pt idx="983">
                  <c:v>68.809999999999434</c:v>
                </c:pt>
                <c:pt idx="984">
                  <c:v>68.879999999999441</c:v>
                </c:pt>
                <c:pt idx="985">
                  <c:v>68.949999999999434</c:v>
                </c:pt>
                <c:pt idx="986">
                  <c:v>69.019999999999442</c:v>
                </c:pt>
                <c:pt idx="987">
                  <c:v>69.089999999999435</c:v>
                </c:pt>
                <c:pt idx="988">
                  <c:v>69.159999999999442</c:v>
                </c:pt>
                <c:pt idx="989">
                  <c:v>69.22999999999945</c:v>
                </c:pt>
                <c:pt idx="990">
                  <c:v>69.299999999999443</c:v>
                </c:pt>
                <c:pt idx="991">
                  <c:v>69.369999999999436</c:v>
                </c:pt>
                <c:pt idx="992">
                  <c:v>69.439999999999444</c:v>
                </c:pt>
                <c:pt idx="993">
                  <c:v>69.509999999999437</c:v>
                </c:pt>
                <c:pt idx="994">
                  <c:v>69.579999999999444</c:v>
                </c:pt>
                <c:pt idx="995">
                  <c:v>69.649999999999437</c:v>
                </c:pt>
                <c:pt idx="996">
                  <c:v>69.71999999999943</c:v>
                </c:pt>
                <c:pt idx="997">
                  <c:v>69.789999999999452</c:v>
                </c:pt>
                <c:pt idx="998">
                  <c:v>69.859999999999445</c:v>
                </c:pt>
                <c:pt idx="999">
                  <c:v>69.929999999999438</c:v>
                </c:pt>
                <c:pt idx="1000">
                  <c:v>69.999999999999446</c:v>
                </c:pt>
                <c:pt idx="1001">
                  <c:v>70.069999999999439</c:v>
                </c:pt>
                <c:pt idx="1002">
                  <c:v>70.139999999999432</c:v>
                </c:pt>
                <c:pt idx="1003">
                  <c:v>70.20999999999944</c:v>
                </c:pt>
                <c:pt idx="1004">
                  <c:v>70.279999999999433</c:v>
                </c:pt>
                <c:pt idx="1005">
                  <c:v>70.34999999999944</c:v>
                </c:pt>
                <c:pt idx="1006">
                  <c:v>70.419999999999447</c:v>
                </c:pt>
                <c:pt idx="1007">
                  <c:v>70.489999999999441</c:v>
                </c:pt>
                <c:pt idx="1008">
                  <c:v>70.559999999999434</c:v>
                </c:pt>
                <c:pt idx="1009">
                  <c:v>70.629999999999441</c:v>
                </c:pt>
                <c:pt idx="1010">
                  <c:v>70.699999999999434</c:v>
                </c:pt>
                <c:pt idx="1011">
                  <c:v>70.769999999999442</c:v>
                </c:pt>
                <c:pt idx="1012">
                  <c:v>70.839999999999435</c:v>
                </c:pt>
                <c:pt idx="1013">
                  <c:v>70.909999999999442</c:v>
                </c:pt>
                <c:pt idx="1014">
                  <c:v>70.97999999999945</c:v>
                </c:pt>
                <c:pt idx="1015">
                  <c:v>71.049999999999443</c:v>
                </c:pt>
                <c:pt idx="1016">
                  <c:v>71.119999999999436</c:v>
                </c:pt>
                <c:pt idx="1017">
                  <c:v>71.189999999999444</c:v>
                </c:pt>
                <c:pt idx="1018">
                  <c:v>71.259999999999437</c:v>
                </c:pt>
                <c:pt idx="1019">
                  <c:v>71.329999999999444</c:v>
                </c:pt>
                <c:pt idx="1020">
                  <c:v>71.399999999999437</c:v>
                </c:pt>
                <c:pt idx="1021">
                  <c:v>71.46999999999943</c:v>
                </c:pt>
                <c:pt idx="1022">
                  <c:v>71.539999999999452</c:v>
                </c:pt>
                <c:pt idx="1023">
                  <c:v>71.609999999999445</c:v>
                </c:pt>
                <c:pt idx="1024">
                  <c:v>71.679999999999438</c:v>
                </c:pt>
                <c:pt idx="1025">
                  <c:v>71.749999999999446</c:v>
                </c:pt>
                <c:pt idx="1026">
                  <c:v>71.819999999999439</c:v>
                </c:pt>
                <c:pt idx="1027">
                  <c:v>71.889999999999432</c:v>
                </c:pt>
                <c:pt idx="1028">
                  <c:v>71.95999999999944</c:v>
                </c:pt>
                <c:pt idx="1029">
                  <c:v>72.029999999999433</c:v>
                </c:pt>
                <c:pt idx="1030">
                  <c:v>72.09999999999944</c:v>
                </c:pt>
                <c:pt idx="1031">
                  <c:v>72.169999999999291</c:v>
                </c:pt>
                <c:pt idx="1032">
                  <c:v>72.239999999999299</c:v>
                </c:pt>
                <c:pt idx="1033">
                  <c:v>72.309999999999306</c:v>
                </c:pt>
                <c:pt idx="1034">
                  <c:v>72.379999999999441</c:v>
                </c:pt>
                <c:pt idx="1035">
                  <c:v>72.449999999999307</c:v>
                </c:pt>
                <c:pt idx="1036">
                  <c:v>72.5199999999993</c:v>
                </c:pt>
                <c:pt idx="1037">
                  <c:v>72.589999999999293</c:v>
                </c:pt>
                <c:pt idx="1038">
                  <c:v>72.6599999999993</c:v>
                </c:pt>
                <c:pt idx="1039">
                  <c:v>72.729999999999293</c:v>
                </c:pt>
                <c:pt idx="1040">
                  <c:v>72.799999999999301</c:v>
                </c:pt>
                <c:pt idx="1041">
                  <c:v>72.869999999999308</c:v>
                </c:pt>
                <c:pt idx="1042">
                  <c:v>72.939999999999301</c:v>
                </c:pt>
                <c:pt idx="1043">
                  <c:v>73.009999999999309</c:v>
                </c:pt>
                <c:pt idx="1044">
                  <c:v>73.079999999999302</c:v>
                </c:pt>
                <c:pt idx="1045">
                  <c:v>73.149999999999295</c:v>
                </c:pt>
                <c:pt idx="1046">
                  <c:v>73.219999999999303</c:v>
                </c:pt>
                <c:pt idx="1047">
                  <c:v>73.289999999999296</c:v>
                </c:pt>
                <c:pt idx="1048">
                  <c:v>73.359999999999289</c:v>
                </c:pt>
                <c:pt idx="1049">
                  <c:v>73.42999999999931</c:v>
                </c:pt>
                <c:pt idx="1050">
                  <c:v>73.499999999999304</c:v>
                </c:pt>
                <c:pt idx="1051">
                  <c:v>73.569999999999297</c:v>
                </c:pt>
                <c:pt idx="1052">
                  <c:v>73.639999999999304</c:v>
                </c:pt>
                <c:pt idx="1053">
                  <c:v>73.709999999999297</c:v>
                </c:pt>
                <c:pt idx="1054">
                  <c:v>73.779999999999291</c:v>
                </c:pt>
                <c:pt idx="1055">
                  <c:v>73.849999999999298</c:v>
                </c:pt>
                <c:pt idx="1056">
                  <c:v>73.919999999999291</c:v>
                </c:pt>
                <c:pt idx="1057">
                  <c:v>73.989999999999299</c:v>
                </c:pt>
                <c:pt idx="1058">
                  <c:v>74.059999999999306</c:v>
                </c:pt>
                <c:pt idx="1059">
                  <c:v>74.129999999999299</c:v>
                </c:pt>
                <c:pt idx="1060">
                  <c:v>74.199999999999307</c:v>
                </c:pt>
                <c:pt idx="1061">
                  <c:v>74.2699999999993</c:v>
                </c:pt>
                <c:pt idx="1062">
                  <c:v>74.339999999999293</c:v>
                </c:pt>
                <c:pt idx="1063">
                  <c:v>74.4099999999993</c:v>
                </c:pt>
                <c:pt idx="1064">
                  <c:v>74.479999999999293</c:v>
                </c:pt>
                <c:pt idx="1065">
                  <c:v>74.549999999999301</c:v>
                </c:pt>
                <c:pt idx="1066">
                  <c:v>74.619999999999308</c:v>
                </c:pt>
                <c:pt idx="1067">
                  <c:v>74.689999999999301</c:v>
                </c:pt>
                <c:pt idx="1068">
                  <c:v>74.759999999999309</c:v>
                </c:pt>
                <c:pt idx="1069">
                  <c:v>74.829999999999302</c:v>
                </c:pt>
                <c:pt idx="1070">
                  <c:v>74.899999999999295</c:v>
                </c:pt>
                <c:pt idx="1071">
                  <c:v>74.969999999999303</c:v>
                </c:pt>
                <c:pt idx="1072">
                  <c:v>75.039999999999296</c:v>
                </c:pt>
                <c:pt idx="1073">
                  <c:v>75.109999999999289</c:v>
                </c:pt>
                <c:pt idx="1074">
                  <c:v>75.17999999999931</c:v>
                </c:pt>
                <c:pt idx="1075">
                  <c:v>75.249999999999304</c:v>
                </c:pt>
                <c:pt idx="1076">
                  <c:v>75.319999999999297</c:v>
                </c:pt>
                <c:pt idx="1077">
                  <c:v>75.389999999999304</c:v>
                </c:pt>
                <c:pt idx="1078">
                  <c:v>75.459999999999297</c:v>
                </c:pt>
                <c:pt idx="1079">
                  <c:v>75.529999999999291</c:v>
                </c:pt>
                <c:pt idx="1080">
                  <c:v>75.599999999999298</c:v>
                </c:pt>
                <c:pt idx="1081">
                  <c:v>75.669999999999291</c:v>
                </c:pt>
                <c:pt idx="1082">
                  <c:v>75.739999999999299</c:v>
                </c:pt>
                <c:pt idx="1083">
                  <c:v>75.809999999999306</c:v>
                </c:pt>
                <c:pt idx="1084">
                  <c:v>75.879999999999299</c:v>
                </c:pt>
                <c:pt idx="1085">
                  <c:v>75.949999999999307</c:v>
                </c:pt>
                <c:pt idx="1086">
                  <c:v>76.0199999999993</c:v>
                </c:pt>
                <c:pt idx="1087">
                  <c:v>76.089999999999293</c:v>
                </c:pt>
                <c:pt idx="1088">
                  <c:v>76.1599999999993</c:v>
                </c:pt>
                <c:pt idx="1089">
                  <c:v>76.229999999999293</c:v>
                </c:pt>
                <c:pt idx="1090">
                  <c:v>76.299999999999301</c:v>
                </c:pt>
                <c:pt idx="1091">
                  <c:v>76.369999999999308</c:v>
                </c:pt>
                <c:pt idx="1092">
                  <c:v>76.439999999999301</c:v>
                </c:pt>
                <c:pt idx="1093">
                  <c:v>76.509999999999309</c:v>
                </c:pt>
                <c:pt idx="1094">
                  <c:v>76.579999999999302</c:v>
                </c:pt>
                <c:pt idx="1095">
                  <c:v>76.649999999999295</c:v>
                </c:pt>
                <c:pt idx="1096">
                  <c:v>76.719999999999303</c:v>
                </c:pt>
                <c:pt idx="1097">
                  <c:v>76.789999999999296</c:v>
                </c:pt>
                <c:pt idx="1098">
                  <c:v>76.859999999999289</c:v>
                </c:pt>
                <c:pt idx="1099">
                  <c:v>76.92999999999931</c:v>
                </c:pt>
                <c:pt idx="1100">
                  <c:v>76.999999999999304</c:v>
                </c:pt>
                <c:pt idx="1101">
                  <c:v>77.069999999999297</c:v>
                </c:pt>
                <c:pt idx="1102">
                  <c:v>77.139999999999304</c:v>
                </c:pt>
                <c:pt idx="1103">
                  <c:v>77.209999999999297</c:v>
                </c:pt>
                <c:pt idx="1104">
                  <c:v>77.279999999999291</c:v>
                </c:pt>
                <c:pt idx="1105">
                  <c:v>77.349999999999298</c:v>
                </c:pt>
                <c:pt idx="1106">
                  <c:v>77.419999999999291</c:v>
                </c:pt>
                <c:pt idx="1107">
                  <c:v>77.489999999999299</c:v>
                </c:pt>
                <c:pt idx="1108">
                  <c:v>77.559999999999306</c:v>
                </c:pt>
                <c:pt idx="1109">
                  <c:v>77.629999999999299</c:v>
                </c:pt>
                <c:pt idx="1110">
                  <c:v>77.699999999999307</c:v>
                </c:pt>
                <c:pt idx="1111">
                  <c:v>77.7699999999993</c:v>
                </c:pt>
                <c:pt idx="1112">
                  <c:v>77.839999999999293</c:v>
                </c:pt>
                <c:pt idx="1113">
                  <c:v>77.9099999999993</c:v>
                </c:pt>
                <c:pt idx="1114">
                  <c:v>77.979999999999293</c:v>
                </c:pt>
                <c:pt idx="1115">
                  <c:v>78.049999999999301</c:v>
                </c:pt>
                <c:pt idx="1116">
                  <c:v>78.119999999999308</c:v>
                </c:pt>
                <c:pt idx="1117">
                  <c:v>78.189999999999301</c:v>
                </c:pt>
                <c:pt idx="1118">
                  <c:v>78.259999999999309</c:v>
                </c:pt>
                <c:pt idx="1119">
                  <c:v>78.329999999999302</c:v>
                </c:pt>
                <c:pt idx="1120">
                  <c:v>78.399999999999167</c:v>
                </c:pt>
                <c:pt idx="1121">
                  <c:v>78.469999999999303</c:v>
                </c:pt>
                <c:pt idx="1122">
                  <c:v>78.539999999999296</c:v>
                </c:pt>
                <c:pt idx="1123">
                  <c:v>78.609999999999289</c:v>
                </c:pt>
                <c:pt idx="1124">
                  <c:v>78.67999999999931</c:v>
                </c:pt>
                <c:pt idx="1125">
                  <c:v>78.749999999999147</c:v>
                </c:pt>
                <c:pt idx="1126">
                  <c:v>78.819999999999169</c:v>
                </c:pt>
                <c:pt idx="1127">
                  <c:v>78.889999999999162</c:v>
                </c:pt>
                <c:pt idx="1128">
                  <c:v>78.959999999999297</c:v>
                </c:pt>
                <c:pt idx="1129">
                  <c:v>79.029999999999163</c:v>
                </c:pt>
                <c:pt idx="1130">
                  <c:v>79.099999999999156</c:v>
                </c:pt>
                <c:pt idx="1131">
                  <c:v>79.169999999999163</c:v>
                </c:pt>
                <c:pt idx="1132">
                  <c:v>79.239999999999156</c:v>
                </c:pt>
                <c:pt idx="1133">
                  <c:v>79.30999999999915</c:v>
                </c:pt>
                <c:pt idx="1134">
                  <c:v>79.379999999999171</c:v>
                </c:pt>
                <c:pt idx="1135">
                  <c:v>79.449999999999164</c:v>
                </c:pt>
                <c:pt idx="1136">
                  <c:v>79.519999999999158</c:v>
                </c:pt>
                <c:pt idx="1137">
                  <c:v>79.589999999999165</c:v>
                </c:pt>
                <c:pt idx="1138">
                  <c:v>79.659999999999158</c:v>
                </c:pt>
                <c:pt idx="1139">
                  <c:v>79.729999999999166</c:v>
                </c:pt>
                <c:pt idx="1140">
                  <c:v>79.799999999999159</c:v>
                </c:pt>
                <c:pt idx="1141">
                  <c:v>79.869999999999152</c:v>
                </c:pt>
                <c:pt idx="1142">
                  <c:v>79.939999999999159</c:v>
                </c:pt>
                <c:pt idx="1143">
                  <c:v>80.009999999999167</c:v>
                </c:pt>
                <c:pt idx="1144">
                  <c:v>80.07999999999916</c:v>
                </c:pt>
                <c:pt idx="1145">
                  <c:v>80.149999999999167</c:v>
                </c:pt>
                <c:pt idx="1146">
                  <c:v>80.21999999999916</c:v>
                </c:pt>
                <c:pt idx="1147">
                  <c:v>80.289999999999154</c:v>
                </c:pt>
                <c:pt idx="1148">
                  <c:v>80.359999999999161</c:v>
                </c:pt>
                <c:pt idx="1149">
                  <c:v>80.429999999999154</c:v>
                </c:pt>
                <c:pt idx="1150">
                  <c:v>80.499999999999147</c:v>
                </c:pt>
                <c:pt idx="1151">
                  <c:v>80.569999999999169</c:v>
                </c:pt>
                <c:pt idx="1152">
                  <c:v>80.639999999999162</c:v>
                </c:pt>
                <c:pt idx="1153">
                  <c:v>80.709999999999155</c:v>
                </c:pt>
                <c:pt idx="1154">
                  <c:v>80.779999999999163</c:v>
                </c:pt>
                <c:pt idx="1155">
                  <c:v>80.849999999999156</c:v>
                </c:pt>
                <c:pt idx="1156">
                  <c:v>80.919999999999163</c:v>
                </c:pt>
                <c:pt idx="1157">
                  <c:v>80.989999999999156</c:v>
                </c:pt>
                <c:pt idx="1158">
                  <c:v>81.05999999999915</c:v>
                </c:pt>
                <c:pt idx="1159">
                  <c:v>81.129999999999171</c:v>
                </c:pt>
                <c:pt idx="1160">
                  <c:v>81.199999999999164</c:v>
                </c:pt>
                <c:pt idx="1161">
                  <c:v>81.269999999999158</c:v>
                </c:pt>
                <c:pt idx="1162">
                  <c:v>81.339999999999165</c:v>
                </c:pt>
                <c:pt idx="1163">
                  <c:v>81.409999999999158</c:v>
                </c:pt>
                <c:pt idx="1164">
                  <c:v>81.479999999999166</c:v>
                </c:pt>
                <c:pt idx="1165">
                  <c:v>81.549999999999159</c:v>
                </c:pt>
                <c:pt idx="1166">
                  <c:v>81.619999999999152</c:v>
                </c:pt>
                <c:pt idx="1167">
                  <c:v>81.689999999999159</c:v>
                </c:pt>
                <c:pt idx="1168">
                  <c:v>81.759999999999167</c:v>
                </c:pt>
                <c:pt idx="1169">
                  <c:v>81.82999999999916</c:v>
                </c:pt>
                <c:pt idx="1170">
                  <c:v>81.899999999999167</c:v>
                </c:pt>
                <c:pt idx="1171">
                  <c:v>81.96999999999916</c:v>
                </c:pt>
                <c:pt idx="1172">
                  <c:v>82.039999999999154</c:v>
                </c:pt>
                <c:pt idx="1173">
                  <c:v>82.109999999999161</c:v>
                </c:pt>
                <c:pt idx="1174">
                  <c:v>82.179999999999154</c:v>
                </c:pt>
                <c:pt idx="1175">
                  <c:v>82.249999999999147</c:v>
                </c:pt>
                <c:pt idx="1176">
                  <c:v>82.319999999999169</c:v>
                </c:pt>
                <c:pt idx="1177">
                  <c:v>82.389999999999162</c:v>
                </c:pt>
                <c:pt idx="1178">
                  <c:v>82.459999999999155</c:v>
                </c:pt>
                <c:pt idx="1179">
                  <c:v>82.529999999999163</c:v>
                </c:pt>
                <c:pt idx="1180">
                  <c:v>82.599999999999156</c:v>
                </c:pt>
                <c:pt idx="1181">
                  <c:v>82.669999999999163</c:v>
                </c:pt>
                <c:pt idx="1182">
                  <c:v>82.739999999999156</c:v>
                </c:pt>
                <c:pt idx="1183">
                  <c:v>82.80999999999915</c:v>
                </c:pt>
                <c:pt idx="1184">
                  <c:v>82.879999999999171</c:v>
                </c:pt>
                <c:pt idx="1185">
                  <c:v>82.949999999999164</c:v>
                </c:pt>
                <c:pt idx="1186">
                  <c:v>83.019999999999158</c:v>
                </c:pt>
                <c:pt idx="1187">
                  <c:v>83.089999999999165</c:v>
                </c:pt>
                <c:pt idx="1188">
                  <c:v>83.159999999999158</c:v>
                </c:pt>
                <c:pt idx="1189">
                  <c:v>83.229999999999166</c:v>
                </c:pt>
                <c:pt idx="1190">
                  <c:v>83.299999999999159</c:v>
                </c:pt>
                <c:pt idx="1191">
                  <c:v>83.369999999999152</c:v>
                </c:pt>
                <c:pt idx="1192">
                  <c:v>83.439999999999159</c:v>
                </c:pt>
                <c:pt idx="1193">
                  <c:v>83.509999999999167</c:v>
                </c:pt>
                <c:pt idx="1194">
                  <c:v>83.57999999999916</c:v>
                </c:pt>
                <c:pt idx="1195">
                  <c:v>83.649999999999167</c:v>
                </c:pt>
                <c:pt idx="1196">
                  <c:v>83.71999999999916</c:v>
                </c:pt>
                <c:pt idx="1197">
                  <c:v>83.789999999999154</c:v>
                </c:pt>
                <c:pt idx="1198">
                  <c:v>83.859999999999161</c:v>
                </c:pt>
                <c:pt idx="1199">
                  <c:v>83.929999999999154</c:v>
                </c:pt>
                <c:pt idx="1200">
                  <c:v>83.999999999999147</c:v>
                </c:pt>
                <c:pt idx="1201">
                  <c:v>84.069999999999169</c:v>
                </c:pt>
                <c:pt idx="1202">
                  <c:v>84.139999999999162</c:v>
                </c:pt>
                <c:pt idx="1203">
                  <c:v>84.209999999999155</c:v>
                </c:pt>
                <c:pt idx="1204">
                  <c:v>84.279999999999163</c:v>
                </c:pt>
                <c:pt idx="1205">
                  <c:v>84.349999999999156</c:v>
                </c:pt>
                <c:pt idx="1206">
                  <c:v>84.419999999999163</c:v>
                </c:pt>
                <c:pt idx="1207">
                  <c:v>84.489999999999156</c:v>
                </c:pt>
                <c:pt idx="1208">
                  <c:v>84.55999999999915</c:v>
                </c:pt>
                <c:pt idx="1209">
                  <c:v>84.629999999999171</c:v>
                </c:pt>
                <c:pt idx="1210">
                  <c:v>84.699999999999164</c:v>
                </c:pt>
                <c:pt idx="1211">
                  <c:v>84.769999999999158</c:v>
                </c:pt>
                <c:pt idx="1212">
                  <c:v>84.839999999999165</c:v>
                </c:pt>
                <c:pt idx="1213">
                  <c:v>84.909999999999158</c:v>
                </c:pt>
                <c:pt idx="1214">
                  <c:v>84.979999999999166</c:v>
                </c:pt>
                <c:pt idx="1215">
                  <c:v>85.049999999999159</c:v>
                </c:pt>
                <c:pt idx="1216">
                  <c:v>85.119999999999152</c:v>
                </c:pt>
                <c:pt idx="1217">
                  <c:v>85.189999999999159</c:v>
                </c:pt>
                <c:pt idx="1218">
                  <c:v>85.25999999999901</c:v>
                </c:pt>
                <c:pt idx="1219">
                  <c:v>85.329999999999018</c:v>
                </c:pt>
                <c:pt idx="1220">
                  <c:v>85.399999999999025</c:v>
                </c:pt>
                <c:pt idx="1221">
                  <c:v>85.469999999999018</c:v>
                </c:pt>
                <c:pt idx="1222">
                  <c:v>85.539999999999026</c:v>
                </c:pt>
                <c:pt idx="1223">
                  <c:v>85.609999999999019</c:v>
                </c:pt>
                <c:pt idx="1224">
                  <c:v>85.679999999999012</c:v>
                </c:pt>
                <c:pt idx="1225">
                  <c:v>85.749999999999019</c:v>
                </c:pt>
                <c:pt idx="1226">
                  <c:v>85.819999999999013</c:v>
                </c:pt>
                <c:pt idx="1227">
                  <c:v>85.88999999999902</c:v>
                </c:pt>
                <c:pt idx="1228">
                  <c:v>85.959999999999027</c:v>
                </c:pt>
                <c:pt idx="1229">
                  <c:v>86.029999999999021</c:v>
                </c:pt>
                <c:pt idx="1230">
                  <c:v>86.099999999999028</c:v>
                </c:pt>
                <c:pt idx="1231">
                  <c:v>86.169999999999021</c:v>
                </c:pt>
                <c:pt idx="1232">
                  <c:v>86.239999999999014</c:v>
                </c:pt>
                <c:pt idx="1233">
                  <c:v>86.309999999999022</c:v>
                </c:pt>
                <c:pt idx="1234">
                  <c:v>86.379999999999015</c:v>
                </c:pt>
                <c:pt idx="1235">
                  <c:v>86.449999999999022</c:v>
                </c:pt>
                <c:pt idx="1236">
                  <c:v>86.51999999999903</c:v>
                </c:pt>
                <c:pt idx="1237">
                  <c:v>86.589999999999023</c:v>
                </c:pt>
                <c:pt idx="1238">
                  <c:v>86.65999999999903</c:v>
                </c:pt>
                <c:pt idx="1239">
                  <c:v>86.729999999999023</c:v>
                </c:pt>
                <c:pt idx="1240">
                  <c:v>86.799999999999017</c:v>
                </c:pt>
                <c:pt idx="1241">
                  <c:v>86.869999999999024</c:v>
                </c:pt>
                <c:pt idx="1242">
                  <c:v>86.939999999999017</c:v>
                </c:pt>
                <c:pt idx="1243">
                  <c:v>87.00999999999901</c:v>
                </c:pt>
                <c:pt idx="1244">
                  <c:v>87.079999999999018</c:v>
                </c:pt>
                <c:pt idx="1245">
                  <c:v>87.149999999999025</c:v>
                </c:pt>
                <c:pt idx="1246">
                  <c:v>87.219999999999018</c:v>
                </c:pt>
                <c:pt idx="1247">
                  <c:v>87.289999999999026</c:v>
                </c:pt>
                <c:pt idx="1248">
                  <c:v>87.359999999999019</c:v>
                </c:pt>
                <c:pt idx="1249">
                  <c:v>87.429999999999012</c:v>
                </c:pt>
                <c:pt idx="1250">
                  <c:v>87.499999999999019</c:v>
                </c:pt>
                <c:pt idx="1251">
                  <c:v>87.569999999999013</c:v>
                </c:pt>
                <c:pt idx="1252">
                  <c:v>87.63999999999902</c:v>
                </c:pt>
                <c:pt idx="1253">
                  <c:v>87.709999999999027</c:v>
                </c:pt>
                <c:pt idx="1254">
                  <c:v>87.779999999999021</c:v>
                </c:pt>
                <c:pt idx="1255">
                  <c:v>87.849999999999028</c:v>
                </c:pt>
                <c:pt idx="1256">
                  <c:v>87.919999999999021</c:v>
                </c:pt>
                <c:pt idx="1257">
                  <c:v>87.989999999999014</c:v>
                </c:pt>
                <c:pt idx="1258">
                  <c:v>88.059999999999022</c:v>
                </c:pt>
                <c:pt idx="1259">
                  <c:v>88.129999999999015</c:v>
                </c:pt>
                <c:pt idx="1260">
                  <c:v>88.199999999999022</c:v>
                </c:pt>
                <c:pt idx="1261">
                  <c:v>88.26999999999903</c:v>
                </c:pt>
                <c:pt idx="1262">
                  <c:v>88.339999999999023</c:v>
                </c:pt>
                <c:pt idx="1263">
                  <c:v>88.40999999999903</c:v>
                </c:pt>
                <c:pt idx="1264">
                  <c:v>88.479999999999023</c:v>
                </c:pt>
                <c:pt idx="1265">
                  <c:v>88.549999999999017</c:v>
                </c:pt>
                <c:pt idx="1266">
                  <c:v>88.619999999999024</c:v>
                </c:pt>
                <c:pt idx="1267">
                  <c:v>88.689999999999017</c:v>
                </c:pt>
                <c:pt idx="1268">
                  <c:v>88.75999999999901</c:v>
                </c:pt>
                <c:pt idx="1269">
                  <c:v>88.829999999999018</c:v>
                </c:pt>
                <c:pt idx="1270">
                  <c:v>88.899999999999025</c:v>
                </c:pt>
                <c:pt idx="1271">
                  <c:v>88.969999999999018</c:v>
                </c:pt>
                <c:pt idx="1272">
                  <c:v>89.039999999999026</c:v>
                </c:pt>
                <c:pt idx="1273">
                  <c:v>89.109999999999019</c:v>
                </c:pt>
                <c:pt idx="1274">
                  <c:v>89.179999999999012</c:v>
                </c:pt>
                <c:pt idx="1275">
                  <c:v>89.249999999999019</c:v>
                </c:pt>
                <c:pt idx="1276">
                  <c:v>89.319999999999013</c:v>
                </c:pt>
                <c:pt idx="1277">
                  <c:v>89.38999999999902</c:v>
                </c:pt>
                <c:pt idx="1278">
                  <c:v>89.459999999999027</c:v>
                </c:pt>
                <c:pt idx="1279">
                  <c:v>89.529999999999021</c:v>
                </c:pt>
                <c:pt idx="1280">
                  <c:v>89.599999999999028</c:v>
                </c:pt>
                <c:pt idx="1281">
                  <c:v>89.669999999999021</c:v>
                </c:pt>
                <c:pt idx="1282">
                  <c:v>89.739999999999014</c:v>
                </c:pt>
                <c:pt idx="1283">
                  <c:v>89.809999999999022</c:v>
                </c:pt>
                <c:pt idx="1284">
                  <c:v>89.879999999999015</c:v>
                </c:pt>
                <c:pt idx="1285">
                  <c:v>89.949999999999022</c:v>
                </c:pt>
                <c:pt idx="1286">
                  <c:v>90.01999999999903</c:v>
                </c:pt>
                <c:pt idx="1287">
                  <c:v>90.089999999999023</c:v>
                </c:pt>
                <c:pt idx="1288">
                  <c:v>90.15999999999903</c:v>
                </c:pt>
                <c:pt idx="1289">
                  <c:v>90.229999999999023</c:v>
                </c:pt>
                <c:pt idx="1290">
                  <c:v>90.299999999999017</c:v>
                </c:pt>
                <c:pt idx="1291">
                  <c:v>90.369999999999024</c:v>
                </c:pt>
                <c:pt idx="1292">
                  <c:v>90.439999999999017</c:v>
                </c:pt>
                <c:pt idx="1293">
                  <c:v>90.50999999999901</c:v>
                </c:pt>
                <c:pt idx="1294">
                  <c:v>90.579999999999018</c:v>
                </c:pt>
                <c:pt idx="1295">
                  <c:v>90.649999999999025</c:v>
                </c:pt>
                <c:pt idx="1296">
                  <c:v>90.719999999999018</c:v>
                </c:pt>
                <c:pt idx="1297">
                  <c:v>90.789999999999026</c:v>
                </c:pt>
                <c:pt idx="1298">
                  <c:v>90.859999999999019</c:v>
                </c:pt>
                <c:pt idx="1299">
                  <c:v>90.929999999999012</c:v>
                </c:pt>
                <c:pt idx="1300">
                  <c:v>90.999999999999019</c:v>
                </c:pt>
                <c:pt idx="1301">
                  <c:v>91.069999999999013</c:v>
                </c:pt>
                <c:pt idx="1302">
                  <c:v>91.13999999999902</c:v>
                </c:pt>
                <c:pt idx="1303">
                  <c:v>91.209999999999027</c:v>
                </c:pt>
                <c:pt idx="1304">
                  <c:v>91.279999999999021</c:v>
                </c:pt>
                <c:pt idx="1305">
                  <c:v>91.349999999999028</c:v>
                </c:pt>
                <c:pt idx="1306">
                  <c:v>91.419999999999021</c:v>
                </c:pt>
                <c:pt idx="1307">
                  <c:v>91.489999999999014</c:v>
                </c:pt>
                <c:pt idx="1308">
                  <c:v>91.559999999999022</c:v>
                </c:pt>
                <c:pt idx="1309">
                  <c:v>91.629999999999015</c:v>
                </c:pt>
                <c:pt idx="1310">
                  <c:v>91.699999999999022</c:v>
                </c:pt>
                <c:pt idx="1311">
                  <c:v>91.76999999999903</c:v>
                </c:pt>
                <c:pt idx="1312">
                  <c:v>91.839999999998881</c:v>
                </c:pt>
                <c:pt idx="1313">
                  <c:v>91.909999999998874</c:v>
                </c:pt>
                <c:pt idx="1314">
                  <c:v>91.979999999998881</c:v>
                </c:pt>
                <c:pt idx="1315">
                  <c:v>92.049999999998889</c:v>
                </c:pt>
                <c:pt idx="1316">
                  <c:v>92.119999999998882</c:v>
                </c:pt>
                <c:pt idx="1317">
                  <c:v>92.189999999998875</c:v>
                </c:pt>
                <c:pt idx="1318">
                  <c:v>92.259999999998882</c:v>
                </c:pt>
                <c:pt idx="1319">
                  <c:v>92.329999999998876</c:v>
                </c:pt>
                <c:pt idx="1320">
                  <c:v>92.399999999998869</c:v>
                </c:pt>
                <c:pt idx="1321">
                  <c:v>92.469999999998876</c:v>
                </c:pt>
                <c:pt idx="1322">
                  <c:v>92.539999999998884</c:v>
                </c:pt>
                <c:pt idx="1323">
                  <c:v>92.609999999998877</c:v>
                </c:pt>
                <c:pt idx="1324">
                  <c:v>92.679999999998884</c:v>
                </c:pt>
                <c:pt idx="1325">
                  <c:v>92.749999999998877</c:v>
                </c:pt>
                <c:pt idx="1326">
                  <c:v>92.819999999998885</c:v>
                </c:pt>
                <c:pt idx="1327">
                  <c:v>92.889999999998878</c:v>
                </c:pt>
                <c:pt idx="1328">
                  <c:v>92.959999999998871</c:v>
                </c:pt>
                <c:pt idx="1329">
                  <c:v>93.029999999998878</c:v>
                </c:pt>
                <c:pt idx="1330">
                  <c:v>93.099999999998886</c:v>
                </c:pt>
                <c:pt idx="1331">
                  <c:v>93.169999999998879</c:v>
                </c:pt>
                <c:pt idx="1332">
                  <c:v>93.239999999998886</c:v>
                </c:pt>
                <c:pt idx="1333">
                  <c:v>93.30999999999888</c:v>
                </c:pt>
                <c:pt idx="1334">
                  <c:v>93.379999999998887</c:v>
                </c:pt>
                <c:pt idx="1335">
                  <c:v>93.44999999999888</c:v>
                </c:pt>
                <c:pt idx="1336">
                  <c:v>93.519999999998873</c:v>
                </c:pt>
                <c:pt idx="1337">
                  <c:v>93.589999999998881</c:v>
                </c:pt>
                <c:pt idx="1338">
                  <c:v>93.659999999998874</c:v>
                </c:pt>
                <c:pt idx="1339">
                  <c:v>93.729999999998881</c:v>
                </c:pt>
                <c:pt idx="1340">
                  <c:v>93.799999999998889</c:v>
                </c:pt>
                <c:pt idx="1341">
                  <c:v>93.869999999998882</c:v>
                </c:pt>
                <c:pt idx="1342">
                  <c:v>93.939999999998875</c:v>
                </c:pt>
                <c:pt idx="1343">
                  <c:v>94.009999999998882</c:v>
                </c:pt>
                <c:pt idx="1344">
                  <c:v>94.079999999998876</c:v>
                </c:pt>
                <c:pt idx="1345">
                  <c:v>94.149999999998869</c:v>
                </c:pt>
                <c:pt idx="1346">
                  <c:v>94.219999999998876</c:v>
                </c:pt>
                <c:pt idx="1347">
                  <c:v>94.289999999998884</c:v>
                </c:pt>
                <c:pt idx="1348">
                  <c:v>94.359999999998877</c:v>
                </c:pt>
                <c:pt idx="1349">
                  <c:v>94.429999999998884</c:v>
                </c:pt>
                <c:pt idx="1350">
                  <c:v>94.499999999998877</c:v>
                </c:pt>
                <c:pt idx="1351">
                  <c:v>94.569999999998885</c:v>
                </c:pt>
                <c:pt idx="1352">
                  <c:v>94.639999999998878</c:v>
                </c:pt>
                <c:pt idx="1353">
                  <c:v>94.709999999998871</c:v>
                </c:pt>
                <c:pt idx="1354">
                  <c:v>94.779999999998878</c:v>
                </c:pt>
                <c:pt idx="1355">
                  <c:v>94.849999999998886</c:v>
                </c:pt>
                <c:pt idx="1356">
                  <c:v>94.919999999998879</c:v>
                </c:pt>
                <c:pt idx="1357">
                  <c:v>94.989999999998886</c:v>
                </c:pt>
                <c:pt idx="1358">
                  <c:v>95.05999999999888</c:v>
                </c:pt>
                <c:pt idx="1359">
                  <c:v>95.129999999998887</c:v>
                </c:pt>
                <c:pt idx="1360">
                  <c:v>95.19999999999888</c:v>
                </c:pt>
                <c:pt idx="1361">
                  <c:v>95.269999999998873</c:v>
                </c:pt>
                <c:pt idx="1362">
                  <c:v>95.339999999998881</c:v>
                </c:pt>
                <c:pt idx="1363">
                  <c:v>95.409999999998874</c:v>
                </c:pt>
                <c:pt idx="1364">
                  <c:v>95.479999999998881</c:v>
                </c:pt>
                <c:pt idx="1365">
                  <c:v>95.549999999998889</c:v>
                </c:pt>
                <c:pt idx="1366">
                  <c:v>95.619999999998882</c:v>
                </c:pt>
                <c:pt idx="1367">
                  <c:v>95.689999999998875</c:v>
                </c:pt>
                <c:pt idx="1368">
                  <c:v>95.759999999998882</c:v>
                </c:pt>
                <c:pt idx="1369">
                  <c:v>95.829999999998876</c:v>
                </c:pt>
                <c:pt idx="1370">
                  <c:v>95.899999999998869</c:v>
                </c:pt>
                <c:pt idx="1371">
                  <c:v>95.969999999998876</c:v>
                </c:pt>
                <c:pt idx="1372">
                  <c:v>96.039999999998884</c:v>
                </c:pt>
                <c:pt idx="1373">
                  <c:v>96.109999999998877</c:v>
                </c:pt>
                <c:pt idx="1374">
                  <c:v>96.179999999998884</c:v>
                </c:pt>
                <c:pt idx="1375">
                  <c:v>96.249999999998877</c:v>
                </c:pt>
                <c:pt idx="1376">
                  <c:v>96.319999999998885</c:v>
                </c:pt>
                <c:pt idx="1377">
                  <c:v>96.389999999998878</c:v>
                </c:pt>
                <c:pt idx="1378">
                  <c:v>96.459999999998871</c:v>
                </c:pt>
                <c:pt idx="1379">
                  <c:v>96.529999999998878</c:v>
                </c:pt>
                <c:pt idx="1380">
                  <c:v>96.599999999998886</c:v>
                </c:pt>
                <c:pt idx="1381">
                  <c:v>96.669999999998879</c:v>
                </c:pt>
                <c:pt idx="1382">
                  <c:v>96.739999999998886</c:v>
                </c:pt>
                <c:pt idx="1383">
                  <c:v>96.80999999999888</c:v>
                </c:pt>
                <c:pt idx="1384">
                  <c:v>96.879999999998887</c:v>
                </c:pt>
                <c:pt idx="1385">
                  <c:v>96.94999999999888</c:v>
                </c:pt>
                <c:pt idx="1386">
                  <c:v>97.019999999998873</c:v>
                </c:pt>
                <c:pt idx="1387">
                  <c:v>97.089999999998881</c:v>
                </c:pt>
                <c:pt idx="1388">
                  <c:v>97.159999999998874</c:v>
                </c:pt>
                <c:pt idx="1389">
                  <c:v>97.229999999998881</c:v>
                </c:pt>
                <c:pt idx="1390">
                  <c:v>97.299999999998889</c:v>
                </c:pt>
                <c:pt idx="1391">
                  <c:v>97.369999999998882</c:v>
                </c:pt>
                <c:pt idx="1392">
                  <c:v>97.439999999998875</c:v>
                </c:pt>
                <c:pt idx="1393">
                  <c:v>97.509999999998882</c:v>
                </c:pt>
                <c:pt idx="1394">
                  <c:v>97.579999999998876</c:v>
                </c:pt>
                <c:pt idx="1395">
                  <c:v>97.649999999998869</c:v>
                </c:pt>
                <c:pt idx="1396">
                  <c:v>97.719999999998876</c:v>
                </c:pt>
                <c:pt idx="1397">
                  <c:v>97.789999999998884</c:v>
                </c:pt>
                <c:pt idx="1398">
                  <c:v>97.859999999998877</c:v>
                </c:pt>
                <c:pt idx="1399">
                  <c:v>97.929999999998884</c:v>
                </c:pt>
                <c:pt idx="1400">
                  <c:v>97.999999999998877</c:v>
                </c:pt>
                <c:pt idx="1401">
                  <c:v>98.069999999998885</c:v>
                </c:pt>
                <c:pt idx="1402">
                  <c:v>98.139999999998878</c:v>
                </c:pt>
                <c:pt idx="1403">
                  <c:v>98.209999999998871</c:v>
                </c:pt>
                <c:pt idx="1404">
                  <c:v>98.279999999998878</c:v>
                </c:pt>
                <c:pt idx="1405">
                  <c:v>98.349999999998886</c:v>
                </c:pt>
                <c:pt idx="1406">
                  <c:v>98.419999999998737</c:v>
                </c:pt>
                <c:pt idx="1407">
                  <c:v>98.489999999998744</c:v>
                </c:pt>
                <c:pt idx="1408">
                  <c:v>98.559999999998752</c:v>
                </c:pt>
                <c:pt idx="1409">
                  <c:v>98.629999999998745</c:v>
                </c:pt>
                <c:pt idx="1410">
                  <c:v>98.699999999998738</c:v>
                </c:pt>
                <c:pt idx="1411">
                  <c:v>98.769999999998745</c:v>
                </c:pt>
                <c:pt idx="1412">
                  <c:v>98.839999999998739</c:v>
                </c:pt>
                <c:pt idx="1413">
                  <c:v>98.909999999998732</c:v>
                </c:pt>
                <c:pt idx="1414">
                  <c:v>98.979999999998739</c:v>
                </c:pt>
                <c:pt idx="1415">
                  <c:v>99.049999999998732</c:v>
                </c:pt>
                <c:pt idx="1416">
                  <c:v>99.11999999999874</c:v>
                </c:pt>
                <c:pt idx="1417">
                  <c:v>99.189999999998747</c:v>
                </c:pt>
                <c:pt idx="1418">
                  <c:v>99.25999999999874</c:v>
                </c:pt>
                <c:pt idx="1419">
                  <c:v>99.329999999998734</c:v>
                </c:pt>
                <c:pt idx="1420">
                  <c:v>99.399999999998741</c:v>
                </c:pt>
                <c:pt idx="1421">
                  <c:v>99.469999999998734</c:v>
                </c:pt>
                <c:pt idx="1422">
                  <c:v>99.539999999998741</c:v>
                </c:pt>
                <c:pt idx="1423">
                  <c:v>99.609999999998735</c:v>
                </c:pt>
                <c:pt idx="1424">
                  <c:v>99.679999999998742</c:v>
                </c:pt>
                <c:pt idx="1425">
                  <c:v>99.749999999998749</c:v>
                </c:pt>
                <c:pt idx="1426">
                  <c:v>99.819999999998743</c:v>
                </c:pt>
                <c:pt idx="1427">
                  <c:v>99.889999999998736</c:v>
                </c:pt>
                <c:pt idx="1428">
                  <c:v>99.959999999998743</c:v>
                </c:pt>
                <c:pt idx="1429">
                  <c:v>100.02999999999874</c:v>
                </c:pt>
                <c:pt idx="1430">
                  <c:v>100.09999999999874</c:v>
                </c:pt>
                <c:pt idx="1431">
                  <c:v>100.16999999999874</c:v>
                </c:pt>
                <c:pt idx="1432">
                  <c:v>100.23999999999874</c:v>
                </c:pt>
                <c:pt idx="1433">
                  <c:v>100.30999999999875</c:v>
                </c:pt>
                <c:pt idx="1434">
                  <c:v>100.37999999999874</c:v>
                </c:pt>
                <c:pt idx="1435">
                  <c:v>100.44999999999874</c:v>
                </c:pt>
                <c:pt idx="1436">
                  <c:v>100.51999999999875</c:v>
                </c:pt>
                <c:pt idx="1437">
                  <c:v>100.58999999999874</c:v>
                </c:pt>
                <c:pt idx="1438">
                  <c:v>100.65999999999873</c:v>
                </c:pt>
                <c:pt idx="1439">
                  <c:v>100.72999999999874</c:v>
                </c:pt>
                <c:pt idx="1440">
                  <c:v>100.79999999999873</c:v>
                </c:pt>
                <c:pt idx="1441">
                  <c:v>100.86999999999874</c:v>
                </c:pt>
                <c:pt idx="1442">
                  <c:v>100.93999999999875</c:v>
                </c:pt>
                <c:pt idx="1443">
                  <c:v>101.00999999999874</c:v>
                </c:pt>
                <c:pt idx="1444">
                  <c:v>101.07999999999873</c:v>
                </c:pt>
                <c:pt idx="1445">
                  <c:v>101.14999999999874</c:v>
                </c:pt>
                <c:pt idx="1446">
                  <c:v>101.21999999999873</c:v>
                </c:pt>
                <c:pt idx="1447">
                  <c:v>101.28999999999874</c:v>
                </c:pt>
                <c:pt idx="1448">
                  <c:v>101.35999999999873</c:v>
                </c:pt>
                <c:pt idx="1449">
                  <c:v>101.42999999999874</c:v>
                </c:pt>
                <c:pt idx="1450">
                  <c:v>101.49999999999875</c:v>
                </c:pt>
                <c:pt idx="1451">
                  <c:v>101.56999999999874</c:v>
                </c:pt>
                <c:pt idx="1452">
                  <c:v>101.63999999999874</c:v>
                </c:pt>
                <c:pt idx="1453">
                  <c:v>101.70999999999874</c:v>
                </c:pt>
                <c:pt idx="1454">
                  <c:v>101.77999999999874</c:v>
                </c:pt>
                <c:pt idx="1455">
                  <c:v>101.84999999999874</c:v>
                </c:pt>
                <c:pt idx="1456">
                  <c:v>101.91999999999874</c:v>
                </c:pt>
                <c:pt idx="1457">
                  <c:v>101.98999999999874</c:v>
                </c:pt>
                <c:pt idx="1458">
                  <c:v>102.05999999999875</c:v>
                </c:pt>
                <c:pt idx="1459">
                  <c:v>102.12999999999874</c:v>
                </c:pt>
                <c:pt idx="1460">
                  <c:v>102.19999999999874</c:v>
                </c:pt>
                <c:pt idx="1461">
                  <c:v>102.26999999999875</c:v>
                </c:pt>
                <c:pt idx="1462">
                  <c:v>102.33999999999874</c:v>
                </c:pt>
                <c:pt idx="1463">
                  <c:v>102.40999999999873</c:v>
                </c:pt>
                <c:pt idx="1464">
                  <c:v>102.47999999999874</c:v>
                </c:pt>
                <c:pt idx="1465">
                  <c:v>102.54999999999873</c:v>
                </c:pt>
                <c:pt idx="1466">
                  <c:v>102.61999999999874</c:v>
                </c:pt>
                <c:pt idx="1467">
                  <c:v>102.68999999999875</c:v>
                </c:pt>
                <c:pt idx="1468">
                  <c:v>102.75999999999874</c:v>
                </c:pt>
                <c:pt idx="1469">
                  <c:v>102.82999999999873</c:v>
                </c:pt>
                <c:pt idx="1470">
                  <c:v>102.89999999999874</c:v>
                </c:pt>
                <c:pt idx="1471">
                  <c:v>102.96999999999873</c:v>
                </c:pt>
                <c:pt idx="1472">
                  <c:v>103.03999999999874</c:v>
                </c:pt>
                <c:pt idx="1473">
                  <c:v>103.10999999999873</c:v>
                </c:pt>
                <c:pt idx="1474">
                  <c:v>103.17999999999874</c:v>
                </c:pt>
                <c:pt idx="1475">
                  <c:v>103.24999999999875</c:v>
                </c:pt>
                <c:pt idx="1476">
                  <c:v>103.31999999999874</c:v>
                </c:pt>
                <c:pt idx="1477">
                  <c:v>103.38999999999874</c:v>
                </c:pt>
                <c:pt idx="1478">
                  <c:v>103.45999999999874</c:v>
                </c:pt>
                <c:pt idx="1479">
                  <c:v>103.52999999999874</c:v>
                </c:pt>
                <c:pt idx="1480">
                  <c:v>103.59999999999874</c:v>
                </c:pt>
                <c:pt idx="1481">
                  <c:v>103.66999999999874</c:v>
                </c:pt>
                <c:pt idx="1482">
                  <c:v>103.73999999999874</c:v>
                </c:pt>
                <c:pt idx="1483">
                  <c:v>103.80999999999875</c:v>
                </c:pt>
                <c:pt idx="1484">
                  <c:v>103.87999999999874</c:v>
                </c:pt>
                <c:pt idx="1485">
                  <c:v>103.94999999999874</c:v>
                </c:pt>
                <c:pt idx="1486">
                  <c:v>104.01999999999875</c:v>
                </c:pt>
                <c:pt idx="1487">
                  <c:v>104.08999999999874</c:v>
                </c:pt>
                <c:pt idx="1488">
                  <c:v>104.15999999999873</c:v>
                </c:pt>
                <c:pt idx="1489">
                  <c:v>104.22999999999874</c:v>
                </c:pt>
                <c:pt idx="1490">
                  <c:v>104.29999999999873</c:v>
                </c:pt>
                <c:pt idx="1491">
                  <c:v>104.36999999999874</c:v>
                </c:pt>
                <c:pt idx="1492">
                  <c:v>104.43999999999875</c:v>
                </c:pt>
                <c:pt idx="1493">
                  <c:v>104.50999999999874</c:v>
                </c:pt>
                <c:pt idx="1494">
                  <c:v>104.57999999999873</c:v>
                </c:pt>
                <c:pt idx="1495">
                  <c:v>104.64999999999874</c:v>
                </c:pt>
                <c:pt idx="1496">
                  <c:v>104.71999999999873</c:v>
                </c:pt>
                <c:pt idx="1497">
                  <c:v>104.78999999999874</c:v>
                </c:pt>
                <c:pt idx="1498">
                  <c:v>104.85999999999873</c:v>
                </c:pt>
                <c:pt idx="1499">
                  <c:v>104.92999999999874</c:v>
                </c:pt>
                <c:pt idx="1500">
                  <c:v>104.99999999999859</c:v>
                </c:pt>
                <c:pt idx="1501">
                  <c:v>105.0699999999986</c:v>
                </c:pt>
                <c:pt idx="1502">
                  <c:v>105.13999999999861</c:v>
                </c:pt>
                <c:pt idx="1503">
                  <c:v>105.2099999999986</c:v>
                </c:pt>
                <c:pt idx="1504">
                  <c:v>105.27999999999861</c:v>
                </c:pt>
                <c:pt idx="1505">
                  <c:v>105.3499999999986</c:v>
                </c:pt>
                <c:pt idx="1506">
                  <c:v>105.41999999999859</c:v>
                </c:pt>
                <c:pt idx="1507">
                  <c:v>105.4899999999986</c:v>
                </c:pt>
                <c:pt idx="1508">
                  <c:v>105.5599999999986</c:v>
                </c:pt>
                <c:pt idx="1509">
                  <c:v>105.62999999999859</c:v>
                </c:pt>
                <c:pt idx="1510">
                  <c:v>105.69999999999861</c:v>
                </c:pt>
                <c:pt idx="1511">
                  <c:v>105.7699999999986</c:v>
                </c:pt>
                <c:pt idx="1512">
                  <c:v>105.8399999999986</c:v>
                </c:pt>
                <c:pt idx="1513">
                  <c:v>105.9099999999986</c:v>
                </c:pt>
                <c:pt idx="1514">
                  <c:v>105.9799999999986</c:v>
                </c:pt>
                <c:pt idx="1515">
                  <c:v>106.04999999999859</c:v>
                </c:pt>
                <c:pt idx="1516">
                  <c:v>106.1199999999986</c:v>
                </c:pt>
                <c:pt idx="1517">
                  <c:v>106.18999999999859</c:v>
                </c:pt>
                <c:pt idx="1518">
                  <c:v>106.2599999999986</c:v>
                </c:pt>
                <c:pt idx="1519">
                  <c:v>106.32999999999861</c:v>
                </c:pt>
                <c:pt idx="1520">
                  <c:v>106.3999999999986</c:v>
                </c:pt>
                <c:pt idx="1521">
                  <c:v>106.46999999999861</c:v>
                </c:pt>
                <c:pt idx="1522">
                  <c:v>106.5399999999986</c:v>
                </c:pt>
                <c:pt idx="1523">
                  <c:v>106.60999999999859</c:v>
                </c:pt>
                <c:pt idx="1524">
                  <c:v>106.6799999999986</c:v>
                </c:pt>
                <c:pt idx="1525">
                  <c:v>106.74999999999859</c:v>
                </c:pt>
                <c:pt idx="1526">
                  <c:v>106.8199999999986</c:v>
                </c:pt>
                <c:pt idx="1527">
                  <c:v>106.88999999999861</c:v>
                </c:pt>
                <c:pt idx="1528">
                  <c:v>106.9599999999986</c:v>
                </c:pt>
                <c:pt idx="1529">
                  <c:v>107.02999999999861</c:v>
                </c:pt>
                <c:pt idx="1530">
                  <c:v>107.0999999999986</c:v>
                </c:pt>
                <c:pt idx="1531">
                  <c:v>107.16999999999859</c:v>
                </c:pt>
                <c:pt idx="1532">
                  <c:v>107.2399999999986</c:v>
                </c:pt>
                <c:pt idx="1533">
                  <c:v>107.3099999999986</c:v>
                </c:pt>
                <c:pt idx="1534">
                  <c:v>107.37999999999859</c:v>
                </c:pt>
                <c:pt idx="1535">
                  <c:v>107.44999999999861</c:v>
                </c:pt>
                <c:pt idx="1536">
                  <c:v>107.5199999999986</c:v>
                </c:pt>
                <c:pt idx="1537">
                  <c:v>107.5899999999986</c:v>
                </c:pt>
                <c:pt idx="1538">
                  <c:v>107.6599999999986</c:v>
                </c:pt>
                <c:pt idx="1539">
                  <c:v>107.7299999999986</c:v>
                </c:pt>
                <c:pt idx="1540">
                  <c:v>107.79999999999859</c:v>
                </c:pt>
                <c:pt idx="1541">
                  <c:v>107.8699999999986</c:v>
                </c:pt>
                <c:pt idx="1542">
                  <c:v>107.93999999999859</c:v>
                </c:pt>
                <c:pt idx="1543">
                  <c:v>108.0099999999986</c:v>
                </c:pt>
                <c:pt idx="1544">
                  <c:v>108.07999999999861</c:v>
                </c:pt>
                <c:pt idx="1545">
                  <c:v>108.1499999999986</c:v>
                </c:pt>
                <c:pt idx="1546">
                  <c:v>108.21999999999861</c:v>
                </c:pt>
                <c:pt idx="1547">
                  <c:v>108.2899999999986</c:v>
                </c:pt>
                <c:pt idx="1548">
                  <c:v>108.35999999999859</c:v>
                </c:pt>
                <c:pt idx="1549">
                  <c:v>108.4299999999986</c:v>
                </c:pt>
                <c:pt idx="1550">
                  <c:v>108.49999999999859</c:v>
                </c:pt>
                <c:pt idx="1551">
                  <c:v>108.5699999999986</c:v>
                </c:pt>
                <c:pt idx="1552">
                  <c:v>108.63999999999861</c:v>
                </c:pt>
                <c:pt idx="1553">
                  <c:v>108.7099999999986</c:v>
                </c:pt>
                <c:pt idx="1554">
                  <c:v>108.77999999999861</c:v>
                </c:pt>
                <c:pt idx="1555">
                  <c:v>108.8499999999986</c:v>
                </c:pt>
                <c:pt idx="1556">
                  <c:v>108.91999999999859</c:v>
                </c:pt>
                <c:pt idx="1557">
                  <c:v>108.9899999999986</c:v>
                </c:pt>
                <c:pt idx="1558">
                  <c:v>109.0599999999986</c:v>
                </c:pt>
                <c:pt idx="1559">
                  <c:v>109.12999999999859</c:v>
                </c:pt>
                <c:pt idx="1560">
                  <c:v>109.19999999999861</c:v>
                </c:pt>
                <c:pt idx="1561">
                  <c:v>109.2699999999986</c:v>
                </c:pt>
                <c:pt idx="1562">
                  <c:v>109.3399999999986</c:v>
                </c:pt>
                <c:pt idx="1563">
                  <c:v>109.4099999999986</c:v>
                </c:pt>
                <c:pt idx="1564">
                  <c:v>109.4799999999986</c:v>
                </c:pt>
                <c:pt idx="1565">
                  <c:v>109.54999999999859</c:v>
                </c:pt>
                <c:pt idx="1566">
                  <c:v>109.6199999999986</c:v>
                </c:pt>
                <c:pt idx="1567">
                  <c:v>109.68999999999859</c:v>
                </c:pt>
                <c:pt idx="1568">
                  <c:v>109.7599999999986</c:v>
                </c:pt>
                <c:pt idx="1569">
                  <c:v>109.82999999999861</c:v>
                </c:pt>
                <c:pt idx="1570">
                  <c:v>109.8999999999986</c:v>
                </c:pt>
                <c:pt idx="1571">
                  <c:v>109.96999999999861</c:v>
                </c:pt>
                <c:pt idx="1572">
                  <c:v>110.0399999999986</c:v>
                </c:pt>
                <c:pt idx="1573">
                  <c:v>110.10999999999859</c:v>
                </c:pt>
                <c:pt idx="1574">
                  <c:v>110.1799999999986</c:v>
                </c:pt>
                <c:pt idx="1575">
                  <c:v>110.24999999999859</c:v>
                </c:pt>
                <c:pt idx="1576">
                  <c:v>110.3199999999986</c:v>
                </c:pt>
                <c:pt idx="1577">
                  <c:v>110.38999999999861</c:v>
                </c:pt>
                <c:pt idx="1578">
                  <c:v>110.4599999999986</c:v>
                </c:pt>
                <c:pt idx="1579">
                  <c:v>110.52999999999861</c:v>
                </c:pt>
                <c:pt idx="1580">
                  <c:v>110.5999999999986</c:v>
                </c:pt>
                <c:pt idx="1581">
                  <c:v>110.66999999999859</c:v>
                </c:pt>
                <c:pt idx="1582">
                  <c:v>110.7399999999986</c:v>
                </c:pt>
                <c:pt idx="1583">
                  <c:v>110.8099999999986</c:v>
                </c:pt>
                <c:pt idx="1584">
                  <c:v>110.87999999999859</c:v>
                </c:pt>
                <c:pt idx="1585">
                  <c:v>110.94999999999861</c:v>
                </c:pt>
                <c:pt idx="1586">
                  <c:v>111.0199999999986</c:v>
                </c:pt>
                <c:pt idx="1587">
                  <c:v>111.0899999999986</c:v>
                </c:pt>
                <c:pt idx="1588">
                  <c:v>111.1599999999986</c:v>
                </c:pt>
                <c:pt idx="1589">
                  <c:v>111.2299999999986</c:v>
                </c:pt>
                <c:pt idx="1590">
                  <c:v>111.29999999999859</c:v>
                </c:pt>
                <c:pt idx="1591">
                  <c:v>111.3699999999986</c:v>
                </c:pt>
                <c:pt idx="1592">
                  <c:v>111.43999999999859</c:v>
                </c:pt>
                <c:pt idx="1593">
                  <c:v>111.50999999999846</c:v>
                </c:pt>
                <c:pt idx="1594">
                  <c:v>111.57999999999845</c:v>
                </c:pt>
                <c:pt idx="1595">
                  <c:v>111.64999999999847</c:v>
                </c:pt>
                <c:pt idx="1596">
                  <c:v>111.71999999999846</c:v>
                </c:pt>
                <c:pt idx="1597">
                  <c:v>111.78999999999846</c:v>
                </c:pt>
                <c:pt idx="1598">
                  <c:v>111.85999999999846</c:v>
                </c:pt>
                <c:pt idx="1599">
                  <c:v>111.92999999999846</c:v>
                </c:pt>
                <c:pt idx="1600">
                  <c:v>111.99999999999847</c:v>
                </c:pt>
                <c:pt idx="1601">
                  <c:v>112.06999999999847</c:v>
                </c:pt>
                <c:pt idx="1602">
                  <c:v>112.13999999999845</c:v>
                </c:pt>
                <c:pt idx="1603">
                  <c:v>112.20999999999847</c:v>
                </c:pt>
                <c:pt idx="1604">
                  <c:v>112.27999999999845</c:v>
                </c:pt>
                <c:pt idx="1605">
                  <c:v>112.34999999999846</c:v>
                </c:pt>
                <c:pt idx="1606">
                  <c:v>112.41999999999845</c:v>
                </c:pt>
                <c:pt idx="1607">
                  <c:v>112.48999999999846</c:v>
                </c:pt>
                <c:pt idx="1608">
                  <c:v>112.55999999999847</c:v>
                </c:pt>
                <c:pt idx="1609">
                  <c:v>112.62999999999846</c:v>
                </c:pt>
                <c:pt idx="1610">
                  <c:v>112.69999999999847</c:v>
                </c:pt>
                <c:pt idx="1611">
                  <c:v>112.76999999999845</c:v>
                </c:pt>
                <c:pt idx="1612">
                  <c:v>112.83999999999847</c:v>
                </c:pt>
                <c:pt idx="1613">
                  <c:v>112.90999999999845</c:v>
                </c:pt>
                <c:pt idx="1614">
                  <c:v>112.97999999999845</c:v>
                </c:pt>
                <c:pt idx="1615">
                  <c:v>113.04999999999845</c:v>
                </c:pt>
                <c:pt idx="1616">
                  <c:v>113.11999999999846</c:v>
                </c:pt>
                <c:pt idx="1617">
                  <c:v>113.18999999999846</c:v>
                </c:pt>
                <c:pt idx="1618">
                  <c:v>113.25999999999846</c:v>
                </c:pt>
                <c:pt idx="1619">
                  <c:v>113.32999999999846</c:v>
                </c:pt>
                <c:pt idx="1620">
                  <c:v>113.39999999999846</c:v>
                </c:pt>
                <c:pt idx="1621">
                  <c:v>113.46999999999846</c:v>
                </c:pt>
                <c:pt idx="1622">
                  <c:v>113.53999999999846</c:v>
                </c:pt>
                <c:pt idx="1623">
                  <c:v>113.60999999999846</c:v>
                </c:pt>
                <c:pt idx="1624">
                  <c:v>113.67999999999847</c:v>
                </c:pt>
                <c:pt idx="1625">
                  <c:v>113.74999999999847</c:v>
                </c:pt>
                <c:pt idx="1626">
                  <c:v>113.81999999999847</c:v>
                </c:pt>
                <c:pt idx="1627">
                  <c:v>113.88999999999845</c:v>
                </c:pt>
                <c:pt idx="1628">
                  <c:v>113.95999999999847</c:v>
                </c:pt>
                <c:pt idx="1629">
                  <c:v>114.02999999999845</c:v>
                </c:pt>
                <c:pt idx="1630">
                  <c:v>114.09999999999846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50-48DE-BB22-6F738F0D06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206192"/>
        <c:axId val="256193256"/>
      </c:scatterChart>
      <c:valAx>
        <c:axId val="256206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193256"/>
        <c:crosses val="autoZero"/>
        <c:crossBetween val="midCat"/>
      </c:valAx>
      <c:valAx>
        <c:axId val="256193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620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92537313432835822"/>
          <c:y val="0.50300601202404804"/>
          <c:w val="0.9925373134328358"/>
          <c:h val="0.547094188376753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emf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0</xdr:rowOff>
    </xdr:from>
    <xdr:to>
      <xdr:col>18</xdr:col>
      <xdr:colOff>352425</xdr:colOff>
      <xdr:row>38</xdr:row>
      <xdr:rowOff>104775</xdr:rowOff>
    </xdr:to>
    <xdr:pic>
      <xdr:nvPicPr>
        <xdr:cNvPr id="2395" name="Picture 1">
          <a:extLst>
            <a:ext uri="{FF2B5EF4-FFF2-40B4-BE49-F238E27FC236}">
              <a16:creationId xmlns:a16="http://schemas.microsoft.com/office/drawing/2014/main" id="{00000000-0008-0000-0000-00005B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33950" y="0"/>
          <a:ext cx="8277225" cy="6419850"/>
        </a:xfrm>
        <a:prstGeom prst="rect">
          <a:avLst/>
        </a:prstGeom>
        <a:solidFill>
          <a:srgbClr val="EAEAEA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9525</xdr:colOff>
      <xdr:row>39</xdr:row>
      <xdr:rowOff>0</xdr:rowOff>
    </xdr:from>
    <xdr:to>
      <xdr:col>15</xdr:col>
      <xdr:colOff>314325</xdr:colOff>
      <xdr:row>66</xdr:row>
      <xdr:rowOff>142875</xdr:rowOff>
    </xdr:to>
    <xdr:graphicFrame macro="">
      <xdr:nvGraphicFramePr>
        <xdr:cNvPr id="2396" name="Chart 8">
          <a:extLst>
            <a:ext uri="{FF2B5EF4-FFF2-40B4-BE49-F238E27FC236}">
              <a16:creationId xmlns:a16="http://schemas.microsoft.com/office/drawing/2014/main" id="{00000000-0008-0000-0000-00005C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9525</xdr:colOff>
      <xdr:row>68</xdr:row>
      <xdr:rowOff>19050</xdr:rowOff>
    </xdr:from>
    <xdr:to>
      <xdr:col>15</xdr:col>
      <xdr:colOff>304800</xdr:colOff>
      <xdr:row>96</xdr:row>
      <xdr:rowOff>95250</xdr:rowOff>
    </xdr:to>
    <xdr:graphicFrame macro="">
      <xdr:nvGraphicFramePr>
        <xdr:cNvPr id="2397" name="Chart 11">
          <a:extLst>
            <a:ext uri="{FF2B5EF4-FFF2-40B4-BE49-F238E27FC236}">
              <a16:creationId xmlns:a16="http://schemas.microsoft.com/office/drawing/2014/main" id="{00000000-0008-0000-0000-00005D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98</xdr:row>
      <xdr:rowOff>0</xdr:rowOff>
    </xdr:from>
    <xdr:to>
      <xdr:col>17</xdr:col>
      <xdr:colOff>600075</xdr:colOff>
      <xdr:row>132</xdr:row>
      <xdr:rowOff>95250</xdr:rowOff>
    </xdr:to>
    <xdr:graphicFrame macro="">
      <xdr:nvGraphicFramePr>
        <xdr:cNvPr id="2398" name="Chart 30">
          <a:extLst>
            <a:ext uri="{FF2B5EF4-FFF2-40B4-BE49-F238E27FC236}">
              <a16:creationId xmlns:a16="http://schemas.microsoft.com/office/drawing/2014/main" id="{00000000-0008-0000-0000-00005E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66</xdr:row>
      <xdr:rowOff>0</xdr:rowOff>
    </xdr:from>
    <xdr:to>
      <xdr:col>30</xdr:col>
      <xdr:colOff>409575</xdr:colOff>
      <xdr:row>96</xdr:row>
      <xdr:rowOff>85725</xdr:rowOff>
    </xdr:to>
    <xdr:graphicFrame macro="">
      <xdr:nvGraphicFramePr>
        <xdr:cNvPr id="2399" name="Chart 31">
          <a:extLst>
            <a:ext uri="{FF2B5EF4-FFF2-40B4-BE49-F238E27FC236}">
              <a16:creationId xmlns:a16="http://schemas.microsoft.com/office/drawing/2014/main" id="{00000000-0008-0000-0000-00005F0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561975</xdr:colOff>
      <xdr:row>6</xdr:row>
      <xdr:rowOff>152400</xdr:rowOff>
    </xdr:from>
    <xdr:to>
      <xdr:col>26</xdr:col>
      <xdr:colOff>352425</xdr:colOff>
      <xdr:row>36</xdr:row>
      <xdr:rowOff>47625</xdr:rowOff>
    </xdr:to>
    <xdr:graphicFrame macro="">
      <xdr:nvGraphicFramePr>
        <xdr:cNvPr id="7306" name="Chart 3">
          <a:extLst>
            <a:ext uri="{FF2B5EF4-FFF2-40B4-BE49-F238E27FC236}">
              <a16:creationId xmlns:a16="http://schemas.microsoft.com/office/drawing/2014/main" id="{00000000-0008-0000-0100-00008A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9525</xdr:colOff>
      <xdr:row>39</xdr:row>
      <xdr:rowOff>19050</xdr:rowOff>
    </xdr:from>
    <xdr:to>
      <xdr:col>24</xdr:col>
      <xdr:colOff>600075</xdr:colOff>
      <xdr:row>73</xdr:row>
      <xdr:rowOff>0</xdr:rowOff>
    </xdr:to>
    <xdr:graphicFrame macro="">
      <xdr:nvGraphicFramePr>
        <xdr:cNvPr id="7307" name="Chart 6">
          <a:extLst>
            <a:ext uri="{FF2B5EF4-FFF2-40B4-BE49-F238E27FC236}">
              <a16:creationId xmlns:a16="http://schemas.microsoft.com/office/drawing/2014/main" id="{00000000-0008-0000-0100-00008B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57</xdr:row>
      <xdr:rowOff>104775</xdr:rowOff>
    </xdr:from>
    <xdr:to>
      <xdr:col>22</xdr:col>
      <xdr:colOff>571500</xdr:colOff>
      <xdr:row>83</xdr:row>
      <xdr:rowOff>142875</xdr:rowOff>
    </xdr:to>
    <xdr:graphicFrame macro="">
      <xdr:nvGraphicFramePr>
        <xdr:cNvPr id="1223" name="Chart 21">
          <a:extLst>
            <a:ext uri="{FF2B5EF4-FFF2-40B4-BE49-F238E27FC236}">
              <a16:creationId xmlns:a16="http://schemas.microsoft.com/office/drawing/2014/main" id="{00000000-0008-0000-0200-0000C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85</xdr:row>
      <xdr:rowOff>0</xdr:rowOff>
    </xdr:from>
    <xdr:to>
      <xdr:col>22</xdr:col>
      <xdr:colOff>581025</xdr:colOff>
      <xdr:row>111</xdr:row>
      <xdr:rowOff>47625</xdr:rowOff>
    </xdr:to>
    <xdr:graphicFrame macro="">
      <xdr:nvGraphicFramePr>
        <xdr:cNvPr id="1224" name="Chart 60">
          <a:extLst>
            <a:ext uri="{FF2B5EF4-FFF2-40B4-BE49-F238E27FC236}">
              <a16:creationId xmlns:a16="http://schemas.microsoft.com/office/drawing/2014/main" id="{00000000-0008-0000-0200-0000C8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0</xdr:row>
      <xdr:rowOff>47625</xdr:rowOff>
    </xdr:from>
    <xdr:to>
      <xdr:col>29</xdr:col>
      <xdr:colOff>400050</xdr:colOff>
      <xdr:row>29</xdr:row>
      <xdr:rowOff>104775</xdr:rowOff>
    </xdr:to>
    <xdr:graphicFrame macro="">
      <xdr:nvGraphicFramePr>
        <xdr:cNvPr id="30803" name="Chart 2">
          <a:extLst>
            <a:ext uri="{FF2B5EF4-FFF2-40B4-BE49-F238E27FC236}">
              <a16:creationId xmlns:a16="http://schemas.microsoft.com/office/drawing/2014/main" id="{00000000-0008-0000-0600-00005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18"/>
  <sheetViews>
    <sheetView tabSelected="1" zoomScale="98" zoomScaleNormal="55" workbookViewId="0">
      <selection activeCell="B46" sqref="B46"/>
    </sheetView>
  </sheetViews>
  <sheetFormatPr defaultRowHeight="12.45" x14ac:dyDescent="0.3"/>
  <cols>
    <col min="1" max="1" width="37.4609375" customWidth="1"/>
  </cols>
  <sheetData>
    <row r="1" spans="1:17" ht="12.9" thickBot="1" x14ac:dyDescent="0.35">
      <c r="A1" s="2" t="s">
        <v>213</v>
      </c>
      <c r="B1" s="3"/>
      <c r="C1" s="3"/>
      <c r="D1" s="4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ht="12.9" thickBot="1" x14ac:dyDescent="0.35">
      <c r="A2" s="6" t="s">
        <v>238</v>
      </c>
      <c r="B2" s="7"/>
      <c r="C2" s="117">
        <v>1E-3</v>
      </c>
      <c r="D2" s="8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ht="12.9" thickBot="1" x14ac:dyDescent="0.35">
      <c r="A3" s="6" t="s">
        <v>239</v>
      </c>
      <c r="B3" s="7"/>
      <c r="C3" s="117">
        <v>0.01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ht="12.9" thickBot="1" x14ac:dyDescent="0.35">
      <c r="A4" s="9"/>
      <c r="B4" s="10"/>
      <c r="C4" s="10"/>
      <c r="D4" s="11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ht="12.9" thickBot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ht="12.9" thickBot="1" x14ac:dyDescent="0.35">
      <c r="A6" s="12" t="str">
        <f>'Design Calculations'!A1</f>
        <v>UV and OV</v>
      </c>
      <c r="B6" s="13"/>
      <c r="C6" s="14" t="s">
        <v>274</v>
      </c>
      <c r="D6" s="1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</row>
    <row r="7" spans="1:17" ht="12.9" thickBot="1" x14ac:dyDescent="0.35">
      <c r="A7" s="16" t="str">
        <f>'Design Calculations'!A2</f>
        <v>Set UV threshold</v>
      </c>
      <c r="B7" s="117">
        <v>20.23</v>
      </c>
      <c r="C7" s="17" t="s">
        <v>185</v>
      </c>
      <c r="D7" s="18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</row>
    <row r="8" spans="1:17" ht="12.9" thickBot="1" x14ac:dyDescent="0.35">
      <c r="A8" s="16" t="str">
        <f>'Design Calculations'!A3</f>
        <v>Set OV threshold</v>
      </c>
      <c r="B8" s="117">
        <v>28.43</v>
      </c>
      <c r="C8" s="17" t="s">
        <v>185</v>
      </c>
      <c r="D8" s="18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</row>
    <row r="9" spans="1:17" ht="12.9" thickBot="1" x14ac:dyDescent="0.35">
      <c r="A9" s="16" t="str">
        <f>'Design Calculations'!A4</f>
        <v>Set R3 in Kohms</v>
      </c>
      <c r="B9" s="117">
        <v>37</v>
      </c>
      <c r="C9" s="17" t="s">
        <v>184</v>
      </c>
      <c r="D9" s="18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">
      <c r="A10" s="16"/>
      <c r="B10" s="17"/>
      <c r="C10" s="19"/>
      <c r="D10" s="18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">
      <c r="A11" s="20" t="s">
        <v>180</v>
      </c>
      <c r="B11" s="21">
        <f>ActR1/1000</f>
        <v>1000</v>
      </c>
      <c r="C11" s="17" t="s">
        <v>184</v>
      </c>
      <c r="D11" s="18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">
      <c r="A12" s="20" t="s">
        <v>181</v>
      </c>
      <c r="B12" s="21">
        <f>ActR2/1000</f>
        <v>15</v>
      </c>
      <c r="C12" s="17" t="s">
        <v>184</v>
      </c>
      <c r="D12" s="18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">
      <c r="A13" s="16"/>
      <c r="B13" s="19"/>
      <c r="C13" s="19"/>
      <c r="D13" s="18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">
      <c r="A14" s="20" t="s">
        <v>183</v>
      </c>
      <c r="B14" s="22">
        <f>'Design Calculations'!B9</f>
        <v>20.23076923076923</v>
      </c>
      <c r="C14" s="17" t="s">
        <v>185</v>
      </c>
      <c r="D14" s="18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">
      <c r="A15" s="20" t="s">
        <v>182</v>
      </c>
      <c r="B15" s="21">
        <f>'Design Calculations'!B10</f>
        <v>28.432432432432432</v>
      </c>
      <c r="C15" s="17" t="s">
        <v>185</v>
      </c>
      <c r="D15" s="18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">
      <c r="A16" s="20"/>
      <c r="B16" s="19"/>
      <c r="C16" s="17"/>
      <c r="D16" s="18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">
      <c r="A17" s="20" t="s">
        <v>201</v>
      </c>
      <c r="B17" s="23">
        <f>'Design Calculations'!B12</f>
        <v>20.825462315462318</v>
      </c>
      <c r="C17" s="17" t="s">
        <v>185</v>
      </c>
      <c r="D17" s="18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">
      <c r="A18" s="20" t="s">
        <v>202</v>
      </c>
      <c r="B18" s="23">
        <f>'Design Calculations'!B13</f>
        <v>19.651462300076162</v>
      </c>
      <c r="C18" s="17" t="s">
        <v>185</v>
      </c>
      <c r="D18" s="18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">
      <c r="A19" s="20"/>
      <c r="B19" s="24"/>
      <c r="C19" s="17"/>
      <c r="D19" s="18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">
      <c r="A20" s="20" t="s">
        <v>200</v>
      </c>
      <c r="B20" s="23">
        <f>'Design Calculations'!B15</f>
        <v>29.276489216489217</v>
      </c>
      <c r="C20" s="17" t="s">
        <v>185</v>
      </c>
      <c r="D20" s="18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">
      <c r="A21" s="20" t="s">
        <v>203</v>
      </c>
      <c r="B21" s="23">
        <f>'Design Calculations'!B16</f>
        <v>27.61032378913567</v>
      </c>
      <c r="C21" s="17" t="s">
        <v>185</v>
      </c>
      <c r="D21" s="18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">
      <c r="A22" s="16"/>
      <c r="B22" s="19"/>
      <c r="C22" s="19"/>
      <c r="D22" s="18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ht="12.9" thickBot="1" x14ac:dyDescent="0.35">
      <c r="A23" s="25"/>
      <c r="B23" s="26"/>
      <c r="C23" s="26"/>
      <c r="D23" s="27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</row>
    <row r="24" spans="1:17" ht="12.9" thickBot="1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3">
      <c r="A25" s="28"/>
      <c r="B25" s="29"/>
      <c r="C25" s="30" t="s">
        <v>273</v>
      </c>
      <c r="D25" s="31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ht="12.9" thickBot="1" x14ac:dyDescent="0.35">
      <c r="A26" s="32" t="str">
        <f>'Design Calculations'!A18</f>
        <v>CURRENT LIMIT</v>
      </c>
      <c r="B26" s="33"/>
      <c r="C26" s="33"/>
      <c r="D26" s="34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ht="12.9" thickBot="1" x14ac:dyDescent="0.35">
      <c r="A27" s="35" t="str">
        <f>'Design Calculations'!A19</f>
        <v>Desired Current Limit</v>
      </c>
      <c r="B27" s="117">
        <v>35</v>
      </c>
      <c r="C27" s="36" t="s">
        <v>186</v>
      </c>
      <c r="D27" s="34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ht="12.9" thickBot="1" x14ac:dyDescent="0.35">
      <c r="A28" s="35" t="str">
        <f>'Design Calculations'!A20</f>
        <v>Set Rsense</v>
      </c>
      <c r="B28" s="117">
        <v>1E-3</v>
      </c>
      <c r="C28" s="36" t="s">
        <v>187</v>
      </c>
      <c r="D28" s="34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ht="12.9" thickBot="1" x14ac:dyDescent="0.35">
      <c r="A29" s="35" t="str">
        <f>'Design Calculations'!A23</f>
        <v>Set R5 in Kohms</v>
      </c>
      <c r="B29" s="117">
        <v>2.2999999999999998</v>
      </c>
      <c r="C29" s="36" t="s">
        <v>188</v>
      </c>
      <c r="D29" s="34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3">
      <c r="A30" s="35"/>
      <c r="B30" s="33"/>
      <c r="C30" s="33"/>
      <c r="D30" s="34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</row>
    <row r="31" spans="1:17" x14ac:dyDescent="0.3">
      <c r="A31" s="37" t="s">
        <v>189</v>
      </c>
      <c r="B31" s="38">
        <f>ActR4/1000</f>
        <v>3.65</v>
      </c>
      <c r="C31" s="36" t="s">
        <v>188</v>
      </c>
      <c r="D31" s="34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</row>
    <row r="32" spans="1:17" x14ac:dyDescent="0.3">
      <c r="A32" s="35" t="str">
        <f>'Design Calculations'!A25</f>
        <v>Calc actual OC</v>
      </c>
      <c r="B32" s="39">
        <f>'Design Calculations'!B25</f>
        <v>34.789915966386552</v>
      </c>
      <c r="C32" s="36" t="s">
        <v>186</v>
      </c>
      <c r="D32" s="34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">
      <c r="A33" s="35" t="s">
        <v>147</v>
      </c>
      <c r="B33" s="21">
        <f>VI</f>
        <v>1.4000000000000001</v>
      </c>
      <c r="C33" s="33" t="s">
        <v>185</v>
      </c>
      <c r="D33" s="34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</row>
    <row r="34" spans="1:17" x14ac:dyDescent="0.3">
      <c r="A34" s="40" t="str">
        <f>'Design Calculations'!C22</f>
        <v/>
      </c>
      <c r="B34" s="41"/>
      <c r="C34" s="33"/>
      <c r="D34" s="34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</row>
    <row r="35" spans="1:17" x14ac:dyDescent="0.3">
      <c r="A35" s="35" t="s">
        <v>204</v>
      </c>
      <c r="B35" s="42">
        <f>'Design Calculations'!B27</f>
        <v>38.284270963459036</v>
      </c>
      <c r="C35" s="36" t="s">
        <v>186</v>
      </c>
      <c r="D35" s="34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</row>
    <row r="36" spans="1:17" x14ac:dyDescent="0.3">
      <c r="A36" s="35" t="s">
        <v>205</v>
      </c>
      <c r="B36" s="42">
        <f>'Design Calculations'!B28</f>
        <v>31.317269969068398</v>
      </c>
      <c r="C36" s="36" t="s">
        <v>186</v>
      </c>
      <c r="D36" s="34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</row>
    <row r="37" spans="1:17" ht="12.9" thickBot="1" x14ac:dyDescent="0.35">
      <c r="A37" s="43"/>
      <c r="B37" s="44"/>
      <c r="C37" s="45"/>
      <c r="D37" s="46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</row>
    <row r="38" spans="1:17" ht="12.9" thickBot="1" x14ac:dyDescent="0.3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</row>
    <row r="39" spans="1:17" x14ac:dyDescent="0.3">
      <c r="A39" s="47"/>
      <c r="B39" s="48"/>
      <c r="C39" s="49" t="s">
        <v>275</v>
      </c>
      <c r="D39" s="50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</row>
    <row r="40" spans="1:17" ht="12.9" thickBot="1" x14ac:dyDescent="0.35">
      <c r="A40" s="51" t="str">
        <f>'Design Calculations'!A32</f>
        <v>FOLDBACK and PG</v>
      </c>
      <c r="B40" s="52"/>
      <c r="C40" s="52"/>
      <c r="D40" s="53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</row>
    <row r="41" spans="1:17" ht="12.9" thickBot="1" x14ac:dyDescent="0.35">
      <c r="A41" s="54" t="str">
        <f>'Design Calculations'!A33</f>
        <v>Set PG Threshold</v>
      </c>
      <c r="B41" s="117">
        <v>21</v>
      </c>
      <c r="C41" s="55" t="s">
        <v>185</v>
      </c>
      <c r="D41" s="53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</row>
    <row r="42" spans="1:17" ht="12.9" thickBot="1" x14ac:dyDescent="0.35">
      <c r="A42" s="54" t="str">
        <f>'Design Calculations'!A36</f>
        <v>Set FLB Threshold</v>
      </c>
      <c r="B42" s="117">
        <v>14</v>
      </c>
      <c r="C42" s="55" t="s">
        <v>185</v>
      </c>
      <c r="D42" s="53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</row>
    <row r="43" spans="1:17" x14ac:dyDescent="0.3">
      <c r="A43" s="54"/>
      <c r="B43" s="52"/>
      <c r="C43" s="55"/>
      <c r="D43" s="53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</row>
    <row r="44" spans="1:17" ht="12.9" thickBot="1" x14ac:dyDescent="0.35">
      <c r="A44" s="56" t="str">
        <f>'Design Calculations'!J30</f>
        <v>Use this section</v>
      </c>
      <c r="B44" s="52"/>
      <c r="C44" s="55"/>
      <c r="D44" s="53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ht="12.9" thickBot="1" x14ac:dyDescent="0.35">
      <c r="A45" s="54" t="str">
        <f>'Design Calculations'!A34</f>
        <v>Set R9 in Kohms</v>
      </c>
      <c r="B45" s="117">
        <v>15</v>
      </c>
      <c r="C45" s="55" t="s">
        <v>188</v>
      </c>
      <c r="D45" s="53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x14ac:dyDescent="0.3">
      <c r="A46" s="57" t="s">
        <v>192</v>
      </c>
      <c r="B46" s="21">
        <f>ActR7/1000</f>
        <v>0.75</v>
      </c>
      <c r="C46" s="55" t="s">
        <v>188</v>
      </c>
      <c r="D46" s="53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">
      <c r="A47" s="57" t="s">
        <v>193</v>
      </c>
      <c r="B47" s="21">
        <f>ActR8/1000</f>
        <v>301</v>
      </c>
      <c r="C47" s="55" t="s">
        <v>188</v>
      </c>
      <c r="D47" s="53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3">
      <c r="A48" s="54" t="str">
        <f>'Design Calculations'!A39</f>
        <v>Calc actual PG</v>
      </c>
      <c r="B48" s="22">
        <f>'Design Calculations'!B39</f>
        <v>21.116666666666667</v>
      </c>
      <c r="C48" s="55" t="s">
        <v>185</v>
      </c>
      <c r="D48" s="53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3">
      <c r="A49" s="54"/>
      <c r="B49" s="58"/>
      <c r="C49" s="55"/>
      <c r="D49" s="53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3">
      <c r="A50" s="59" t="s">
        <v>206</v>
      </c>
      <c r="B50" s="23">
        <f>'Design Calculations'!B42</f>
        <v>21.738294612794611</v>
      </c>
      <c r="C50" s="55"/>
      <c r="D50" s="53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3">
      <c r="A51" s="59" t="s">
        <v>207</v>
      </c>
      <c r="B51" s="23">
        <f>'Design Calculations'!B43</f>
        <v>20.511133663366337</v>
      </c>
      <c r="C51" s="55"/>
      <c r="D51" s="53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3">
      <c r="A52" s="54"/>
      <c r="B52" s="60"/>
      <c r="C52" s="55"/>
      <c r="D52" s="53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ht="12.9" thickBot="1" x14ac:dyDescent="0.35">
      <c r="A53" s="56" t="str">
        <f>'Design Calculations'!J31</f>
        <v>Ignore these calculations, use previous section</v>
      </c>
      <c r="B53" s="52"/>
      <c r="C53" s="52"/>
      <c r="D53" s="53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ht="12.9" thickBot="1" x14ac:dyDescent="0.35">
      <c r="A54" s="54" t="str">
        <f>'Design Calculations'!J34</f>
        <v>Set R8 in Kohms</v>
      </c>
      <c r="B54" s="117"/>
      <c r="C54" s="55" t="s">
        <v>188</v>
      </c>
      <c r="D54" s="53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3">
      <c r="A55" s="57" t="s">
        <v>192</v>
      </c>
      <c r="B55" s="21" t="e">
        <f>ActR7_sw/1000</f>
        <v>#N/A</v>
      </c>
      <c r="C55" s="55" t="s">
        <v>188</v>
      </c>
      <c r="D55" s="53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3">
      <c r="A56" s="57" t="s">
        <v>194</v>
      </c>
      <c r="B56" s="21" t="e">
        <f>ActR9_sw/1000</f>
        <v>#N/A</v>
      </c>
      <c r="C56" s="55" t="s">
        <v>188</v>
      </c>
      <c r="D56" s="53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3">
      <c r="A57" s="54" t="str">
        <f>'Design Calculations'!J39</f>
        <v>Calc actual PG</v>
      </c>
      <c r="B57" s="22" t="e">
        <f>'Design Calculations'!K39</f>
        <v>#N/A</v>
      </c>
      <c r="C57" s="55" t="s">
        <v>185</v>
      </c>
      <c r="D57" s="53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3">
      <c r="A58" s="54"/>
      <c r="B58" s="58"/>
      <c r="C58" s="55"/>
      <c r="D58" s="53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3">
      <c r="A59" s="59" t="s">
        <v>206</v>
      </c>
      <c r="B59" s="23" t="e">
        <f>'Design Calculations'!K42</f>
        <v>#N/A</v>
      </c>
      <c r="C59" s="55" t="s">
        <v>185</v>
      </c>
      <c r="D59" s="53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</row>
    <row r="60" spans="1:17" x14ac:dyDescent="0.3">
      <c r="A60" s="59" t="s">
        <v>207</v>
      </c>
      <c r="B60" s="23" t="e">
        <f>'Design Calculations'!K43</f>
        <v>#N/A</v>
      </c>
      <c r="C60" s="55" t="s">
        <v>185</v>
      </c>
      <c r="D60" s="53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</row>
    <row r="61" spans="1:17" ht="12.9" thickBot="1" x14ac:dyDescent="0.35">
      <c r="A61" s="61"/>
      <c r="B61" s="62"/>
      <c r="C61" s="62"/>
      <c r="D61" s="63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</row>
    <row r="62" spans="1:17" ht="12.9" thickBot="1" x14ac:dyDescent="0.3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</row>
    <row r="63" spans="1:17" ht="12.9" thickBot="1" x14ac:dyDescent="0.35">
      <c r="A63" s="64"/>
      <c r="B63" s="65"/>
      <c r="C63" s="66" t="s">
        <v>276</v>
      </c>
      <c r="D63" s="67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</row>
    <row r="64" spans="1:17" ht="12.9" thickBot="1" x14ac:dyDescent="0.35">
      <c r="A64" s="68" t="s">
        <v>240</v>
      </c>
      <c r="B64" s="117">
        <v>0.1</v>
      </c>
      <c r="C64" s="69"/>
      <c r="D64" s="70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</row>
    <row r="65" spans="1:17" x14ac:dyDescent="0.3">
      <c r="A65" s="68"/>
      <c r="B65" s="69"/>
      <c r="C65" s="69"/>
      <c r="D65" s="70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</row>
    <row r="66" spans="1:17" ht="12.9" thickBot="1" x14ac:dyDescent="0.35">
      <c r="A66" s="68" t="str">
        <f>'Design Calculations'!A46</f>
        <v>TIMER</v>
      </c>
      <c r="B66" s="69"/>
      <c r="C66" s="69"/>
      <c r="D66" s="70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</row>
    <row r="67" spans="1:17" ht="12.9" thickBot="1" x14ac:dyDescent="0.35">
      <c r="A67" s="68" t="str">
        <f>'Design Calculations'!A47</f>
        <v>Set Timer in milliseconds</v>
      </c>
      <c r="B67" s="117">
        <v>10</v>
      </c>
      <c r="C67" s="71" t="s">
        <v>160</v>
      </c>
      <c r="D67" s="70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72"/>
    </row>
    <row r="68" spans="1:17" x14ac:dyDescent="0.3">
      <c r="A68" s="68" t="str">
        <f>'Design Calculations'!A48</f>
        <v>Calc Ctimer</v>
      </c>
      <c r="B68" s="21">
        <f>'Design Calculations'!B48</f>
        <v>100</v>
      </c>
      <c r="C68" s="71" t="s">
        <v>161</v>
      </c>
      <c r="D68" s="70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</row>
    <row r="69" spans="1:17" x14ac:dyDescent="0.3">
      <c r="A69" s="68"/>
      <c r="B69" s="69"/>
      <c r="C69" s="71"/>
      <c r="D69" s="70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72"/>
    </row>
    <row r="70" spans="1:17" x14ac:dyDescent="0.3">
      <c r="A70" s="68" t="s">
        <v>248</v>
      </c>
      <c r="B70" s="23">
        <f>'Design Calculations'!B50</f>
        <v>12.466666666666667</v>
      </c>
      <c r="C70" s="71" t="s">
        <v>160</v>
      </c>
      <c r="D70" s="70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</row>
    <row r="71" spans="1:17" x14ac:dyDescent="0.3">
      <c r="A71" s="68" t="s">
        <v>249</v>
      </c>
      <c r="B71" s="23">
        <f>'Design Calculations'!B51</f>
        <v>8.9082000000000008</v>
      </c>
      <c r="C71" s="71" t="s">
        <v>160</v>
      </c>
      <c r="D71" s="70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</row>
    <row r="72" spans="1:17" ht="12.9" thickBot="1" x14ac:dyDescent="0.35">
      <c r="A72" s="68"/>
      <c r="B72" s="69"/>
      <c r="C72" s="69"/>
      <c r="D72" s="70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</row>
    <row r="73" spans="1:17" ht="12.9" thickBot="1" x14ac:dyDescent="0.35">
      <c r="A73" s="68" t="str">
        <f>'Design Calculations'!A53</f>
        <v>Set TimerOff in milliseconds</v>
      </c>
      <c r="B73" s="117">
        <v>200</v>
      </c>
      <c r="C73" s="71" t="s">
        <v>160</v>
      </c>
      <c r="D73" s="70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</row>
    <row r="74" spans="1:17" x14ac:dyDescent="0.3">
      <c r="A74" s="68" t="str">
        <f>'Design Calculations'!A54</f>
        <v>Cal CtimerOff</v>
      </c>
      <c r="B74" s="21">
        <f>'Design Calculations'!B54</f>
        <v>100</v>
      </c>
      <c r="C74" s="71" t="s">
        <v>161</v>
      </c>
      <c r="D74" s="70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</row>
    <row r="75" spans="1:17" x14ac:dyDescent="0.3">
      <c r="A75" s="68"/>
      <c r="B75" s="69"/>
      <c r="C75" s="71"/>
      <c r="D75" s="70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</row>
    <row r="76" spans="1:17" x14ac:dyDescent="0.3">
      <c r="A76" s="68" t="s">
        <v>250</v>
      </c>
      <c r="B76" s="73">
        <f>'Design Calculations'!B56</f>
        <v>280.50000000000011</v>
      </c>
      <c r="C76" s="71" t="s">
        <v>160</v>
      </c>
      <c r="D76" s="70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</row>
    <row r="77" spans="1:17" x14ac:dyDescent="0.3">
      <c r="A77" s="68" t="s">
        <v>251</v>
      </c>
      <c r="B77" s="73">
        <f>'Design Calculations'!B57</f>
        <v>147</v>
      </c>
      <c r="C77" s="71" t="s">
        <v>160</v>
      </c>
      <c r="D77" s="70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</row>
    <row r="78" spans="1:17" x14ac:dyDescent="0.3">
      <c r="A78" s="68"/>
      <c r="B78" s="69"/>
      <c r="C78" s="69"/>
      <c r="D78" s="70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</row>
    <row r="79" spans="1:17" x14ac:dyDescent="0.3">
      <c r="A79" s="68" t="s">
        <v>254</v>
      </c>
      <c r="B79" s="69"/>
      <c r="C79" s="69"/>
      <c r="D79" s="70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</row>
    <row r="80" spans="1:17" x14ac:dyDescent="0.3">
      <c r="A80" s="68" t="s">
        <v>252</v>
      </c>
      <c r="B80" s="73">
        <f>'Design Calculations'!B56/20</f>
        <v>14.025000000000006</v>
      </c>
      <c r="C80" s="71" t="s">
        <v>160</v>
      </c>
      <c r="D80" s="70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</row>
    <row r="81" spans="1:17" x14ac:dyDescent="0.3">
      <c r="A81" s="68" t="s">
        <v>253</v>
      </c>
      <c r="B81" s="73">
        <f>'Design Calculations'!B57/20</f>
        <v>7.35</v>
      </c>
      <c r="C81" s="71" t="s">
        <v>160</v>
      </c>
      <c r="D81" s="70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</row>
    <row r="82" spans="1:17" x14ac:dyDescent="0.3">
      <c r="A82" s="68"/>
      <c r="B82" s="69"/>
      <c r="C82" s="69"/>
      <c r="D82" s="70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</row>
    <row r="83" spans="1:17" x14ac:dyDescent="0.3">
      <c r="A83" s="68"/>
      <c r="B83" s="69"/>
      <c r="C83" s="69"/>
      <c r="D83" s="70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</row>
    <row r="84" spans="1:17" ht="12.9" thickBot="1" x14ac:dyDescent="0.35">
      <c r="A84" s="74"/>
      <c r="B84" s="75"/>
      <c r="C84" s="75"/>
      <c r="D84" s="76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</row>
    <row r="85" spans="1:17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</row>
    <row r="86" spans="1:17" ht="12.9" thickBot="1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</row>
    <row r="87" spans="1:17" ht="12.9" thickBot="1" x14ac:dyDescent="0.35">
      <c r="A87" s="77"/>
      <c r="B87" s="78"/>
      <c r="C87" s="79" t="s">
        <v>277</v>
      </c>
      <c r="D87" s="80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</row>
    <row r="88" spans="1:17" ht="12.9" thickBot="1" x14ac:dyDescent="0.35">
      <c r="A88" s="81" t="s">
        <v>242</v>
      </c>
      <c r="B88" s="117">
        <v>100</v>
      </c>
      <c r="C88" s="41" t="s">
        <v>243</v>
      </c>
      <c r="D88" s="82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</row>
    <row r="89" spans="1:17" ht="12.9" thickBot="1" x14ac:dyDescent="0.35">
      <c r="A89" s="81" t="s">
        <v>244</v>
      </c>
      <c r="B89" s="83">
        <f>0.000001*B88*B20/B36</f>
        <v>9.34835292009973E-5</v>
      </c>
      <c r="C89" s="41" t="s">
        <v>245</v>
      </c>
      <c r="D89" s="82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</row>
    <row r="90" spans="1:17" ht="12.9" thickBot="1" x14ac:dyDescent="0.35">
      <c r="A90" s="81"/>
      <c r="B90" s="41" t="s">
        <v>228</v>
      </c>
      <c r="C90" s="41" t="s">
        <v>246</v>
      </c>
      <c r="D90" s="82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</row>
    <row r="91" spans="1:17" ht="12.9" thickBot="1" x14ac:dyDescent="0.35">
      <c r="A91" s="81"/>
      <c r="B91" s="83">
        <f>B89</f>
        <v>9.34835292009973E-5</v>
      </c>
      <c r="C91" s="84">
        <f>B36</f>
        <v>31.317269969068398</v>
      </c>
      <c r="D91" s="82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</row>
    <row r="92" spans="1:17" x14ac:dyDescent="0.3">
      <c r="A92" s="81"/>
      <c r="B92" s="41"/>
      <c r="C92" s="41"/>
      <c r="D92" s="82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</row>
    <row r="93" spans="1:17" ht="12.9" thickBot="1" x14ac:dyDescent="0.35">
      <c r="A93" s="81"/>
      <c r="B93" s="41" t="s">
        <v>185</v>
      </c>
      <c r="C93" s="41" t="s">
        <v>246</v>
      </c>
      <c r="D93" s="82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</row>
    <row r="94" spans="1:17" ht="12.9" thickBot="1" x14ac:dyDescent="0.35">
      <c r="A94" s="41"/>
      <c r="B94" s="85">
        <f>B20</f>
        <v>29.276489216489217</v>
      </c>
      <c r="C94" s="84">
        <f>C91</f>
        <v>31.317269969068398</v>
      </c>
      <c r="D94" s="82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</row>
    <row r="95" spans="1:17" ht="12.9" thickBot="1" x14ac:dyDescent="0.35">
      <c r="A95" s="86"/>
      <c r="B95" s="44"/>
      <c r="C95" s="44"/>
      <c r="D95" s="87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</row>
    <row r="96" spans="1:17" ht="12.9" thickBot="1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</row>
    <row r="97" spans="1:17" x14ac:dyDescent="0.3">
      <c r="A97" s="88"/>
      <c r="B97" s="89"/>
      <c r="C97" s="90" t="s">
        <v>278</v>
      </c>
      <c r="D97" s="91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</row>
    <row r="98" spans="1:17" x14ac:dyDescent="0.3">
      <c r="A98" s="92" t="s">
        <v>255</v>
      </c>
      <c r="B98" s="93"/>
      <c r="C98" s="93"/>
      <c r="D98" s="94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</row>
    <row r="99" spans="1:17" ht="12.9" thickBot="1" x14ac:dyDescent="0.35">
      <c r="A99" s="92"/>
      <c r="B99" s="93"/>
      <c r="C99" s="93"/>
      <c r="D99" s="94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</row>
    <row r="100" spans="1:17" ht="12.9" thickBot="1" x14ac:dyDescent="0.35">
      <c r="A100" s="92" t="s">
        <v>256</v>
      </c>
      <c r="B100" s="117">
        <v>60</v>
      </c>
      <c r="C100" s="93" t="s">
        <v>258</v>
      </c>
      <c r="D100" s="94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</row>
    <row r="101" spans="1:17" ht="12.9" thickBot="1" x14ac:dyDescent="0.35">
      <c r="A101" s="92" t="s">
        <v>259</v>
      </c>
      <c r="B101" s="117">
        <v>30</v>
      </c>
      <c r="C101" s="93" t="s">
        <v>258</v>
      </c>
      <c r="D101" s="94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</row>
    <row r="102" spans="1:17" ht="12.9" thickBot="1" x14ac:dyDescent="0.35">
      <c r="A102" s="92" t="s">
        <v>266</v>
      </c>
      <c r="B102" s="117">
        <v>78</v>
      </c>
      <c r="C102" s="93" t="s">
        <v>257</v>
      </c>
      <c r="D102" s="94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</row>
    <row r="103" spans="1:17" x14ac:dyDescent="0.3">
      <c r="A103" s="92"/>
      <c r="B103" s="93"/>
      <c r="C103" s="93"/>
      <c r="D103" s="94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</row>
    <row r="104" spans="1:17" x14ac:dyDescent="0.3">
      <c r="A104" s="92" t="s">
        <v>260</v>
      </c>
      <c r="B104" s="95">
        <f>(TJmax-Tamb)/ThetaJA</f>
        <v>0.38461538461538464</v>
      </c>
      <c r="C104" s="93" t="s">
        <v>261</v>
      </c>
      <c r="D104" s="94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</row>
    <row r="105" spans="1:17" x14ac:dyDescent="0.3">
      <c r="A105" s="92" t="s">
        <v>265</v>
      </c>
      <c r="B105" s="95">
        <f>B104/B35^2</f>
        <v>2.6241332810897193E-4</v>
      </c>
      <c r="C105" s="93" t="s">
        <v>262</v>
      </c>
      <c r="D105" s="94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</row>
    <row r="106" spans="1:17" ht="12.9" thickBot="1" x14ac:dyDescent="0.35">
      <c r="A106" s="92"/>
      <c r="B106" s="93"/>
      <c r="C106" s="93"/>
      <c r="D106" s="94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</row>
    <row r="107" spans="1:17" ht="12.9" thickBot="1" x14ac:dyDescent="0.35">
      <c r="A107" s="92" t="s">
        <v>264</v>
      </c>
      <c r="B107" s="117">
        <v>1.6</v>
      </c>
      <c r="C107" s="93"/>
      <c r="D107" s="94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</row>
    <row r="108" spans="1:17" x14ac:dyDescent="0.3">
      <c r="A108" s="92" t="s">
        <v>263</v>
      </c>
      <c r="B108" s="95">
        <f>B105/B107</f>
        <v>1.6400833006810744E-4</v>
      </c>
      <c r="C108" s="93" t="s">
        <v>262</v>
      </c>
      <c r="D108" s="94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</row>
    <row r="109" spans="1:17" ht="12.9" thickBot="1" x14ac:dyDescent="0.35">
      <c r="A109" s="92"/>
      <c r="B109" s="95"/>
      <c r="C109" s="93"/>
      <c r="D109" s="94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</row>
    <row r="110" spans="1:17" ht="12.9" thickBot="1" x14ac:dyDescent="0.35">
      <c r="A110" s="92" t="s">
        <v>267</v>
      </c>
      <c r="B110" s="118">
        <v>7.0000000000000001E-3</v>
      </c>
      <c r="C110" s="93" t="s">
        <v>262</v>
      </c>
      <c r="D110" s="94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</row>
    <row r="111" spans="1:17" x14ac:dyDescent="0.3">
      <c r="A111" s="92" t="s">
        <v>268</v>
      </c>
      <c r="B111" s="95">
        <f>B110*B107</f>
        <v>1.1200000000000002E-2</v>
      </c>
      <c r="C111" s="93" t="s">
        <v>262</v>
      </c>
      <c r="D111" s="94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</row>
    <row r="112" spans="1:17" x14ac:dyDescent="0.3">
      <c r="A112" s="92" t="s">
        <v>269</v>
      </c>
      <c r="B112" s="95">
        <f>(1.1*B35)^2*B111</f>
        <v>19.862968584214549</v>
      </c>
      <c r="C112" s="93" t="s">
        <v>261</v>
      </c>
      <c r="D112" s="94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</row>
    <row r="113" spans="1:17" x14ac:dyDescent="0.3">
      <c r="A113" s="92"/>
      <c r="B113" s="95"/>
      <c r="C113" s="93"/>
      <c r="D113" s="94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</row>
    <row r="114" spans="1:17" x14ac:dyDescent="0.3">
      <c r="A114" s="92" t="s">
        <v>270</v>
      </c>
      <c r="B114" s="95">
        <f>B112*ThetaJA</f>
        <v>1549.3115495687348</v>
      </c>
      <c r="C114" s="93" t="s">
        <v>258</v>
      </c>
      <c r="D114" s="94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</row>
    <row r="115" spans="1:17" x14ac:dyDescent="0.3">
      <c r="A115" s="92" t="s">
        <v>271</v>
      </c>
      <c r="B115" s="95">
        <f>Tamb+B114</f>
        <v>1579.3115495687348</v>
      </c>
      <c r="C115" s="93" t="s">
        <v>258</v>
      </c>
      <c r="D115" s="94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</row>
    <row r="116" spans="1:17" x14ac:dyDescent="0.3">
      <c r="A116" s="92"/>
      <c r="B116" s="93"/>
      <c r="C116" s="93"/>
      <c r="D116" s="94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</row>
    <row r="117" spans="1:17" x14ac:dyDescent="0.3">
      <c r="A117" s="92" t="s">
        <v>272</v>
      </c>
      <c r="B117" s="96">
        <f>(150-25)/(150-B101)</f>
        <v>1.0416666666666667</v>
      </c>
      <c r="C117" s="93"/>
      <c r="D117" s="94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</row>
    <row r="118" spans="1:17" ht="12.9" thickBot="1" x14ac:dyDescent="0.35">
      <c r="A118" s="97"/>
      <c r="B118" s="98"/>
      <c r="C118" s="98"/>
      <c r="D118" s="99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</row>
  </sheetData>
  <sheetProtection algorithmName="SHA-512" hashValue="CVC1caG7Fgx8LUXX5IsoGMhyF+kcC6Q2LZRCoex9hlyDXcKB9JjinlS1CKfvK34A2yMdhOxGo2FEo5D5uTaxdw==" saltValue="Rrt+o2oum/M6Tb+ALTBzMg==" spinCount="100000" sheet="1" objects="1" scenarios="1"/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234"/>
  <sheetViews>
    <sheetView workbookViewId="0">
      <selection activeCell="A4" sqref="A4"/>
    </sheetView>
  </sheetViews>
  <sheetFormatPr defaultRowHeight="12.45" x14ac:dyDescent="0.3"/>
  <sheetData>
    <row r="1" spans="1:30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 t="s">
        <v>219</v>
      </c>
      <c r="M1" s="5" t="s">
        <v>220</v>
      </c>
      <c r="N1" s="5"/>
      <c r="O1" s="5" t="s">
        <v>219</v>
      </c>
      <c r="P1" s="5" t="s">
        <v>221</v>
      </c>
      <c r="Q1" s="5"/>
      <c r="R1" s="5" t="s">
        <v>219</v>
      </c>
      <c r="S1" s="5" t="s">
        <v>222</v>
      </c>
      <c r="T1" s="5"/>
      <c r="U1" s="5" t="s">
        <v>219</v>
      </c>
      <c r="V1" s="5" t="s">
        <v>223</v>
      </c>
      <c r="W1" s="5"/>
      <c r="X1" s="5" t="s">
        <v>219</v>
      </c>
      <c r="Y1" s="5" t="s">
        <v>247</v>
      </c>
      <c r="Z1" s="5"/>
      <c r="AA1" s="5" t="s">
        <v>219</v>
      </c>
      <c r="AB1" s="5" t="s">
        <v>224</v>
      </c>
      <c r="AC1" s="5"/>
      <c r="AD1" s="5"/>
    </row>
    <row r="2" spans="1:30" x14ac:dyDescent="0.3">
      <c r="A2" s="5">
        <f>MAX(A4:A300)</f>
        <v>153.30000000000015</v>
      </c>
      <c r="B2" s="5">
        <f>VLOOKUP($A$2,$A$4:$C$300,2,0)</f>
        <v>6.9999999999986129E-2</v>
      </c>
      <c r="C2" s="5">
        <f>VLOOKUP($A$2,$A$4:$C$300,3,0)</f>
        <v>0.17403314917123622</v>
      </c>
      <c r="D2" s="5"/>
      <c r="E2" s="5" t="e">
        <f>MAX(E4:E300)</f>
        <v>#N/A</v>
      </c>
      <c r="F2" s="5" t="e">
        <f>VLOOKUP($E$2,$E$4:$G$300,2,0)</f>
        <v>#N/A</v>
      </c>
      <c r="G2" s="5" t="e">
        <f>VLOOKUP($E$2,$E$4:$G$300,3,0)</f>
        <v>#N/A</v>
      </c>
      <c r="H2" s="5"/>
      <c r="I2" s="5" t="s">
        <v>218</v>
      </c>
      <c r="J2" s="5"/>
      <c r="K2" s="5"/>
      <c r="L2" s="5">
        <v>0.1</v>
      </c>
      <c r="M2" s="5">
        <v>1</v>
      </c>
      <c r="N2" s="5"/>
      <c r="O2" s="5">
        <v>0.1</v>
      </c>
      <c r="P2" s="5">
        <v>1</v>
      </c>
      <c r="Q2" s="5"/>
      <c r="R2" s="5">
        <v>0.1</v>
      </c>
      <c r="S2" s="5">
        <v>1</v>
      </c>
      <c r="T2" s="5"/>
      <c r="U2" s="5">
        <v>0.1</v>
      </c>
      <c r="V2" s="5">
        <v>1</v>
      </c>
      <c r="W2" s="5"/>
      <c r="X2" s="5">
        <v>0.1</v>
      </c>
      <c r="Y2" s="5">
        <v>1</v>
      </c>
      <c r="Z2" s="5"/>
      <c r="AA2" s="5">
        <v>0.1</v>
      </c>
      <c r="AB2" s="5">
        <v>1</v>
      </c>
      <c r="AC2" s="5"/>
      <c r="AD2" s="5"/>
    </row>
    <row r="3" spans="1:30" x14ac:dyDescent="0.3">
      <c r="A3" s="5" t="str">
        <f>'Design Calculations'!G59</f>
        <v>Power</v>
      </c>
      <c r="B3" s="5" t="str">
        <f>'Design Calculations'!C59</f>
        <v>Vout</v>
      </c>
      <c r="C3" s="5" t="str">
        <f>'Design Calculations'!E59</f>
        <v>OC</v>
      </c>
      <c r="D3" s="5"/>
      <c r="E3" s="5" t="str">
        <f>'Design Calculations'!M59</f>
        <v>Power</v>
      </c>
      <c r="F3" s="5" t="str">
        <f>'Design Calculations'!I59</f>
        <v>Vout</v>
      </c>
      <c r="G3" s="5" t="str">
        <f>'Design Calculations'!K59</f>
        <v>OC</v>
      </c>
      <c r="H3" s="5"/>
      <c r="I3" s="5" t="s">
        <v>185</v>
      </c>
      <c r="J3" s="5" t="s">
        <v>225</v>
      </c>
      <c r="K3" s="5"/>
      <c r="L3" s="5">
        <v>1.25</v>
      </c>
      <c r="M3" s="5">
        <v>12</v>
      </c>
      <c r="N3" s="5"/>
      <c r="O3" s="5">
        <v>1.25</v>
      </c>
      <c r="P3" s="5">
        <v>12</v>
      </c>
      <c r="Q3" s="5"/>
      <c r="R3" s="5">
        <v>1.25</v>
      </c>
      <c r="S3" s="5">
        <v>12</v>
      </c>
      <c r="T3" s="5"/>
      <c r="U3" s="5">
        <v>0.85</v>
      </c>
      <c r="V3" s="5">
        <v>8.1999999999999993</v>
      </c>
      <c r="W3" s="5"/>
      <c r="X3" s="5">
        <v>0.46</v>
      </c>
      <c r="Y3" s="5">
        <v>4.5</v>
      </c>
      <c r="Z3" s="5"/>
      <c r="AA3" s="5">
        <v>0.23</v>
      </c>
      <c r="AB3" s="5">
        <v>2.25</v>
      </c>
      <c r="AC3" s="5"/>
      <c r="AD3" s="5"/>
    </row>
    <row r="4" spans="1:30" x14ac:dyDescent="0.3">
      <c r="A4" s="5">
        <f>'Design Calculations'!G60</f>
        <v>0</v>
      </c>
      <c r="B4" s="5">
        <f>'Design Calculations'!C60</f>
        <v>15.400000000000002</v>
      </c>
      <c r="C4" s="5">
        <f>'Design Calculations'!E60</f>
        <v>34.789915966386552</v>
      </c>
      <c r="D4" s="5"/>
      <c r="E4" s="5" t="e">
        <f>'Design Calculations'!M60</f>
        <v>#N/A</v>
      </c>
      <c r="F4" s="5">
        <f>'Design Calculations'!I60</f>
        <v>16.8</v>
      </c>
      <c r="G4" s="5" t="e">
        <f>'Design Calculations'!K60</f>
        <v>#N/A</v>
      </c>
      <c r="H4" s="5"/>
      <c r="I4" s="5">
        <f>B2</f>
        <v>6.9999999999986129E-2</v>
      </c>
      <c r="J4" s="5">
        <f>C2</f>
        <v>0.17403314917123622</v>
      </c>
      <c r="K4" s="5"/>
      <c r="L4" s="5">
        <v>50</v>
      </c>
      <c r="M4" s="5">
        <v>12</v>
      </c>
      <c r="N4" s="5"/>
      <c r="O4" s="5">
        <v>9</v>
      </c>
      <c r="P4" s="5">
        <v>12</v>
      </c>
      <c r="Q4" s="5"/>
      <c r="R4" s="5">
        <v>3</v>
      </c>
      <c r="S4" s="5">
        <v>12</v>
      </c>
      <c r="T4" s="5"/>
      <c r="U4" s="5">
        <v>1.5</v>
      </c>
      <c r="V4" s="5">
        <v>8.1999999999999993</v>
      </c>
      <c r="W4" s="5"/>
      <c r="X4" s="5">
        <v>0.85</v>
      </c>
      <c r="Y4" s="5">
        <v>4.5</v>
      </c>
      <c r="Z4" s="5"/>
      <c r="AA4" s="5">
        <v>0.4</v>
      </c>
      <c r="AB4" s="5">
        <v>2.25</v>
      </c>
      <c r="AC4" s="5"/>
      <c r="AD4" s="5"/>
    </row>
    <row r="5" spans="1:30" x14ac:dyDescent="0.3">
      <c r="A5" s="5">
        <f>'Design Calculations'!G61</f>
        <v>2.4352941176471301</v>
      </c>
      <c r="B5" s="5">
        <f>'Design Calculations'!C61</f>
        <v>15.33</v>
      </c>
      <c r="C5" s="5">
        <f>'Design Calculations'!E61</f>
        <v>34.789915966386552</v>
      </c>
      <c r="D5" s="5"/>
      <c r="E5" s="5" t="e">
        <f>'Design Calculations'!M61</f>
        <v>#N/A</v>
      </c>
      <c r="F5" s="5">
        <f>'Design Calculations'!I61</f>
        <v>16.73</v>
      </c>
      <c r="G5" s="5" t="e">
        <f>'Design Calculations'!K61</f>
        <v>#N/A</v>
      </c>
      <c r="H5" s="5"/>
      <c r="I5" s="5"/>
      <c r="J5" s="5"/>
      <c r="K5" s="5"/>
      <c r="L5" s="5">
        <v>60</v>
      </c>
      <c r="M5" s="5">
        <v>10</v>
      </c>
      <c r="N5" s="5"/>
      <c r="O5" s="5">
        <v>60</v>
      </c>
      <c r="P5" s="5">
        <v>1.9</v>
      </c>
      <c r="Q5" s="5"/>
      <c r="R5" s="5">
        <v>60</v>
      </c>
      <c r="S5" s="5">
        <v>0.6</v>
      </c>
      <c r="T5" s="5"/>
      <c r="U5" s="5">
        <v>60</v>
      </c>
      <c r="V5" s="5">
        <v>0.2</v>
      </c>
      <c r="W5" s="5"/>
      <c r="X5" s="5">
        <v>60</v>
      </c>
      <c r="Y5" s="5">
        <v>0.06</v>
      </c>
      <c r="Z5" s="5"/>
      <c r="AA5" s="5">
        <v>60</v>
      </c>
      <c r="AB5" s="5">
        <v>1.4999999999999999E-2</v>
      </c>
      <c r="AC5" s="5"/>
      <c r="AD5" s="5"/>
    </row>
    <row r="6" spans="1:30" x14ac:dyDescent="0.3">
      <c r="A6" s="5">
        <f>'Design Calculations'!G62</f>
        <v>4.8705882352941368</v>
      </c>
      <c r="B6" s="5">
        <f>'Design Calculations'!C62</f>
        <v>15.260000000000002</v>
      </c>
      <c r="C6" s="5">
        <f>'Design Calculations'!E62</f>
        <v>34.789915966386552</v>
      </c>
      <c r="D6" s="5"/>
      <c r="E6" s="5" t="e">
        <f>'Design Calculations'!M62</f>
        <v>#N/A</v>
      </c>
      <c r="F6" s="5">
        <f>'Design Calculations'!I62</f>
        <v>16.66</v>
      </c>
      <c r="G6" s="5" t="e">
        <f>'Design Calculations'!K62</f>
        <v>#N/A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x14ac:dyDescent="0.3">
      <c r="A7" s="5">
        <f>'Design Calculations'!G63</f>
        <v>7.3058823529412678</v>
      </c>
      <c r="B7" s="5">
        <f>'Design Calculations'!C63</f>
        <v>15.19</v>
      </c>
      <c r="C7" s="5">
        <f>'Design Calculations'!E63</f>
        <v>34.789915966386552</v>
      </c>
      <c r="D7" s="5"/>
      <c r="E7" s="5" t="e">
        <f>'Design Calculations'!M63</f>
        <v>#N/A</v>
      </c>
      <c r="F7" s="5">
        <f>'Design Calculations'!I63</f>
        <v>16.59</v>
      </c>
      <c r="G7" s="5" t="e">
        <f>'Design Calculations'!K63</f>
        <v>#N/A</v>
      </c>
      <c r="H7" s="5"/>
      <c r="I7" s="5" t="s">
        <v>218</v>
      </c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</row>
    <row r="8" spans="1:30" x14ac:dyDescent="0.3">
      <c r="A8" s="5">
        <f>'Design Calculations'!G64</f>
        <v>9.7411764705882735</v>
      </c>
      <c r="B8" s="5">
        <f>'Design Calculations'!C64</f>
        <v>15.120000000000001</v>
      </c>
      <c r="C8" s="5">
        <f>'Design Calculations'!E64</f>
        <v>34.789915966386552</v>
      </c>
      <c r="D8" s="5"/>
      <c r="E8" s="5" t="e">
        <f>'Design Calculations'!M64</f>
        <v>#N/A</v>
      </c>
      <c r="F8" s="5">
        <f>'Design Calculations'!I64</f>
        <v>16.52</v>
      </c>
      <c r="G8" s="5" t="e">
        <f>'Design Calculations'!K64</f>
        <v>#N/A</v>
      </c>
      <c r="H8" s="5"/>
      <c r="I8" s="5" t="s">
        <v>185</v>
      </c>
      <c r="J8" s="5" t="s">
        <v>225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</row>
    <row r="9" spans="1:30" x14ac:dyDescent="0.3">
      <c r="A9" s="5">
        <f>'Design Calculations'!G65</f>
        <v>12.176470588235404</v>
      </c>
      <c r="B9" s="5">
        <f>'Design Calculations'!C65</f>
        <v>15.049999999999999</v>
      </c>
      <c r="C9" s="5">
        <f>'Design Calculations'!E65</f>
        <v>34.789915966386552</v>
      </c>
      <c r="D9" s="5"/>
      <c r="E9" s="5" t="e">
        <f>'Design Calculations'!M65</f>
        <v>#N/A</v>
      </c>
      <c r="F9" s="5">
        <f>'Design Calculations'!I65</f>
        <v>16.45</v>
      </c>
      <c r="G9" s="5" t="e">
        <f>'Design Calculations'!K65</f>
        <v>#N/A</v>
      </c>
      <c r="H9" s="5"/>
      <c r="I9" s="5" t="e">
        <f>F2</f>
        <v>#N/A</v>
      </c>
      <c r="J9" s="5" t="e">
        <f>G2</f>
        <v>#N/A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</row>
    <row r="10" spans="1:30" x14ac:dyDescent="0.3">
      <c r="A10" s="5">
        <f>'Design Calculations'!G66</f>
        <v>14.611764705882411</v>
      </c>
      <c r="B10" s="5">
        <f>'Design Calculations'!C66</f>
        <v>14.98</v>
      </c>
      <c r="C10" s="5">
        <f>'Design Calculations'!E66</f>
        <v>34.789915966386552</v>
      </c>
      <c r="D10" s="5"/>
      <c r="E10" s="5" t="e">
        <f>'Design Calculations'!M66</f>
        <v>#N/A</v>
      </c>
      <c r="F10" s="5">
        <f>'Design Calculations'!I66</f>
        <v>16.38</v>
      </c>
      <c r="G10" s="5" t="e">
        <f>'Design Calculations'!K66</f>
        <v>#N/A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</row>
    <row r="11" spans="1:30" x14ac:dyDescent="0.3">
      <c r="A11" s="5">
        <f>'Design Calculations'!G67</f>
        <v>17.047058823529479</v>
      </c>
      <c r="B11" s="5">
        <f>'Design Calculations'!C67</f>
        <v>14.91</v>
      </c>
      <c r="C11" s="5">
        <f>'Design Calculations'!E67</f>
        <v>34.789915966386552</v>
      </c>
      <c r="D11" s="5"/>
      <c r="E11" s="5" t="e">
        <f>'Design Calculations'!M67</f>
        <v>#N/A</v>
      </c>
      <c r="F11" s="5">
        <f>'Design Calculations'!I67</f>
        <v>16.310000000000002</v>
      </c>
      <c r="G11" s="5" t="e">
        <f>'Design Calculations'!K67</f>
        <v>#N/A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</row>
    <row r="12" spans="1:30" x14ac:dyDescent="0.3">
      <c r="A12" s="5">
        <f>'Design Calculations'!G68</f>
        <v>19.482352941176547</v>
      </c>
      <c r="B12" s="5">
        <f>'Design Calculations'!C68</f>
        <v>14.84</v>
      </c>
      <c r="C12" s="5">
        <f>'Design Calculations'!E68</f>
        <v>34.789915966386552</v>
      </c>
      <c r="D12" s="5"/>
      <c r="E12" s="5" t="e">
        <f>'Design Calculations'!M68</f>
        <v>#N/A</v>
      </c>
      <c r="F12" s="5">
        <f>'Design Calculations'!I68</f>
        <v>16.239999999999998</v>
      </c>
      <c r="G12" s="5" t="e">
        <f>'Design Calculations'!K68</f>
        <v>#N/A</v>
      </c>
      <c r="H12" s="5"/>
      <c r="I12" s="5" t="s">
        <v>226</v>
      </c>
      <c r="J12" s="5" t="s">
        <v>227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</row>
    <row r="13" spans="1:30" x14ac:dyDescent="0.3">
      <c r="A13" s="5">
        <f>'Design Calculations'!G69</f>
        <v>21.917647058823615</v>
      </c>
      <c r="B13" s="5">
        <f>'Design Calculations'!C69</f>
        <v>14.77</v>
      </c>
      <c r="C13" s="5">
        <f>'Design Calculations'!E69</f>
        <v>34.789915966386552</v>
      </c>
      <c r="D13" s="5"/>
      <c r="E13" s="5" t="e">
        <f>'Design Calculations'!M69</f>
        <v>#N/A</v>
      </c>
      <c r="F13" s="5">
        <f>'Design Calculations'!I69</f>
        <v>16.170000000000002</v>
      </c>
      <c r="G13" s="5" t="e">
        <f>'Design Calculations'!K69</f>
        <v>#N/A</v>
      </c>
      <c r="H13" s="5"/>
      <c r="I13" s="5">
        <f>I4</f>
        <v>6.9999999999986129E-2</v>
      </c>
      <c r="J13" s="5">
        <f>J4*'Design Worksheet_BAT'!B71/'Design Worksheet_BAT'!B77</f>
        <v>1.0546408839776917E-2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</row>
    <row r="14" spans="1:30" x14ac:dyDescent="0.3">
      <c r="A14" s="5">
        <f>'Design Calculations'!G70</f>
        <v>24.352941176470623</v>
      </c>
      <c r="B14" s="5">
        <f>'Design Calculations'!C70</f>
        <v>14.700000000000001</v>
      </c>
      <c r="C14" s="5">
        <f>'Design Calculations'!E70</f>
        <v>34.789915966386552</v>
      </c>
      <c r="D14" s="5"/>
      <c r="E14" s="5" t="e">
        <f>'Design Calculations'!M70</f>
        <v>#N/A</v>
      </c>
      <c r="F14" s="5">
        <f>'Design Calculations'!I70</f>
        <v>16.099999999999998</v>
      </c>
      <c r="G14" s="5" t="e">
        <f>'Design Calculations'!K70</f>
        <v>#N/A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</row>
    <row r="15" spans="1:30" x14ac:dyDescent="0.3">
      <c r="A15" s="5">
        <f>'Design Calculations'!G71</f>
        <v>26.788235294117754</v>
      </c>
      <c r="B15" s="5">
        <f>'Design Calculations'!C71</f>
        <v>14.629999999999999</v>
      </c>
      <c r="C15" s="5">
        <f>'Design Calculations'!E71</f>
        <v>34.789915966386552</v>
      </c>
      <c r="D15" s="5"/>
      <c r="E15" s="5" t="e">
        <f>'Design Calculations'!M71</f>
        <v>#N/A</v>
      </c>
      <c r="F15" s="5">
        <f>'Design Calculations'!I71</f>
        <v>16.03</v>
      </c>
      <c r="G15" s="5" t="e">
        <f>'Design Calculations'!K71</f>
        <v>#N/A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</row>
    <row r="16" spans="1:30" x14ac:dyDescent="0.3">
      <c r="A16" s="5">
        <f>'Design Calculations'!G72</f>
        <v>29.223529411764762</v>
      </c>
      <c r="B16" s="5">
        <f>'Design Calculations'!C72</f>
        <v>14.56</v>
      </c>
      <c r="C16" s="5">
        <f>'Design Calculations'!E72</f>
        <v>34.789915966386552</v>
      </c>
      <c r="D16" s="5"/>
      <c r="E16" s="5" t="e">
        <f>'Design Calculations'!M72</f>
        <v>#N/A</v>
      </c>
      <c r="F16" s="5">
        <f>'Design Calculations'!I72</f>
        <v>15.959999999999999</v>
      </c>
      <c r="G16" s="5" t="e">
        <f>'Design Calculations'!K72</f>
        <v>#N/A</v>
      </c>
      <c r="H16" s="5"/>
      <c r="I16" s="5" t="s">
        <v>237</v>
      </c>
      <c r="J16" s="5" t="s">
        <v>236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</row>
    <row r="17" spans="1:30" x14ac:dyDescent="0.3">
      <c r="A17" s="5">
        <f>'Design Calculations'!G73</f>
        <v>31.65882352941189</v>
      </c>
      <c r="B17" s="5">
        <f>'Design Calculations'!C73</f>
        <v>14.489999999999998</v>
      </c>
      <c r="C17" s="5">
        <f>'Design Calculations'!E73</f>
        <v>34.789915966386552</v>
      </c>
      <c r="D17" s="5"/>
      <c r="E17" s="5" t="e">
        <f>'Design Calculations'!M73</f>
        <v>#N/A</v>
      </c>
      <c r="F17" s="5">
        <f>'Design Calculations'!I73</f>
        <v>15.89</v>
      </c>
      <c r="G17" s="5" t="e">
        <f>'Design Calculations'!K73</f>
        <v>#N/A</v>
      </c>
      <c r="H17" s="5"/>
      <c r="I17" s="5">
        <f>C2</f>
        <v>0.17403314917123622</v>
      </c>
      <c r="J17" s="5">
        <f>'Design Worksheet_BAT'!B70/1000</f>
        <v>1.2466666666666668E-2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</row>
    <row r="18" spans="1:30" x14ac:dyDescent="0.3">
      <c r="A18" s="5">
        <f>'Design Calculations'!G74</f>
        <v>34.094117647058894</v>
      </c>
      <c r="B18" s="5">
        <f>'Design Calculations'!C74</f>
        <v>14.42</v>
      </c>
      <c r="C18" s="5">
        <f>'Design Calculations'!E74</f>
        <v>34.789915966386552</v>
      </c>
      <c r="D18" s="5"/>
      <c r="E18" s="5" t="e">
        <f>'Design Calculations'!M74</f>
        <v>#N/A</v>
      </c>
      <c r="F18" s="5">
        <f>'Design Calculations'!I74</f>
        <v>15.819999999999999</v>
      </c>
      <c r="G18" s="5" t="e">
        <f>'Design Calculations'!K74</f>
        <v>#N/A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</row>
    <row r="19" spans="1:30" x14ac:dyDescent="0.3">
      <c r="A19" s="5">
        <f>'Design Calculations'!G75</f>
        <v>36.529411764706026</v>
      </c>
      <c r="B19" s="5">
        <f>'Design Calculations'!C75</f>
        <v>14.349999999999998</v>
      </c>
      <c r="C19" s="5">
        <f>'Design Calculations'!E75</f>
        <v>34.789915966386552</v>
      </c>
      <c r="D19" s="5"/>
      <c r="E19" s="5" t="e">
        <f>'Design Calculations'!M75</f>
        <v>#N/A</v>
      </c>
      <c r="F19" s="5">
        <f>'Design Calculations'!I75</f>
        <v>15.75</v>
      </c>
      <c r="G19" s="5" t="e">
        <f>'Design Calculations'!K75</f>
        <v>#N/A</v>
      </c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</row>
    <row r="20" spans="1:30" x14ac:dyDescent="0.3">
      <c r="A20" s="5">
        <f>'Design Calculations'!G76</f>
        <v>38.964705882352973</v>
      </c>
      <c r="B20" s="5">
        <f>'Design Calculations'!C76</f>
        <v>14.280000000000001</v>
      </c>
      <c r="C20" s="5">
        <f>'Design Calculations'!E76</f>
        <v>34.789915966386552</v>
      </c>
      <c r="D20" s="5"/>
      <c r="E20" s="5" t="e">
        <f>'Design Calculations'!M76</f>
        <v>#N/A</v>
      </c>
      <c r="F20" s="5">
        <f>'Design Calculations'!I76</f>
        <v>15.680000000000001</v>
      </c>
      <c r="G20" s="5" t="e">
        <f>'Design Calculations'!K76</f>
        <v>#N/A</v>
      </c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</row>
    <row r="21" spans="1:30" x14ac:dyDescent="0.3">
      <c r="A21" s="5">
        <f>'Design Calculations'!G77</f>
        <v>41.400000000000105</v>
      </c>
      <c r="B21" s="5">
        <f>'Design Calculations'!C77</f>
        <v>14.209999999999999</v>
      </c>
      <c r="C21" s="5">
        <f>'Design Calculations'!E77</f>
        <v>34.789915966386552</v>
      </c>
      <c r="D21" s="5"/>
      <c r="E21" s="5" t="e">
        <f>'Design Calculations'!M77</f>
        <v>#N/A</v>
      </c>
      <c r="F21" s="5">
        <f>'Design Calculations'!I77</f>
        <v>15.61</v>
      </c>
      <c r="G21" s="5" t="e">
        <f>'Design Calculations'!K77</f>
        <v>#N/A</v>
      </c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</row>
    <row r="22" spans="1:30" x14ac:dyDescent="0.3">
      <c r="A22" s="5">
        <f>'Design Calculations'!G78</f>
        <v>43.835294117647109</v>
      </c>
      <c r="B22" s="5">
        <f>'Design Calculations'!C78</f>
        <v>14.14</v>
      </c>
      <c r="C22" s="5">
        <f>'Design Calculations'!E78</f>
        <v>34.789915966386552</v>
      </c>
      <c r="D22" s="5"/>
      <c r="E22" s="5" t="e">
        <f>'Design Calculations'!M78</f>
        <v>#N/A</v>
      </c>
      <c r="F22" s="5">
        <f>'Design Calculations'!I78</f>
        <v>15.540000000000001</v>
      </c>
      <c r="G22" s="5" t="e">
        <f>'Design Calculations'!K78</f>
        <v>#N/A</v>
      </c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</row>
    <row r="23" spans="1:30" x14ac:dyDescent="0.3">
      <c r="A23" s="5">
        <f>'Design Calculations'!G79</f>
        <v>46.270588235294241</v>
      </c>
      <c r="B23" s="5">
        <f>'Design Calculations'!C79</f>
        <v>14.069999999999999</v>
      </c>
      <c r="C23" s="5">
        <f>'Design Calculations'!E79</f>
        <v>34.789915966386552</v>
      </c>
      <c r="D23" s="5"/>
      <c r="E23" s="5" t="e">
        <f>'Design Calculations'!M79</f>
        <v>#N/A</v>
      </c>
      <c r="F23" s="5">
        <f>'Design Calculations'!I79</f>
        <v>15.469999999999999</v>
      </c>
      <c r="G23" s="5" t="e">
        <f>'Design Calculations'!K79</f>
        <v>#N/A</v>
      </c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</row>
    <row r="24" spans="1:30" x14ac:dyDescent="0.3">
      <c r="A24" s="5">
        <f>'Design Calculations'!G80</f>
        <v>48.705882352941245</v>
      </c>
      <c r="B24" s="5">
        <f>'Design Calculations'!C80</f>
        <v>14</v>
      </c>
      <c r="C24" s="5">
        <f>'Design Calculations'!E80</f>
        <v>34.789915966386552</v>
      </c>
      <c r="D24" s="5"/>
      <c r="E24" s="5" t="e">
        <f>'Design Calculations'!M80</f>
        <v>#N/A</v>
      </c>
      <c r="F24" s="5">
        <f>'Design Calculations'!I80</f>
        <v>15.400000000000002</v>
      </c>
      <c r="G24" s="5" t="e">
        <f>'Design Calculations'!K80</f>
        <v>#N/A</v>
      </c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</row>
    <row r="25" spans="1:30" x14ac:dyDescent="0.3">
      <c r="A25" s="5">
        <f>'Design Calculations'!G81</f>
        <v>50.909917127071907</v>
      </c>
      <c r="B25" s="5">
        <f>'Design Calculations'!C81</f>
        <v>13.93</v>
      </c>
      <c r="C25" s="5">
        <f>'Design Calculations'!E81</f>
        <v>34.632596685082873</v>
      </c>
      <c r="D25" s="5"/>
      <c r="E25" s="5" t="e">
        <f>'Design Calculations'!M81</f>
        <v>#N/A</v>
      </c>
      <c r="F25" s="5">
        <f>'Design Calculations'!I81</f>
        <v>15.33</v>
      </c>
      <c r="G25" s="5" t="e">
        <f>'Design Calculations'!K81</f>
        <v>#N/A</v>
      </c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</row>
    <row r="26" spans="1:30" x14ac:dyDescent="0.3">
      <c r="A26" s="5">
        <f>'Design Calculations'!G82</f>
        <v>53.066187845303958</v>
      </c>
      <c r="B26" s="5">
        <f>'Design Calculations'!C82</f>
        <v>13.86</v>
      </c>
      <c r="C26" s="5">
        <f>'Design Calculations'!E82</f>
        <v>34.458563535911601</v>
      </c>
      <c r="D26" s="5"/>
      <c r="E26" s="5" t="e">
        <f>'Design Calculations'!M82</f>
        <v>#N/A</v>
      </c>
      <c r="F26" s="5">
        <f>'Design Calculations'!I82</f>
        <v>15.260000000000002</v>
      </c>
      <c r="G26" s="5" t="e">
        <f>'Design Calculations'!K82</f>
        <v>#N/A</v>
      </c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</row>
    <row r="27" spans="1:30" x14ac:dyDescent="0.3">
      <c r="A27" s="5">
        <f>'Design Calculations'!G83</f>
        <v>55.198093922652035</v>
      </c>
      <c r="B27" s="5">
        <f>'Design Calculations'!C83</f>
        <v>13.79</v>
      </c>
      <c r="C27" s="5">
        <f>'Design Calculations'!E83</f>
        <v>34.284530386740329</v>
      </c>
      <c r="D27" s="5"/>
      <c r="E27" s="5" t="e">
        <f>'Design Calculations'!M83</f>
        <v>#N/A</v>
      </c>
      <c r="F27" s="5">
        <f>'Design Calculations'!I83</f>
        <v>15.19</v>
      </c>
      <c r="G27" s="5" t="e">
        <f>'Design Calculations'!K83</f>
        <v>#N/A</v>
      </c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</row>
    <row r="28" spans="1:30" x14ac:dyDescent="0.3">
      <c r="A28" s="5">
        <f>'Design Calculations'!G84</f>
        <v>57.305635359116124</v>
      </c>
      <c r="B28" s="5">
        <f>'Design Calculations'!C84</f>
        <v>13.719999999999999</v>
      </c>
      <c r="C28" s="5">
        <f>'Design Calculations'!E84</f>
        <v>34.110497237569056</v>
      </c>
      <c r="D28" s="5"/>
      <c r="E28" s="5" t="e">
        <f>'Design Calculations'!M84</f>
        <v>#N/A</v>
      </c>
      <c r="F28" s="5">
        <f>'Design Calculations'!I84</f>
        <v>15.120000000000001</v>
      </c>
      <c r="G28" s="5" t="e">
        <f>'Design Calculations'!K84</f>
        <v>#N/A</v>
      </c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</row>
    <row r="29" spans="1:30" x14ac:dyDescent="0.3">
      <c r="A29" s="5">
        <f>'Design Calculations'!G85</f>
        <v>59.388812154696197</v>
      </c>
      <c r="B29" s="5">
        <f>'Design Calculations'!C85</f>
        <v>13.65</v>
      </c>
      <c r="C29" s="5">
        <f>'Design Calculations'!E85</f>
        <v>33.936464088397791</v>
      </c>
      <c r="D29" s="5"/>
      <c r="E29" s="5" t="e">
        <f>'Design Calculations'!M85</f>
        <v>#N/A</v>
      </c>
      <c r="F29" s="5">
        <f>'Design Calculations'!I85</f>
        <v>15.049999999999999</v>
      </c>
      <c r="G29" s="5" t="e">
        <f>'Design Calculations'!K85</f>
        <v>#N/A</v>
      </c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</row>
    <row r="30" spans="1:30" x14ac:dyDescent="0.3">
      <c r="A30" s="5">
        <f>'Design Calculations'!G86</f>
        <v>61.447624309392332</v>
      </c>
      <c r="B30" s="5">
        <f>'Design Calculations'!C86</f>
        <v>13.58</v>
      </c>
      <c r="C30" s="5">
        <f>'Design Calculations'!E86</f>
        <v>33.762430939226519</v>
      </c>
      <c r="D30" s="5"/>
      <c r="E30" s="5" t="e">
        <f>'Design Calculations'!M86</f>
        <v>#N/A</v>
      </c>
      <c r="F30" s="5">
        <f>'Design Calculations'!I86</f>
        <v>14.98</v>
      </c>
      <c r="G30" s="5" t="e">
        <f>'Design Calculations'!K86</f>
        <v>#N/A</v>
      </c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</row>
    <row r="31" spans="1:30" x14ac:dyDescent="0.3">
      <c r="A31" s="5">
        <f>'Design Calculations'!G87</f>
        <v>63.482071823204492</v>
      </c>
      <c r="B31" s="5">
        <f>'Design Calculations'!C87</f>
        <v>13.51</v>
      </c>
      <c r="C31" s="5">
        <f>'Design Calculations'!E87</f>
        <v>33.588397790055247</v>
      </c>
      <c r="D31" s="5"/>
      <c r="E31" s="5" t="e">
        <f>'Design Calculations'!M87</f>
        <v>#N/A</v>
      </c>
      <c r="F31" s="5">
        <f>'Design Calculations'!I87</f>
        <v>14.91</v>
      </c>
      <c r="G31" s="5" t="e">
        <f>'Design Calculations'!K87</f>
        <v>#N/A</v>
      </c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</row>
    <row r="32" spans="1:30" x14ac:dyDescent="0.3">
      <c r="A32" s="5">
        <f>'Design Calculations'!G88</f>
        <v>65.492154696132687</v>
      </c>
      <c r="B32" s="5">
        <f>'Design Calculations'!C88</f>
        <v>13.44</v>
      </c>
      <c r="C32" s="5">
        <f>'Design Calculations'!E88</f>
        <v>33.414364640883981</v>
      </c>
      <c r="D32" s="5"/>
      <c r="E32" s="5" t="e">
        <f>'Design Calculations'!M88</f>
        <v>#N/A</v>
      </c>
      <c r="F32" s="5">
        <f>'Design Calculations'!I88</f>
        <v>14.84</v>
      </c>
      <c r="G32" s="5" t="e">
        <f>'Design Calculations'!K88</f>
        <v>#N/A</v>
      </c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</row>
    <row r="33" spans="1:30" x14ac:dyDescent="0.3">
      <c r="A33" s="5">
        <f>'Design Calculations'!G89</f>
        <v>67.477872928176893</v>
      </c>
      <c r="B33" s="5">
        <f>'Design Calculations'!C89</f>
        <v>13.37</v>
      </c>
      <c r="C33" s="5">
        <f>'Design Calculations'!E89</f>
        <v>33.240331491712709</v>
      </c>
      <c r="D33" s="5"/>
      <c r="E33" s="5" t="e">
        <f>'Design Calculations'!M89</f>
        <v>#N/A</v>
      </c>
      <c r="F33" s="5">
        <f>'Design Calculations'!I89</f>
        <v>14.77</v>
      </c>
      <c r="G33" s="5" t="e">
        <f>'Design Calculations'!K89</f>
        <v>#N/A</v>
      </c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</row>
    <row r="34" spans="1:30" x14ac:dyDescent="0.3">
      <c r="A34" s="5">
        <f>'Design Calculations'!G90</f>
        <v>69.439226519337112</v>
      </c>
      <c r="B34" s="5">
        <f>'Design Calculations'!C90</f>
        <v>13.299999999999999</v>
      </c>
      <c r="C34" s="5">
        <f>'Design Calculations'!E90</f>
        <v>33.06629834254143</v>
      </c>
      <c r="D34" s="5"/>
      <c r="E34" s="5" t="e">
        <f>'Design Calculations'!M90</f>
        <v>#N/A</v>
      </c>
      <c r="F34" s="5">
        <f>'Design Calculations'!I90</f>
        <v>14.700000000000001</v>
      </c>
      <c r="G34" s="5" t="e">
        <f>'Design Calculations'!K90</f>
        <v>#N/A</v>
      </c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</row>
    <row r="35" spans="1:30" x14ac:dyDescent="0.3">
      <c r="A35" s="5">
        <f>'Design Calculations'!G91</f>
        <v>71.376215469613371</v>
      </c>
      <c r="B35" s="5">
        <f>'Design Calculations'!C91</f>
        <v>13.229999999999999</v>
      </c>
      <c r="C35" s="5">
        <f>'Design Calculations'!E91</f>
        <v>32.892265193370164</v>
      </c>
      <c r="D35" s="5"/>
      <c r="E35" s="5" t="e">
        <f>'Design Calculations'!M91</f>
        <v>#N/A</v>
      </c>
      <c r="F35" s="5">
        <f>'Design Calculations'!I91</f>
        <v>14.629999999999999</v>
      </c>
      <c r="G35" s="5" t="e">
        <f>'Design Calculations'!K91</f>
        <v>#N/A</v>
      </c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</row>
    <row r="36" spans="1:30" x14ac:dyDescent="0.3">
      <c r="A36" s="5">
        <f>'Design Calculations'!G92</f>
        <v>73.288839779005585</v>
      </c>
      <c r="B36" s="5">
        <f>'Design Calculations'!C92</f>
        <v>13.16</v>
      </c>
      <c r="C36" s="5">
        <f>'Design Calculations'!E92</f>
        <v>32.718232044198892</v>
      </c>
      <c r="D36" s="5"/>
      <c r="E36" s="5" t="e">
        <f>'Design Calculations'!M92</f>
        <v>#N/A</v>
      </c>
      <c r="F36" s="5">
        <f>'Design Calculations'!I92</f>
        <v>14.56</v>
      </c>
      <c r="G36" s="5" t="e">
        <f>'Design Calculations'!K92</f>
        <v>#N/A</v>
      </c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</row>
    <row r="37" spans="1:30" x14ac:dyDescent="0.3">
      <c r="A37" s="5">
        <f>'Design Calculations'!G93</f>
        <v>75.177099447513896</v>
      </c>
      <c r="B37" s="5">
        <f>'Design Calculations'!C93</f>
        <v>13.09</v>
      </c>
      <c r="C37" s="5">
        <f>'Design Calculations'!E93</f>
        <v>32.544198895027627</v>
      </c>
      <c r="D37" s="5"/>
      <c r="E37" s="5" t="e">
        <f>'Design Calculations'!M93</f>
        <v>#N/A</v>
      </c>
      <c r="F37" s="5">
        <f>'Design Calculations'!I93</f>
        <v>14.489999999999998</v>
      </c>
      <c r="G37" s="5" t="e">
        <f>'Design Calculations'!K93</f>
        <v>#N/A</v>
      </c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</row>
    <row r="38" spans="1:30" x14ac:dyDescent="0.3">
      <c r="A38" s="5">
        <f>'Design Calculations'!G94</f>
        <v>77.040994475138163</v>
      </c>
      <c r="B38" s="5">
        <f>'Design Calculations'!C94</f>
        <v>13.020000000000001</v>
      </c>
      <c r="C38" s="5">
        <f>'Design Calculations'!E94</f>
        <v>32.370165745856362</v>
      </c>
      <c r="D38" s="5"/>
      <c r="E38" s="5" t="e">
        <f>'Design Calculations'!M94</f>
        <v>#N/A</v>
      </c>
      <c r="F38" s="5">
        <f>'Design Calculations'!I94</f>
        <v>14.42</v>
      </c>
      <c r="G38" s="5" t="e">
        <f>'Design Calculations'!K94</f>
        <v>#N/A</v>
      </c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</row>
    <row r="39" spans="1:30" x14ac:dyDescent="0.3">
      <c r="A39" s="5">
        <f>'Design Calculations'!G95</f>
        <v>78.880524861878499</v>
      </c>
      <c r="B39" s="5">
        <f>'Design Calculations'!C95</f>
        <v>12.950000000000001</v>
      </c>
      <c r="C39" s="5">
        <f>'Design Calculations'!E95</f>
        <v>32.196132596685089</v>
      </c>
      <c r="D39" s="5"/>
      <c r="E39" s="5" t="e">
        <f>'Design Calculations'!M95</f>
        <v>#N/A</v>
      </c>
      <c r="F39" s="5">
        <f>'Design Calculations'!I95</f>
        <v>14.349999999999998</v>
      </c>
      <c r="G39" s="5" t="e">
        <f>'Design Calculations'!K95</f>
        <v>#N/A</v>
      </c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 t="s">
        <v>185</v>
      </c>
      <c r="AA39" s="5" t="s">
        <v>222</v>
      </c>
      <c r="AB39" s="5" t="s">
        <v>223</v>
      </c>
      <c r="AC39" s="5" t="s">
        <v>247</v>
      </c>
      <c r="AD39" s="5" t="s">
        <v>224</v>
      </c>
    </row>
    <row r="40" spans="1:30" x14ac:dyDescent="0.3">
      <c r="A40" s="5">
        <f>'Design Calculations'!G96</f>
        <v>80.695690607734846</v>
      </c>
      <c r="B40" s="5">
        <f>'Design Calculations'!C96</f>
        <v>12.88</v>
      </c>
      <c r="C40" s="5">
        <f>'Design Calculations'!E96</f>
        <v>32.02209944751381</v>
      </c>
      <c r="D40" s="5"/>
      <c r="E40" s="5" t="e">
        <f>'Design Calculations'!M96</f>
        <v>#N/A</v>
      </c>
      <c r="F40" s="5">
        <f>'Design Calculations'!I96</f>
        <v>14.280000000000001</v>
      </c>
      <c r="G40" s="5" t="e">
        <f>'Design Calculations'!K96</f>
        <v>#N/A</v>
      </c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>
        <v>1</v>
      </c>
      <c r="AA40" s="5" t="str">
        <f>IF(36/Z40&gt;12,"",36/Z40)</f>
        <v/>
      </c>
      <c r="AB40" s="5" t="str">
        <f>IF(12.3/Z40&gt;12,"",12.3/Z40)</f>
        <v/>
      </c>
      <c r="AC40" s="5">
        <f>IF(3.825/Z40&gt;12,"",3.825/Z40)</f>
        <v>3.8250000000000002</v>
      </c>
      <c r="AD40" s="5">
        <f>IF(0.9/Z40&gt;12,"",0.9/Z40)</f>
        <v>0.9</v>
      </c>
    </row>
    <row r="41" spans="1:30" x14ac:dyDescent="0.3">
      <c r="A41" s="5">
        <f>'Design Calculations'!G97</f>
        <v>82.486491712707235</v>
      </c>
      <c r="B41" s="5">
        <f>'Design Calculations'!C97</f>
        <v>12.81</v>
      </c>
      <c r="C41" s="5">
        <f>'Design Calculations'!E97</f>
        <v>31.848066298342541</v>
      </c>
      <c r="D41" s="5"/>
      <c r="E41" s="5" t="e">
        <f>'Design Calculations'!M97</f>
        <v>#N/A</v>
      </c>
      <c r="F41" s="5">
        <f>'Design Calculations'!I97</f>
        <v>14.209999999999999</v>
      </c>
      <c r="G41" s="5" t="e">
        <f>'Design Calculations'!K97</f>
        <v>#N/A</v>
      </c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>
        <v>2</v>
      </c>
      <c r="AA41" s="5" t="str">
        <f t="shared" ref="AA41:AA99" si="0">IF(36/Z41&gt;12,"",36/Z41)</f>
        <v/>
      </c>
      <c r="AB41" s="5">
        <f t="shared" ref="AB41:AB99" si="1">IF(12.3/Z41&gt;12,"",12.3/Z41)</f>
        <v>6.15</v>
      </c>
      <c r="AC41" s="5">
        <f t="shared" ref="AC41:AC99" si="2">IF(3.825/Z41&gt;12,"",3.825/Z41)</f>
        <v>1.9125000000000001</v>
      </c>
      <c r="AD41" s="5">
        <f t="shared" ref="AD41:AD99" si="3">IF(0.9/Z41&gt;12,"",0.9/Z41)</f>
        <v>0.45</v>
      </c>
    </row>
    <row r="42" spans="1:30" x14ac:dyDescent="0.3">
      <c r="A42" s="5">
        <f>'Design Calculations'!G98</f>
        <v>84.252928176795649</v>
      </c>
      <c r="B42" s="5">
        <f>'Design Calculations'!C98</f>
        <v>12.74</v>
      </c>
      <c r="C42" s="5">
        <f>'Design Calculations'!E98</f>
        <v>31.674033149171272</v>
      </c>
      <c r="D42" s="5"/>
      <c r="E42" s="5" t="e">
        <f>'Design Calculations'!M98</f>
        <v>#N/A</v>
      </c>
      <c r="F42" s="5">
        <f>'Design Calculations'!I98</f>
        <v>14.14</v>
      </c>
      <c r="G42" s="5" t="e">
        <f>'Design Calculations'!K98</f>
        <v>#N/A</v>
      </c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>
        <v>3</v>
      </c>
      <c r="AA42" s="5">
        <f t="shared" si="0"/>
        <v>12</v>
      </c>
      <c r="AB42" s="5">
        <f t="shared" si="1"/>
        <v>4.1000000000000005</v>
      </c>
      <c r="AC42" s="5">
        <f t="shared" si="2"/>
        <v>1.2750000000000001</v>
      </c>
      <c r="AD42" s="5">
        <f t="shared" si="3"/>
        <v>0.3</v>
      </c>
    </row>
    <row r="43" spans="1:30" x14ac:dyDescent="0.3">
      <c r="A43" s="5">
        <f>'Design Calculations'!G99</f>
        <v>85.995000000000076</v>
      </c>
      <c r="B43" s="5">
        <f>'Design Calculations'!C99</f>
        <v>12.67</v>
      </c>
      <c r="C43" s="5">
        <f>'Design Calculations'!E99</f>
        <v>31.5</v>
      </c>
      <c r="D43" s="5"/>
      <c r="E43" s="5" t="e">
        <f>'Design Calculations'!M99</f>
        <v>#N/A</v>
      </c>
      <c r="F43" s="5">
        <f>'Design Calculations'!I99</f>
        <v>14.069999999999999</v>
      </c>
      <c r="G43" s="5" t="e">
        <f>'Design Calculations'!K99</f>
        <v>#N/A</v>
      </c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>
        <v>4</v>
      </c>
      <c r="AA43" s="5">
        <f t="shared" si="0"/>
        <v>9</v>
      </c>
      <c r="AB43" s="5">
        <f t="shared" si="1"/>
        <v>3.0750000000000002</v>
      </c>
      <c r="AC43" s="5">
        <f t="shared" si="2"/>
        <v>0.95625000000000004</v>
      </c>
      <c r="AD43" s="5">
        <f t="shared" si="3"/>
        <v>0.22500000000000001</v>
      </c>
    </row>
    <row r="44" spans="1:30" x14ac:dyDescent="0.3">
      <c r="A44" s="5">
        <f>'Design Calculations'!G100</f>
        <v>87.712707182320514</v>
      </c>
      <c r="B44" s="5">
        <f>'Design Calculations'!C100</f>
        <v>12.6</v>
      </c>
      <c r="C44" s="5">
        <f>'Design Calculations'!E100</f>
        <v>31.325966850828728</v>
      </c>
      <c r="D44" s="5"/>
      <c r="E44" s="5" t="e">
        <f>'Design Calculations'!M100</f>
        <v>#N/A</v>
      </c>
      <c r="F44" s="5">
        <f>'Design Calculations'!I100</f>
        <v>14</v>
      </c>
      <c r="G44" s="5" t="e">
        <f>'Design Calculations'!K100</f>
        <v>#N/A</v>
      </c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>
        <v>5</v>
      </c>
      <c r="AA44" s="5">
        <f t="shared" si="0"/>
        <v>7.2</v>
      </c>
      <c r="AB44" s="5">
        <f t="shared" si="1"/>
        <v>2.46</v>
      </c>
      <c r="AC44" s="5">
        <f t="shared" si="2"/>
        <v>0.76500000000000001</v>
      </c>
      <c r="AD44" s="5">
        <f t="shared" si="3"/>
        <v>0.18</v>
      </c>
    </row>
    <row r="45" spans="1:30" x14ac:dyDescent="0.3">
      <c r="A45" s="5">
        <f>'Design Calculations'!G101</f>
        <v>89.406049723756951</v>
      </c>
      <c r="B45" s="5">
        <f>'Design Calculations'!C101</f>
        <v>12.530000000000001</v>
      </c>
      <c r="C45" s="5">
        <f>'Design Calculations'!E101</f>
        <v>31.151933701657462</v>
      </c>
      <c r="D45" s="5"/>
      <c r="E45" s="5" t="e">
        <f>'Design Calculations'!M101</f>
        <v>#N/A</v>
      </c>
      <c r="F45" s="5">
        <f>'Design Calculations'!I101</f>
        <v>13.930000000000057</v>
      </c>
      <c r="G45" s="5" t="e">
        <f>'Design Calculations'!K101</f>
        <v>#N/A</v>
      </c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>
        <v>6</v>
      </c>
      <c r="AA45" s="5">
        <f t="shared" si="0"/>
        <v>6</v>
      </c>
      <c r="AB45" s="5">
        <f t="shared" si="1"/>
        <v>2.0500000000000003</v>
      </c>
      <c r="AC45" s="5">
        <f t="shared" si="2"/>
        <v>0.63750000000000007</v>
      </c>
      <c r="AD45" s="5">
        <f t="shared" si="3"/>
        <v>0.15</v>
      </c>
    </row>
    <row r="46" spans="1:30" x14ac:dyDescent="0.3">
      <c r="A46" s="5">
        <f>'Design Calculations'!G102</f>
        <v>91.075027624309428</v>
      </c>
      <c r="B46" s="5">
        <f>'Design Calculations'!C102</f>
        <v>12.46</v>
      </c>
      <c r="C46" s="5">
        <f>'Design Calculations'!E102</f>
        <v>30.977900552486187</v>
      </c>
      <c r="D46" s="5"/>
      <c r="E46" s="5" t="e">
        <f>'Design Calculations'!M102</f>
        <v>#N/A</v>
      </c>
      <c r="F46" s="5">
        <f>'Design Calculations'!I102</f>
        <v>13.860000000000056</v>
      </c>
      <c r="G46" s="5" t="e">
        <f>'Design Calculations'!K102</f>
        <v>#N/A</v>
      </c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>
        <v>7</v>
      </c>
      <c r="AA46" s="5">
        <f t="shared" si="0"/>
        <v>5.1428571428571432</v>
      </c>
      <c r="AB46" s="5">
        <f t="shared" si="1"/>
        <v>1.7571428571428573</v>
      </c>
      <c r="AC46" s="5">
        <f t="shared" si="2"/>
        <v>0.54642857142857149</v>
      </c>
      <c r="AD46" s="5">
        <f t="shared" si="3"/>
        <v>0.12857142857142859</v>
      </c>
    </row>
    <row r="47" spans="1:30" x14ac:dyDescent="0.3">
      <c r="A47" s="5">
        <f>'Design Calculations'!G103</f>
        <v>92.719640883977945</v>
      </c>
      <c r="B47" s="5">
        <f>'Design Calculations'!C103</f>
        <v>12.39</v>
      </c>
      <c r="C47" s="5">
        <f>'Design Calculations'!E103</f>
        <v>30.803867403314918</v>
      </c>
      <c r="D47" s="5"/>
      <c r="E47" s="5" t="e">
        <f>'Design Calculations'!M103</f>
        <v>#N/A</v>
      </c>
      <c r="F47" s="5">
        <f>'Design Calculations'!I103</f>
        <v>13.79000000000007</v>
      </c>
      <c r="G47" s="5" t="e">
        <f>'Design Calculations'!K103</f>
        <v>#N/A</v>
      </c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>
        <v>8</v>
      </c>
      <c r="AA47" s="5">
        <f t="shared" si="0"/>
        <v>4.5</v>
      </c>
      <c r="AB47" s="5">
        <f t="shared" si="1"/>
        <v>1.5375000000000001</v>
      </c>
      <c r="AC47" s="5">
        <f t="shared" si="2"/>
        <v>0.47812500000000002</v>
      </c>
      <c r="AD47" s="5">
        <f t="shared" si="3"/>
        <v>0.1125</v>
      </c>
    </row>
    <row r="48" spans="1:30" x14ac:dyDescent="0.3">
      <c r="A48" s="5">
        <f>'Design Calculations'!G104</f>
        <v>94.339889502762489</v>
      </c>
      <c r="B48" s="5">
        <f>'Design Calculations'!C104</f>
        <v>12.32</v>
      </c>
      <c r="C48" s="5">
        <f>'Design Calculations'!E104</f>
        <v>30.629834254143645</v>
      </c>
      <c r="D48" s="5"/>
      <c r="E48" s="5" t="e">
        <f>'Design Calculations'!M104</f>
        <v>#N/A</v>
      </c>
      <c r="F48" s="5">
        <f>'Design Calculations'!I104</f>
        <v>13.72000000000007</v>
      </c>
      <c r="G48" s="5" t="e">
        <f>'Design Calculations'!K104</f>
        <v>#N/A</v>
      </c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>
        <v>9</v>
      </c>
      <c r="AA48" s="5">
        <f t="shared" si="0"/>
        <v>4</v>
      </c>
      <c r="AB48" s="5">
        <f t="shared" si="1"/>
        <v>1.3666666666666667</v>
      </c>
      <c r="AC48" s="5">
        <f t="shared" si="2"/>
        <v>0.42500000000000004</v>
      </c>
      <c r="AD48" s="5">
        <f t="shared" si="3"/>
        <v>0.1</v>
      </c>
    </row>
    <row r="49" spans="1:30" x14ac:dyDescent="0.3">
      <c r="A49" s="5">
        <f>'Design Calculations'!G105</f>
        <v>95.935773480663045</v>
      </c>
      <c r="B49" s="5">
        <f>'Design Calculations'!C105</f>
        <v>12.25</v>
      </c>
      <c r="C49" s="5">
        <f>'Design Calculations'!E105</f>
        <v>30.455801104972377</v>
      </c>
      <c r="D49" s="5"/>
      <c r="E49" s="5" t="e">
        <f>'Design Calculations'!M105</f>
        <v>#N/A</v>
      </c>
      <c r="F49" s="5">
        <f>'Design Calculations'!I105</f>
        <v>13.65000000000007</v>
      </c>
      <c r="G49" s="5" t="e">
        <f>'Design Calculations'!K105</f>
        <v>#N/A</v>
      </c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>
        <v>10</v>
      </c>
      <c r="AA49" s="5">
        <f t="shared" si="0"/>
        <v>3.6</v>
      </c>
      <c r="AB49" s="5">
        <f t="shared" si="1"/>
        <v>1.23</v>
      </c>
      <c r="AC49" s="5">
        <f t="shared" si="2"/>
        <v>0.38250000000000001</v>
      </c>
      <c r="AD49" s="5">
        <f t="shared" si="3"/>
        <v>0.09</v>
      </c>
    </row>
    <row r="50" spans="1:30" x14ac:dyDescent="0.3">
      <c r="A50" s="5">
        <f>'Design Calculations'!G106</f>
        <v>97.507292817679627</v>
      </c>
      <c r="B50" s="5">
        <f>'Design Calculations'!C106</f>
        <v>12.18</v>
      </c>
      <c r="C50" s="5">
        <f>'Design Calculations'!E106</f>
        <v>30.281767955801104</v>
      </c>
      <c r="D50" s="5"/>
      <c r="E50" s="5" t="e">
        <f>'Design Calculations'!M106</f>
        <v>#N/A</v>
      </c>
      <c r="F50" s="5">
        <f>'Design Calculations'!I106</f>
        <v>13.580000000000069</v>
      </c>
      <c r="G50" s="5" t="e">
        <f>'Design Calculations'!K106</f>
        <v>#N/A</v>
      </c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>
        <v>11</v>
      </c>
      <c r="AA50" s="5">
        <f t="shared" si="0"/>
        <v>3.2727272727272729</v>
      </c>
      <c r="AB50" s="5">
        <f t="shared" si="1"/>
        <v>1.1181818181818182</v>
      </c>
      <c r="AC50" s="5">
        <f t="shared" si="2"/>
        <v>0.34772727272727272</v>
      </c>
      <c r="AD50" s="5">
        <f t="shared" si="3"/>
        <v>8.1818181818181818E-2</v>
      </c>
    </row>
    <row r="51" spans="1:30" x14ac:dyDescent="0.3">
      <c r="A51" s="5">
        <f>'Design Calculations'!G107</f>
        <v>99.054447513812235</v>
      </c>
      <c r="B51" s="5">
        <f>'Design Calculations'!C107</f>
        <v>12.11</v>
      </c>
      <c r="C51" s="5">
        <f>'Design Calculations'!E107</f>
        <v>30.107734806629836</v>
      </c>
      <c r="D51" s="5"/>
      <c r="E51" s="5" t="e">
        <f>'Design Calculations'!M107</f>
        <v>#N/A</v>
      </c>
      <c r="F51" s="5">
        <f>'Design Calculations'!I107</f>
        <v>13.510000000000069</v>
      </c>
      <c r="G51" s="5" t="e">
        <f>'Design Calculations'!K107</f>
        <v>#N/A</v>
      </c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>
        <v>12</v>
      </c>
      <c r="AA51" s="5">
        <f t="shared" si="0"/>
        <v>3</v>
      </c>
      <c r="AB51" s="5">
        <f t="shared" si="1"/>
        <v>1.0250000000000001</v>
      </c>
      <c r="AC51" s="5">
        <f t="shared" si="2"/>
        <v>0.31875000000000003</v>
      </c>
      <c r="AD51" s="5">
        <f t="shared" si="3"/>
        <v>7.4999999999999997E-2</v>
      </c>
    </row>
    <row r="52" spans="1:30" x14ac:dyDescent="0.3">
      <c r="A52" s="5">
        <f>'Design Calculations'!G108</f>
        <v>100.57723756906086</v>
      </c>
      <c r="B52" s="5">
        <f>'Design Calculations'!C108</f>
        <v>12.04</v>
      </c>
      <c r="C52" s="5">
        <f>'Design Calculations'!E108</f>
        <v>29.933701657458563</v>
      </c>
      <c r="D52" s="5"/>
      <c r="E52" s="5" t="e">
        <f>'Design Calculations'!M108</f>
        <v>#N/A</v>
      </c>
      <c r="F52" s="5">
        <f>'Design Calculations'!I108</f>
        <v>13.440000000000069</v>
      </c>
      <c r="G52" s="5" t="e">
        <f>'Design Calculations'!K108</f>
        <v>#N/A</v>
      </c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>
        <v>13</v>
      </c>
      <c r="AA52" s="5">
        <f t="shared" si="0"/>
        <v>2.7692307692307692</v>
      </c>
      <c r="AB52" s="5">
        <f t="shared" si="1"/>
        <v>0.94615384615384623</v>
      </c>
      <c r="AC52" s="5">
        <f t="shared" si="2"/>
        <v>0.29423076923076924</v>
      </c>
      <c r="AD52" s="5">
        <f t="shared" si="3"/>
        <v>6.9230769230769235E-2</v>
      </c>
    </row>
    <row r="53" spans="1:30" x14ac:dyDescent="0.3">
      <c r="A53" s="5">
        <f>'Design Calculations'!G109</f>
        <v>102.07566298342549</v>
      </c>
      <c r="B53" s="5">
        <f>'Design Calculations'!C109</f>
        <v>11.969999999999999</v>
      </c>
      <c r="C53" s="5">
        <f>'Design Calculations'!E109</f>
        <v>29.759668508287287</v>
      </c>
      <c r="D53" s="5"/>
      <c r="E53" s="5" t="e">
        <f>'Design Calculations'!M109</f>
        <v>#N/A</v>
      </c>
      <c r="F53" s="5">
        <f>'Design Calculations'!I109</f>
        <v>13.370000000000068</v>
      </c>
      <c r="G53" s="5" t="e">
        <f>'Design Calculations'!K109</f>
        <v>#N/A</v>
      </c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>
        <v>14</v>
      </c>
      <c r="AA53" s="5">
        <f t="shared" si="0"/>
        <v>2.5714285714285716</v>
      </c>
      <c r="AB53" s="5">
        <f t="shared" si="1"/>
        <v>0.87857142857142867</v>
      </c>
      <c r="AC53" s="5">
        <f t="shared" si="2"/>
        <v>0.27321428571428574</v>
      </c>
      <c r="AD53" s="5">
        <f t="shared" si="3"/>
        <v>6.4285714285714293E-2</v>
      </c>
    </row>
    <row r="54" spans="1:30" x14ac:dyDescent="0.3">
      <c r="A54" s="5">
        <f>'Design Calculations'!G110</f>
        <v>103.54972375690613</v>
      </c>
      <c r="B54" s="5">
        <f>'Design Calculations'!C110</f>
        <v>11.9</v>
      </c>
      <c r="C54" s="5">
        <f>'Design Calculations'!E110</f>
        <v>29.585635359116022</v>
      </c>
      <c r="D54" s="5"/>
      <c r="E54" s="5" t="e">
        <f>'Design Calculations'!M110</f>
        <v>#N/A</v>
      </c>
      <c r="F54" s="5">
        <f>'Design Calculations'!I110</f>
        <v>13.30000000000007</v>
      </c>
      <c r="G54" s="5" t="e">
        <f>'Design Calculations'!K110</f>
        <v>#N/A</v>
      </c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>
        <v>15</v>
      </c>
      <c r="AA54" s="5">
        <f t="shared" si="0"/>
        <v>2.4</v>
      </c>
      <c r="AB54" s="5">
        <f t="shared" si="1"/>
        <v>0.82000000000000006</v>
      </c>
      <c r="AC54" s="5">
        <f t="shared" si="2"/>
        <v>0.255</v>
      </c>
      <c r="AD54" s="5">
        <f t="shared" si="3"/>
        <v>6.0000000000000005E-2</v>
      </c>
    </row>
    <row r="55" spans="1:30" x14ac:dyDescent="0.3">
      <c r="A55" s="5">
        <f>'Design Calculations'!G111</f>
        <v>104.99941988950282</v>
      </c>
      <c r="B55" s="5">
        <f>'Design Calculations'!C111</f>
        <v>11.83</v>
      </c>
      <c r="C55" s="5">
        <f>'Design Calculations'!E111</f>
        <v>29.41160220994475</v>
      </c>
      <c r="D55" s="5"/>
      <c r="E55" s="5" t="e">
        <f>'Design Calculations'!M111</f>
        <v>#N/A</v>
      </c>
      <c r="F55" s="5">
        <f>'Design Calculations'!I111</f>
        <v>13.23000000000007</v>
      </c>
      <c r="G55" s="5" t="e">
        <f>'Design Calculations'!K111</f>
        <v>#N/A</v>
      </c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>
        <v>16</v>
      </c>
      <c r="AA55" s="5">
        <f t="shared" si="0"/>
        <v>2.25</v>
      </c>
      <c r="AB55" s="5">
        <f t="shared" si="1"/>
        <v>0.76875000000000004</v>
      </c>
      <c r="AC55" s="5">
        <f t="shared" si="2"/>
        <v>0.23906250000000001</v>
      </c>
      <c r="AD55" s="5">
        <f t="shared" si="3"/>
        <v>5.6250000000000001E-2</v>
      </c>
    </row>
    <row r="56" spans="1:30" x14ac:dyDescent="0.3">
      <c r="A56" s="5">
        <f>'Design Calculations'!G112</f>
        <v>106.42475138121554</v>
      </c>
      <c r="B56" s="5">
        <f>'Design Calculations'!C112</f>
        <v>11.76</v>
      </c>
      <c r="C56" s="5">
        <f>'Design Calculations'!E112</f>
        <v>29.237569060773481</v>
      </c>
      <c r="D56" s="5"/>
      <c r="E56" s="5" t="e">
        <f>'Design Calculations'!M112</f>
        <v>#N/A</v>
      </c>
      <c r="F56" s="5">
        <f>'Design Calculations'!I112</f>
        <v>13.160000000000085</v>
      </c>
      <c r="G56" s="5" t="e">
        <f>'Design Calculations'!K112</f>
        <v>#N/A</v>
      </c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>
        <v>17</v>
      </c>
      <c r="AA56" s="5">
        <f t="shared" si="0"/>
        <v>2.1176470588235294</v>
      </c>
      <c r="AB56" s="5">
        <f t="shared" si="1"/>
        <v>0.72352941176470598</v>
      </c>
      <c r="AC56" s="5">
        <f t="shared" si="2"/>
        <v>0.22500000000000001</v>
      </c>
      <c r="AD56" s="5">
        <f t="shared" si="3"/>
        <v>5.2941176470588235E-2</v>
      </c>
    </row>
    <row r="57" spans="1:30" x14ac:dyDescent="0.3">
      <c r="A57" s="5">
        <f>'Design Calculations'!G113</f>
        <v>107.82571823204427</v>
      </c>
      <c r="B57" s="5">
        <f>'Design Calculations'!C113</f>
        <v>11.69</v>
      </c>
      <c r="C57" s="5">
        <f>'Design Calculations'!E113</f>
        <v>29.063535911602209</v>
      </c>
      <c r="D57" s="5"/>
      <c r="E57" s="5" t="e">
        <f>'Design Calculations'!M113</f>
        <v>#N/A</v>
      </c>
      <c r="F57" s="5">
        <f>'Design Calculations'!I113</f>
        <v>13.090000000000085</v>
      </c>
      <c r="G57" s="5" t="e">
        <f>'Design Calculations'!K113</f>
        <v>#N/A</v>
      </c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>
        <v>18</v>
      </c>
      <c r="AA57" s="5">
        <f t="shared" si="0"/>
        <v>2</v>
      </c>
      <c r="AB57" s="5">
        <f t="shared" si="1"/>
        <v>0.68333333333333335</v>
      </c>
      <c r="AC57" s="5">
        <f t="shared" si="2"/>
        <v>0.21250000000000002</v>
      </c>
      <c r="AD57" s="5">
        <f t="shared" si="3"/>
        <v>0.05</v>
      </c>
    </row>
    <row r="58" spans="1:30" x14ac:dyDescent="0.3">
      <c r="A58" s="5">
        <f>'Design Calculations'!G114</f>
        <v>109.20232044198903</v>
      </c>
      <c r="B58" s="5">
        <f>'Design Calculations'!C114</f>
        <v>11.62</v>
      </c>
      <c r="C58" s="5">
        <f>'Design Calculations'!E114</f>
        <v>28.88950276243094</v>
      </c>
      <c r="D58" s="5"/>
      <c r="E58" s="5" t="e">
        <f>'Design Calculations'!M114</f>
        <v>#N/A</v>
      </c>
      <c r="F58" s="5">
        <f>'Design Calculations'!I114</f>
        <v>13.020000000000085</v>
      </c>
      <c r="G58" s="5" t="e">
        <f>'Design Calculations'!K114</f>
        <v>#N/A</v>
      </c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>
        <v>19</v>
      </c>
      <c r="AA58" s="5">
        <f t="shared" si="0"/>
        <v>1.8947368421052631</v>
      </c>
      <c r="AB58" s="5">
        <f t="shared" si="1"/>
        <v>0.64736842105263159</v>
      </c>
      <c r="AC58" s="5">
        <f t="shared" si="2"/>
        <v>0.20131578947368423</v>
      </c>
      <c r="AD58" s="5">
        <f t="shared" si="3"/>
        <v>4.736842105263158E-2</v>
      </c>
    </row>
    <row r="59" spans="1:30" x14ac:dyDescent="0.3">
      <c r="A59" s="5">
        <f>'Design Calculations'!G115</f>
        <v>110.55455801104979</v>
      </c>
      <c r="B59" s="5">
        <f>'Design Calculations'!C115</f>
        <v>11.549999999999999</v>
      </c>
      <c r="C59" s="5">
        <f>'Design Calculations'!E115</f>
        <v>28.715469613259664</v>
      </c>
      <c r="D59" s="5"/>
      <c r="E59" s="5" t="e">
        <f>'Design Calculations'!M115</f>
        <v>#N/A</v>
      </c>
      <c r="F59" s="5">
        <f>'Design Calculations'!I115</f>
        <v>12.950000000000085</v>
      </c>
      <c r="G59" s="5" t="e">
        <f>'Design Calculations'!K115</f>
        <v>#N/A</v>
      </c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>
        <v>20</v>
      </c>
      <c r="AA59" s="5">
        <f t="shared" si="0"/>
        <v>1.8</v>
      </c>
      <c r="AB59" s="5">
        <f t="shared" si="1"/>
        <v>0.61499999999999999</v>
      </c>
      <c r="AC59" s="5">
        <f t="shared" si="2"/>
        <v>0.19125</v>
      </c>
      <c r="AD59" s="5">
        <f t="shared" si="3"/>
        <v>4.4999999999999998E-2</v>
      </c>
    </row>
    <row r="60" spans="1:30" x14ac:dyDescent="0.3">
      <c r="A60" s="5">
        <f>'Design Calculations'!G116</f>
        <v>111.88243093922659</v>
      </c>
      <c r="B60" s="5">
        <f>'Design Calculations'!C116</f>
        <v>11.479999999999999</v>
      </c>
      <c r="C60" s="5">
        <f>'Design Calculations'!E116</f>
        <v>28.541436464088392</v>
      </c>
      <c r="D60" s="5"/>
      <c r="E60" s="5" t="e">
        <f>'Design Calculations'!M116</f>
        <v>#N/A</v>
      </c>
      <c r="F60" s="5">
        <f>'Design Calculations'!I116</f>
        <v>12.880000000000084</v>
      </c>
      <c r="G60" s="5" t="e">
        <f>'Design Calculations'!K116</f>
        <v>#N/A</v>
      </c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>
        <v>21</v>
      </c>
      <c r="AA60" s="5">
        <f t="shared" si="0"/>
        <v>1.7142857142857142</v>
      </c>
      <c r="AB60" s="5">
        <f t="shared" si="1"/>
        <v>0.58571428571428574</v>
      </c>
      <c r="AC60" s="5">
        <f t="shared" si="2"/>
        <v>0.18214285714285716</v>
      </c>
      <c r="AD60" s="5">
        <f t="shared" si="3"/>
        <v>4.2857142857142858E-2</v>
      </c>
    </row>
    <row r="61" spans="1:30" x14ac:dyDescent="0.3">
      <c r="A61" s="5">
        <f>'Design Calculations'!G117</f>
        <v>113.18593922651939</v>
      </c>
      <c r="B61" s="5">
        <f>'Design Calculations'!C117</f>
        <v>11.41</v>
      </c>
      <c r="C61" s="5">
        <f>'Design Calculations'!E117</f>
        <v>28.367403314917127</v>
      </c>
      <c r="D61" s="5"/>
      <c r="E61" s="5" t="e">
        <f>'Design Calculations'!M117</f>
        <v>#N/A</v>
      </c>
      <c r="F61" s="5">
        <f>'Design Calculations'!I117</f>
        <v>12.810000000000084</v>
      </c>
      <c r="G61" s="5" t="e">
        <f>'Design Calculations'!K117</f>
        <v>#N/A</v>
      </c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>
        <v>22</v>
      </c>
      <c r="AA61" s="5">
        <f t="shared" si="0"/>
        <v>1.6363636363636365</v>
      </c>
      <c r="AB61" s="5">
        <f t="shared" si="1"/>
        <v>0.55909090909090908</v>
      </c>
      <c r="AC61" s="5">
        <f t="shared" si="2"/>
        <v>0.17386363636363636</v>
      </c>
      <c r="AD61" s="5">
        <f t="shared" si="3"/>
        <v>4.0909090909090909E-2</v>
      </c>
    </row>
    <row r="62" spans="1:30" x14ac:dyDescent="0.3">
      <c r="A62" s="5">
        <f>'Design Calculations'!G118</f>
        <v>114.46508287292825</v>
      </c>
      <c r="B62" s="5">
        <f>'Design Calculations'!C118</f>
        <v>11.34</v>
      </c>
      <c r="C62" s="5">
        <f>'Design Calculations'!E118</f>
        <v>28.193370165745858</v>
      </c>
      <c r="D62" s="5"/>
      <c r="E62" s="5" t="e">
        <f>'Design Calculations'!M118</f>
        <v>#N/A</v>
      </c>
      <c r="F62" s="5">
        <f>'Design Calculations'!I118</f>
        <v>12.740000000000084</v>
      </c>
      <c r="G62" s="5" t="e">
        <f>'Design Calculations'!K118</f>
        <v>#N/A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>
        <v>23</v>
      </c>
      <c r="AA62" s="5">
        <f t="shared" si="0"/>
        <v>1.5652173913043479</v>
      </c>
      <c r="AB62" s="5">
        <f t="shared" si="1"/>
        <v>0.5347826086956522</v>
      </c>
      <c r="AC62" s="5">
        <f t="shared" si="2"/>
        <v>0.16630434782608697</v>
      </c>
      <c r="AD62" s="5">
        <f t="shared" si="3"/>
        <v>3.9130434782608699E-2</v>
      </c>
    </row>
    <row r="63" spans="1:30" x14ac:dyDescent="0.3">
      <c r="A63" s="5">
        <f>'Design Calculations'!G119</f>
        <v>115.71986187845307</v>
      </c>
      <c r="B63" s="5">
        <f>'Design Calculations'!C119</f>
        <v>11.270000000000001</v>
      </c>
      <c r="C63" s="5">
        <f>'Design Calculations'!E119</f>
        <v>28.019337016574589</v>
      </c>
      <c r="D63" s="5"/>
      <c r="E63" s="5" t="e">
        <f>'Design Calculations'!M119</f>
        <v>#N/A</v>
      </c>
      <c r="F63" s="5">
        <f>'Design Calculations'!I119</f>
        <v>12.670000000000083</v>
      </c>
      <c r="G63" s="5" t="e">
        <f>'Design Calculations'!K119</f>
        <v>#N/A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>
        <v>24</v>
      </c>
      <c r="AA63" s="5">
        <f t="shared" si="0"/>
        <v>1.5</v>
      </c>
      <c r="AB63" s="5">
        <f t="shared" si="1"/>
        <v>0.51250000000000007</v>
      </c>
      <c r="AC63" s="5">
        <f t="shared" si="2"/>
        <v>0.15937500000000002</v>
      </c>
      <c r="AD63" s="5">
        <f t="shared" si="3"/>
        <v>3.7499999999999999E-2</v>
      </c>
    </row>
    <row r="64" spans="1:30" x14ac:dyDescent="0.3">
      <c r="A64" s="5">
        <f>'Design Calculations'!G120</f>
        <v>116.95027624309398</v>
      </c>
      <c r="B64" s="5">
        <f>'Design Calculations'!C120</f>
        <v>11.200000000000001</v>
      </c>
      <c r="C64" s="5">
        <f>'Design Calculations'!E120</f>
        <v>27.84530386740332</v>
      </c>
      <c r="D64" s="5"/>
      <c r="E64" s="5" t="e">
        <f>'Design Calculations'!M120</f>
        <v>#N/A</v>
      </c>
      <c r="F64" s="5">
        <f>'Design Calculations'!I120</f>
        <v>12.600000000000085</v>
      </c>
      <c r="G64" s="5" t="e">
        <f>'Design Calculations'!K120</f>
        <v>#N/A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>
        <v>25</v>
      </c>
      <c r="AA64" s="5">
        <f t="shared" si="0"/>
        <v>1.44</v>
      </c>
      <c r="AB64" s="5">
        <f t="shared" si="1"/>
        <v>0.49200000000000005</v>
      </c>
      <c r="AC64" s="5">
        <f t="shared" si="2"/>
        <v>0.153</v>
      </c>
      <c r="AD64" s="5">
        <f t="shared" si="3"/>
        <v>3.6000000000000004E-2</v>
      </c>
    </row>
    <row r="65" spans="1:30" x14ac:dyDescent="0.3">
      <c r="A65" s="5">
        <f>'Design Calculations'!G121</f>
        <v>118.15632596685087</v>
      </c>
      <c r="B65" s="5">
        <f>'Design Calculations'!C121</f>
        <v>11.13</v>
      </c>
      <c r="C65" s="5">
        <f>'Design Calculations'!E121</f>
        <v>27.671270718232044</v>
      </c>
      <c r="D65" s="5"/>
      <c r="E65" s="5" t="e">
        <f>'Design Calculations'!M121</f>
        <v>#N/A</v>
      </c>
      <c r="F65" s="5">
        <f>'Design Calculations'!I121</f>
        <v>12.530000000000099</v>
      </c>
      <c r="G65" s="5" t="e">
        <f>'Design Calculations'!K121</f>
        <v>#N/A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>
        <v>26</v>
      </c>
      <c r="AA65" s="5">
        <f t="shared" si="0"/>
        <v>1.3846153846153846</v>
      </c>
      <c r="AB65" s="5">
        <f t="shared" si="1"/>
        <v>0.47307692307692312</v>
      </c>
      <c r="AC65" s="5">
        <f t="shared" si="2"/>
        <v>0.14711538461538462</v>
      </c>
      <c r="AD65" s="5">
        <f t="shared" si="3"/>
        <v>3.4615384615384617E-2</v>
      </c>
    </row>
    <row r="66" spans="1:30" x14ac:dyDescent="0.3">
      <c r="A66" s="5">
        <f>'Design Calculations'!G122</f>
        <v>119.33801104972379</v>
      </c>
      <c r="B66" s="5">
        <f>'Design Calculations'!C122</f>
        <v>11.06</v>
      </c>
      <c r="C66" s="5">
        <f>'Design Calculations'!E122</f>
        <v>27.497237569060772</v>
      </c>
      <c r="D66" s="5"/>
      <c r="E66" s="5" t="e">
        <f>'Design Calculations'!M122</f>
        <v>#N/A</v>
      </c>
      <c r="F66" s="5">
        <f>'Design Calculations'!I122</f>
        <v>12.460000000000099</v>
      </c>
      <c r="G66" s="5" t="e">
        <f>'Design Calculations'!K122</f>
        <v>#N/A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>
        <v>27</v>
      </c>
      <c r="AA66" s="5">
        <f t="shared" si="0"/>
        <v>1.3333333333333333</v>
      </c>
      <c r="AB66" s="5">
        <f t="shared" si="1"/>
        <v>0.4555555555555556</v>
      </c>
      <c r="AC66" s="5">
        <f t="shared" si="2"/>
        <v>0.14166666666666666</v>
      </c>
      <c r="AD66" s="5">
        <f t="shared" si="3"/>
        <v>3.3333333333333333E-2</v>
      </c>
    </row>
    <row r="67" spans="1:30" x14ac:dyDescent="0.3">
      <c r="A67" s="5">
        <f>'Design Calculations'!G123</f>
        <v>120.49533149171276</v>
      </c>
      <c r="B67" s="5">
        <f>'Design Calculations'!C123</f>
        <v>10.99</v>
      </c>
      <c r="C67" s="5">
        <f>'Design Calculations'!E123</f>
        <v>27.323204419889503</v>
      </c>
      <c r="D67" s="5"/>
      <c r="E67" s="5" t="e">
        <f>'Design Calculations'!M123</f>
        <v>#N/A</v>
      </c>
      <c r="F67" s="5">
        <f>'Design Calculations'!I123</f>
        <v>12.390000000000098</v>
      </c>
      <c r="G67" s="5" t="e">
        <f>'Design Calculations'!K123</f>
        <v>#N/A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>
        <v>28</v>
      </c>
      <c r="AA67" s="5">
        <f t="shared" si="0"/>
        <v>1.2857142857142858</v>
      </c>
      <c r="AB67" s="5">
        <f t="shared" si="1"/>
        <v>0.43928571428571433</v>
      </c>
      <c r="AC67" s="5">
        <f t="shared" si="2"/>
        <v>0.13660714285714287</v>
      </c>
      <c r="AD67" s="5">
        <f t="shared" si="3"/>
        <v>3.2142857142857147E-2</v>
      </c>
    </row>
    <row r="68" spans="1:30" x14ac:dyDescent="0.3">
      <c r="A68" s="5">
        <f>'Design Calculations'!G124</f>
        <v>121.62828729281773</v>
      </c>
      <c r="B68" s="5">
        <f>'Design Calculations'!C124</f>
        <v>10.92</v>
      </c>
      <c r="C68" s="5">
        <f>'Design Calculations'!E124</f>
        <v>27.149171270718231</v>
      </c>
      <c r="D68" s="5"/>
      <c r="E68" s="5" t="e">
        <f>'Design Calculations'!M124</f>
        <v>#N/A</v>
      </c>
      <c r="F68" s="5">
        <f>'Design Calculations'!I124</f>
        <v>12.320000000000098</v>
      </c>
      <c r="G68" s="5" t="e">
        <f>'Design Calculations'!K124</f>
        <v>#N/A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>
        <v>29</v>
      </c>
      <c r="AA68" s="5">
        <f t="shared" si="0"/>
        <v>1.2413793103448276</v>
      </c>
      <c r="AB68" s="5">
        <f t="shared" si="1"/>
        <v>0.42413793103448277</v>
      </c>
      <c r="AC68" s="5">
        <f t="shared" si="2"/>
        <v>0.13189655172413794</v>
      </c>
      <c r="AD68" s="5">
        <f t="shared" si="3"/>
        <v>3.1034482758620689E-2</v>
      </c>
    </row>
    <row r="69" spans="1:30" x14ac:dyDescent="0.3">
      <c r="A69" s="5">
        <f>'Design Calculations'!G125</f>
        <v>122.73687845303874</v>
      </c>
      <c r="B69" s="5">
        <f>'Design Calculations'!C125</f>
        <v>10.85</v>
      </c>
      <c r="C69" s="5">
        <f>'Design Calculations'!E125</f>
        <v>26.975138121546962</v>
      </c>
      <c r="D69" s="5"/>
      <c r="E69" s="5" t="e">
        <f>'Design Calculations'!M125</f>
        <v>#N/A</v>
      </c>
      <c r="F69" s="5">
        <f>'Design Calculations'!I125</f>
        <v>12.250000000000098</v>
      </c>
      <c r="G69" s="5" t="e">
        <f>'Design Calculations'!K125</f>
        <v>#N/A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>
        <v>30</v>
      </c>
      <c r="AA69" s="5">
        <f t="shared" si="0"/>
        <v>1.2</v>
      </c>
      <c r="AB69" s="5">
        <f t="shared" si="1"/>
        <v>0.41000000000000003</v>
      </c>
      <c r="AC69" s="5">
        <f t="shared" si="2"/>
        <v>0.1275</v>
      </c>
      <c r="AD69" s="5">
        <f t="shared" si="3"/>
        <v>3.0000000000000002E-2</v>
      </c>
    </row>
    <row r="70" spans="1:30" x14ac:dyDescent="0.3">
      <c r="A70" s="5">
        <f>'Design Calculations'!G126</f>
        <v>123.82110497237575</v>
      </c>
      <c r="B70" s="5">
        <f>'Design Calculations'!C126</f>
        <v>10.780000000000001</v>
      </c>
      <c r="C70" s="5">
        <f>'Design Calculations'!E126</f>
        <v>26.801104972375697</v>
      </c>
      <c r="D70" s="5"/>
      <c r="E70" s="5" t="e">
        <f>'Design Calculations'!M126</f>
        <v>#N/A</v>
      </c>
      <c r="F70" s="5">
        <f>'Design Calculations'!I126</f>
        <v>12.180000000000097</v>
      </c>
      <c r="G70" s="5" t="e">
        <f>'Design Calculations'!K126</f>
        <v>#N/A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>
        <v>31</v>
      </c>
      <c r="AA70" s="5">
        <f t="shared" si="0"/>
        <v>1.1612903225806452</v>
      </c>
      <c r="AB70" s="5">
        <f t="shared" si="1"/>
        <v>0.39677419354838711</v>
      </c>
      <c r="AC70" s="5">
        <f t="shared" si="2"/>
        <v>0.12338709677419356</v>
      </c>
      <c r="AD70" s="5">
        <f t="shared" si="3"/>
        <v>2.903225806451613E-2</v>
      </c>
    </row>
    <row r="71" spans="1:30" x14ac:dyDescent="0.3">
      <c r="A71" s="5">
        <f>'Design Calculations'!G127</f>
        <v>124.88096685082877</v>
      </c>
      <c r="B71" s="5">
        <f>'Design Calculations'!C127</f>
        <v>10.71</v>
      </c>
      <c r="C71" s="5">
        <f>'Design Calculations'!E127</f>
        <v>26.627071823204421</v>
      </c>
      <c r="D71" s="5"/>
      <c r="E71" s="5" t="e">
        <f>'Design Calculations'!M127</f>
        <v>#N/A</v>
      </c>
      <c r="F71" s="5">
        <f>'Design Calculations'!I127</f>
        <v>12.110000000000097</v>
      </c>
      <c r="G71" s="5" t="e">
        <f>'Design Calculations'!K127</f>
        <v>#N/A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>
        <v>32</v>
      </c>
      <c r="AA71" s="5">
        <f t="shared" si="0"/>
        <v>1.125</v>
      </c>
      <c r="AB71" s="5">
        <f t="shared" si="1"/>
        <v>0.38437500000000002</v>
      </c>
      <c r="AC71" s="5">
        <f t="shared" si="2"/>
        <v>0.11953125000000001</v>
      </c>
      <c r="AD71" s="5">
        <f t="shared" si="3"/>
        <v>2.8125000000000001E-2</v>
      </c>
    </row>
    <row r="72" spans="1:30" x14ac:dyDescent="0.3">
      <c r="A72" s="5">
        <f>'Design Calculations'!G128</f>
        <v>125.91646408839783</v>
      </c>
      <c r="B72" s="5">
        <f>'Design Calculations'!C128</f>
        <v>10.64</v>
      </c>
      <c r="C72" s="5">
        <f>'Design Calculations'!E128</f>
        <v>26.453038674033149</v>
      </c>
      <c r="D72" s="5"/>
      <c r="E72" s="5" t="e">
        <f>'Design Calculations'!M128</f>
        <v>#N/A</v>
      </c>
      <c r="F72" s="5">
        <f>'Design Calculations'!I128</f>
        <v>12.040000000000099</v>
      </c>
      <c r="G72" s="5" t="e">
        <f>'Design Calculations'!K128</f>
        <v>#N/A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>
        <v>33</v>
      </c>
      <c r="AA72" s="5">
        <f t="shared" si="0"/>
        <v>1.0909090909090908</v>
      </c>
      <c r="AB72" s="5">
        <f t="shared" si="1"/>
        <v>0.37272727272727274</v>
      </c>
      <c r="AC72" s="5">
        <f t="shared" si="2"/>
        <v>0.11590909090909092</v>
      </c>
      <c r="AD72" s="5">
        <f t="shared" si="3"/>
        <v>2.7272727272727275E-2</v>
      </c>
    </row>
    <row r="73" spans="1:30" x14ac:dyDescent="0.3">
      <c r="A73" s="5">
        <f>'Design Calculations'!G129</f>
        <v>126.92759668508293</v>
      </c>
      <c r="B73" s="5">
        <f>'Design Calculations'!C129</f>
        <v>10.57</v>
      </c>
      <c r="C73" s="5">
        <f>'Design Calculations'!E129</f>
        <v>26.27900552486188</v>
      </c>
      <c r="D73" s="5"/>
      <c r="E73" s="5" t="e">
        <f>'Design Calculations'!M129</f>
        <v>#N/A</v>
      </c>
      <c r="F73" s="5">
        <f>'Design Calculations'!I129</f>
        <v>11.970000000000098</v>
      </c>
      <c r="G73" s="5" t="e">
        <f>'Design Calculations'!K129</f>
        <v>#N/A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>
        <v>34</v>
      </c>
      <c r="AA73" s="5">
        <f t="shared" si="0"/>
        <v>1.0588235294117647</v>
      </c>
      <c r="AB73" s="5">
        <f t="shared" si="1"/>
        <v>0.36176470588235299</v>
      </c>
      <c r="AC73" s="5">
        <f t="shared" si="2"/>
        <v>0.1125</v>
      </c>
      <c r="AD73" s="5">
        <f t="shared" si="3"/>
        <v>2.6470588235294117E-2</v>
      </c>
    </row>
    <row r="74" spans="1:30" x14ac:dyDescent="0.3">
      <c r="A74" s="5">
        <f>'Design Calculations'!G130</f>
        <v>127.91436464088403</v>
      </c>
      <c r="B74" s="5">
        <f>'Design Calculations'!C130</f>
        <v>10.5</v>
      </c>
      <c r="C74" s="5">
        <f>'Design Calculations'!E130</f>
        <v>26.104972375690608</v>
      </c>
      <c r="D74" s="5"/>
      <c r="E74" s="5" t="e">
        <f>'Design Calculations'!M130</f>
        <v>#N/A</v>
      </c>
      <c r="F74" s="5">
        <f>'Design Calculations'!I130</f>
        <v>11.900000000000098</v>
      </c>
      <c r="G74" s="5" t="e">
        <f>'Design Calculations'!K130</f>
        <v>#N/A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>
        <v>35</v>
      </c>
      <c r="AA74" s="5">
        <f t="shared" si="0"/>
        <v>1.0285714285714285</v>
      </c>
      <c r="AB74" s="5">
        <f t="shared" si="1"/>
        <v>0.35142857142857142</v>
      </c>
      <c r="AC74" s="5">
        <f t="shared" si="2"/>
        <v>0.10928571428571429</v>
      </c>
      <c r="AD74" s="5">
        <f t="shared" si="3"/>
        <v>2.5714285714285714E-2</v>
      </c>
    </row>
    <row r="75" spans="1:30" x14ac:dyDescent="0.3">
      <c r="A75" s="5">
        <f>'Design Calculations'!G131</f>
        <v>128.87676795580117</v>
      </c>
      <c r="B75" s="5">
        <f>'Design Calculations'!C131</f>
        <v>10.43</v>
      </c>
      <c r="C75" s="5">
        <f>'Design Calculations'!E131</f>
        <v>25.930939226519335</v>
      </c>
      <c r="D75" s="5"/>
      <c r="E75" s="5" t="e">
        <f>'Design Calculations'!M131</f>
        <v>#N/A</v>
      </c>
      <c r="F75" s="5">
        <f>'Design Calculations'!I131</f>
        <v>11.830000000000112</v>
      </c>
      <c r="G75" s="5" t="e">
        <f>'Design Calculations'!K131</f>
        <v>#N/A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>
        <v>36</v>
      </c>
      <c r="AA75" s="5">
        <f t="shared" si="0"/>
        <v>1</v>
      </c>
      <c r="AB75" s="5">
        <f t="shared" si="1"/>
        <v>0.34166666666666667</v>
      </c>
      <c r="AC75" s="5">
        <f t="shared" si="2"/>
        <v>0.10625000000000001</v>
      </c>
      <c r="AD75" s="5">
        <f t="shared" si="3"/>
        <v>2.5000000000000001E-2</v>
      </c>
    </row>
    <row r="76" spans="1:30" x14ac:dyDescent="0.3">
      <c r="A76" s="5">
        <f>'Design Calculations'!G132</f>
        <v>129.81480662983432</v>
      </c>
      <c r="B76" s="5">
        <f>'Design Calculations'!C132</f>
        <v>10.36</v>
      </c>
      <c r="C76" s="5">
        <f>'Design Calculations'!E132</f>
        <v>25.756906077348066</v>
      </c>
      <c r="D76" s="5"/>
      <c r="E76" s="5" t="e">
        <f>'Design Calculations'!M132</f>
        <v>#N/A</v>
      </c>
      <c r="F76" s="5">
        <f>'Design Calculations'!I132</f>
        <v>11.760000000000112</v>
      </c>
      <c r="G76" s="5" t="e">
        <f>'Design Calculations'!K132</f>
        <v>#N/A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>
        <v>37</v>
      </c>
      <c r="AA76" s="5">
        <f t="shared" si="0"/>
        <v>0.97297297297297303</v>
      </c>
      <c r="AB76" s="5">
        <f t="shared" si="1"/>
        <v>0.33243243243243248</v>
      </c>
      <c r="AC76" s="5">
        <f t="shared" si="2"/>
        <v>0.10337837837837838</v>
      </c>
      <c r="AD76" s="5">
        <f t="shared" si="3"/>
        <v>2.4324324324324326E-2</v>
      </c>
    </row>
    <row r="77" spans="1:30" x14ac:dyDescent="0.3">
      <c r="A77" s="5">
        <f>'Design Calculations'!G133</f>
        <v>130.72848066298349</v>
      </c>
      <c r="B77" s="5">
        <f>'Design Calculations'!C133</f>
        <v>10.29</v>
      </c>
      <c r="C77" s="5">
        <f>'Design Calculations'!E133</f>
        <v>25.582872928176794</v>
      </c>
      <c r="D77" s="5"/>
      <c r="E77" s="5" t="e">
        <f>'Design Calculations'!M133</f>
        <v>#N/A</v>
      </c>
      <c r="F77" s="5">
        <f>'Design Calculations'!I133</f>
        <v>11.690000000000111</v>
      </c>
      <c r="G77" s="5" t="e">
        <f>'Design Calculations'!K133</f>
        <v>#N/A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>
        <v>38</v>
      </c>
      <c r="AA77" s="5">
        <f t="shared" si="0"/>
        <v>0.94736842105263153</v>
      </c>
      <c r="AB77" s="5">
        <f t="shared" si="1"/>
        <v>0.3236842105263158</v>
      </c>
      <c r="AC77" s="5">
        <f t="shared" si="2"/>
        <v>0.10065789473684211</v>
      </c>
      <c r="AD77" s="5">
        <f t="shared" si="3"/>
        <v>2.368421052631579E-2</v>
      </c>
    </row>
    <row r="78" spans="1:30" x14ac:dyDescent="0.3">
      <c r="A78" s="5">
        <f>'Design Calculations'!G134</f>
        <v>131.61779005524869</v>
      </c>
      <c r="B78" s="5">
        <f>'Design Calculations'!C134</f>
        <v>10.219999999999999</v>
      </c>
      <c r="C78" s="5">
        <f>'Design Calculations'!E134</f>
        <v>25.408839779005522</v>
      </c>
      <c r="D78" s="5"/>
      <c r="E78" s="5" t="e">
        <f>'Design Calculations'!M134</f>
        <v>#N/A</v>
      </c>
      <c r="F78" s="5">
        <f>'Design Calculations'!I134</f>
        <v>11.620000000000111</v>
      </c>
      <c r="G78" s="5" t="e">
        <f>'Design Calculations'!K134</f>
        <v>#N/A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>
        <v>39</v>
      </c>
      <c r="AA78" s="5">
        <f t="shared" si="0"/>
        <v>0.92307692307692313</v>
      </c>
      <c r="AB78" s="5">
        <f t="shared" si="1"/>
        <v>0.31538461538461543</v>
      </c>
      <c r="AC78" s="5">
        <f t="shared" si="2"/>
        <v>9.8076923076923075E-2</v>
      </c>
      <c r="AD78" s="5">
        <f t="shared" si="3"/>
        <v>2.3076923076923078E-2</v>
      </c>
    </row>
    <row r="79" spans="1:30" x14ac:dyDescent="0.3">
      <c r="A79" s="5">
        <f>'Design Calculations'!G135</f>
        <v>132.48273480662988</v>
      </c>
      <c r="B79" s="5">
        <f>'Design Calculations'!C135</f>
        <v>10.15</v>
      </c>
      <c r="C79" s="5">
        <f>'Design Calculations'!E135</f>
        <v>25.234806629834253</v>
      </c>
      <c r="D79" s="5"/>
      <c r="E79" s="5" t="e">
        <f>'Design Calculations'!M135</f>
        <v>#N/A</v>
      </c>
      <c r="F79" s="5">
        <f>'Design Calculations'!I135</f>
        <v>11.550000000000111</v>
      </c>
      <c r="G79" s="5" t="e">
        <f>'Design Calculations'!K135</f>
        <v>#N/A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>
        <v>40</v>
      </c>
      <c r="AA79" s="5">
        <f t="shared" si="0"/>
        <v>0.9</v>
      </c>
      <c r="AB79" s="5">
        <f t="shared" si="1"/>
        <v>0.3075</v>
      </c>
      <c r="AC79" s="5">
        <f t="shared" si="2"/>
        <v>9.5625000000000002E-2</v>
      </c>
      <c r="AD79" s="5">
        <f t="shared" si="3"/>
        <v>2.2499999999999999E-2</v>
      </c>
    </row>
    <row r="80" spans="1:30" x14ac:dyDescent="0.3">
      <c r="A80" s="5">
        <f>'Design Calculations'!G136</f>
        <v>133.32331491712714</v>
      </c>
      <c r="B80" s="5">
        <f>'Design Calculations'!C136</f>
        <v>10.08</v>
      </c>
      <c r="C80" s="5">
        <f>'Design Calculations'!E136</f>
        <v>25.060773480662984</v>
      </c>
      <c r="D80" s="5"/>
      <c r="E80" s="5" t="e">
        <f>'Design Calculations'!M136</f>
        <v>#N/A</v>
      </c>
      <c r="F80" s="5">
        <f>'Design Calculations'!I136</f>
        <v>11.480000000000111</v>
      </c>
      <c r="G80" s="5" t="e">
        <f>'Design Calculations'!K136</f>
        <v>#N/A</v>
      </c>
      <c r="H80" s="5"/>
      <c r="I80" s="5"/>
      <c r="J80" s="5"/>
      <c r="K80" s="5"/>
      <c r="L80" s="5"/>
      <c r="M80" s="5"/>
      <c r="N80" s="5"/>
      <c r="O80" s="5"/>
      <c r="P80" s="5" t="s">
        <v>228</v>
      </c>
      <c r="Q80" s="5" t="s">
        <v>241</v>
      </c>
      <c r="R80" s="5" t="s">
        <v>229</v>
      </c>
      <c r="S80" s="5" t="s">
        <v>230</v>
      </c>
      <c r="T80" s="5" t="s">
        <v>231</v>
      </c>
      <c r="U80" s="5" t="s">
        <v>232</v>
      </c>
      <c r="V80" s="5" t="s">
        <v>233</v>
      </c>
      <c r="W80" s="5" t="s">
        <v>234</v>
      </c>
      <c r="X80" s="5" t="s">
        <v>235</v>
      </c>
      <c r="Y80" s="5"/>
      <c r="Z80" s="5">
        <v>41</v>
      </c>
      <c r="AA80" s="5">
        <f t="shared" si="0"/>
        <v>0.87804878048780488</v>
      </c>
      <c r="AB80" s="5">
        <f t="shared" si="1"/>
        <v>0.30000000000000004</v>
      </c>
      <c r="AC80" s="5">
        <f t="shared" si="2"/>
        <v>9.3292682926829268E-2</v>
      </c>
      <c r="AD80" s="5">
        <f t="shared" si="3"/>
        <v>2.1951219512195124E-2</v>
      </c>
    </row>
    <row r="81" spans="1:30" x14ac:dyDescent="0.3">
      <c r="A81" s="5">
        <f>'Design Calculations'!G137</f>
        <v>134.13953038674038</v>
      </c>
      <c r="B81" s="5">
        <f>'Design Calculations'!C137</f>
        <v>10.01</v>
      </c>
      <c r="C81" s="5">
        <f>'Design Calculations'!E137</f>
        <v>24.886740331491712</v>
      </c>
      <c r="D81" s="5"/>
      <c r="E81" s="5" t="e">
        <f>'Design Calculations'!M137</f>
        <v>#N/A</v>
      </c>
      <c r="F81" s="5">
        <f>'Design Calculations'!I137</f>
        <v>11.410000000000112</v>
      </c>
      <c r="G81" s="5" t="e">
        <f>'Design Calculations'!K137</f>
        <v>#N/A</v>
      </c>
      <c r="H81" s="5"/>
      <c r="I81" s="5"/>
      <c r="J81" s="5"/>
      <c r="K81" s="5"/>
      <c r="L81" s="5"/>
      <c r="M81" s="5"/>
      <c r="N81" s="5"/>
      <c r="O81" s="5"/>
      <c r="P81" s="100">
        <v>0.01</v>
      </c>
      <c r="Q81" s="5">
        <f>AA94</f>
        <v>0.65454545454545454</v>
      </c>
      <c r="R81" s="5">
        <f>AA79</f>
        <v>0.9</v>
      </c>
      <c r="S81" s="5">
        <f>AA69</f>
        <v>1.2</v>
      </c>
      <c r="T81" s="5">
        <f>AA59</f>
        <v>1.8</v>
      </c>
      <c r="U81" s="5">
        <f>AA49</f>
        <v>3.6</v>
      </c>
      <c r="V81" s="5">
        <f>AA44</f>
        <v>7.2</v>
      </c>
      <c r="W81" s="5">
        <f>AB41</f>
        <v>6.15</v>
      </c>
      <c r="X81" s="5" t="str">
        <f>AB40</f>
        <v/>
      </c>
      <c r="Y81" s="5"/>
      <c r="Z81" s="5">
        <v>42</v>
      </c>
      <c r="AA81" s="5">
        <f t="shared" si="0"/>
        <v>0.8571428571428571</v>
      </c>
      <c r="AB81" s="5">
        <f t="shared" si="1"/>
        <v>0.29285714285714287</v>
      </c>
      <c r="AC81" s="5">
        <f t="shared" si="2"/>
        <v>9.1071428571428581E-2</v>
      </c>
      <c r="AD81" s="5">
        <f t="shared" si="3"/>
        <v>2.1428571428571429E-2</v>
      </c>
    </row>
    <row r="82" spans="1:30" x14ac:dyDescent="0.3">
      <c r="A82" s="5">
        <f>'Design Calculations'!G138</f>
        <v>134.93138121546968</v>
      </c>
      <c r="B82" s="5">
        <f>'Design Calculations'!C138</f>
        <v>9.94</v>
      </c>
      <c r="C82" s="5">
        <f>'Design Calculations'!E138</f>
        <v>24.712707182320443</v>
      </c>
      <c r="D82" s="5"/>
      <c r="E82" s="5" t="e">
        <f>'Design Calculations'!M138</f>
        <v>#N/A</v>
      </c>
      <c r="F82" s="5">
        <f>'Design Calculations'!I138</f>
        <v>11.340000000000114</v>
      </c>
      <c r="G82" s="5" t="e">
        <f>'Design Calculations'!K138</f>
        <v>#N/A</v>
      </c>
      <c r="H82" s="5"/>
      <c r="I82" s="5"/>
      <c r="J82" s="5"/>
      <c r="K82" s="5"/>
      <c r="L82" s="5"/>
      <c r="M82" s="5"/>
      <c r="N82" s="5"/>
      <c r="O82" s="5"/>
      <c r="P82" s="5">
        <v>0.1</v>
      </c>
      <c r="Q82" s="5">
        <f>AB94</f>
        <v>0.22363636363636366</v>
      </c>
      <c r="R82" s="5">
        <f>AB79</f>
        <v>0.3075</v>
      </c>
      <c r="S82" s="5">
        <f>AB69</f>
        <v>0.41000000000000003</v>
      </c>
      <c r="T82" s="5">
        <f>AB59</f>
        <v>0.61499999999999999</v>
      </c>
      <c r="U82" s="5">
        <f>AB49</f>
        <v>1.23</v>
      </c>
      <c r="V82" s="5">
        <f>AB44</f>
        <v>2.46</v>
      </c>
      <c r="W82" s="5">
        <f>AB42</f>
        <v>4.1000000000000005</v>
      </c>
      <c r="X82" s="5">
        <f>AB41</f>
        <v>6.15</v>
      </c>
      <c r="Y82" s="5"/>
      <c r="Z82" s="5">
        <v>43</v>
      </c>
      <c r="AA82" s="5">
        <f t="shared" si="0"/>
        <v>0.83720930232558144</v>
      </c>
      <c r="AB82" s="5">
        <f t="shared" si="1"/>
        <v>0.28604651162790701</v>
      </c>
      <c r="AC82" s="5">
        <f t="shared" si="2"/>
        <v>8.8953488372093034E-2</v>
      </c>
      <c r="AD82" s="5">
        <f t="shared" si="3"/>
        <v>2.0930232558139535E-2</v>
      </c>
    </row>
    <row r="83" spans="1:30" x14ac:dyDescent="0.3">
      <c r="A83" s="5">
        <f>'Design Calculations'!G139</f>
        <v>135.69886740331498</v>
      </c>
      <c r="B83" s="5">
        <f>'Design Calculations'!C139</f>
        <v>9.8699999999999992</v>
      </c>
      <c r="C83" s="5">
        <f>'Design Calculations'!E139</f>
        <v>24.538674033149171</v>
      </c>
      <c r="D83" s="5"/>
      <c r="E83" s="5" t="e">
        <f>'Design Calculations'!M139</f>
        <v>#N/A</v>
      </c>
      <c r="F83" s="5">
        <f>'Design Calculations'!I139</f>
        <v>11.270000000000113</v>
      </c>
      <c r="G83" s="5" t="e">
        <f>'Design Calculations'!K139</f>
        <v>#N/A</v>
      </c>
      <c r="H83" s="5"/>
      <c r="I83" s="5"/>
      <c r="J83" s="5"/>
      <c r="K83" s="5"/>
      <c r="L83" s="5"/>
      <c r="M83" s="5"/>
      <c r="N83" s="5"/>
      <c r="O83" s="5"/>
      <c r="P83" s="5">
        <v>1</v>
      </c>
      <c r="Q83" s="5">
        <f>AC94</f>
        <v>6.9545454545454549E-2</v>
      </c>
      <c r="R83" s="5">
        <f>AC79</f>
        <v>9.5625000000000002E-2</v>
      </c>
      <c r="S83" s="5">
        <f>AC69</f>
        <v>0.1275</v>
      </c>
      <c r="T83" s="5">
        <f>AC59</f>
        <v>0.19125</v>
      </c>
      <c r="U83" s="5">
        <f>AC49</f>
        <v>0.38250000000000001</v>
      </c>
      <c r="V83" s="5">
        <f>AC44</f>
        <v>0.76500000000000001</v>
      </c>
      <c r="W83" s="5">
        <f>AC42</f>
        <v>1.2750000000000001</v>
      </c>
      <c r="X83" s="5">
        <f>AC41</f>
        <v>1.9125000000000001</v>
      </c>
      <c r="Y83" s="5"/>
      <c r="Z83" s="5">
        <v>44</v>
      </c>
      <c r="AA83" s="5">
        <f t="shared" si="0"/>
        <v>0.81818181818181823</v>
      </c>
      <c r="AB83" s="5">
        <f t="shared" si="1"/>
        <v>0.27954545454545454</v>
      </c>
      <c r="AC83" s="5">
        <f t="shared" si="2"/>
        <v>8.693181818181818E-2</v>
      </c>
      <c r="AD83" s="5">
        <f t="shared" si="3"/>
        <v>2.0454545454545454E-2</v>
      </c>
    </row>
    <row r="84" spans="1:30" x14ac:dyDescent="0.3">
      <c r="A84" s="5">
        <f>'Design Calculations'!G140</f>
        <v>136.44198895027628</v>
      </c>
      <c r="B84" s="5">
        <f>'Design Calculations'!C140</f>
        <v>9.7999999999999989</v>
      </c>
      <c r="C84" s="5">
        <f>'Design Calculations'!E140</f>
        <v>24.364640883977895</v>
      </c>
      <c r="D84" s="5"/>
      <c r="E84" s="5" t="e">
        <f>'Design Calculations'!M140</f>
        <v>#N/A</v>
      </c>
      <c r="F84" s="5">
        <f>'Design Calculations'!I140</f>
        <v>11.200000000000127</v>
      </c>
      <c r="G84" s="5" t="e">
        <f>'Design Calculations'!K140</f>
        <v>#N/A</v>
      </c>
      <c r="H84" s="5"/>
      <c r="I84" s="5"/>
      <c r="J84" s="5"/>
      <c r="K84" s="5"/>
      <c r="L84" s="5"/>
      <c r="M84" s="5"/>
      <c r="N84" s="5"/>
      <c r="O84" s="5"/>
      <c r="P84" s="5">
        <v>1000</v>
      </c>
      <c r="Q84" s="5">
        <f>AD94</f>
        <v>1.6363636363636365E-2</v>
      </c>
      <c r="R84" s="5">
        <f>AD79</f>
        <v>2.2499999999999999E-2</v>
      </c>
      <c r="S84" s="5">
        <f>AD69</f>
        <v>3.0000000000000002E-2</v>
      </c>
      <c r="T84" s="5">
        <f>AD59</f>
        <v>4.4999999999999998E-2</v>
      </c>
      <c r="U84" s="5">
        <f>AD49</f>
        <v>0.09</v>
      </c>
      <c r="V84" s="5">
        <f>AD44</f>
        <v>0.18</v>
      </c>
      <c r="W84" s="5">
        <f>AD42</f>
        <v>0.3</v>
      </c>
      <c r="X84" s="5">
        <f>AD41</f>
        <v>0.45</v>
      </c>
      <c r="Y84" s="5"/>
      <c r="Z84" s="5">
        <v>45</v>
      </c>
      <c r="AA84" s="5">
        <f t="shared" si="0"/>
        <v>0.8</v>
      </c>
      <c r="AB84" s="5">
        <f t="shared" si="1"/>
        <v>0.27333333333333337</v>
      </c>
      <c r="AC84" s="5">
        <f t="shared" si="2"/>
        <v>8.5000000000000006E-2</v>
      </c>
      <c r="AD84" s="5">
        <f t="shared" si="3"/>
        <v>0.02</v>
      </c>
    </row>
    <row r="85" spans="1:30" x14ac:dyDescent="0.3">
      <c r="A85" s="5">
        <f>'Design Calculations'!G141</f>
        <v>137.16074585635366</v>
      </c>
      <c r="B85" s="5">
        <f>'Design Calculations'!C141</f>
        <v>9.7299999999999986</v>
      </c>
      <c r="C85" s="5">
        <f>'Design Calculations'!E141</f>
        <v>24.190607734806626</v>
      </c>
      <c r="D85" s="5"/>
      <c r="E85" s="5" t="e">
        <f>'Design Calculations'!M141</f>
        <v>#N/A</v>
      </c>
      <c r="F85" s="5">
        <f>'Design Calculations'!I141</f>
        <v>11.130000000000127</v>
      </c>
      <c r="G85" s="5" t="e">
        <f>'Design Calculations'!K141</f>
        <v>#N/A</v>
      </c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>
        <v>46</v>
      </c>
      <c r="AA85" s="5">
        <f t="shared" si="0"/>
        <v>0.78260869565217395</v>
      </c>
      <c r="AB85" s="5">
        <f t="shared" si="1"/>
        <v>0.2673913043478261</v>
      </c>
      <c r="AC85" s="5">
        <f t="shared" si="2"/>
        <v>8.3152173913043484E-2</v>
      </c>
      <c r="AD85" s="5">
        <f t="shared" si="3"/>
        <v>1.9565217391304349E-2</v>
      </c>
    </row>
    <row r="86" spans="1:30" x14ac:dyDescent="0.3">
      <c r="A86" s="5">
        <f>'Design Calculations'!G142</f>
        <v>137.85513812154699</v>
      </c>
      <c r="B86" s="5">
        <f>'Design Calculations'!C142</f>
        <v>9.66</v>
      </c>
      <c r="C86" s="5">
        <f>'Design Calculations'!E142</f>
        <v>24.016574585635357</v>
      </c>
      <c r="D86" s="5"/>
      <c r="E86" s="5" t="e">
        <f>'Design Calculations'!M142</f>
        <v>#N/A</v>
      </c>
      <c r="F86" s="5">
        <f>'Design Calculations'!I142</f>
        <v>11.060000000000127</v>
      </c>
      <c r="G86" s="5" t="e">
        <f>'Design Calculations'!K142</f>
        <v>#N/A</v>
      </c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>
        <v>47</v>
      </c>
      <c r="AA86" s="5">
        <f t="shared" si="0"/>
        <v>0.76595744680851063</v>
      </c>
      <c r="AB86" s="5">
        <f t="shared" si="1"/>
        <v>0.26170212765957446</v>
      </c>
      <c r="AC86" s="5">
        <f t="shared" si="2"/>
        <v>8.1382978723404262E-2</v>
      </c>
      <c r="AD86" s="5">
        <f t="shared" si="3"/>
        <v>1.9148936170212766E-2</v>
      </c>
    </row>
    <row r="87" spans="1:30" x14ac:dyDescent="0.3">
      <c r="A87" s="5">
        <f>'Design Calculations'!G143</f>
        <v>138.52516574585641</v>
      </c>
      <c r="B87" s="5">
        <f>'Design Calculations'!C143</f>
        <v>9.59</v>
      </c>
      <c r="C87" s="5">
        <f>'Design Calculations'!E143</f>
        <v>23.842541436464089</v>
      </c>
      <c r="D87" s="5"/>
      <c r="E87" s="5" t="e">
        <f>'Design Calculations'!M143</f>
        <v>#N/A</v>
      </c>
      <c r="F87" s="5">
        <f>'Design Calculations'!I143</f>
        <v>10.990000000000126</v>
      </c>
      <c r="G87" s="5" t="e">
        <f>'Design Calculations'!K143</f>
        <v>#N/A</v>
      </c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>
        <v>48</v>
      </c>
      <c r="AA87" s="5">
        <f t="shared" si="0"/>
        <v>0.75</v>
      </c>
      <c r="AB87" s="5">
        <f t="shared" si="1"/>
        <v>0.25625000000000003</v>
      </c>
      <c r="AC87" s="5">
        <f t="shared" si="2"/>
        <v>7.9687500000000008E-2</v>
      </c>
      <c r="AD87" s="5">
        <f t="shared" si="3"/>
        <v>1.8749999999999999E-2</v>
      </c>
    </row>
    <row r="88" spans="1:30" x14ac:dyDescent="0.3">
      <c r="A88" s="5">
        <f>'Design Calculations'!G144</f>
        <v>139.17082872928182</v>
      </c>
      <c r="B88" s="5">
        <f>'Design Calculations'!C144</f>
        <v>9.5200000000000014</v>
      </c>
      <c r="C88" s="5">
        <f>'Design Calculations'!E144</f>
        <v>23.668508287292823</v>
      </c>
      <c r="D88" s="5"/>
      <c r="E88" s="5" t="e">
        <f>'Design Calculations'!M144</f>
        <v>#N/A</v>
      </c>
      <c r="F88" s="5">
        <f>'Design Calculations'!I144</f>
        <v>10.920000000000126</v>
      </c>
      <c r="G88" s="5" t="e">
        <f>'Design Calculations'!K144</f>
        <v>#N/A</v>
      </c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>
        <v>49</v>
      </c>
      <c r="AA88" s="5">
        <f t="shared" si="0"/>
        <v>0.73469387755102045</v>
      </c>
      <c r="AB88" s="5">
        <f t="shared" si="1"/>
        <v>0.25102040816326532</v>
      </c>
      <c r="AC88" s="5">
        <f t="shared" si="2"/>
        <v>7.8061224489795925E-2</v>
      </c>
      <c r="AD88" s="5">
        <f t="shared" si="3"/>
        <v>1.8367346938775512E-2</v>
      </c>
    </row>
    <row r="89" spans="1:30" x14ac:dyDescent="0.3">
      <c r="A89" s="5">
        <f>'Design Calculations'!G145</f>
        <v>139.79212707182324</v>
      </c>
      <c r="B89" s="5">
        <f>'Design Calculations'!C145</f>
        <v>9.4500000000000011</v>
      </c>
      <c r="C89" s="5">
        <f>'Design Calculations'!E145</f>
        <v>23.494475138121551</v>
      </c>
      <c r="D89" s="5"/>
      <c r="E89" s="5" t="e">
        <f>'Design Calculations'!M145</f>
        <v>#N/A</v>
      </c>
      <c r="F89" s="5">
        <f>'Design Calculations'!I145</f>
        <v>10.850000000000126</v>
      </c>
      <c r="G89" s="5" t="e">
        <f>'Design Calculations'!K145</f>
        <v>#N/A</v>
      </c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>
        <v>50</v>
      </c>
      <c r="AA89" s="5">
        <f t="shared" si="0"/>
        <v>0.72</v>
      </c>
      <c r="AB89" s="5">
        <f t="shared" si="1"/>
        <v>0.24600000000000002</v>
      </c>
      <c r="AC89" s="5">
        <f t="shared" si="2"/>
        <v>7.6499999999999999E-2</v>
      </c>
      <c r="AD89" s="5">
        <f t="shared" si="3"/>
        <v>1.8000000000000002E-2</v>
      </c>
    </row>
    <row r="90" spans="1:30" x14ac:dyDescent="0.3">
      <c r="A90" s="5">
        <f>'Design Calculations'!G146</f>
        <v>140.38906077348068</v>
      </c>
      <c r="B90" s="5">
        <f>'Design Calculations'!C146</f>
        <v>9.3800000000000008</v>
      </c>
      <c r="C90" s="5">
        <f>'Design Calculations'!E146</f>
        <v>23.320441988950275</v>
      </c>
      <c r="D90" s="5"/>
      <c r="E90" s="5" t="e">
        <f>'Design Calculations'!M146</f>
        <v>#N/A</v>
      </c>
      <c r="F90" s="5">
        <f>'Design Calculations'!I146</f>
        <v>10.780000000000125</v>
      </c>
      <c r="G90" s="5" t="e">
        <f>'Design Calculations'!K146</f>
        <v>#N/A</v>
      </c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>
        <v>51</v>
      </c>
      <c r="AA90" s="5">
        <f t="shared" si="0"/>
        <v>0.70588235294117652</v>
      </c>
      <c r="AB90" s="5">
        <f t="shared" si="1"/>
        <v>0.2411764705882353</v>
      </c>
      <c r="AC90" s="5">
        <f t="shared" si="2"/>
        <v>7.4999999999999997E-2</v>
      </c>
      <c r="AD90" s="5">
        <f t="shared" si="3"/>
        <v>1.7647058823529412E-2</v>
      </c>
    </row>
    <row r="91" spans="1:30" x14ac:dyDescent="0.3">
      <c r="A91" s="5">
        <f>'Design Calculations'!G147</f>
        <v>140.96162983425418</v>
      </c>
      <c r="B91" s="5">
        <f>'Design Calculations'!C147</f>
        <v>9.31</v>
      </c>
      <c r="C91" s="5">
        <f>'Design Calculations'!E147</f>
        <v>23.146408839779006</v>
      </c>
      <c r="D91" s="5"/>
      <c r="E91" s="5" t="e">
        <f>'Design Calculations'!M147</f>
        <v>#N/A</v>
      </c>
      <c r="F91" s="5">
        <f>'Design Calculations'!I147</f>
        <v>10.710000000000125</v>
      </c>
      <c r="G91" s="5" t="e">
        <f>'Design Calculations'!K147</f>
        <v>#N/A</v>
      </c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>
        <v>52</v>
      </c>
      <c r="AA91" s="5">
        <f t="shared" si="0"/>
        <v>0.69230769230769229</v>
      </c>
      <c r="AB91" s="5">
        <f t="shared" si="1"/>
        <v>0.23653846153846156</v>
      </c>
      <c r="AC91" s="5">
        <f t="shared" si="2"/>
        <v>7.355769230769231E-2</v>
      </c>
      <c r="AD91" s="5">
        <f t="shared" si="3"/>
        <v>1.7307692307692309E-2</v>
      </c>
    </row>
    <row r="92" spans="1:30" x14ac:dyDescent="0.3">
      <c r="A92" s="5">
        <f>'Design Calculations'!G148</f>
        <v>141.5098342541437</v>
      </c>
      <c r="B92" s="5">
        <f>'Design Calculations'!C148</f>
        <v>9.24</v>
      </c>
      <c r="C92" s="5">
        <f>'Design Calculations'!E148</f>
        <v>22.972375690607734</v>
      </c>
      <c r="D92" s="5"/>
      <c r="E92" s="5" t="e">
        <f>'Design Calculations'!M148</f>
        <v>#N/A</v>
      </c>
      <c r="F92" s="5">
        <f>'Design Calculations'!I148</f>
        <v>10.640000000000127</v>
      </c>
      <c r="G92" s="5" t="e">
        <f>'Design Calculations'!K148</f>
        <v>#N/A</v>
      </c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>
        <v>53</v>
      </c>
      <c r="AA92" s="5">
        <f t="shared" si="0"/>
        <v>0.67924528301886788</v>
      </c>
      <c r="AB92" s="5">
        <f t="shared" si="1"/>
        <v>0.23207547169811321</v>
      </c>
      <c r="AC92" s="5">
        <f t="shared" si="2"/>
        <v>7.2169811320754715E-2</v>
      </c>
      <c r="AD92" s="5">
        <f t="shared" si="3"/>
        <v>1.6981132075471698E-2</v>
      </c>
    </row>
    <row r="93" spans="1:30" x14ac:dyDescent="0.3">
      <c r="A93" s="5">
        <f>'Design Calculations'!G149</f>
        <v>142.03367403314923</v>
      </c>
      <c r="B93" s="5">
        <f>'Design Calculations'!C149</f>
        <v>9.17</v>
      </c>
      <c r="C93" s="5">
        <f>'Design Calculations'!E149</f>
        <v>22.798342541436465</v>
      </c>
      <c r="D93" s="5"/>
      <c r="E93" s="5" t="e">
        <f>'Design Calculations'!M149</f>
        <v>#N/A</v>
      </c>
      <c r="F93" s="5">
        <f>'Design Calculations'!I149</f>
        <v>10.570000000000126</v>
      </c>
      <c r="G93" s="5" t="e">
        <f>'Design Calculations'!K149</f>
        <v>#N/A</v>
      </c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>
        <v>54</v>
      </c>
      <c r="AA93" s="5">
        <f t="shared" si="0"/>
        <v>0.66666666666666663</v>
      </c>
      <c r="AB93" s="5">
        <f t="shared" si="1"/>
        <v>0.2277777777777778</v>
      </c>
      <c r="AC93" s="5">
        <f t="shared" si="2"/>
        <v>7.0833333333333331E-2</v>
      </c>
      <c r="AD93" s="5">
        <f t="shared" si="3"/>
        <v>1.6666666666666666E-2</v>
      </c>
    </row>
    <row r="94" spans="1:30" x14ac:dyDescent="0.3">
      <c r="A94" s="5">
        <f>'Design Calculations'!G150</f>
        <v>142.53314917127076</v>
      </c>
      <c r="B94" s="5">
        <f>'Design Calculations'!C150</f>
        <v>9.1</v>
      </c>
      <c r="C94" s="5">
        <f>'Design Calculations'!E150</f>
        <v>22.624309392265193</v>
      </c>
      <c r="D94" s="5"/>
      <c r="E94" s="5" t="e">
        <f>'Design Calculations'!M150</f>
        <v>#N/A</v>
      </c>
      <c r="F94" s="5">
        <f>'Design Calculations'!I150</f>
        <v>10.50000000000014</v>
      </c>
      <c r="G94" s="5" t="e">
        <f>'Design Calculations'!K150</f>
        <v>#N/A</v>
      </c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>
        <v>55</v>
      </c>
      <c r="AA94" s="5">
        <f t="shared" si="0"/>
        <v>0.65454545454545454</v>
      </c>
      <c r="AB94" s="5">
        <f t="shared" si="1"/>
        <v>0.22363636363636366</v>
      </c>
      <c r="AC94" s="5">
        <f t="shared" si="2"/>
        <v>6.9545454545454549E-2</v>
      </c>
      <c r="AD94" s="5">
        <f t="shared" si="3"/>
        <v>1.6363636363636365E-2</v>
      </c>
    </row>
    <row r="95" spans="1:30" x14ac:dyDescent="0.3">
      <c r="A95" s="5">
        <f>'Design Calculations'!G151</f>
        <v>143.00825966850834</v>
      </c>
      <c r="B95" s="5">
        <f>'Design Calculations'!C151</f>
        <v>9.0300000000000011</v>
      </c>
      <c r="C95" s="5">
        <f>'Design Calculations'!E151</f>
        <v>22.450276243093928</v>
      </c>
      <c r="D95" s="5"/>
      <c r="E95" s="5" t="e">
        <f>'Design Calculations'!M151</f>
        <v>#N/A</v>
      </c>
      <c r="F95" s="5">
        <f>'Design Calculations'!I151</f>
        <v>10.43000000000014</v>
      </c>
      <c r="G95" s="5" t="e">
        <f>'Design Calculations'!K151</f>
        <v>#N/A</v>
      </c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>
        <v>56</v>
      </c>
      <c r="AA95" s="5">
        <f t="shared" si="0"/>
        <v>0.6428571428571429</v>
      </c>
      <c r="AB95" s="5">
        <f t="shared" si="1"/>
        <v>0.21964285714285717</v>
      </c>
      <c r="AC95" s="5">
        <f t="shared" si="2"/>
        <v>6.8303571428571436E-2</v>
      </c>
      <c r="AD95" s="5">
        <f t="shared" si="3"/>
        <v>1.6071428571428573E-2</v>
      </c>
    </row>
    <row r="96" spans="1:30" x14ac:dyDescent="0.3">
      <c r="A96" s="5">
        <f>'Design Calculations'!G152</f>
        <v>143.45900552486191</v>
      </c>
      <c r="B96" s="5">
        <f>'Design Calculations'!C152</f>
        <v>8.9600000000000009</v>
      </c>
      <c r="C96" s="5">
        <f>'Design Calculations'!E152</f>
        <v>22.276243093922652</v>
      </c>
      <c r="D96" s="5"/>
      <c r="E96" s="5" t="e">
        <f>'Design Calculations'!M152</f>
        <v>#N/A</v>
      </c>
      <c r="F96" s="5">
        <f>'Design Calculations'!I152</f>
        <v>10.36000000000014</v>
      </c>
      <c r="G96" s="5" t="e">
        <f>'Design Calculations'!K152</f>
        <v>#N/A</v>
      </c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>
        <v>57</v>
      </c>
      <c r="AA96" s="5">
        <f t="shared" si="0"/>
        <v>0.63157894736842102</v>
      </c>
      <c r="AB96" s="5">
        <f t="shared" si="1"/>
        <v>0.21578947368421053</v>
      </c>
      <c r="AC96" s="5">
        <f t="shared" si="2"/>
        <v>6.7105263157894737E-2</v>
      </c>
      <c r="AD96" s="5">
        <f t="shared" si="3"/>
        <v>1.5789473684210527E-2</v>
      </c>
    </row>
    <row r="97" spans="1:30" x14ac:dyDescent="0.3">
      <c r="A97" s="5">
        <f>'Design Calculations'!G153</f>
        <v>143.88538674033151</v>
      </c>
      <c r="B97" s="5">
        <f>'Design Calculations'!C153</f>
        <v>8.89</v>
      </c>
      <c r="C97" s="5">
        <f>'Design Calculations'!E153</f>
        <v>22.10220994475138</v>
      </c>
      <c r="D97" s="5"/>
      <c r="E97" s="5" t="e">
        <f>'Design Calculations'!M153</f>
        <v>#N/A</v>
      </c>
      <c r="F97" s="5">
        <f>'Design Calculations'!I153</f>
        <v>10.290000000000139</v>
      </c>
      <c r="G97" s="5" t="e">
        <f>'Design Calculations'!K153</f>
        <v>#N/A</v>
      </c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>
        <v>58</v>
      </c>
      <c r="AA97" s="5">
        <f t="shared" si="0"/>
        <v>0.62068965517241381</v>
      </c>
      <c r="AB97" s="5">
        <f t="shared" si="1"/>
        <v>0.21206896551724139</v>
      </c>
      <c r="AC97" s="5">
        <f t="shared" si="2"/>
        <v>6.5948275862068972E-2</v>
      </c>
      <c r="AD97" s="5">
        <f t="shared" si="3"/>
        <v>1.5517241379310345E-2</v>
      </c>
    </row>
    <row r="98" spans="1:30" x14ac:dyDescent="0.3">
      <c r="A98" s="5">
        <f>'Design Calculations'!G154</f>
        <v>144.28740331491716</v>
      </c>
      <c r="B98" s="5">
        <f>'Design Calculations'!C154</f>
        <v>8.82</v>
      </c>
      <c r="C98" s="5">
        <f>'Design Calculations'!E154</f>
        <v>21.928176795580111</v>
      </c>
      <c r="D98" s="5"/>
      <c r="E98" s="5" t="e">
        <f>'Design Calculations'!M154</f>
        <v>#N/A</v>
      </c>
      <c r="F98" s="5">
        <f>'Design Calculations'!I154</f>
        <v>10.220000000000139</v>
      </c>
      <c r="G98" s="5" t="e">
        <f>'Design Calculations'!K154</f>
        <v>#N/A</v>
      </c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>
        <v>59</v>
      </c>
      <c r="AA98" s="5">
        <f t="shared" si="0"/>
        <v>0.61016949152542377</v>
      </c>
      <c r="AB98" s="5">
        <f t="shared" si="1"/>
        <v>0.20847457627118646</v>
      </c>
      <c r="AC98" s="5">
        <f t="shared" si="2"/>
        <v>6.4830508474576276E-2</v>
      </c>
      <c r="AD98" s="5">
        <f t="shared" si="3"/>
        <v>1.5254237288135594E-2</v>
      </c>
    </row>
    <row r="99" spans="1:30" x14ac:dyDescent="0.3">
      <c r="A99" s="5">
        <f>'Design Calculations'!G155</f>
        <v>144.66505524861881</v>
      </c>
      <c r="B99" s="5">
        <f>'Design Calculations'!C155</f>
        <v>8.75</v>
      </c>
      <c r="C99" s="5">
        <f>'Design Calculations'!E155</f>
        <v>21.754143646408838</v>
      </c>
      <c r="D99" s="5"/>
      <c r="E99" s="5" t="e">
        <f>'Design Calculations'!M155</f>
        <v>#N/A</v>
      </c>
      <c r="F99" s="5">
        <f>'Design Calculations'!I155</f>
        <v>10.150000000000139</v>
      </c>
      <c r="G99" s="5" t="e">
        <f>'Design Calculations'!K155</f>
        <v>#N/A</v>
      </c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>
        <v>60</v>
      </c>
      <c r="AA99" s="5">
        <f t="shared" si="0"/>
        <v>0.6</v>
      </c>
      <c r="AB99" s="5">
        <f t="shared" si="1"/>
        <v>0.20500000000000002</v>
      </c>
      <c r="AC99" s="5">
        <f t="shared" si="2"/>
        <v>6.3750000000000001E-2</v>
      </c>
      <c r="AD99" s="5">
        <f t="shared" si="3"/>
        <v>1.5000000000000001E-2</v>
      </c>
    </row>
    <row r="100" spans="1:30" x14ac:dyDescent="0.3">
      <c r="A100" s="5">
        <f>'Design Calculations'!G156</f>
        <v>145.01834254143651</v>
      </c>
      <c r="B100" s="5">
        <f>'Design Calculations'!C156</f>
        <v>8.68</v>
      </c>
      <c r="C100" s="5">
        <f>'Design Calculations'!E156</f>
        <v>21.58011049723757</v>
      </c>
      <c r="D100" s="5"/>
      <c r="E100" s="5" t="e">
        <f>'Design Calculations'!M156</f>
        <v>#N/A</v>
      </c>
      <c r="F100" s="5">
        <f>'Design Calculations'!I156</f>
        <v>10.08000000000014</v>
      </c>
      <c r="G100" s="5" t="e">
        <f>'Design Calculations'!K156</f>
        <v>#N/A</v>
      </c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</row>
    <row r="101" spans="1:30" x14ac:dyDescent="0.3">
      <c r="A101" s="5">
        <f>'Design Calculations'!G157</f>
        <v>145.34726519337022</v>
      </c>
      <c r="B101" s="5">
        <f>'Design Calculations'!C157</f>
        <v>8.61</v>
      </c>
      <c r="C101" s="5">
        <f>'Design Calculations'!E157</f>
        <v>21.406077348066297</v>
      </c>
      <c r="D101" s="5"/>
      <c r="E101" s="5" t="e">
        <f>'Design Calculations'!M157</f>
        <v>#N/A</v>
      </c>
      <c r="F101" s="5">
        <f>'Design Calculations'!I157</f>
        <v>10.01000000000014</v>
      </c>
      <c r="G101" s="5" t="e">
        <f>'Design Calculations'!K157</f>
        <v>#N/A</v>
      </c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</row>
    <row r="102" spans="1:30" x14ac:dyDescent="0.3">
      <c r="A102" s="5">
        <f>'Design Calculations'!G158</f>
        <v>145.65182320441997</v>
      </c>
      <c r="B102" s="5">
        <f>'Design Calculations'!C158</f>
        <v>8.5399999999999991</v>
      </c>
      <c r="C102" s="5">
        <f>'Design Calculations'!E158</f>
        <v>21.232044198895029</v>
      </c>
      <c r="D102" s="5"/>
      <c r="E102" s="5" t="e">
        <f>'Design Calculations'!M158</f>
        <v>#N/A</v>
      </c>
      <c r="F102" s="5">
        <f>'Design Calculations'!I158</f>
        <v>9.9400000000001398</v>
      </c>
      <c r="G102" s="5" t="e">
        <f>'Design Calculations'!K158</f>
        <v>#N/A</v>
      </c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</row>
    <row r="103" spans="1:30" x14ac:dyDescent="0.3">
      <c r="A103" s="5">
        <f>'Design Calculations'!G159</f>
        <v>145.93201657458567</v>
      </c>
      <c r="B103" s="5">
        <f>'Design Calculations'!C159</f>
        <v>8.4699999999999989</v>
      </c>
      <c r="C103" s="5">
        <f>'Design Calculations'!E159</f>
        <v>21.058011049723753</v>
      </c>
      <c r="D103" s="5"/>
      <c r="E103" s="5" t="e">
        <f>'Design Calculations'!M159</f>
        <v>#N/A</v>
      </c>
      <c r="F103" s="5">
        <f>'Design Calculations'!I159</f>
        <v>9.8700000000001538</v>
      </c>
      <c r="G103" s="5" t="e">
        <f>'Design Calculations'!K159</f>
        <v>#N/A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</row>
    <row r="104" spans="1:30" x14ac:dyDescent="0.3">
      <c r="A104" s="5">
        <f>'Design Calculations'!G160</f>
        <v>146.18784530386745</v>
      </c>
      <c r="B104" s="5">
        <f>'Design Calculations'!C160</f>
        <v>8.4</v>
      </c>
      <c r="C104" s="5">
        <f>'Design Calculations'!E160</f>
        <v>20.883977900552487</v>
      </c>
      <c r="D104" s="5"/>
      <c r="E104" s="5" t="e">
        <f>'Design Calculations'!M160</f>
        <v>#N/A</v>
      </c>
      <c r="F104" s="5">
        <f>'Design Calculations'!I160</f>
        <v>9.8000000000001535</v>
      </c>
      <c r="G104" s="5" t="e">
        <f>'Design Calculations'!K160</f>
        <v>#N/A</v>
      </c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</row>
    <row r="105" spans="1:30" x14ac:dyDescent="0.3">
      <c r="A105" s="5">
        <f>'Design Calculations'!G161</f>
        <v>146.41930939226523</v>
      </c>
      <c r="B105" s="5">
        <f>'Design Calculations'!C161</f>
        <v>8.33</v>
      </c>
      <c r="C105" s="5">
        <f>'Design Calculations'!E161</f>
        <v>20.709944751381215</v>
      </c>
      <c r="D105" s="5"/>
      <c r="E105" s="5" t="e">
        <f>'Design Calculations'!M161</f>
        <v>#N/A</v>
      </c>
      <c r="F105" s="5">
        <f>'Design Calculations'!I161</f>
        <v>9.730000000000155</v>
      </c>
      <c r="G105" s="5" t="e">
        <f>'Design Calculations'!K161</f>
        <v>#N/A</v>
      </c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</row>
    <row r="106" spans="1:30" x14ac:dyDescent="0.3">
      <c r="A106" s="5">
        <f>'Design Calculations'!G162</f>
        <v>146.62640883977906</v>
      </c>
      <c r="B106" s="5">
        <f>'Design Calculations'!C162</f>
        <v>8.26</v>
      </c>
      <c r="C106" s="5">
        <f>'Design Calculations'!E162</f>
        <v>20.535911602209946</v>
      </c>
      <c r="D106" s="5"/>
      <c r="E106" s="5" t="e">
        <f>'Design Calculations'!M162</f>
        <v>#N/A</v>
      </c>
      <c r="F106" s="5">
        <f>'Design Calculations'!I162</f>
        <v>9.6600000000001547</v>
      </c>
      <c r="G106" s="5" t="e">
        <f>'Design Calculations'!K162</f>
        <v>#N/A</v>
      </c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</row>
    <row r="107" spans="1:30" x14ac:dyDescent="0.3">
      <c r="A107" s="5">
        <f>'Design Calculations'!G163</f>
        <v>146.80914364640887</v>
      </c>
      <c r="B107" s="5">
        <f>'Design Calculations'!C163</f>
        <v>8.19</v>
      </c>
      <c r="C107" s="5">
        <f>'Design Calculations'!E163</f>
        <v>20.361878453038671</v>
      </c>
      <c r="D107" s="5"/>
      <c r="E107" s="5" t="e">
        <f>'Design Calculations'!M163</f>
        <v>#N/A</v>
      </c>
      <c r="F107" s="5">
        <f>'Design Calculations'!I163</f>
        <v>9.5900000000001544</v>
      </c>
      <c r="G107" s="5" t="e">
        <f>'Design Calculations'!K163</f>
        <v>#N/A</v>
      </c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</row>
    <row r="108" spans="1:30" x14ac:dyDescent="0.3">
      <c r="A108" s="5">
        <f>'Design Calculations'!G164</f>
        <v>146.96751381215475</v>
      </c>
      <c r="B108" s="5">
        <f>'Design Calculations'!C164</f>
        <v>8.1199999999999992</v>
      </c>
      <c r="C108" s="5">
        <f>'Design Calculations'!E164</f>
        <v>20.187845303867402</v>
      </c>
      <c r="D108" s="5"/>
      <c r="E108" s="5" t="e">
        <f>'Design Calculations'!M164</f>
        <v>#N/A</v>
      </c>
      <c r="F108" s="5">
        <f>'Design Calculations'!I164</f>
        <v>9.5200000000001541</v>
      </c>
      <c r="G108" s="5" t="e">
        <f>'Design Calculations'!K164</f>
        <v>#N/A</v>
      </c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</row>
    <row r="109" spans="1:30" x14ac:dyDescent="0.3">
      <c r="A109" s="5">
        <f>'Design Calculations'!G165</f>
        <v>147.10151933701661</v>
      </c>
      <c r="B109" s="5">
        <f>'Design Calculations'!C165</f>
        <v>8.0499999999999989</v>
      </c>
      <c r="C109" s="5">
        <f>'Design Calculations'!E165</f>
        <v>20.013812154696129</v>
      </c>
      <c r="D109" s="5"/>
      <c r="E109" s="5" t="e">
        <f>'Design Calculations'!M165</f>
        <v>#N/A</v>
      </c>
      <c r="F109" s="5">
        <f>'Design Calculations'!I165</f>
        <v>9.4500000000001538</v>
      </c>
      <c r="G109" s="5" t="e">
        <f>'Design Calculations'!K165</f>
        <v>#N/A</v>
      </c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</row>
    <row r="110" spans="1:30" x14ac:dyDescent="0.3">
      <c r="A110" s="5">
        <f>'Design Calculations'!G166</f>
        <v>147.21116022099451</v>
      </c>
      <c r="B110" s="5">
        <f>'Design Calculations'!C166</f>
        <v>7.9799999999999995</v>
      </c>
      <c r="C110" s="5">
        <f>'Design Calculations'!E166</f>
        <v>19.839779005524861</v>
      </c>
      <c r="D110" s="5"/>
      <c r="E110" s="5" t="e">
        <f>'Design Calculations'!M166</f>
        <v>#N/A</v>
      </c>
      <c r="F110" s="5">
        <f>'Design Calculations'!I166</f>
        <v>9.3800000000001553</v>
      </c>
      <c r="G110" s="5" t="e">
        <f>'Design Calculations'!K166</f>
        <v>#N/A</v>
      </c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</row>
    <row r="111" spans="1:30" x14ac:dyDescent="0.3">
      <c r="A111" s="5">
        <f>'Design Calculations'!G167</f>
        <v>147.29643646408843</v>
      </c>
      <c r="B111" s="5">
        <f>'Design Calculations'!C167</f>
        <v>7.9099999999999993</v>
      </c>
      <c r="C111" s="5">
        <f>'Design Calculations'!E167</f>
        <v>19.665745856353588</v>
      </c>
      <c r="D111" s="5"/>
      <c r="E111" s="5" t="e">
        <f>'Design Calculations'!M167</f>
        <v>#N/A</v>
      </c>
      <c r="F111" s="5">
        <f>'Design Calculations'!I167</f>
        <v>9.310000000000155</v>
      </c>
      <c r="G111" s="5" t="e">
        <f>'Design Calculations'!K167</f>
        <v>#N/A</v>
      </c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</row>
    <row r="112" spans="1:30" x14ac:dyDescent="0.3">
      <c r="A112" s="5">
        <f>'Design Calculations'!G168</f>
        <v>147.35734806629839</v>
      </c>
      <c r="B112" s="5">
        <f>'Design Calculations'!C168</f>
        <v>7.8400000000000007</v>
      </c>
      <c r="C112" s="5">
        <f>'Design Calculations'!E168</f>
        <v>19.491712707182323</v>
      </c>
      <c r="D112" s="5"/>
      <c r="E112" s="5" t="e">
        <f>'Design Calculations'!M168</f>
        <v>#N/A</v>
      </c>
      <c r="F112" s="5">
        <f>'Design Calculations'!I168</f>
        <v>9.240000000000169</v>
      </c>
      <c r="G112" s="5" t="e">
        <f>'Design Calculations'!K168</f>
        <v>#N/A</v>
      </c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</row>
    <row r="113" spans="1:30" x14ac:dyDescent="0.3">
      <c r="A113" s="5">
        <f>'Design Calculations'!G169</f>
        <v>147.39389502762435</v>
      </c>
      <c r="B113" s="5">
        <f>'Design Calculations'!C169</f>
        <v>7.7700000000000005</v>
      </c>
      <c r="C113" s="5">
        <f>'Design Calculations'!E169</f>
        <v>19.317679558011051</v>
      </c>
      <c r="D113" s="5"/>
      <c r="E113" s="5" t="e">
        <f>'Design Calculations'!M169</f>
        <v>#N/A</v>
      </c>
      <c r="F113" s="5">
        <f>'Design Calculations'!I169</f>
        <v>9.1700000000001687</v>
      </c>
      <c r="G113" s="5" t="e">
        <f>'Design Calculations'!K169</f>
        <v>#N/A</v>
      </c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</row>
    <row r="114" spans="1:30" x14ac:dyDescent="0.3">
      <c r="A114" s="5">
        <f>'Design Calculations'!G170</f>
        <v>147.40607734806633</v>
      </c>
      <c r="B114" s="5">
        <f>'Design Calculations'!C170</f>
        <v>7.7000000000000011</v>
      </c>
      <c r="C114" s="5">
        <f>'Design Calculations'!E170</f>
        <v>19.143646408839782</v>
      </c>
      <c r="D114" s="5"/>
      <c r="E114" s="5" t="e">
        <f>'Design Calculations'!M170</f>
        <v>#N/A</v>
      </c>
      <c r="F114" s="5">
        <f>'Design Calculations'!I170</f>
        <v>9.1000000000001684</v>
      </c>
      <c r="G114" s="5" t="e">
        <f>'Design Calculations'!K170</f>
        <v>#N/A</v>
      </c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</row>
    <row r="115" spans="1:30" x14ac:dyDescent="0.3">
      <c r="A115" s="5">
        <f>'Design Calculations'!G171</f>
        <v>147.39389502762435</v>
      </c>
      <c r="B115" s="5">
        <f>'Design Calculations'!C171</f>
        <v>7.6300000000000008</v>
      </c>
      <c r="C115" s="5">
        <f>'Design Calculations'!E171</f>
        <v>18.96961325966851</v>
      </c>
      <c r="D115" s="5"/>
      <c r="E115" s="5" t="e">
        <f>'Design Calculations'!M171</f>
        <v>#N/A</v>
      </c>
      <c r="F115" s="5">
        <f>'Design Calculations'!I171</f>
        <v>9.0300000000001681</v>
      </c>
      <c r="G115" s="5" t="e">
        <f>'Design Calculations'!K171</f>
        <v>#N/A</v>
      </c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</row>
    <row r="116" spans="1:30" x14ac:dyDescent="0.3">
      <c r="A116" s="5">
        <f>'Design Calculations'!G172</f>
        <v>147.35734806629839</v>
      </c>
      <c r="B116" s="5">
        <f>'Design Calculations'!C172</f>
        <v>7.5600000000000005</v>
      </c>
      <c r="C116" s="5">
        <f>'Design Calculations'!E172</f>
        <v>18.795580110497241</v>
      </c>
      <c r="D116" s="5"/>
      <c r="E116" s="5" t="e">
        <f>'Design Calculations'!M172</f>
        <v>#N/A</v>
      </c>
      <c r="F116" s="5">
        <f>'Design Calculations'!I172</f>
        <v>8.9600000000001678</v>
      </c>
      <c r="G116" s="5" t="e">
        <f>'Design Calculations'!K172</f>
        <v>#N/A</v>
      </c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</row>
    <row r="117" spans="1:30" x14ac:dyDescent="0.3">
      <c r="A117" s="5">
        <f>'Design Calculations'!G173</f>
        <v>147.29643646408846</v>
      </c>
      <c r="B117" s="5">
        <f>'Design Calculations'!C173</f>
        <v>7.49</v>
      </c>
      <c r="C117" s="5">
        <f>'Design Calculations'!E173</f>
        <v>18.621546961325969</v>
      </c>
      <c r="D117" s="5"/>
      <c r="E117" s="5" t="e">
        <f>'Design Calculations'!M173</f>
        <v>#N/A</v>
      </c>
      <c r="F117" s="5">
        <f>'Design Calculations'!I173</f>
        <v>8.8900000000001675</v>
      </c>
      <c r="G117" s="5" t="e">
        <f>'Design Calculations'!K173</f>
        <v>#N/A</v>
      </c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</row>
    <row r="118" spans="1:30" x14ac:dyDescent="0.3">
      <c r="A118" s="5">
        <f>'Design Calculations'!G174</f>
        <v>147.21116022099451</v>
      </c>
      <c r="B118" s="5">
        <f>'Design Calculations'!C174</f>
        <v>7.42</v>
      </c>
      <c r="C118" s="5">
        <f>'Design Calculations'!E174</f>
        <v>18.447513812154696</v>
      </c>
      <c r="D118" s="5"/>
      <c r="E118" s="5" t="e">
        <f>'Design Calculations'!M174</f>
        <v>#N/A</v>
      </c>
      <c r="F118" s="5">
        <f>'Design Calculations'!I174</f>
        <v>8.8200000000001673</v>
      </c>
      <c r="G118" s="5" t="e">
        <f>'Design Calculations'!K174</f>
        <v>#N/A</v>
      </c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</row>
    <row r="119" spans="1:30" x14ac:dyDescent="0.3">
      <c r="A119" s="5">
        <f>'Design Calculations'!G175</f>
        <v>147.10151933701661</v>
      </c>
      <c r="B119" s="5">
        <f>'Design Calculations'!C175</f>
        <v>7.3500000000000005</v>
      </c>
      <c r="C119" s="5">
        <f>'Design Calculations'!E175</f>
        <v>18.273480662983427</v>
      </c>
      <c r="D119" s="5"/>
      <c r="E119" s="5" t="e">
        <f>'Design Calculations'!M175</f>
        <v>#N/A</v>
      </c>
      <c r="F119" s="5">
        <f>'Design Calculations'!I175</f>
        <v>8.750000000000167</v>
      </c>
      <c r="G119" s="5" t="e">
        <f>'Design Calculations'!K175</f>
        <v>#N/A</v>
      </c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</row>
    <row r="120" spans="1:30" x14ac:dyDescent="0.3">
      <c r="A120" s="5">
        <f>'Design Calculations'!G176</f>
        <v>146.96751381215472</v>
      </c>
      <c r="B120" s="5">
        <f>'Design Calculations'!C176</f>
        <v>7.28</v>
      </c>
      <c r="C120" s="5">
        <f>'Design Calculations'!E176</f>
        <v>18.099447513812155</v>
      </c>
      <c r="D120" s="5"/>
      <c r="E120" s="5" t="e">
        <f>'Design Calculations'!M176</f>
        <v>#N/A</v>
      </c>
      <c r="F120" s="5">
        <f>'Design Calculations'!I176</f>
        <v>8.6800000000001685</v>
      </c>
      <c r="G120" s="5" t="e">
        <f>'Design Calculations'!K176</f>
        <v>#N/A</v>
      </c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</row>
    <row r="121" spans="1:30" x14ac:dyDescent="0.3">
      <c r="A121" s="5">
        <f>'Design Calculations'!G177</f>
        <v>146.80914364640884</v>
      </c>
      <c r="B121" s="5">
        <f>'Design Calculations'!C177</f>
        <v>7.21</v>
      </c>
      <c r="C121" s="5">
        <f>'Design Calculations'!E177</f>
        <v>17.925414364640883</v>
      </c>
      <c r="D121" s="5"/>
      <c r="E121" s="5" t="e">
        <f>'Design Calculations'!M177</f>
        <v>#N/A</v>
      </c>
      <c r="F121" s="5">
        <f>'Design Calculations'!I177</f>
        <v>8.6100000000001682</v>
      </c>
      <c r="G121" s="5" t="e">
        <f>'Design Calculations'!K177</f>
        <v>#N/A</v>
      </c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</row>
    <row r="122" spans="1:30" x14ac:dyDescent="0.3">
      <c r="A122" s="5">
        <f>'Design Calculations'!G178</f>
        <v>146.62640883977903</v>
      </c>
      <c r="B122" s="5">
        <f>'Design Calculations'!C178</f>
        <v>7.1400000000000006</v>
      </c>
      <c r="C122" s="5">
        <f>'Design Calculations'!E178</f>
        <v>17.751381215469614</v>
      </c>
      <c r="D122" s="5"/>
      <c r="E122" s="5" t="e">
        <f>'Design Calculations'!M178</f>
        <v>#N/A</v>
      </c>
      <c r="F122" s="5">
        <f>'Design Calculations'!I178</f>
        <v>8.5400000000001821</v>
      </c>
      <c r="G122" s="5" t="e">
        <f>'Design Calculations'!K178</f>
        <v>#N/A</v>
      </c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</row>
    <row r="123" spans="1:30" x14ac:dyDescent="0.3">
      <c r="A123" s="5">
        <f>'Design Calculations'!G179</f>
        <v>146.41930939226521</v>
      </c>
      <c r="B123" s="5">
        <f>'Design Calculations'!C179</f>
        <v>7.07</v>
      </c>
      <c r="C123" s="5">
        <f>'Design Calculations'!E179</f>
        <v>17.577348066298342</v>
      </c>
      <c r="D123" s="5"/>
      <c r="E123" s="5" t="e">
        <f>'Design Calculations'!M179</f>
        <v>#N/A</v>
      </c>
      <c r="F123" s="5">
        <f>'Design Calculations'!I179</f>
        <v>8.4700000000001818</v>
      </c>
      <c r="G123" s="5" t="e">
        <f>'Design Calculations'!K179</f>
        <v>#N/A</v>
      </c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</row>
    <row r="124" spans="1:30" x14ac:dyDescent="0.3">
      <c r="A124" s="5">
        <f>'Design Calculations'!G180</f>
        <v>146.18784530386745</v>
      </c>
      <c r="B124" s="5">
        <f>'Design Calculations'!C180</f>
        <v>7</v>
      </c>
      <c r="C124" s="5">
        <f>'Design Calculations'!E180</f>
        <v>17.403314917127073</v>
      </c>
      <c r="D124" s="5"/>
      <c r="E124" s="5" t="e">
        <f>'Design Calculations'!M180</f>
        <v>#N/A</v>
      </c>
      <c r="F124" s="5">
        <f>'Design Calculations'!I180</f>
        <v>8.4000000000001815</v>
      </c>
      <c r="G124" s="5" t="e">
        <f>'Design Calculations'!K180</f>
        <v>#N/A</v>
      </c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</row>
    <row r="125" spans="1:30" x14ac:dyDescent="0.3">
      <c r="A125" s="5">
        <f>'Design Calculations'!G181</f>
        <v>145.93201657458567</v>
      </c>
      <c r="B125" s="5">
        <f>'Design Calculations'!C181</f>
        <v>6.93</v>
      </c>
      <c r="C125" s="5">
        <f>'Design Calculations'!E181</f>
        <v>17.229281767955801</v>
      </c>
      <c r="D125" s="5"/>
      <c r="E125" s="5" t="e">
        <f>'Design Calculations'!M181</f>
        <v>#N/A</v>
      </c>
      <c r="F125" s="5">
        <f>'Design Calculations'!I181</f>
        <v>8.3300000000001813</v>
      </c>
      <c r="G125" s="5" t="e">
        <f>'Design Calculations'!K181</f>
        <v>#N/A</v>
      </c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</row>
    <row r="126" spans="1:30" x14ac:dyDescent="0.3">
      <c r="A126" s="5">
        <f>'Design Calculations'!G182</f>
        <v>145.65182320441991</v>
      </c>
      <c r="B126" s="5">
        <f>'Design Calculations'!C182</f>
        <v>6.8599999999999994</v>
      </c>
      <c r="C126" s="5">
        <f>'Design Calculations'!E182</f>
        <v>17.055248618784528</v>
      </c>
      <c r="D126" s="5"/>
      <c r="E126" s="5" t="e">
        <f>'Design Calculations'!M182</f>
        <v>#N/A</v>
      </c>
      <c r="F126" s="5">
        <f>'Design Calculations'!I182</f>
        <v>8.260000000000181</v>
      </c>
      <c r="G126" s="5" t="e">
        <f>'Design Calculations'!K182</f>
        <v>#N/A</v>
      </c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</row>
    <row r="127" spans="1:30" x14ac:dyDescent="0.3">
      <c r="A127" s="5">
        <f>'Design Calculations'!G183</f>
        <v>145.34726519337022</v>
      </c>
      <c r="B127" s="5">
        <f>'Design Calculations'!C183</f>
        <v>6.79</v>
      </c>
      <c r="C127" s="5">
        <f>'Design Calculations'!E183</f>
        <v>16.881215469613259</v>
      </c>
      <c r="D127" s="5"/>
      <c r="E127" s="5" t="e">
        <f>'Design Calculations'!M183</f>
        <v>#N/A</v>
      </c>
      <c r="F127" s="5">
        <f>'Design Calculations'!I183</f>
        <v>8.1900000000001807</v>
      </c>
      <c r="G127" s="5" t="e">
        <f>'Design Calculations'!K183</f>
        <v>#N/A</v>
      </c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</row>
    <row r="128" spans="1:30" x14ac:dyDescent="0.3">
      <c r="A128" s="5">
        <f>'Design Calculations'!G184</f>
        <v>145.01834254143654</v>
      </c>
      <c r="B128" s="5">
        <f>'Design Calculations'!C184</f>
        <v>6.72</v>
      </c>
      <c r="C128" s="5">
        <f>'Design Calculations'!E184</f>
        <v>16.707182320441991</v>
      </c>
      <c r="D128" s="5"/>
      <c r="E128" s="5" t="e">
        <f>'Design Calculations'!M184</f>
        <v>#N/A</v>
      </c>
      <c r="F128" s="5">
        <f>'Design Calculations'!I184</f>
        <v>8.1200000000001822</v>
      </c>
      <c r="G128" s="5" t="e">
        <f>'Design Calculations'!K184</f>
        <v>#N/A</v>
      </c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</row>
    <row r="129" spans="1:30" x14ac:dyDescent="0.3">
      <c r="A129" s="5">
        <f>'Design Calculations'!G185</f>
        <v>144.66505524861881</v>
      </c>
      <c r="B129" s="5">
        <f>'Design Calculations'!C185</f>
        <v>6.6499999999999995</v>
      </c>
      <c r="C129" s="5">
        <f>'Design Calculations'!E185</f>
        <v>16.533149171270715</v>
      </c>
      <c r="D129" s="5"/>
      <c r="E129" s="5" t="e">
        <f>'Design Calculations'!M185</f>
        <v>#N/A</v>
      </c>
      <c r="F129" s="5">
        <f>'Design Calculations'!I185</f>
        <v>8.0500000000001819</v>
      </c>
      <c r="G129" s="5" t="e">
        <f>'Design Calculations'!K185</f>
        <v>#N/A</v>
      </c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</row>
    <row r="130" spans="1:30" x14ac:dyDescent="0.3">
      <c r="A130" s="5">
        <f>'Design Calculations'!G186</f>
        <v>144.28740331491716</v>
      </c>
      <c r="B130" s="5">
        <f>'Design Calculations'!C186</f>
        <v>6.58</v>
      </c>
      <c r="C130" s="5">
        <f>'Design Calculations'!E186</f>
        <v>16.359116022099446</v>
      </c>
      <c r="D130" s="5"/>
      <c r="E130" s="5" t="e">
        <f>'Design Calculations'!M186</f>
        <v>#N/A</v>
      </c>
      <c r="F130" s="5">
        <f>'Design Calculations'!I186</f>
        <v>7.9800000000001825</v>
      </c>
      <c r="G130" s="5" t="e">
        <f>'Design Calculations'!K186</f>
        <v>#N/A</v>
      </c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</row>
    <row r="131" spans="1:30" x14ac:dyDescent="0.3">
      <c r="A131" s="5">
        <f>'Design Calculations'!G187</f>
        <v>143.88538674033154</v>
      </c>
      <c r="B131" s="5">
        <f>'Design Calculations'!C187</f>
        <v>6.5100000000000007</v>
      </c>
      <c r="C131" s="5">
        <f>'Design Calculations'!E187</f>
        <v>16.185082872928181</v>
      </c>
      <c r="D131" s="5"/>
      <c r="E131" s="5" t="e">
        <f>'Design Calculations'!M187</f>
        <v>#N/A</v>
      </c>
      <c r="F131" s="5">
        <f>'Design Calculations'!I187</f>
        <v>7.9100000000001964</v>
      </c>
      <c r="G131" s="5" t="e">
        <f>'Design Calculations'!K187</f>
        <v>#N/A</v>
      </c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</row>
    <row r="132" spans="1:30" x14ac:dyDescent="0.3">
      <c r="A132" s="5">
        <f>'Design Calculations'!G188</f>
        <v>143.45900552486188</v>
      </c>
      <c r="B132" s="5">
        <f>'Design Calculations'!C188</f>
        <v>6.44</v>
      </c>
      <c r="C132" s="5">
        <f>'Design Calculations'!E188</f>
        <v>16.011049723756905</v>
      </c>
      <c r="D132" s="5"/>
      <c r="E132" s="5" t="e">
        <f>'Design Calculations'!M188</f>
        <v>#N/A</v>
      </c>
      <c r="F132" s="5">
        <f>'Design Calculations'!I188</f>
        <v>7.840000000000197</v>
      </c>
      <c r="G132" s="5" t="e">
        <f>'Design Calculations'!K188</f>
        <v>#N/A</v>
      </c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</row>
    <row r="133" spans="1:30" x14ac:dyDescent="0.3">
      <c r="A133" s="5">
        <f>'Design Calculations'!G189</f>
        <v>143.00825966850832</v>
      </c>
      <c r="B133" s="5">
        <f>'Design Calculations'!C189</f>
        <v>6.37</v>
      </c>
      <c r="C133" s="5">
        <f>'Design Calculations'!E189</f>
        <v>15.837016574585636</v>
      </c>
      <c r="D133" s="5"/>
      <c r="E133" s="5" t="e">
        <f>'Design Calculations'!M189</f>
        <v>#N/A</v>
      </c>
      <c r="F133" s="5">
        <f>'Design Calculations'!I189</f>
        <v>7.7700000000001967</v>
      </c>
      <c r="G133" s="5" t="e">
        <f>'Design Calculations'!K189</f>
        <v>#N/A</v>
      </c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</row>
    <row r="134" spans="1:30" x14ac:dyDescent="0.3">
      <c r="A134" s="5">
        <f>'Design Calculations'!G190</f>
        <v>142.53314917127074</v>
      </c>
      <c r="B134" s="5">
        <f>'Design Calculations'!C190</f>
        <v>6.3</v>
      </c>
      <c r="C134" s="5">
        <f>'Design Calculations'!E190</f>
        <v>15.662983425414364</v>
      </c>
      <c r="D134" s="5"/>
      <c r="E134" s="5" t="e">
        <f>'Design Calculations'!M190</f>
        <v>#N/A</v>
      </c>
      <c r="F134" s="5">
        <f>'Design Calculations'!I190</f>
        <v>7.7000000000001965</v>
      </c>
      <c r="G134" s="5" t="e">
        <f>'Design Calculations'!K190</f>
        <v>#N/A</v>
      </c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</row>
    <row r="135" spans="1:30" x14ac:dyDescent="0.3">
      <c r="A135" s="5">
        <f>'Design Calculations'!G191</f>
        <v>142.0336740331492</v>
      </c>
      <c r="B135" s="5">
        <f>'Design Calculations'!C191</f>
        <v>6.23</v>
      </c>
      <c r="C135" s="5">
        <f>'Design Calculations'!E191</f>
        <v>15.488950276243093</v>
      </c>
      <c r="D135" s="5"/>
      <c r="E135" s="5" t="e">
        <f>'Design Calculations'!M191</f>
        <v>#N/A</v>
      </c>
      <c r="F135" s="5">
        <f>'Design Calculations'!I191</f>
        <v>7.6300000000001962</v>
      </c>
      <c r="G135" s="5" t="e">
        <f>'Design Calculations'!K191</f>
        <v>#N/A</v>
      </c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</row>
    <row r="136" spans="1:30" x14ac:dyDescent="0.3">
      <c r="A136" s="5">
        <f>'Design Calculations'!G192</f>
        <v>141.50983425414367</v>
      </c>
      <c r="B136" s="5">
        <f>'Design Calculations'!C192</f>
        <v>6.16</v>
      </c>
      <c r="C136" s="5">
        <f>'Design Calculations'!E192</f>
        <v>15.314917127071823</v>
      </c>
      <c r="D136" s="5"/>
      <c r="E136" s="5" t="e">
        <f>'Design Calculations'!M192</f>
        <v>#N/A</v>
      </c>
      <c r="F136" s="5">
        <f>'Design Calculations'!I192</f>
        <v>7.5600000000001959</v>
      </c>
      <c r="G136" s="5" t="e">
        <f>'Design Calculations'!K192</f>
        <v>#N/A</v>
      </c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</row>
    <row r="137" spans="1:30" x14ac:dyDescent="0.3">
      <c r="A137" s="5">
        <f>'Design Calculations'!G193</f>
        <v>140.96162983425404</v>
      </c>
      <c r="B137" s="5">
        <f>'Design Calculations'!C193</f>
        <v>6.0899999999999856</v>
      </c>
      <c r="C137" s="5">
        <f>'Design Calculations'!E193</f>
        <v>15.140883977900515</v>
      </c>
      <c r="D137" s="5"/>
      <c r="E137" s="5" t="e">
        <f>'Design Calculations'!M193</f>
        <v>#N/A</v>
      </c>
      <c r="F137" s="5">
        <f>'Design Calculations'!I193</f>
        <v>7.4900000000001965</v>
      </c>
      <c r="G137" s="5" t="e">
        <f>'Design Calculations'!K193</f>
        <v>#N/A</v>
      </c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</row>
    <row r="138" spans="1:30" x14ac:dyDescent="0.3">
      <c r="A138" s="5">
        <f>'Design Calculations'!G194</f>
        <v>140.38906077348059</v>
      </c>
      <c r="B138" s="5">
        <f>'Design Calculations'!C194</f>
        <v>6.0199999999999863</v>
      </c>
      <c r="C138" s="5">
        <f>'Design Calculations'!E194</f>
        <v>14.966850828729248</v>
      </c>
      <c r="D138" s="5"/>
      <c r="E138" s="5" t="e">
        <f>'Design Calculations'!M194</f>
        <v>#N/A</v>
      </c>
      <c r="F138" s="5">
        <f>'Design Calculations'!I194</f>
        <v>7.4200000000001962</v>
      </c>
      <c r="G138" s="5" t="e">
        <f>'Design Calculations'!K194</f>
        <v>#N/A</v>
      </c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</row>
    <row r="139" spans="1:30" x14ac:dyDescent="0.3">
      <c r="A139" s="5">
        <f>'Design Calculations'!G195</f>
        <v>139.79212707182313</v>
      </c>
      <c r="B139" s="5">
        <f>'Design Calculations'!C195</f>
        <v>5.949999999999986</v>
      </c>
      <c r="C139" s="5">
        <f>'Design Calculations'!E195</f>
        <v>14.792817679557977</v>
      </c>
      <c r="D139" s="5"/>
      <c r="E139" s="5" t="e">
        <f>'Design Calculations'!M195</f>
        <v>#N/A</v>
      </c>
      <c r="F139" s="5">
        <f>'Design Calculations'!I195</f>
        <v>7.3500000000001959</v>
      </c>
      <c r="G139" s="5" t="e">
        <f>'Design Calculations'!K195</f>
        <v>#N/A</v>
      </c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</row>
    <row r="140" spans="1:30" x14ac:dyDescent="0.3">
      <c r="A140" s="5">
        <f>'Design Calculations'!G196</f>
        <v>139.17082872928168</v>
      </c>
      <c r="B140" s="5">
        <f>'Design Calculations'!C196</f>
        <v>5.8799999999999857</v>
      </c>
      <c r="C140" s="5">
        <f>'Design Calculations'!E196</f>
        <v>14.618784530386705</v>
      </c>
      <c r="D140" s="5"/>
      <c r="E140" s="5" t="e">
        <f>'Design Calculations'!M196</f>
        <v>#N/A</v>
      </c>
      <c r="F140" s="5">
        <f>'Design Calculations'!I196</f>
        <v>7.2800000000001965</v>
      </c>
      <c r="G140" s="5" t="e">
        <f>'Design Calculations'!K196</f>
        <v>#N/A</v>
      </c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</row>
    <row r="141" spans="1:30" x14ac:dyDescent="0.3">
      <c r="A141" s="5">
        <f>'Design Calculations'!G197</f>
        <v>138.52516574585624</v>
      </c>
      <c r="B141" s="5">
        <f>'Design Calculations'!C197</f>
        <v>5.8099999999999854</v>
      </c>
      <c r="C141" s="5">
        <f>'Design Calculations'!E197</f>
        <v>14.444751381215433</v>
      </c>
      <c r="D141" s="5"/>
      <c r="E141" s="5" t="e">
        <f>'Design Calculations'!M197</f>
        <v>#N/A</v>
      </c>
      <c r="F141" s="5">
        <f>'Design Calculations'!I197</f>
        <v>7.2100000000002105</v>
      </c>
      <c r="G141" s="5" t="e">
        <f>'Design Calculations'!K197</f>
        <v>#N/A</v>
      </c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</row>
    <row r="142" spans="1:30" x14ac:dyDescent="0.3">
      <c r="A142" s="5">
        <f>'Design Calculations'!G198</f>
        <v>137.85513812154684</v>
      </c>
      <c r="B142" s="5">
        <f>'Design Calculations'!C198</f>
        <v>5.739999999999986</v>
      </c>
      <c r="C142" s="5">
        <f>'Design Calculations'!E198</f>
        <v>14.270718232044164</v>
      </c>
      <c r="D142" s="5"/>
      <c r="E142" s="5" t="e">
        <f>'Design Calculations'!M198</f>
        <v>#N/A</v>
      </c>
      <c r="F142" s="5">
        <f>'Design Calculations'!I198</f>
        <v>7.1400000000002102</v>
      </c>
      <c r="G142" s="5" t="e">
        <f>'Design Calculations'!K198</f>
        <v>#N/A</v>
      </c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</row>
    <row r="143" spans="1:30" x14ac:dyDescent="0.3">
      <c r="A143" s="5">
        <f>'Design Calculations'!G199</f>
        <v>137.16074585635349</v>
      </c>
      <c r="B143" s="5">
        <f>'Design Calculations'!C199</f>
        <v>5.6699999999999866</v>
      </c>
      <c r="C143" s="5">
        <f>'Design Calculations'!E199</f>
        <v>14.096685082872897</v>
      </c>
      <c r="D143" s="5"/>
      <c r="E143" s="5" t="e">
        <f>'Design Calculations'!M199</f>
        <v>#N/A</v>
      </c>
      <c r="F143" s="5">
        <f>'Design Calculations'!I199</f>
        <v>7.0700000000002099</v>
      </c>
      <c r="G143" s="5" t="e">
        <f>'Design Calculations'!K199</f>
        <v>#N/A</v>
      </c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</row>
    <row r="144" spans="1:30" x14ac:dyDescent="0.3">
      <c r="A144" s="5">
        <f>'Design Calculations'!G200</f>
        <v>136.44198895027611</v>
      </c>
      <c r="B144" s="5">
        <f>'Design Calculations'!C200</f>
        <v>5.5999999999999863</v>
      </c>
      <c r="C144" s="5">
        <f>'Design Calculations'!E200</f>
        <v>13.922651933701623</v>
      </c>
      <c r="D144" s="5"/>
      <c r="E144" s="5" t="e">
        <f>'Design Calculations'!M200</f>
        <v>#N/A</v>
      </c>
      <c r="F144" s="5">
        <f>'Design Calculations'!I200</f>
        <v>7.0000000000002096</v>
      </c>
      <c r="G144" s="5" t="e">
        <f>'Design Calculations'!K200</f>
        <v>#N/A</v>
      </c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</row>
    <row r="145" spans="1:30" x14ac:dyDescent="0.3">
      <c r="A145" s="5">
        <f>'Design Calculations'!G201</f>
        <v>135.69886740331478</v>
      </c>
      <c r="B145" s="5">
        <f>'Design Calculations'!C201</f>
        <v>5.529999999999986</v>
      </c>
      <c r="C145" s="5">
        <f>'Design Calculations'!E201</f>
        <v>13.748618784530352</v>
      </c>
      <c r="D145" s="5"/>
      <c r="E145" s="5" t="e">
        <f>'Design Calculations'!M201</f>
        <v>#N/A</v>
      </c>
      <c r="F145" s="5">
        <f>'Design Calculations'!I201</f>
        <v>6.9300000000002093</v>
      </c>
      <c r="G145" s="5" t="e">
        <f>'Design Calculations'!K201</f>
        <v>#N/A</v>
      </c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</row>
    <row r="146" spans="1:30" x14ac:dyDescent="0.3">
      <c r="A146" s="5">
        <f>'Design Calculations'!G202</f>
        <v>134.93138121546949</v>
      </c>
      <c r="B146" s="5">
        <f>'Design Calculations'!C202</f>
        <v>5.4599999999999866</v>
      </c>
      <c r="C146" s="5">
        <f>'Design Calculations'!E202</f>
        <v>13.574585635359083</v>
      </c>
      <c r="D146" s="5"/>
      <c r="E146" s="5" t="e">
        <f>'Design Calculations'!M202</f>
        <v>#N/A</v>
      </c>
      <c r="F146" s="5">
        <f>'Design Calculations'!I202</f>
        <v>6.8600000000002099</v>
      </c>
      <c r="G146" s="5" t="e">
        <f>'Design Calculations'!K202</f>
        <v>#N/A</v>
      </c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</row>
    <row r="147" spans="1:30" x14ac:dyDescent="0.3">
      <c r="A147" s="5">
        <f>'Design Calculations'!G203</f>
        <v>134.1395303867402</v>
      </c>
      <c r="B147" s="5">
        <f>'Design Calculations'!C203</f>
        <v>5.3899999999999864</v>
      </c>
      <c r="C147" s="5">
        <f>'Design Calculations'!E203</f>
        <v>13.400552486187811</v>
      </c>
      <c r="D147" s="5"/>
      <c r="E147" s="5" t="e">
        <f>'Design Calculations'!M203</f>
        <v>#N/A</v>
      </c>
      <c r="F147" s="5">
        <f>'Design Calculations'!I203</f>
        <v>6.7900000000002096</v>
      </c>
      <c r="G147" s="5" t="e">
        <f>'Design Calculations'!K203</f>
        <v>#N/A</v>
      </c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</row>
    <row r="148" spans="1:30" x14ac:dyDescent="0.3">
      <c r="A148" s="5">
        <f>'Design Calculations'!G204</f>
        <v>133.32331491712694</v>
      </c>
      <c r="B148" s="5">
        <f>'Design Calculations'!C204</f>
        <v>5.3199999999999861</v>
      </c>
      <c r="C148" s="5">
        <f>'Design Calculations'!E204</f>
        <v>13.226519337016541</v>
      </c>
      <c r="D148" s="5"/>
      <c r="E148" s="5" t="e">
        <f>'Design Calculations'!M204</f>
        <v>#N/A</v>
      </c>
      <c r="F148" s="5">
        <f>'Design Calculations'!I204</f>
        <v>6.7200000000002102</v>
      </c>
      <c r="G148" s="5" t="e">
        <f>'Design Calculations'!K204</f>
        <v>#N/A</v>
      </c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</row>
    <row r="149" spans="1:30" x14ac:dyDescent="0.3">
      <c r="A149" s="5">
        <f>'Design Calculations'!G205</f>
        <v>132.48273480662971</v>
      </c>
      <c r="B149" s="5">
        <f>'Design Calculations'!C205</f>
        <v>5.2499999999999858</v>
      </c>
      <c r="C149" s="5">
        <f>'Design Calculations'!E205</f>
        <v>13.05248618784527</v>
      </c>
      <c r="D149" s="5"/>
      <c r="E149" s="5" t="e">
        <f>'Design Calculations'!M205</f>
        <v>#N/A</v>
      </c>
      <c r="F149" s="5">
        <f>'Design Calculations'!I205</f>
        <v>6.65000000000021</v>
      </c>
      <c r="G149" s="5" t="e">
        <f>'Design Calculations'!K205</f>
        <v>#N/A</v>
      </c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</row>
    <row r="150" spans="1:30" x14ac:dyDescent="0.3">
      <c r="A150" s="5">
        <f>'Design Calculations'!G206</f>
        <v>131.61779005524846</v>
      </c>
      <c r="B150" s="5">
        <f>'Design Calculations'!C206</f>
        <v>5.1799999999999855</v>
      </c>
      <c r="C150" s="5">
        <f>'Design Calculations'!E206</f>
        <v>12.878453038673996</v>
      </c>
      <c r="D150" s="5"/>
      <c r="E150" s="5" t="e">
        <f>'Design Calculations'!M206</f>
        <v>#N/A</v>
      </c>
      <c r="F150" s="5">
        <f>'Design Calculations'!I206</f>
        <v>6.5800000000002239</v>
      </c>
      <c r="G150" s="5" t="e">
        <f>'Design Calculations'!K206</f>
        <v>#N/A</v>
      </c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</row>
    <row r="151" spans="1:30" x14ac:dyDescent="0.3">
      <c r="A151" s="5">
        <f>'Design Calculations'!G207</f>
        <v>130.72848066298329</v>
      </c>
      <c r="B151" s="5">
        <f>'Design Calculations'!C207</f>
        <v>5.1099999999999861</v>
      </c>
      <c r="C151" s="5">
        <f>'Design Calculations'!E207</f>
        <v>12.704419889502727</v>
      </c>
      <c r="D151" s="5"/>
      <c r="E151" s="5" t="e">
        <f>'Design Calculations'!M207</f>
        <v>#N/A</v>
      </c>
      <c r="F151" s="5">
        <f>'Design Calculations'!I207</f>
        <v>6.5100000000002245</v>
      </c>
      <c r="G151" s="5" t="e">
        <f>'Design Calculations'!K207</f>
        <v>#N/A</v>
      </c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</row>
    <row r="152" spans="1:30" x14ac:dyDescent="0.3">
      <c r="A152" s="5">
        <f>'Design Calculations'!G208</f>
        <v>129.8148066298341</v>
      </c>
      <c r="B152" s="5">
        <f>'Design Calculations'!C208</f>
        <v>5.0399999999999858</v>
      </c>
      <c r="C152" s="5">
        <f>'Design Calculations'!E208</f>
        <v>12.530386740331457</v>
      </c>
      <c r="D152" s="5"/>
      <c r="E152" s="5" t="e">
        <f>'Design Calculations'!M208</f>
        <v>#N/A</v>
      </c>
      <c r="F152" s="5">
        <f>'Design Calculations'!I208</f>
        <v>6.4400000000002242</v>
      </c>
      <c r="G152" s="5" t="e">
        <f>'Design Calculations'!K208</f>
        <v>#N/A</v>
      </c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</row>
    <row r="153" spans="1:30" x14ac:dyDescent="0.3">
      <c r="A153" s="5">
        <f>'Design Calculations'!G209</f>
        <v>128.87676795580094</v>
      </c>
      <c r="B153" s="5">
        <f>'Design Calculations'!C209</f>
        <v>4.9699999999999855</v>
      </c>
      <c r="C153" s="5">
        <f>'Design Calculations'!E209</f>
        <v>12.356353591160184</v>
      </c>
      <c r="D153" s="5"/>
      <c r="E153" s="5" t="e">
        <f>'Design Calculations'!M209</f>
        <v>#N/A</v>
      </c>
      <c r="F153" s="5">
        <f>'Design Calculations'!I209</f>
        <v>6.3700000000002239</v>
      </c>
      <c r="G153" s="5" t="e">
        <f>'Design Calculations'!K209</f>
        <v>#N/A</v>
      </c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</row>
    <row r="154" spans="1:30" x14ac:dyDescent="0.3">
      <c r="A154" s="5">
        <f>'Design Calculations'!G210</f>
        <v>127.9143646408838</v>
      </c>
      <c r="B154" s="5">
        <f>'Design Calculations'!C210</f>
        <v>4.8999999999999861</v>
      </c>
      <c r="C154" s="5">
        <f>'Design Calculations'!E210</f>
        <v>12.182320441988916</v>
      </c>
      <c r="D154" s="5"/>
      <c r="E154" s="5" t="e">
        <f>'Design Calculations'!M210</f>
        <v>#N/A</v>
      </c>
      <c r="F154" s="5">
        <f>'Design Calculations'!I210</f>
        <v>6.3000000000002236</v>
      </c>
      <c r="G154" s="5" t="e">
        <f>'Design Calculations'!K210</f>
        <v>#N/A</v>
      </c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</row>
    <row r="155" spans="1:30" x14ac:dyDescent="0.3">
      <c r="A155" s="5">
        <f>'Design Calculations'!G211</f>
        <v>126.9275966850827</v>
      </c>
      <c r="B155" s="5">
        <f>'Design Calculations'!C211</f>
        <v>4.8299999999999859</v>
      </c>
      <c r="C155" s="5">
        <f>'Design Calculations'!E211</f>
        <v>12.008287292817645</v>
      </c>
      <c r="D155" s="5"/>
      <c r="E155" s="5" t="e">
        <f>'Design Calculations'!M211</f>
        <v>#N/A</v>
      </c>
      <c r="F155" s="5">
        <f>'Design Calculations'!I211</f>
        <v>6.2300000000002242</v>
      </c>
      <c r="G155" s="5" t="e">
        <f>'Design Calculations'!K211</f>
        <v>#N/A</v>
      </c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</row>
    <row r="156" spans="1:30" x14ac:dyDescent="0.3">
      <c r="A156" s="5">
        <f>'Design Calculations'!G212</f>
        <v>125.9164640883976</v>
      </c>
      <c r="B156" s="5">
        <f>'Design Calculations'!C212</f>
        <v>4.7599999999999865</v>
      </c>
      <c r="C156" s="5">
        <f>'Design Calculations'!E212</f>
        <v>11.834254143646374</v>
      </c>
      <c r="D156" s="5"/>
      <c r="E156" s="5" t="e">
        <f>'Design Calculations'!M212</f>
        <v>#N/A</v>
      </c>
      <c r="F156" s="5">
        <f>'Design Calculations'!I212</f>
        <v>6.160000000000224</v>
      </c>
      <c r="G156" s="5" t="e">
        <f>'Design Calculations'!K212</f>
        <v>#N/A</v>
      </c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</row>
    <row r="157" spans="1:30" x14ac:dyDescent="0.3">
      <c r="A157" s="5">
        <f>'Design Calculations'!G213</f>
        <v>124.88096685082854</v>
      </c>
      <c r="B157" s="5">
        <f>'Design Calculations'!C213</f>
        <v>4.6899999999999862</v>
      </c>
      <c r="C157" s="5">
        <f>'Design Calculations'!E213</f>
        <v>11.660220994475104</v>
      </c>
      <c r="D157" s="5"/>
      <c r="E157" s="5" t="e">
        <f>'Design Calculations'!M213</f>
        <v>#N/A</v>
      </c>
      <c r="F157" s="5">
        <f>'Design Calculations'!I213</f>
        <v>6.0900000000002237</v>
      </c>
      <c r="G157" s="5" t="e">
        <f>'Design Calculations'!K213</f>
        <v>#N/A</v>
      </c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</row>
    <row r="158" spans="1:30" x14ac:dyDescent="0.3">
      <c r="A158" s="5">
        <f>'Design Calculations'!G214</f>
        <v>123.82110497237549</v>
      </c>
      <c r="B158" s="5">
        <f>'Design Calculations'!C214</f>
        <v>4.6199999999999859</v>
      </c>
      <c r="C158" s="5">
        <f>'Design Calculations'!E214</f>
        <v>11.486187845303833</v>
      </c>
      <c r="D158" s="5"/>
      <c r="E158" s="5" t="e">
        <f>'Design Calculations'!M214</f>
        <v>#N/A</v>
      </c>
      <c r="F158" s="5">
        <f>'Design Calculations'!I214</f>
        <v>6.0200000000002234</v>
      </c>
      <c r="G158" s="5" t="e">
        <f>'Design Calculations'!K214</f>
        <v>#N/A</v>
      </c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</row>
    <row r="159" spans="1:30" x14ac:dyDescent="0.3">
      <c r="A159" s="5">
        <f>'Design Calculations'!G215</f>
        <v>122.73687845303849</v>
      </c>
      <c r="B159" s="5">
        <f>'Design Calculations'!C215</f>
        <v>4.5499999999999865</v>
      </c>
      <c r="C159" s="5">
        <f>'Design Calculations'!E215</f>
        <v>11.312154696132563</v>
      </c>
      <c r="D159" s="5"/>
      <c r="E159" s="5" t="e">
        <f>'Design Calculations'!M215</f>
        <v>#N/A</v>
      </c>
      <c r="F159" s="5">
        <f>'Design Calculations'!I215</f>
        <v>5.9500000000002373</v>
      </c>
      <c r="G159" s="5" t="e">
        <f>'Design Calculations'!K215</f>
        <v>#N/A</v>
      </c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</row>
    <row r="160" spans="1:30" x14ac:dyDescent="0.3">
      <c r="A160" s="5">
        <f>'Design Calculations'!G216</f>
        <v>121.62828729281749</v>
      </c>
      <c r="B160" s="5">
        <f>'Design Calculations'!C216</f>
        <v>4.4799999999999862</v>
      </c>
      <c r="C160" s="5">
        <f>'Design Calculations'!E216</f>
        <v>11.138121546961292</v>
      </c>
      <c r="D160" s="5"/>
      <c r="E160" s="5" t="e">
        <f>'Design Calculations'!M216</f>
        <v>#N/A</v>
      </c>
      <c r="F160" s="5">
        <f>'Design Calculations'!I216</f>
        <v>5.8800000000002388</v>
      </c>
      <c r="G160" s="5" t="e">
        <f>'Design Calculations'!K216</f>
        <v>#N/A</v>
      </c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</row>
    <row r="161" spans="1:30" x14ac:dyDescent="0.3">
      <c r="A161" s="5">
        <f>'Design Calculations'!G217</f>
        <v>120.49533149171252</v>
      </c>
      <c r="B161" s="5">
        <f>'Design Calculations'!C217</f>
        <v>4.4099999999999859</v>
      </c>
      <c r="C161" s="5">
        <f>'Design Calculations'!E217</f>
        <v>10.964088397790022</v>
      </c>
      <c r="D161" s="5"/>
      <c r="E161" s="5" t="e">
        <f>'Design Calculations'!M217</f>
        <v>#N/A</v>
      </c>
      <c r="F161" s="5">
        <f>'Design Calculations'!I217</f>
        <v>5.8100000000002385</v>
      </c>
      <c r="G161" s="5" t="e">
        <f>'Design Calculations'!K217</f>
        <v>#N/A</v>
      </c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</row>
    <row r="162" spans="1:30" x14ac:dyDescent="0.3">
      <c r="A162" s="5">
        <f>'Design Calculations'!G218</f>
        <v>119.33801104972352</v>
      </c>
      <c r="B162" s="5">
        <f>'Design Calculations'!C218</f>
        <v>4.3399999999999856</v>
      </c>
      <c r="C162" s="5">
        <f>'Design Calculations'!E218</f>
        <v>10.790055248618748</v>
      </c>
      <c r="D162" s="5"/>
      <c r="E162" s="5" t="e">
        <f>'Design Calculations'!M218</f>
        <v>#N/A</v>
      </c>
      <c r="F162" s="5">
        <f>'Design Calculations'!I218</f>
        <v>5.7400000000002382</v>
      </c>
      <c r="G162" s="5" t="e">
        <f>'Design Calculations'!K218</f>
        <v>#N/A</v>
      </c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</row>
    <row r="163" spans="1:30" x14ac:dyDescent="0.3">
      <c r="A163" s="5">
        <f>'Design Calculations'!G219</f>
        <v>118.15632596685062</v>
      </c>
      <c r="B163" s="5">
        <f>'Design Calculations'!C219</f>
        <v>4.2699999999999863</v>
      </c>
      <c r="C163" s="5">
        <f>'Design Calculations'!E219</f>
        <v>10.616022099447479</v>
      </c>
      <c r="D163" s="5"/>
      <c r="E163" s="5" t="e">
        <f>'Design Calculations'!M219</f>
        <v>#N/A</v>
      </c>
      <c r="F163" s="5">
        <f>'Design Calculations'!I219</f>
        <v>5.670000000000238</v>
      </c>
      <c r="G163" s="5" t="e">
        <f>'Design Calculations'!K219</f>
        <v>#N/A</v>
      </c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</row>
    <row r="164" spans="1:30" x14ac:dyDescent="0.3">
      <c r="A164" s="5">
        <f>'Design Calculations'!G220</f>
        <v>116.95027624309371</v>
      </c>
      <c r="B164" s="5">
        <f>'Design Calculations'!C220</f>
        <v>4.199999999999986</v>
      </c>
      <c r="C164" s="5">
        <f>'Design Calculations'!E220</f>
        <v>10.441988950276208</v>
      </c>
      <c r="D164" s="5"/>
      <c r="E164" s="5" t="e">
        <f>'Design Calculations'!M220</f>
        <v>#N/A</v>
      </c>
      <c r="F164" s="5">
        <f>'Design Calculations'!I220</f>
        <v>5.6000000000002377</v>
      </c>
      <c r="G164" s="5" t="e">
        <f>'Design Calculations'!K220</f>
        <v>#N/A</v>
      </c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</row>
    <row r="165" spans="1:30" x14ac:dyDescent="0.3">
      <c r="A165" s="5">
        <f>'Design Calculations'!G221</f>
        <v>115.7198618784528</v>
      </c>
      <c r="B165" s="5">
        <f>'Design Calculations'!C221</f>
        <v>4.1299999999999857</v>
      </c>
      <c r="C165" s="5">
        <f>'Design Calculations'!E221</f>
        <v>10.267955801104936</v>
      </c>
      <c r="D165" s="5"/>
      <c r="E165" s="5" t="e">
        <f>'Design Calculations'!M221</f>
        <v>#N/A</v>
      </c>
      <c r="F165" s="5">
        <f>'Design Calculations'!I221</f>
        <v>5.5300000000002383</v>
      </c>
      <c r="G165" s="5" t="e">
        <f>'Design Calculations'!K221</f>
        <v>#N/A</v>
      </c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</row>
    <row r="166" spans="1:30" x14ac:dyDescent="0.3">
      <c r="A166" s="5">
        <f>'Design Calculations'!G222</f>
        <v>114.46508287292794</v>
      </c>
      <c r="B166" s="5">
        <f>'Design Calculations'!C222</f>
        <v>4.0599999999999854</v>
      </c>
      <c r="C166" s="5">
        <f>'Design Calculations'!E222</f>
        <v>10.093922651933665</v>
      </c>
      <c r="D166" s="5"/>
      <c r="E166" s="5" t="e">
        <f>'Design Calculations'!M222</f>
        <v>#N/A</v>
      </c>
      <c r="F166" s="5">
        <f>'Design Calculations'!I222</f>
        <v>5.460000000000238</v>
      </c>
      <c r="G166" s="5" t="e">
        <f>'Design Calculations'!K222</f>
        <v>#N/A</v>
      </c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</row>
    <row r="167" spans="1:30" x14ac:dyDescent="0.3">
      <c r="A167" s="5">
        <f>'Design Calculations'!G223</f>
        <v>114.10000000000016</v>
      </c>
      <c r="B167" s="5">
        <f>'Design Calculations'!C223</f>
        <v>3.9899999999999856</v>
      </c>
      <c r="C167" s="5">
        <f>'Design Calculations'!E223</f>
        <v>9.9198895027623948</v>
      </c>
      <c r="D167" s="5"/>
      <c r="E167" s="5" t="e">
        <f>'Design Calculations'!M223</f>
        <v>#N/A</v>
      </c>
      <c r="F167" s="5">
        <f>'Design Calculations'!I223</f>
        <v>5.3900000000002377</v>
      </c>
      <c r="G167" s="5" t="e">
        <f>'Design Calculations'!K223</f>
        <v>#N/A</v>
      </c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</row>
    <row r="168" spans="1:30" x14ac:dyDescent="0.3">
      <c r="A168" s="5">
        <f>'Design Calculations'!G224</f>
        <v>114.80000000000015</v>
      </c>
      <c r="B168" s="5">
        <f>'Design Calculations'!C224</f>
        <v>3.9199999999999866</v>
      </c>
      <c r="C168" s="5">
        <f>'Design Calculations'!E224</f>
        <v>9.7458563535911278</v>
      </c>
      <c r="D168" s="5"/>
      <c r="E168" s="5" t="e">
        <f>'Design Calculations'!M224</f>
        <v>#N/A</v>
      </c>
      <c r="F168" s="5">
        <f>'Design Calculations'!I224</f>
        <v>5.3200000000002383</v>
      </c>
      <c r="G168" s="5" t="e">
        <f>'Design Calculations'!K224</f>
        <v>#N/A</v>
      </c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</row>
    <row r="169" spans="1:30" x14ac:dyDescent="0.3">
      <c r="A169" s="5">
        <f>'Design Calculations'!G225</f>
        <v>115.50000000000014</v>
      </c>
      <c r="B169" s="5">
        <f>'Design Calculations'!C225</f>
        <v>3.8499999999999863</v>
      </c>
      <c r="C169" s="5">
        <f>'Design Calculations'!E225</f>
        <v>9.5718232044198555</v>
      </c>
      <c r="D169" s="5"/>
      <c r="E169" s="5" t="e">
        <f>'Design Calculations'!M225</f>
        <v>#N/A</v>
      </c>
      <c r="F169" s="5">
        <f>'Design Calculations'!I225</f>
        <v>5.2500000000002522</v>
      </c>
      <c r="G169" s="5" t="e">
        <f>'Design Calculations'!K225</f>
        <v>#N/A</v>
      </c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</row>
    <row r="170" spans="1:30" x14ac:dyDescent="0.3">
      <c r="A170" s="5">
        <f>'Design Calculations'!G226</f>
        <v>116.20000000000016</v>
      </c>
      <c r="B170" s="5">
        <f>'Design Calculations'!C226</f>
        <v>3.779999999999986</v>
      </c>
      <c r="C170" s="5">
        <f>'Design Calculations'!E226</f>
        <v>9.3977900552485849</v>
      </c>
      <c r="D170" s="5"/>
      <c r="E170" s="5" t="e">
        <f>'Design Calculations'!M226</f>
        <v>#N/A</v>
      </c>
      <c r="F170" s="5">
        <f>'Design Calculations'!I226</f>
        <v>5.180000000000252</v>
      </c>
      <c r="G170" s="5" t="e">
        <f>'Design Calculations'!K226</f>
        <v>#N/A</v>
      </c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</row>
    <row r="171" spans="1:30" x14ac:dyDescent="0.3">
      <c r="A171" s="5">
        <f>'Design Calculations'!G227</f>
        <v>116.90000000000015</v>
      </c>
      <c r="B171" s="5">
        <f>'Design Calculations'!C227</f>
        <v>3.7099999999999862</v>
      </c>
      <c r="C171" s="5">
        <f>'Design Calculations'!E227</f>
        <v>9.2237569060773144</v>
      </c>
      <c r="D171" s="5"/>
      <c r="E171" s="5" t="e">
        <f>'Design Calculations'!M227</f>
        <v>#N/A</v>
      </c>
      <c r="F171" s="5">
        <f>'Design Calculations'!I227</f>
        <v>5.1100000000002517</v>
      </c>
      <c r="G171" s="5" t="e">
        <f>'Design Calculations'!K227</f>
        <v>#N/A</v>
      </c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</row>
    <row r="172" spans="1:30" x14ac:dyDescent="0.3">
      <c r="A172" s="5">
        <f>'Design Calculations'!G228</f>
        <v>117.60000000000016</v>
      </c>
      <c r="B172" s="5">
        <f>'Design Calculations'!C228</f>
        <v>3.6399999999999864</v>
      </c>
      <c r="C172" s="5">
        <f>'Design Calculations'!E228</f>
        <v>9.049723756906042</v>
      </c>
      <c r="D172" s="5"/>
      <c r="E172" s="5" t="e">
        <f>'Design Calculations'!M228</f>
        <v>#N/A</v>
      </c>
      <c r="F172" s="5">
        <f>'Design Calculations'!I228</f>
        <v>5.0400000000002514</v>
      </c>
      <c r="G172" s="5" t="e">
        <f>'Design Calculations'!K228</f>
        <v>#N/A</v>
      </c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</row>
    <row r="173" spans="1:30" x14ac:dyDescent="0.3">
      <c r="A173" s="5">
        <f>'Design Calculations'!G229</f>
        <v>118.30000000000015</v>
      </c>
      <c r="B173" s="5">
        <f>'Design Calculations'!C229</f>
        <v>3.5699999999999861</v>
      </c>
      <c r="C173" s="5">
        <f>'Design Calculations'!E229</f>
        <v>8.8756906077347715</v>
      </c>
      <c r="D173" s="5"/>
      <c r="E173" s="5" t="e">
        <f>'Design Calculations'!M229</f>
        <v>#N/A</v>
      </c>
      <c r="F173" s="5">
        <f>'Design Calculations'!I229</f>
        <v>4.970000000000252</v>
      </c>
      <c r="G173" s="5" t="e">
        <f>'Design Calculations'!K229</f>
        <v>#N/A</v>
      </c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</row>
    <row r="174" spans="1:30" x14ac:dyDescent="0.3">
      <c r="A174" s="5">
        <f>'Design Calculations'!G230</f>
        <v>119.00000000000017</v>
      </c>
      <c r="B174" s="5">
        <f>'Design Calculations'!C230</f>
        <v>3.4999999999999858</v>
      </c>
      <c r="C174" s="5">
        <f>'Design Calculations'!E230</f>
        <v>8.7016574585635009</v>
      </c>
      <c r="D174" s="5"/>
      <c r="E174" s="5" t="e">
        <f>'Design Calculations'!M230</f>
        <v>#N/A</v>
      </c>
      <c r="F174" s="5">
        <f>'Design Calculations'!I230</f>
        <v>4.9000000000002526</v>
      </c>
      <c r="G174" s="5" t="e">
        <f>'Design Calculations'!K230</f>
        <v>#N/A</v>
      </c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</row>
    <row r="175" spans="1:30" x14ac:dyDescent="0.3">
      <c r="A175" s="5">
        <f>'Design Calculations'!G231</f>
        <v>119.70000000000016</v>
      </c>
      <c r="B175" s="5">
        <f>'Design Calculations'!C231</f>
        <v>3.4299999999999859</v>
      </c>
      <c r="C175" s="5">
        <f>'Design Calculations'!E231</f>
        <v>8.5276243093922304</v>
      </c>
      <c r="D175" s="5"/>
      <c r="E175" s="5" t="e">
        <f>'Design Calculations'!M231</f>
        <v>#N/A</v>
      </c>
      <c r="F175" s="5">
        <f>'Design Calculations'!I231</f>
        <v>4.8300000000002523</v>
      </c>
      <c r="G175" s="5" t="e">
        <f>'Design Calculations'!K231</f>
        <v>#N/A</v>
      </c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</row>
    <row r="176" spans="1:30" x14ac:dyDescent="0.3">
      <c r="A176" s="5">
        <f>'Design Calculations'!G232</f>
        <v>120.40000000000018</v>
      </c>
      <c r="B176" s="5">
        <f>'Design Calculations'!C232</f>
        <v>3.3599999999999861</v>
      </c>
      <c r="C176" s="5">
        <f>'Design Calculations'!E232</f>
        <v>8.3535911602209598</v>
      </c>
      <c r="D176" s="5"/>
      <c r="E176" s="5" t="e">
        <f>'Design Calculations'!M232</f>
        <v>#N/A</v>
      </c>
      <c r="F176" s="5">
        <f>'Design Calculations'!I232</f>
        <v>4.760000000000252</v>
      </c>
      <c r="G176" s="5" t="e">
        <f>'Design Calculations'!K232</f>
        <v>#N/A</v>
      </c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</row>
    <row r="177" spans="1:30" x14ac:dyDescent="0.3">
      <c r="A177" s="5">
        <f>'Design Calculations'!G233</f>
        <v>121.10000000000016</v>
      </c>
      <c r="B177" s="5">
        <f>'Design Calculations'!C233</f>
        <v>3.2899999999999858</v>
      </c>
      <c r="C177" s="5">
        <f>'Design Calculations'!E233</f>
        <v>8.1795580110496875</v>
      </c>
      <c r="D177" s="5"/>
      <c r="E177" s="5" t="e">
        <f>'Design Calculations'!M233</f>
        <v>#N/A</v>
      </c>
      <c r="F177" s="5">
        <f>'Design Calculations'!I233</f>
        <v>4.6900000000002517</v>
      </c>
      <c r="G177" s="5" t="e">
        <f>'Design Calculations'!K233</f>
        <v>#N/A</v>
      </c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</row>
    <row r="178" spans="1:30" x14ac:dyDescent="0.3">
      <c r="A178" s="5">
        <f>'Design Calculations'!G234</f>
        <v>121.80000000000015</v>
      </c>
      <c r="B178" s="5">
        <f>'Design Calculations'!C234</f>
        <v>3.219999999999986</v>
      </c>
      <c r="C178" s="5">
        <f>'Design Calculations'!E234</f>
        <v>8.0055248618784187</v>
      </c>
      <c r="D178" s="5"/>
      <c r="E178" s="5" t="e">
        <f>'Design Calculations'!M234</f>
        <v>#N/A</v>
      </c>
      <c r="F178" s="5">
        <f>'Design Calculations'!I234</f>
        <v>4.6200000000002657</v>
      </c>
      <c r="G178" s="5" t="e">
        <f>'Design Calculations'!K234</f>
        <v>#N/A</v>
      </c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</row>
    <row r="179" spans="1:30" x14ac:dyDescent="0.3">
      <c r="A179" s="5">
        <f>'Design Calculations'!G235</f>
        <v>122.50000000000016</v>
      </c>
      <c r="B179" s="5">
        <f>'Design Calculations'!C235</f>
        <v>3.1499999999999861</v>
      </c>
      <c r="C179" s="5">
        <f>'Design Calculations'!E235</f>
        <v>7.8314917127071482</v>
      </c>
      <c r="D179" s="5"/>
      <c r="E179" s="5" t="e">
        <f>'Design Calculations'!M235</f>
        <v>#N/A</v>
      </c>
      <c r="F179" s="5">
        <f>'Design Calculations'!I235</f>
        <v>4.5500000000002663</v>
      </c>
      <c r="G179" s="5" t="e">
        <f>'Design Calculations'!K235</f>
        <v>#N/A</v>
      </c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</row>
    <row r="180" spans="1:30" x14ac:dyDescent="0.3">
      <c r="A180" s="5">
        <f>'Design Calculations'!G236</f>
        <v>123.20000000000016</v>
      </c>
      <c r="B180" s="5">
        <f>'Design Calculations'!C236</f>
        <v>3.0799999999999859</v>
      </c>
      <c r="C180" s="5">
        <f>'Design Calculations'!E236</f>
        <v>7.6574585635358758</v>
      </c>
      <c r="D180" s="5"/>
      <c r="E180" s="5" t="e">
        <f>'Design Calculations'!M236</f>
        <v>#N/A</v>
      </c>
      <c r="F180" s="5">
        <f>'Design Calculations'!I236</f>
        <v>4.480000000000266</v>
      </c>
      <c r="G180" s="5" t="e">
        <f>'Design Calculations'!K236</f>
        <v>#N/A</v>
      </c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</row>
    <row r="181" spans="1:30" x14ac:dyDescent="0.3">
      <c r="A181" s="5">
        <f>'Design Calculations'!G237</f>
        <v>123.90000000000016</v>
      </c>
      <c r="B181" s="5">
        <f>'Design Calculations'!C237</f>
        <v>3.009999999999986</v>
      </c>
      <c r="C181" s="5">
        <f>'Design Calculations'!E237</f>
        <v>7.4834254143646062</v>
      </c>
      <c r="D181" s="5"/>
      <c r="E181" s="5" t="e">
        <f>'Design Calculations'!M237</f>
        <v>#N/A</v>
      </c>
      <c r="F181" s="5">
        <f>'Design Calculations'!I237</f>
        <v>4.4100000000002657</v>
      </c>
      <c r="G181" s="5" t="e">
        <f>'Design Calculations'!K237</f>
        <v>#N/A</v>
      </c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</row>
    <row r="182" spans="1:30" x14ac:dyDescent="0.3">
      <c r="A182" s="5">
        <f>'Design Calculations'!G238</f>
        <v>124.60000000000016</v>
      </c>
      <c r="B182" s="5">
        <f>'Design Calculations'!C238</f>
        <v>2.9399999999999857</v>
      </c>
      <c r="C182" s="5">
        <f>'Design Calculations'!E238</f>
        <v>7.3093922651933347</v>
      </c>
      <c r="D182" s="5"/>
      <c r="E182" s="5" t="e">
        <f>'Design Calculations'!M238</f>
        <v>#N/A</v>
      </c>
      <c r="F182" s="5">
        <f>'Design Calculations'!I238</f>
        <v>4.3400000000002654</v>
      </c>
      <c r="G182" s="5" t="e">
        <f>'Design Calculations'!K238</f>
        <v>#N/A</v>
      </c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</row>
    <row r="183" spans="1:30" x14ac:dyDescent="0.3">
      <c r="A183" s="5">
        <f>'Design Calculations'!G239</f>
        <v>125.30000000000015</v>
      </c>
      <c r="B183" s="5">
        <f>'Design Calculations'!C239</f>
        <v>2.8699999999999859</v>
      </c>
      <c r="C183" s="5">
        <f>'Design Calculations'!E239</f>
        <v>7.1353591160220642</v>
      </c>
      <c r="D183" s="5"/>
      <c r="E183" s="5" t="e">
        <f>'Design Calculations'!M239</f>
        <v>#N/A</v>
      </c>
      <c r="F183" s="5">
        <f>'Design Calculations'!I239</f>
        <v>4.270000000000266</v>
      </c>
      <c r="G183" s="5" t="e">
        <f>'Design Calculations'!K239</f>
        <v>#N/A</v>
      </c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</row>
    <row r="184" spans="1:30" x14ac:dyDescent="0.3">
      <c r="A184" s="5">
        <f>'Design Calculations'!G240</f>
        <v>126.00000000000016</v>
      </c>
      <c r="B184" s="5">
        <f>'Design Calculations'!C240</f>
        <v>2.7999999999999861</v>
      </c>
      <c r="C184" s="5">
        <f>'Design Calculations'!E240</f>
        <v>6.9613259668507945</v>
      </c>
      <c r="D184" s="5"/>
      <c r="E184" s="5" t="e">
        <f>'Design Calculations'!M240</f>
        <v>#N/A</v>
      </c>
      <c r="F184" s="5">
        <f>'Design Calculations'!I240</f>
        <v>4.2000000000002657</v>
      </c>
      <c r="G184" s="5" t="e">
        <f>'Design Calculations'!K240</f>
        <v>#N/A</v>
      </c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</row>
    <row r="185" spans="1:30" x14ac:dyDescent="0.3">
      <c r="A185" s="5">
        <f>'Design Calculations'!G241</f>
        <v>126.70000000000016</v>
      </c>
      <c r="B185" s="5">
        <f>'Design Calculations'!C241</f>
        <v>2.7299999999999862</v>
      </c>
      <c r="C185" s="5">
        <f>'Design Calculations'!E241</f>
        <v>6.787292817679524</v>
      </c>
      <c r="D185" s="5"/>
      <c r="E185" s="5" t="e">
        <f>'Design Calculations'!M241</f>
        <v>#N/A</v>
      </c>
      <c r="F185" s="5">
        <f>'Design Calculations'!I241</f>
        <v>4.1300000000002663</v>
      </c>
      <c r="G185" s="5" t="e">
        <f>'Design Calculations'!K241</f>
        <v>#N/A</v>
      </c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</row>
    <row r="186" spans="1:30" x14ac:dyDescent="0.3">
      <c r="A186" s="5">
        <f>'Design Calculations'!G242</f>
        <v>127.40000000000016</v>
      </c>
      <c r="B186" s="5">
        <f>'Design Calculations'!C242</f>
        <v>2.6599999999999859</v>
      </c>
      <c r="C186" s="5">
        <f>'Design Calculations'!E242</f>
        <v>6.6132596685082525</v>
      </c>
      <c r="D186" s="5"/>
      <c r="E186" s="5" t="e">
        <f>'Design Calculations'!M242</f>
        <v>#N/A</v>
      </c>
      <c r="F186" s="5">
        <f>'Design Calculations'!I242</f>
        <v>4.0600000000002661</v>
      </c>
      <c r="G186" s="5" t="e">
        <f>'Design Calculations'!K242</f>
        <v>#N/A</v>
      </c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</row>
    <row r="187" spans="1:30" x14ac:dyDescent="0.3">
      <c r="A187" s="5">
        <f>'Design Calculations'!G243</f>
        <v>128.10000000000016</v>
      </c>
      <c r="B187" s="5">
        <f>'Design Calculations'!C243</f>
        <v>2.5899999999999861</v>
      </c>
      <c r="C187" s="5">
        <f>'Design Calculations'!E243</f>
        <v>6.439226519336982</v>
      </c>
      <c r="D187" s="5"/>
      <c r="E187" s="5" t="e">
        <f>'Design Calculations'!M243</f>
        <v>#N/A</v>
      </c>
      <c r="F187" s="5">
        <f>'Design Calculations'!I243</f>
        <v>3.99000000000028</v>
      </c>
      <c r="G187" s="5" t="e">
        <f>'Design Calculations'!K243</f>
        <v>#N/A</v>
      </c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</row>
    <row r="188" spans="1:30" x14ac:dyDescent="0.3">
      <c r="A188" s="5">
        <f>'Design Calculations'!G244</f>
        <v>128.80000000000018</v>
      </c>
      <c r="B188" s="5">
        <f>'Design Calculations'!C244</f>
        <v>2.5199999999999858</v>
      </c>
      <c r="C188" s="5">
        <f>'Design Calculations'!E244</f>
        <v>6.2651933701657105</v>
      </c>
      <c r="D188" s="5"/>
      <c r="E188" s="5" t="e">
        <f>'Design Calculations'!M244</f>
        <v>#N/A</v>
      </c>
      <c r="F188" s="5">
        <f>'Design Calculations'!I244</f>
        <v>3.9200000000002801</v>
      </c>
      <c r="G188" s="5" t="e">
        <f>'Design Calculations'!K244</f>
        <v>#N/A</v>
      </c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</row>
    <row r="189" spans="1:30" x14ac:dyDescent="0.3">
      <c r="A189" s="5">
        <f>'Design Calculations'!G245</f>
        <v>129.50000000000017</v>
      </c>
      <c r="B189" s="5">
        <f>'Design Calculations'!C245</f>
        <v>2.449999999999986</v>
      </c>
      <c r="C189" s="5">
        <f>'Design Calculations'!E245</f>
        <v>6.0911602209944409</v>
      </c>
      <c r="D189" s="5"/>
      <c r="E189" s="5" t="e">
        <f>'Design Calculations'!M245</f>
        <v>#N/A</v>
      </c>
      <c r="F189" s="5">
        <f>'Design Calculations'!I245</f>
        <v>3.8500000000002803</v>
      </c>
      <c r="G189" s="5" t="e">
        <f>'Design Calculations'!K245</f>
        <v>#N/A</v>
      </c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</row>
    <row r="190" spans="1:30" x14ac:dyDescent="0.3">
      <c r="A190" s="5">
        <f>'Design Calculations'!G246</f>
        <v>130.20000000000016</v>
      </c>
      <c r="B190" s="5">
        <f>'Design Calculations'!C246</f>
        <v>2.3799999999999861</v>
      </c>
      <c r="C190" s="5">
        <f>'Design Calculations'!E246</f>
        <v>5.9171270718231703</v>
      </c>
      <c r="D190" s="5"/>
      <c r="E190" s="5" t="e">
        <f>'Design Calculations'!M246</f>
        <v>#N/A</v>
      </c>
      <c r="F190" s="5">
        <f>'Design Calculations'!I246</f>
        <v>3.78000000000028</v>
      </c>
      <c r="G190" s="5" t="e">
        <f>'Design Calculations'!K246</f>
        <v>#N/A</v>
      </c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</row>
    <row r="191" spans="1:30" x14ac:dyDescent="0.3">
      <c r="A191" s="5">
        <f>'Design Calculations'!G247</f>
        <v>130.90000000000015</v>
      </c>
      <c r="B191" s="5">
        <f>'Design Calculations'!C247</f>
        <v>2.3099999999999863</v>
      </c>
      <c r="C191" s="5">
        <f>'Design Calculations'!E247</f>
        <v>5.7430939226518989</v>
      </c>
      <c r="D191" s="5"/>
      <c r="E191" s="5" t="e">
        <f>'Design Calculations'!M247</f>
        <v>#N/A</v>
      </c>
      <c r="F191" s="5">
        <f>'Design Calculations'!I247</f>
        <v>3.7100000000002797</v>
      </c>
      <c r="G191" s="5" t="e">
        <f>'Design Calculations'!K247</f>
        <v>#N/A</v>
      </c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</row>
    <row r="192" spans="1:30" x14ac:dyDescent="0.3">
      <c r="A192" s="5">
        <f>'Design Calculations'!G248</f>
        <v>131.60000000000016</v>
      </c>
      <c r="B192" s="5">
        <f>'Design Calculations'!C248</f>
        <v>2.239999999999986</v>
      </c>
      <c r="C192" s="5">
        <f>'Design Calculations'!E248</f>
        <v>5.5690607734806283</v>
      </c>
      <c r="D192" s="5"/>
      <c r="E192" s="5" t="e">
        <f>'Design Calculations'!M248</f>
        <v>#N/A</v>
      </c>
      <c r="F192" s="5">
        <f>'Design Calculations'!I248</f>
        <v>3.6400000000002799</v>
      </c>
      <c r="G192" s="5" t="e">
        <f>'Design Calculations'!K248</f>
        <v>#N/A</v>
      </c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</row>
    <row r="193" spans="1:30" x14ac:dyDescent="0.3">
      <c r="A193" s="5">
        <f>'Design Calculations'!G249</f>
        <v>132.30000000000015</v>
      </c>
      <c r="B193" s="5">
        <f>'Design Calculations'!C249</f>
        <v>2.1699999999999862</v>
      </c>
      <c r="C193" s="5">
        <f>'Design Calculations'!E249</f>
        <v>5.3950276243093578</v>
      </c>
      <c r="D193" s="5"/>
      <c r="E193" s="5" t="e">
        <f>'Design Calculations'!M249</f>
        <v>#N/A</v>
      </c>
      <c r="F193" s="5">
        <f>'Design Calculations'!I249</f>
        <v>3.5700000000002801</v>
      </c>
      <c r="G193" s="5" t="e">
        <f>'Design Calculations'!K249</f>
        <v>#N/A</v>
      </c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</row>
    <row r="194" spans="1:30" x14ac:dyDescent="0.3">
      <c r="A194" s="5">
        <f>'Design Calculations'!G250</f>
        <v>133.00000000000017</v>
      </c>
      <c r="B194" s="5">
        <f>'Design Calculations'!C250</f>
        <v>2.0999999999999859</v>
      </c>
      <c r="C194" s="5">
        <f>'Design Calculations'!E250</f>
        <v>5.2209944751380863</v>
      </c>
      <c r="D194" s="5"/>
      <c r="E194" s="5" t="e">
        <f>'Design Calculations'!M250</f>
        <v>#N/A</v>
      </c>
      <c r="F194" s="5">
        <f>'Design Calculations'!I250</f>
        <v>3.5000000000002798</v>
      </c>
      <c r="G194" s="5" t="e">
        <f>'Design Calculations'!K250</f>
        <v>#N/A</v>
      </c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</row>
    <row r="195" spans="1:30" x14ac:dyDescent="0.3">
      <c r="A195" s="5">
        <f>'Design Calculations'!G251</f>
        <v>133.70000000000016</v>
      </c>
      <c r="B195" s="5">
        <f>'Design Calculations'!C251</f>
        <v>2.029999999999986</v>
      </c>
      <c r="C195" s="5">
        <f>'Design Calculations'!E251</f>
        <v>5.0469613259668167</v>
      </c>
      <c r="D195" s="5"/>
      <c r="E195" s="5" t="e">
        <f>'Design Calculations'!M251</f>
        <v>#N/A</v>
      </c>
      <c r="F195" s="5">
        <f>'Design Calculations'!I251</f>
        <v>3.4300000000002799</v>
      </c>
      <c r="G195" s="5" t="e">
        <f>'Design Calculations'!K251</f>
        <v>#N/A</v>
      </c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</row>
    <row r="196" spans="1:30" x14ac:dyDescent="0.3">
      <c r="A196" s="5">
        <f>'Design Calculations'!G252</f>
        <v>134.40000000000015</v>
      </c>
      <c r="B196" s="5">
        <f>'Design Calculations'!C252</f>
        <v>1.9599999999999858</v>
      </c>
      <c r="C196" s="5">
        <f>'Design Calculations'!E252</f>
        <v>4.8729281767955444</v>
      </c>
      <c r="D196" s="5"/>
      <c r="E196" s="5" t="e">
        <f>'Design Calculations'!M252</f>
        <v>#N/A</v>
      </c>
      <c r="F196" s="5">
        <f>'Design Calculations'!I252</f>
        <v>3.3600000000002801</v>
      </c>
      <c r="G196" s="5" t="e">
        <f>'Design Calculations'!K252</f>
        <v>#N/A</v>
      </c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</row>
    <row r="197" spans="1:30" x14ac:dyDescent="0.3">
      <c r="A197" s="5">
        <f>'Design Calculations'!G253</f>
        <v>135.10000000000016</v>
      </c>
      <c r="B197" s="5">
        <f>'Design Calculations'!C253</f>
        <v>1.8899999999999861</v>
      </c>
      <c r="C197" s="5">
        <f>'Design Calculations'!E253</f>
        <v>4.6988950276242747</v>
      </c>
      <c r="D197" s="5"/>
      <c r="E197" s="5" t="e">
        <f>'Design Calculations'!M253</f>
        <v>#N/A</v>
      </c>
      <c r="F197" s="5">
        <f>'Design Calculations'!I253</f>
        <v>3.290000000000294</v>
      </c>
      <c r="G197" s="5" t="e">
        <f>'Design Calculations'!K253</f>
        <v>#N/A</v>
      </c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</row>
    <row r="198" spans="1:30" x14ac:dyDescent="0.3">
      <c r="A198" s="5">
        <f>'Design Calculations'!G254</f>
        <v>135.80000000000015</v>
      </c>
      <c r="B198" s="5">
        <f>'Design Calculations'!C254</f>
        <v>1.8199999999999861</v>
      </c>
      <c r="C198" s="5">
        <f>'Design Calculations'!E254</f>
        <v>4.5248618784530041</v>
      </c>
      <c r="D198" s="5"/>
      <c r="E198" s="5" t="e">
        <f>'Design Calculations'!M254</f>
        <v>#N/A</v>
      </c>
      <c r="F198" s="5">
        <f>'Design Calculations'!I254</f>
        <v>3.2200000000002937</v>
      </c>
      <c r="G198" s="5" t="e">
        <f>'Design Calculations'!K254</f>
        <v>#N/A</v>
      </c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</row>
    <row r="199" spans="1:30" x14ac:dyDescent="0.3">
      <c r="A199" s="5">
        <f>'Design Calculations'!G255</f>
        <v>136.50000000000017</v>
      </c>
      <c r="B199" s="5">
        <f>'Design Calculations'!C255</f>
        <v>1.749999999999986</v>
      </c>
      <c r="C199" s="5">
        <f>'Design Calculations'!E255</f>
        <v>4.3508287292817327</v>
      </c>
      <c r="D199" s="5"/>
      <c r="E199" s="5" t="e">
        <f>'Design Calculations'!M255</f>
        <v>#N/A</v>
      </c>
      <c r="F199" s="5">
        <f>'Design Calculations'!I255</f>
        <v>3.1500000000002939</v>
      </c>
      <c r="G199" s="5" t="e">
        <f>'Design Calculations'!K255</f>
        <v>#N/A</v>
      </c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</row>
    <row r="200" spans="1:30" x14ac:dyDescent="0.3">
      <c r="A200" s="5">
        <f>'Design Calculations'!G256</f>
        <v>137.20000000000016</v>
      </c>
      <c r="B200" s="5">
        <f>'Design Calculations'!C256</f>
        <v>1.6799999999999859</v>
      </c>
      <c r="C200" s="5">
        <f>'Design Calculations'!E256</f>
        <v>4.1767955801104621</v>
      </c>
      <c r="D200" s="5"/>
      <c r="E200" s="5" t="e">
        <f>'Design Calculations'!M256</f>
        <v>#N/A</v>
      </c>
      <c r="F200" s="5">
        <f>'Design Calculations'!I256</f>
        <v>3.0800000000002941</v>
      </c>
      <c r="G200" s="5" t="e">
        <f>'Design Calculations'!K256</f>
        <v>#N/A</v>
      </c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</row>
    <row r="201" spans="1:30" x14ac:dyDescent="0.3">
      <c r="A201" s="5">
        <f>'Design Calculations'!G257</f>
        <v>137.90000000000018</v>
      </c>
      <c r="B201" s="5">
        <f>'Design Calculations'!C257</f>
        <v>1.6099999999999861</v>
      </c>
      <c r="C201" s="5">
        <f>'Design Calculations'!E257</f>
        <v>4.0027624309391925</v>
      </c>
      <c r="D201" s="5"/>
      <c r="E201" s="5" t="e">
        <f>'Design Calculations'!M257</f>
        <v>#N/A</v>
      </c>
      <c r="F201" s="5">
        <f>'Design Calculations'!I257</f>
        <v>3.0100000000002942</v>
      </c>
      <c r="G201" s="5" t="e">
        <f>'Design Calculations'!K257</f>
        <v>#N/A</v>
      </c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</row>
    <row r="202" spans="1:30" x14ac:dyDescent="0.3">
      <c r="A202" s="5">
        <f>'Design Calculations'!G258</f>
        <v>138.60000000000016</v>
      </c>
      <c r="B202" s="5">
        <f>'Design Calculations'!C258</f>
        <v>1.539999999999986</v>
      </c>
      <c r="C202" s="5">
        <f>'Design Calculations'!E258</f>
        <v>3.8287292817679215</v>
      </c>
      <c r="D202" s="5"/>
      <c r="E202" s="5" t="e">
        <f>'Design Calculations'!M258</f>
        <v>#N/A</v>
      </c>
      <c r="F202" s="5">
        <f>'Design Calculations'!I258</f>
        <v>2.9400000000002939</v>
      </c>
      <c r="G202" s="5" t="e">
        <f>'Design Calculations'!K258</f>
        <v>#N/A</v>
      </c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</row>
    <row r="203" spans="1:30" x14ac:dyDescent="0.3">
      <c r="A203" s="5">
        <f>'Design Calculations'!G259</f>
        <v>139.30000000000015</v>
      </c>
      <c r="B203" s="5">
        <f>'Design Calculations'!C259</f>
        <v>1.469999999999986</v>
      </c>
      <c r="C203" s="5">
        <f>'Design Calculations'!E259</f>
        <v>3.65469613259665</v>
      </c>
      <c r="D203" s="5"/>
      <c r="E203" s="5" t="e">
        <f>'Design Calculations'!M259</f>
        <v>#N/A</v>
      </c>
      <c r="F203" s="5">
        <f>'Design Calculations'!I259</f>
        <v>2.8700000000002941</v>
      </c>
      <c r="G203" s="5" t="e">
        <f>'Design Calculations'!K259</f>
        <v>#N/A</v>
      </c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</row>
    <row r="204" spans="1:30" x14ac:dyDescent="0.3">
      <c r="A204" s="5">
        <f>'Design Calculations'!G260</f>
        <v>140.00000000000017</v>
      </c>
      <c r="B204" s="5">
        <f>'Design Calculations'!C260</f>
        <v>1.3999999999999861</v>
      </c>
      <c r="C204" s="5">
        <f>'Design Calculations'!E260</f>
        <v>3.4806629834253799</v>
      </c>
      <c r="D204" s="5"/>
      <c r="E204" s="5" t="e">
        <f>'Design Calculations'!M260</f>
        <v>#N/A</v>
      </c>
      <c r="F204" s="5">
        <f>'Design Calculations'!I260</f>
        <v>2.8000000000002938</v>
      </c>
      <c r="G204" s="5" t="e">
        <f>'Design Calculations'!K260</f>
        <v>#N/A</v>
      </c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</row>
    <row r="205" spans="1:30" x14ac:dyDescent="0.3">
      <c r="A205" s="5">
        <f>'Design Calculations'!G261</f>
        <v>140.70000000000016</v>
      </c>
      <c r="B205" s="5">
        <f>'Design Calculations'!C261</f>
        <v>1.3299999999999861</v>
      </c>
      <c r="C205" s="5">
        <f>'Design Calculations'!E261</f>
        <v>3.3066298342541094</v>
      </c>
      <c r="D205" s="5"/>
      <c r="E205" s="5" t="e">
        <f>'Design Calculations'!M261</f>
        <v>#N/A</v>
      </c>
      <c r="F205" s="5">
        <f>'Design Calculations'!I261</f>
        <v>2.7300000000002798</v>
      </c>
      <c r="G205" s="5" t="e">
        <f>'Design Calculations'!K261</f>
        <v>#N/A</v>
      </c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</row>
    <row r="206" spans="1:30" x14ac:dyDescent="0.3">
      <c r="A206" s="5">
        <f>'Design Calculations'!G262</f>
        <v>141.40000000000018</v>
      </c>
      <c r="B206" s="5">
        <f>'Design Calculations'!C262</f>
        <v>1.259999999999986</v>
      </c>
      <c r="C206" s="5">
        <f>'Design Calculations'!E262</f>
        <v>3.132596685082838</v>
      </c>
      <c r="D206" s="5"/>
      <c r="E206" s="5" t="e">
        <f>'Design Calculations'!M262</f>
        <v>#N/A</v>
      </c>
      <c r="F206" s="5">
        <f>'Design Calculations'!I262</f>
        <v>2.6600000000002799</v>
      </c>
      <c r="G206" s="5" t="e">
        <f>'Design Calculations'!K262</f>
        <v>#N/A</v>
      </c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</row>
    <row r="207" spans="1:30" x14ac:dyDescent="0.3">
      <c r="A207" s="5">
        <f>'Design Calculations'!G263</f>
        <v>142.10000000000014</v>
      </c>
      <c r="B207" s="5">
        <f>'Design Calculations'!C263</f>
        <v>1.1899999999999862</v>
      </c>
      <c r="C207" s="5">
        <f>'Design Calculations'!E263</f>
        <v>2.9585635359115678</v>
      </c>
      <c r="D207" s="5"/>
      <c r="E207" s="5" t="e">
        <f>'Design Calculations'!M263</f>
        <v>#N/A</v>
      </c>
      <c r="F207" s="5">
        <f>'Design Calculations'!I263</f>
        <v>2.5900000000002801</v>
      </c>
      <c r="G207" s="5" t="e">
        <f>'Design Calculations'!K263</f>
        <v>#N/A</v>
      </c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</row>
    <row r="208" spans="1:30" x14ac:dyDescent="0.3">
      <c r="A208" s="5">
        <f>'Design Calculations'!G264</f>
        <v>142.80000000000015</v>
      </c>
      <c r="B208" s="5">
        <f>'Design Calculations'!C264</f>
        <v>1.1199999999999861</v>
      </c>
      <c r="C208" s="5">
        <f>'Design Calculations'!E264</f>
        <v>2.7845303867402968</v>
      </c>
      <c r="D208" s="5"/>
      <c r="E208" s="5" t="e">
        <f>'Design Calculations'!M264</f>
        <v>#N/A</v>
      </c>
      <c r="F208" s="5">
        <f>'Design Calculations'!I264</f>
        <v>2.5200000000002802</v>
      </c>
      <c r="G208" s="5" t="e">
        <f>'Design Calculations'!K264</f>
        <v>#N/A</v>
      </c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</row>
    <row r="209" spans="1:30" x14ac:dyDescent="0.3">
      <c r="A209" s="5">
        <f>'Design Calculations'!G265</f>
        <v>143.50000000000017</v>
      </c>
      <c r="B209" s="5">
        <f>'Design Calculations'!C265</f>
        <v>1.0499999999999861</v>
      </c>
      <c r="C209" s="5">
        <f>'Design Calculations'!E265</f>
        <v>2.6104972375690263</v>
      </c>
      <c r="D209" s="5"/>
      <c r="E209" s="5" t="e">
        <f>'Design Calculations'!M265</f>
        <v>#N/A</v>
      </c>
      <c r="F209" s="5">
        <f>'Design Calculations'!I265</f>
        <v>2.45000000000028</v>
      </c>
      <c r="G209" s="5" t="e">
        <f>'Design Calculations'!K265</f>
        <v>#N/A</v>
      </c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</row>
    <row r="210" spans="1:30" x14ac:dyDescent="0.3">
      <c r="A210" s="5">
        <f>'Design Calculations'!G266</f>
        <v>144.20000000000016</v>
      </c>
      <c r="B210" s="5">
        <f>'Design Calculations'!C266</f>
        <v>0.97999999999998588</v>
      </c>
      <c r="C210" s="5">
        <f>'Design Calculations'!E266</f>
        <v>2.4364640883977549</v>
      </c>
      <c r="D210" s="5"/>
      <c r="E210" s="5" t="e">
        <f>'Design Calculations'!M266</f>
        <v>#N/A</v>
      </c>
      <c r="F210" s="5">
        <f>'Design Calculations'!I266</f>
        <v>2.3800000000002801</v>
      </c>
      <c r="G210" s="5" t="e">
        <f>'Design Calculations'!K266</f>
        <v>#N/A</v>
      </c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</row>
    <row r="211" spans="1:30" x14ac:dyDescent="0.3">
      <c r="A211" s="5">
        <f>'Design Calculations'!G267</f>
        <v>144.90000000000018</v>
      </c>
      <c r="B211" s="5">
        <f>'Design Calculations'!C267</f>
        <v>0.90999999999998471</v>
      </c>
      <c r="C211" s="5">
        <f>'Design Calculations'!E267</f>
        <v>2.2624309392264816</v>
      </c>
      <c r="D211" s="5"/>
      <c r="E211" s="5" t="e">
        <f>'Design Calculations'!M267</f>
        <v>#N/A</v>
      </c>
      <c r="F211" s="5">
        <f>'Design Calculations'!I267</f>
        <v>2.3100000000002798</v>
      </c>
      <c r="G211" s="5" t="e">
        <f>'Design Calculations'!K267</f>
        <v>#N/A</v>
      </c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</row>
    <row r="212" spans="1:30" x14ac:dyDescent="0.3">
      <c r="A212" s="5">
        <f>'Design Calculations'!G268</f>
        <v>145.60000000000014</v>
      </c>
      <c r="B212" s="5">
        <f>'Design Calculations'!C268</f>
        <v>0.83999999999998742</v>
      </c>
      <c r="C212" s="5">
        <f>'Design Calculations'!E268</f>
        <v>2.0883977900552173</v>
      </c>
      <c r="D212" s="5"/>
      <c r="E212" s="5" t="e">
        <f>'Design Calculations'!M268</f>
        <v>#N/A</v>
      </c>
      <c r="F212" s="5">
        <f>'Design Calculations'!I268</f>
        <v>2.24000000000028</v>
      </c>
      <c r="G212" s="5" t="e">
        <f>'Design Calculations'!K268</f>
        <v>#N/A</v>
      </c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</row>
    <row r="213" spans="1:30" x14ac:dyDescent="0.3">
      <c r="A213" s="5">
        <f>'Design Calculations'!G269</f>
        <v>146.30000000000018</v>
      </c>
      <c r="B213" s="5">
        <f>'Design Calculations'!C269</f>
        <v>0.76999999999998603</v>
      </c>
      <c r="C213" s="5">
        <f>'Design Calculations'!E269</f>
        <v>1.9143646408839432</v>
      </c>
      <c r="D213" s="5"/>
      <c r="E213" s="5" t="e">
        <f>'Design Calculations'!M269</f>
        <v>#N/A</v>
      </c>
      <c r="F213" s="5">
        <f>'Design Calculations'!I269</f>
        <v>2.1700000000002801</v>
      </c>
      <c r="G213" s="5" t="e">
        <f>'Design Calculations'!K269</f>
        <v>#N/A</v>
      </c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</row>
    <row r="214" spans="1:30" x14ac:dyDescent="0.3">
      <c r="A214" s="5">
        <f>'Design Calculations'!G270</f>
        <v>147.00000000000017</v>
      </c>
      <c r="B214" s="5">
        <f>'Design Calculations'!C270</f>
        <v>0.69999999999998597</v>
      </c>
      <c r="C214" s="5">
        <f>'Design Calculations'!E270</f>
        <v>1.7403314917126722</v>
      </c>
      <c r="D214" s="5"/>
      <c r="E214" s="5" t="e">
        <f>'Design Calculations'!M270</f>
        <v>#N/A</v>
      </c>
      <c r="F214" s="5">
        <f>'Design Calculations'!I270</f>
        <v>2.1000000000002803</v>
      </c>
      <c r="G214" s="5" t="e">
        <f>'Design Calculations'!K270</f>
        <v>#N/A</v>
      </c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</row>
    <row r="215" spans="1:30" x14ac:dyDescent="0.3">
      <c r="A215" s="5">
        <f>'Design Calculations'!G271</f>
        <v>147.70000000000016</v>
      </c>
      <c r="B215" s="5">
        <f>'Design Calculations'!C271</f>
        <v>0.62999999999998602</v>
      </c>
      <c r="C215" s="5">
        <f>'Design Calculations'!E271</f>
        <v>1.5662983425414017</v>
      </c>
      <c r="D215" s="5"/>
      <c r="E215" s="5" t="e">
        <f>'Design Calculations'!M271</f>
        <v>#N/A</v>
      </c>
      <c r="F215" s="5">
        <f>'Design Calculations'!I271</f>
        <v>2.03000000000028</v>
      </c>
      <c r="G215" s="5" t="e">
        <f>'Design Calculations'!K271</f>
        <v>#N/A</v>
      </c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</row>
    <row r="216" spans="1:30" x14ac:dyDescent="0.3">
      <c r="A216" s="5">
        <f>'Design Calculations'!G272</f>
        <v>148.40000000000015</v>
      </c>
      <c r="B216" s="5">
        <f>'Design Calculations'!C272</f>
        <v>0.55999999999998606</v>
      </c>
      <c r="C216" s="5">
        <f>'Design Calculations'!E272</f>
        <v>1.3922651933701311</v>
      </c>
      <c r="D216" s="5"/>
      <c r="E216" s="5" t="e">
        <f>'Design Calculations'!M272</f>
        <v>#N/A</v>
      </c>
      <c r="F216" s="5">
        <f>'Design Calculations'!I272</f>
        <v>1.96000000000028</v>
      </c>
      <c r="G216" s="5" t="e">
        <f>'Design Calculations'!K272</f>
        <v>#N/A</v>
      </c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</row>
    <row r="217" spans="1:30" x14ac:dyDescent="0.3">
      <c r="A217" s="5">
        <f>'Design Calculations'!G273</f>
        <v>149.10000000000016</v>
      </c>
      <c r="B217" s="5">
        <f>'Design Calculations'!C273</f>
        <v>0.48999999999998595</v>
      </c>
      <c r="C217" s="5">
        <f>'Design Calculations'!E273</f>
        <v>1.2182320441988601</v>
      </c>
      <c r="D217" s="5"/>
      <c r="E217" s="5" t="e">
        <f>'Design Calculations'!M273</f>
        <v>#N/A</v>
      </c>
      <c r="F217" s="5">
        <f>'Design Calculations'!I273</f>
        <v>1.8900000000002799</v>
      </c>
      <c r="G217" s="5" t="e">
        <f>'Design Calculations'!K273</f>
        <v>#N/A</v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</row>
    <row r="218" spans="1:30" x14ac:dyDescent="0.3">
      <c r="A218" s="5">
        <f>'Design Calculations'!G274</f>
        <v>149.80000000000015</v>
      </c>
      <c r="B218" s="5">
        <f>'Design Calculations'!C274</f>
        <v>0.419999999999986</v>
      </c>
      <c r="C218" s="5">
        <f>'Design Calculations'!E274</f>
        <v>1.0441988950275893</v>
      </c>
      <c r="D218" s="5"/>
      <c r="E218" s="5" t="e">
        <f>'Design Calculations'!M274</f>
        <v>#N/A</v>
      </c>
      <c r="F218" s="5">
        <f>'Design Calculations'!I274</f>
        <v>1.8200000000002798</v>
      </c>
      <c r="G218" s="5" t="e">
        <f>'Design Calculations'!K274</f>
        <v>#N/A</v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</row>
    <row r="219" spans="1:30" x14ac:dyDescent="0.3">
      <c r="A219" s="5">
        <f>'Design Calculations'!G275</f>
        <v>150.50000000000017</v>
      </c>
      <c r="B219" s="5">
        <f>'Design Calculations'!C275</f>
        <v>0.34999999999998599</v>
      </c>
      <c r="C219" s="5">
        <f>'Design Calculations'!E275</f>
        <v>0.87016574585631867</v>
      </c>
      <c r="D219" s="5"/>
      <c r="E219" s="5" t="e">
        <f>'Design Calculations'!M275</f>
        <v>#N/A</v>
      </c>
      <c r="F219" s="5">
        <f>'Design Calculations'!I275</f>
        <v>1.7500000000002802</v>
      </c>
      <c r="G219" s="5" t="e">
        <f>'Design Calculations'!K275</f>
        <v>#N/A</v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</row>
    <row r="220" spans="1:30" x14ac:dyDescent="0.3">
      <c r="A220" s="5">
        <f>'Design Calculations'!G276</f>
        <v>151.20000000000016</v>
      </c>
      <c r="B220" s="5">
        <f>'Design Calculations'!C276</f>
        <v>0.27999999999998604</v>
      </c>
      <c r="C220" s="5">
        <f>'Design Calculations'!E276</f>
        <v>0.69613259668504812</v>
      </c>
      <c r="D220" s="5"/>
      <c r="E220" s="5" t="e">
        <f>'Design Calculations'!M276</f>
        <v>#N/A</v>
      </c>
      <c r="F220" s="5">
        <f>'Design Calculations'!I276</f>
        <v>1.6800000000002799</v>
      </c>
      <c r="G220" s="5" t="e">
        <f>'Design Calculations'!K276</f>
        <v>#N/A</v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</row>
    <row r="221" spans="1:30" x14ac:dyDescent="0.3">
      <c r="A221" s="5">
        <f>'Design Calculations'!G277</f>
        <v>151.90000000000015</v>
      </c>
      <c r="B221" s="5">
        <f>'Design Calculations'!C277</f>
        <v>0.209999999999986</v>
      </c>
      <c r="C221" s="5">
        <f>'Design Calculations'!E277</f>
        <v>0.52209944751377735</v>
      </c>
      <c r="D221" s="5"/>
      <c r="E221" s="5" t="e">
        <f>'Design Calculations'!M277</f>
        <v>#N/A</v>
      </c>
      <c r="F221" s="5">
        <f>'Design Calculations'!I277</f>
        <v>1.6100000000002801</v>
      </c>
      <c r="G221" s="5" t="e">
        <f>'Design Calculations'!K277</f>
        <v>#N/A</v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</row>
    <row r="222" spans="1:30" x14ac:dyDescent="0.3">
      <c r="A222" s="5">
        <f>'Design Calculations'!G278</f>
        <v>152.60000000000016</v>
      </c>
      <c r="B222" s="5">
        <f>'Design Calculations'!C278</f>
        <v>0.13999999999998614</v>
      </c>
      <c r="C222" s="5">
        <f>'Design Calculations'!E278</f>
        <v>0.34806629834250696</v>
      </c>
      <c r="D222" s="5"/>
      <c r="E222" s="5" t="e">
        <f>'Design Calculations'!M278</f>
        <v>#N/A</v>
      </c>
      <c r="F222" s="5">
        <f>'Design Calculations'!I278</f>
        <v>1.54000000000028</v>
      </c>
      <c r="G222" s="5" t="e">
        <f>'Design Calculations'!K278</f>
        <v>#N/A</v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</row>
    <row r="223" spans="1:30" x14ac:dyDescent="0.3">
      <c r="A223" s="5">
        <f>'Design Calculations'!G279</f>
        <v>153.30000000000015</v>
      </c>
      <c r="B223" s="5">
        <f>'Design Calculations'!C279</f>
        <v>6.9999999999986129E-2</v>
      </c>
      <c r="C223" s="5">
        <f>'Design Calculations'!E279</f>
        <v>0.17403314917123622</v>
      </c>
      <c r="D223" s="5"/>
      <c r="E223" s="5" t="e">
        <f>'Design Calculations'!M279</f>
        <v>#N/A</v>
      </c>
      <c r="F223" s="5">
        <f>'Design Calculations'!I279</f>
        <v>1.47000000000028</v>
      </c>
      <c r="G223" s="5" t="e">
        <f>'Design Calculations'!K279</f>
        <v>#N/A</v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</row>
    <row r="224" spans="1:30" x14ac:dyDescent="0.3">
      <c r="A224" s="5">
        <f>'Design Calculations'!G280</f>
        <v>0</v>
      </c>
      <c r="B224" s="5">
        <f>'Design Calculations'!C280</f>
        <v>0</v>
      </c>
      <c r="C224" s="5">
        <f>'Design Calculations'!E280</f>
        <v>0</v>
      </c>
      <c r="D224" s="5"/>
      <c r="E224" s="5" t="e">
        <f>'Design Calculations'!M280</f>
        <v>#N/A</v>
      </c>
      <c r="F224" s="5">
        <f>'Design Calculations'!I280</f>
        <v>1.4000000000002801</v>
      </c>
      <c r="G224" s="5" t="e">
        <f>'Design Calculations'!K280</f>
        <v>#N/A</v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</row>
    <row r="225" spans="1:30" x14ac:dyDescent="0.3">
      <c r="A225" s="5">
        <f>'Design Calculations'!G281</f>
        <v>0</v>
      </c>
      <c r="B225" s="5">
        <f>'Design Calculations'!C281</f>
        <v>0</v>
      </c>
      <c r="C225" s="5">
        <f>'Design Calculations'!E281</f>
        <v>0</v>
      </c>
      <c r="D225" s="5"/>
      <c r="E225" s="5" t="e">
        <f>'Design Calculations'!M281</f>
        <v>#N/A</v>
      </c>
      <c r="F225" s="5">
        <f>'Design Calculations'!I281</f>
        <v>1.3300000000002801</v>
      </c>
      <c r="G225" s="5" t="e">
        <f>'Design Calculations'!K281</f>
        <v>#N/A</v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</row>
    <row r="226" spans="1:30" x14ac:dyDescent="0.3">
      <c r="A226" s="5">
        <f>'Design Calculations'!G282</f>
        <v>0</v>
      </c>
      <c r="B226" s="5">
        <f>'Design Calculations'!C282</f>
        <v>0</v>
      </c>
      <c r="C226" s="5">
        <f>'Design Calculations'!E282</f>
        <v>0</v>
      </c>
      <c r="D226" s="5"/>
      <c r="E226" s="5" t="e">
        <f>'Design Calculations'!M282</f>
        <v>#N/A</v>
      </c>
      <c r="F226" s="5">
        <f>'Design Calculations'!I282</f>
        <v>1.2600000000002816</v>
      </c>
      <c r="G226" s="5" t="e">
        <f>'Design Calculations'!K282</f>
        <v>#N/A</v>
      </c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</row>
    <row r="227" spans="1:30" x14ac:dyDescent="0.3">
      <c r="A227" s="5">
        <f>'Design Calculations'!G283</f>
        <v>0</v>
      </c>
      <c r="B227" s="5">
        <f>'Design Calculations'!C283</f>
        <v>0</v>
      </c>
      <c r="C227" s="5">
        <f>'Design Calculations'!E283</f>
        <v>0</v>
      </c>
      <c r="D227" s="5"/>
      <c r="E227" s="5" t="e">
        <f>'Design Calculations'!M283</f>
        <v>#N/A</v>
      </c>
      <c r="F227" s="5">
        <f>'Design Calculations'!I283</f>
        <v>1.1900000000002786</v>
      </c>
      <c r="G227" s="5" t="e">
        <f>'Design Calculations'!K283</f>
        <v>#N/A</v>
      </c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</row>
    <row r="228" spans="1:30" x14ac:dyDescent="0.3">
      <c r="A228" s="5">
        <f>'Design Calculations'!G284</f>
        <v>0</v>
      </c>
      <c r="B228" s="5">
        <f>'Design Calculations'!C284</f>
        <v>0</v>
      </c>
      <c r="C228" s="5">
        <f>'Design Calculations'!E284</f>
        <v>0</v>
      </c>
      <c r="D228" s="5"/>
      <c r="E228" s="5" t="e">
        <f>'Design Calculations'!M284</f>
        <v>#N/A</v>
      </c>
      <c r="F228" s="5">
        <f>'Design Calculations'!I284</f>
        <v>1.1200000000002814</v>
      </c>
      <c r="G228" s="5" t="e">
        <f>'Design Calculations'!K284</f>
        <v>#N/A</v>
      </c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</row>
    <row r="229" spans="1:30" x14ac:dyDescent="0.3">
      <c r="A229" s="5">
        <f>'Design Calculations'!G285</f>
        <v>0</v>
      </c>
      <c r="B229" s="5">
        <f>'Design Calculations'!C285</f>
        <v>0</v>
      </c>
      <c r="C229" s="5">
        <f>'Design Calculations'!E285</f>
        <v>0</v>
      </c>
      <c r="D229" s="5"/>
      <c r="E229" s="5" t="e">
        <f>'Design Calculations'!M285</f>
        <v>#N/A</v>
      </c>
      <c r="F229" s="5">
        <f>'Design Calculations'!I285</f>
        <v>1.0500000000002785</v>
      </c>
      <c r="G229" s="5" t="e">
        <f>'Design Calculations'!K285</f>
        <v>#N/A</v>
      </c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</row>
    <row r="230" spans="1:30" x14ac:dyDescent="0.3">
      <c r="A230" s="5">
        <f>'Design Calculations'!G286</f>
        <v>0</v>
      </c>
      <c r="B230" s="5">
        <f>'Design Calculations'!C286</f>
        <v>0</v>
      </c>
      <c r="C230" s="5">
        <f>'Design Calculations'!E286</f>
        <v>0</v>
      </c>
      <c r="D230" s="5"/>
      <c r="E230" s="5" t="e">
        <f>'Design Calculations'!M286</f>
        <v>#N/A</v>
      </c>
      <c r="F230" s="5">
        <f>'Design Calculations'!I286</f>
        <v>0.98000000000028009</v>
      </c>
      <c r="G230" s="5" t="e">
        <f>'Design Calculations'!K286</f>
        <v>#N/A</v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</row>
    <row r="231" spans="1:30" x14ac:dyDescent="0.3">
      <c r="A231" s="5">
        <f>'Design Calculations'!G287</f>
        <v>0</v>
      </c>
      <c r="B231" s="5">
        <f>'Design Calculations'!C287</f>
        <v>0</v>
      </c>
      <c r="C231" s="5">
        <f>'Design Calculations'!E287</f>
        <v>0</v>
      </c>
      <c r="D231" s="5"/>
      <c r="E231" s="5" t="e">
        <f>'Design Calculations'!M287</f>
        <v>#N/A</v>
      </c>
      <c r="F231" s="5">
        <f>'Design Calculations'!I287</f>
        <v>0.91000000000027859</v>
      </c>
      <c r="G231" s="5" t="e">
        <f>'Design Calculations'!K287</f>
        <v>#N/A</v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</row>
    <row r="232" spans="1:30" x14ac:dyDescent="0.3">
      <c r="A232" s="5">
        <f>'Design Calculations'!G288</f>
        <v>0</v>
      </c>
      <c r="B232" s="5">
        <f>'Design Calculations'!C288</f>
        <v>0</v>
      </c>
      <c r="C232" s="5">
        <f>'Design Calculations'!E288</f>
        <v>0</v>
      </c>
      <c r="D232" s="5"/>
      <c r="E232" s="5" t="e">
        <f>'Design Calculations'!M288</f>
        <v>#N/A</v>
      </c>
      <c r="F232" s="5">
        <f>'Design Calculations'!I288</f>
        <v>0.84000000000028008</v>
      </c>
      <c r="G232" s="5" t="e">
        <f>'Design Calculations'!K288</f>
        <v>#N/A</v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</row>
    <row r="233" spans="1:30" x14ac:dyDescent="0.3">
      <c r="A233" s="5">
        <f>'Design Calculations'!G289</f>
        <v>0</v>
      </c>
      <c r="B233" s="5">
        <f>'Design Calculations'!C289</f>
        <v>0</v>
      </c>
      <c r="C233" s="5">
        <f>'Design Calculations'!E289</f>
        <v>0</v>
      </c>
      <c r="D233" s="5"/>
      <c r="E233" s="5" t="e">
        <f>'Design Calculations'!M289</f>
        <v>#N/A</v>
      </c>
      <c r="F233" s="5">
        <f>'Design Calculations'!I289</f>
        <v>0.77000000000027857</v>
      </c>
      <c r="G233" s="5" t="e">
        <f>'Design Calculations'!K289</f>
        <v>#N/A</v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</row>
    <row r="234" spans="1:30" x14ac:dyDescent="0.3">
      <c r="A234" s="5">
        <f>'Design Calculations'!G290</f>
        <v>0</v>
      </c>
      <c r="B234" s="5">
        <f>'Design Calculations'!C290</f>
        <v>0</v>
      </c>
      <c r="C234" s="5">
        <f>'Design Calculations'!E290</f>
        <v>0</v>
      </c>
      <c r="D234" s="5"/>
      <c r="E234" s="5" t="e">
        <f>'Design Calculations'!M290</f>
        <v>#N/A</v>
      </c>
      <c r="F234" s="5">
        <f>'Design Calculations'!I290</f>
        <v>0.70000000000027995</v>
      </c>
      <c r="G234" s="5" t="e">
        <f>'Design Calculations'!K290</f>
        <v>#N/A</v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</row>
  </sheetData>
  <sheetProtection algorithmName="SHA-512" hashValue="CWQUeYtsmOwnISM+TVnYql/Q75MduKrq8WPyTL/QR1sMZBCUkM7ECoCLq5Ex0QVPgZqaEpOrbZ66MbpsMQ0G+w==" saltValue="GG8TC1K7oH77m7kAlSyJuw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90"/>
  <sheetViews>
    <sheetView workbookViewId="0">
      <selection activeCell="E60" sqref="E60"/>
    </sheetView>
  </sheetViews>
  <sheetFormatPr defaultColWidth="9.15234375" defaultRowHeight="12.45" x14ac:dyDescent="0.3"/>
  <cols>
    <col min="1" max="1" width="24.69140625" customWidth="1"/>
    <col min="2" max="2" width="8.4609375" customWidth="1"/>
    <col min="3" max="3" width="14.15234375" customWidth="1"/>
    <col min="4" max="8" width="10.69140625" customWidth="1"/>
    <col min="10" max="10" width="19" customWidth="1"/>
    <col min="13" max="17" width="10.69140625" customWidth="1"/>
  </cols>
  <sheetData>
    <row r="1" spans="1:17" x14ac:dyDescent="0.3">
      <c r="A1" s="72" t="s">
        <v>141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 x14ac:dyDescent="0.3">
      <c r="A2" s="5" t="s">
        <v>140</v>
      </c>
      <c r="B2" s="5">
        <f>'Design Worksheet_BAT'!B7</f>
        <v>20.23</v>
      </c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</row>
    <row r="3" spans="1:17" x14ac:dyDescent="0.3">
      <c r="A3" s="5" t="s">
        <v>139</v>
      </c>
      <c r="B3" s="5">
        <f>'Design Worksheet_BAT'!B8</f>
        <v>28.43</v>
      </c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</row>
    <row r="4" spans="1:17" x14ac:dyDescent="0.3">
      <c r="A4" s="5" t="s">
        <v>163</v>
      </c>
      <c r="B4" s="5">
        <f>'Design Worksheet_BAT'!B9</f>
        <v>37</v>
      </c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5" spans="1:17" x14ac:dyDescent="0.3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</row>
    <row r="6" spans="1:17" x14ac:dyDescent="0.3">
      <c r="A6" s="5" t="s">
        <v>177</v>
      </c>
      <c r="B6" s="5">
        <f>Set_R3*(Set_OV-Ov)/Ov</f>
        <v>1014.91</v>
      </c>
      <c r="C6" s="5"/>
      <c r="D6" s="5" t="s">
        <v>165</v>
      </c>
      <c r="E6" s="5" t="s">
        <v>166</v>
      </c>
      <c r="F6" s="5" t="s">
        <v>168</v>
      </c>
      <c r="G6" s="5" t="s">
        <v>169</v>
      </c>
      <c r="H6" s="7" t="s">
        <v>167</v>
      </c>
      <c r="I6" s="5"/>
      <c r="J6" s="5"/>
      <c r="K6" s="5"/>
      <c r="L6" s="5"/>
      <c r="M6" s="5"/>
      <c r="N6" s="5"/>
      <c r="O6" s="5"/>
      <c r="P6" s="5"/>
      <c r="Q6" s="5"/>
    </row>
    <row r="7" spans="1:17" x14ac:dyDescent="0.3">
      <c r="A7" s="5" t="s">
        <v>149</v>
      </c>
      <c r="B7" s="5">
        <f>((B6+Set_R3)*UV-Set_UV*Set_R3)/Set_UV</f>
        <v>14.997528423133952</v>
      </c>
      <c r="C7" s="5" t="s">
        <v>142</v>
      </c>
      <c r="D7" s="5">
        <f>INDEX( 'Resistor Table'!$A$1:$A$481,MATCH(1000*$B7, 'Resistor Table'!$A$1:$A$481, 1))</f>
        <v>14700</v>
      </c>
      <c r="E7" s="5">
        <f>INDEX( 'Resistor Table'!$B$1:$B$481,MATCH(1000*$B7, 'Resistor Table'!$B$1:$B$481, -1))</f>
        <v>15000</v>
      </c>
      <c r="F7" s="5">
        <f>ABS(1-D7/(1000*B7))</f>
        <v>1.9838497033618507E-2</v>
      </c>
      <c r="G7" s="5">
        <f>ABS(1-E7/(1000*B7))</f>
        <v>1.6479894528731442E-4</v>
      </c>
      <c r="H7" s="7">
        <f>IF(F7&lt;G7, D7, E7)</f>
        <v>15000</v>
      </c>
      <c r="I7" s="5"/>
      <c r="J7" s="5"/>
      <c r="K7" s="5"/>
      <c r="L7" s="5"/>
      <c r="M7" s="5"/>
      <c r="N7" s="5"/>
      <c r="O7" s="5"/>
      <c r="P7" s="5"/>
      <c r="Q7" s="5"/>
    </row>
    <row r="8" spans="1:17" x14ac:dyDescent="0.3">
      <c r="A8" s="5" t="s">
        <v>150</v>
      </c>
      <c r="B8" s="5">
        <f>B6-B7</f>
        <v>999.91247157686598</v>
      </c>
      <c r="C8" s="5" t="s">
        <v>142</v>
      </c>
      <c r="D8" s="5">
        <f>INDEX( 'Resistor Table'!$A$1:$A$481,MATCH(1000*$B8, 'Resistor Table'!$A$1:$A$481, 1))</f>
        <v>976000</v>
      </c>
      <c r="E8" s="5">
        <f>INDEX( 'Resistor Table'!$B$1:$B$481,MATCH(1000*$B8, 'Resistor Table'!$B$1:$B$481, -1))</f>
        <v>1000000</v>
      </c>
      <c r="F8" s="5">
        <f>ABS(1-D8/(1000*B8))</f>
        <v>2.3914564781011172E-2</v>
      </c>
      <c r="G8" s="5">
        <f>ABS(1-E8/(1000*B8))</f>
        <v>8.7536085029427113E-5</v>
      </c>
      <c r="H8" s="7">
        <f>IF(F8&lt;G8, D8, E8)</f>
        <v>1000000</v>
      </c>
      <c r="I8" s="5"/>
      <c r="J8" s="5"/>
      <c r="K8" s="5"/>
      <c r="L8" s="5"/>
      <c r="M8" s="5"/>
      <c r="N8" s="5"/>
      <c r="O8" s="5"/>
      <c r="P8" s="5"/>
      <c r="Q8" s="5"/>
    </row>
    <row r="9" spans="1:17" x14ac:dyDescent="0.3">
      <c r="A9" s="5" t="s">
        <v>170</v>
      </c>
      <c r="B9" s="101">
        <f>(1000*Set_R3+ActR2+ActR1)/(1000*Set_R3+ActR2)</f>
        <v>20.23076923076923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</row>
    <row r="10" spans="1:17" x14ac:dyDescent="0.3">
      <c r="A10" s="5" t="s">
        <v>171</v>
      </c>
      <c r="B10" s="7">
        <f>(1000*Set_R3+ActR2+ActR1)/(1000*Set_R3)</f>
        <v>28.432432432432432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</row>
    <row r="11" spans="1:17" x14ac:dyDescent="0.3">
      <c r="A11" s="5"/>
      <c r="B11" s="7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</row>
    <row r="12" spans="1:17" x14ac:dyDescent="0.3">
      <c r="A12" s="102" t="s">
        <v>201</v>
      </c>
      <c r="B12" s="101">
        <f>Uvmax*((1-ResTol)*(1000*Set_R3+ActR2)+(1+ResTol)*ActR1)/((1-ResTol)*(1000*Set_R3+ActR2))</f>
        <v>20.825462315462318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</row>
    <row r="13" spans="1:17" x14ac:dyDescent="0.3">
      <c r="A13" s="102" t="s">
        <v>202</v>
      </c>
      <c r="B13" s="101">
        <f>Uvmin*((1+ResTol)*(1000*Set_R3+ActR2)+(1-ResTol)*ActR1)/((1+ResTol)*(1000*Set_R3+ActR2))</f>
        <v>19.651462300076162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</row>
    <row r="14" spans="1:17" x14ac:dyDescent="0.3">
      <c r="A14" s="102"/>
      <c r="B14" s="7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</row>
    <row r="15" spans="1:17" x14ac:dyDescent="0.3">
      <c r="A15" s="102" t="s">
        <v>200</v>
      </c>
      <c r="B15" s="7">
        <f>Ovmax*((1-ResTol)*1000*Set_R3+(1+ResTol)*(ActR2+ActR1))/((1-ResTol)*1000*Set_R3)</f>
        <v>29.276489216489217</v>
      </c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</row>
    <row r="16" spans="1:17" x14ac:dyDescent="0.3">
      <c r="A16" s="102" t="s">
        <v>203</v>
      </c>
      <c r="B16" s="7">
        <f>Ovmin*((1+ResTol)*1000*Set_R3+(1-ResTol)*(ActR2+ActR1))/((1+ResTol)*1000*Set_R3)</f>
        <v>27.61032378913567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</row>
    <row r="17" spans="1:17" x14ac:dyDescent="0.3">
      <c r="A17" s="103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</row>
    <row r="18" spans="1:17" x14ac:dyDescent="0.3">
      <c r="A18" s="72" t="s">
        <v>143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</row>
    <row r="19" spans="1:17" x14ac:dyDescent="0.3">
      <c r="A19" s="5" t="s">
        <v>145</v>
      </c>
      <c r="B19" s="5">
        <f>'Design Worksheet_BAT'!B27</f>
        <v>35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</row>
    <row r="20" spans="1:17" x14ac:dyDescent="0.3">
      <c r="A20" s="5" t="s">
        <v>144</v>
      </c>
      <c r="B20" s="5">
        <f>'Design Worksheet_BAT'!B28</f>
        <v>1E-3</v>
      </c>
      <c r="C20" s="5"/>
      <c r="D20" s="5" t="s">
        <v>214</v>
      </c>
      <c r="E20" s="5" t="s">
        <v>215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</row>
    <row r="21" spans="1:17" x14ac:dyDescent="0.3">
      <c r="A21" s="5" t="s">
        <v>146</v>
      </c>
      <c r="B21" s="5">
        <f>Set_OC*Set_Rs</f>
        <v>3.5000000000000003E-2</v>
      </c>
      <c r="C21" s="5"/>
      <c r="D21" s="5">
        <f>$B$21-0.0025</f>
        <v>3.2500000000000001E-2</v>
      </c>
      <c r="E21" s="5">
        <f>$B$21+0.0025</f>
        <v>3.7500000000000006E-2</v>
      </c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</row>
    <row r="22" spans="1:17" x14ac:dyDescent="0.3">
      <c r="A22" s="5" t="s">
        <v>147</v>
      </c>
      <c r="B22" s="5">
        <f>IF(Gain*B21&gt;2.6,2,Gain*B21)</f>
        <v>1.4000000000000001</v>
      </c>
      <c r="C22" s="104" t="str">
        <f>IF(Gain*B21&gt;2.6,"R4 &amp; R5 result in VISET &gt;2.6V. Use internal 2V VISET", "")</f>
        <v/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</row>
    <row r="23" spans="1:17" x14ac:dyDescent="0.3">
      <c r="A23" s="5" t="s">
        <v>164</v>
      </c>
      <c r="B23" s="5">
        <f>'Design Worksheet_BAT'!B29</f>
        <v>2.2999999999999998</v>
      </c>
      <c r="C23" s="5"/>
      <c r="D23" s="5" t="s">
        <v>165</v>
      </c>
      <c r="E23" s="5" t="s">
        <v>166</v>
      </c>
      <c r="F23" s="5" t="s">
        <v>168</v>
      </c>
      <c r="G23" s="5" t="s">
        <v>169</v>
      </c>
      <c r="H23" s="7" t="s">
        <v>167</v>
      </c>
      <c r="I23" s="5"/>
      <c r="J23" s="5"/>
      <c r="K23" s="5"/>
      <c r="L23" s="5"/>
      <c r="M23" s="5"/>
      <c r="N23" s="5"/>
      <c r="O23" s="5"/>
      <c r="P23" s="5"/>
      <c r="Q23" s="5"/>
    </row>
    <row r="24" spans="1:17" x14ac:dyDescent="0.3">
      <c r="A24" s="5" t="s">
        <v>148</v>
      </c>
      <c r="B24" s="5">
        <f>Set_R5*(Vcap-B22)/B22</f>
        <v>3.6142857142857139</v>
      </c>
      <c r="C24" s="5" t="s">
        <v>142</v>
      </c>
      <c r="D24" s="5">
        <f>INDEX( 'Resistor Table'!$A$1:$A$481,MATCH(1000*$B24, 'Resistor Table'!$A$1:$A$481, 1))</f>
        <v>3570</v>
      </c>
      <c r="E24" s="5">
        <f>INDEX( 'Resistor Table'!$B$1:$B$481,MATCH(1000*$B24, 'Resistor Table'!$B$1:$B$481, -1))</f>
        <v>3650</v>
      </c>
      <c r="F24" s="5">
        <f>ABS(1-D24/(1000*B24))</f>
        <v>1.2252964426877289E-2</v>
      </c>
      <c r="G24" s="5">
        <f>ABS(1-E24/(1000*B24))</f>
        <v>9.8814229249013508E-3</v>
      </c>
      <c r="H24" s="7">
        <f>IF(F24&lt;G24, D24, E24)</f>
        <v>3650</v>
      </c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3">
      <c r="A25" s="5" t="s">
        <v>172</v>
      </c>
      <c r="B25" s="105">
        <f>Vcap*Set_R5*1000/((1000*Set_R5+ActR4)*Gain*Set_Rs)</f>
        <v>34.789915966386552</v>
      </c>
      <c r="C25" s="105">
        <f>(VI/40+0.0025)*40/(Gain*Set_Rs)</f>
        <v>37.500000000000007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  <row r="26" spans="1:17" x14ac:dyDescent="0.3">
      <c r="A26" s="5"/>
      <c r="B26" s="10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</row>
    <row r="27" spans="1:17" x14ac:dyDescent="0.3">
      <c r="A27" s="5" t="s">
        <v>204</v>
      </c>
      <c r="B27" s="105">
        <f>((Vcapmax*(1+ResTol)*Set_R5*1000/(((1+ResTol)*1000*Set_R5+(1-ResTol)*ActR4))/40+0.0025)*40)/(Gain*Set_Rs*(1-CSTol))</f>
        <v>38.284270963459036</v>
      </c>
      <c r="C27" s="10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</row>
    <row r="28" spans="1:17" x14ac:dyDescent="0.3">
      <c r="A28" s="5" t="s">
        <v>205</v>
      </c>
      <c r="B28" s="105">
        <f>((Vcapmin*(1-ResTol)*Set_R5*1000/(((1-ResTol)*1000*Set_R5+(1+ResTol)*ActR4))/40-0.0025)*40)/(Gain*Set_Rs*(1+CSTol))</f>
        <v>31.317269969068398</v>
      </c>
      <c r="C28" s="10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</row>
    <row r="29" spans="1:17" x14ac:dyDescent="0.3">
      <c r="A29" s="5"/>
      <c r="B29" s="10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</row>
    <row r="30" spans="1:17" x14ac:dyDescent="0.3">
      <c r="A30" s="5"/>
      <c r="B30" s="5"/>
      <c r="C30" s="5"/>
      <c r="D30" s="5"/>
      <c r="E30" s="5"/>
      <c r="F30" s="5"/>
      <c r="G30" s="5"/>
      <c r="H30" s="5"/>
      <c r="I30" s="5"/>
      <c r="J30" s="104" t="str">
        <f>IF(0.5*VI*(B35+Set_R9)/VOFLB-Set_R9&gt;0, "Use this section", "Ignore these calculations, use next section")</f>
        <v>Use this section</v>
      </c>
      <c r="K30" s="5"/>
      <c r="L30" s="5"/>
      <c r="M30" s="5"/>
      <c r="N30" s="5"/>
      <c r="O30" s="5"/>
      <c r="P30" s="5"/>
      <c r="Q30" s="5"/>
    </row>
    <row r="31" spans="1:17" x14ac:dyDescent="0.3">
      <c r="A31" s="72"/>
      <c r="B31" s="5"/>
      <c r="C31" s="5"/>
      <c r="D31" s="5"/>
      <c r="E31" s="5"/>
      <c r="F31" s="5"/>
      <c r="G31" s="5"/>
      <c r="H31" s="5"/>
      <c r="I31" s="5"/>
      <c r="J31" s="104" t="str">
        <f>IF(0.5*VI*(B35+Set_R9)/VOFLB-Set_R9&gt;0, "Ignore these calculations, use previous section", "Reverse FB and FLB connections, Set R8")</f>
        <v>Ignore these calculations, use previous section</v>
      </c>
      <c r="K31" s="5"/>
      <c r="L31" s="5"/>
      <c r="M31" s="5"/>
      <c r="N31" s="5"/>
      <c r="O31" s="5"/>
      <c r="P31" s="5"/>
      <c r="Q31" s="5"/>
    </row>
    <row r="32" spans="1:17" x14ac:dyDescent="0.3">
      <c r="A32" s="72" t="s">
        <v>157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</row>
    <row r="33" spans="1:17" x14ac:dyDescent="0.3">
      <c r="A33" s="5" t="s">
        <v>152</v>
      </c>
      <c r="B33" s="5">
        <f>'Design Worksheet_BAT'!B41</f>
        <v>21</v>
      </c>
      <c r="C33" s="5" t="s">
        <v>151</v>
      </c>
      <c r="D33" s="5"/>
      <c r="E33" s="5"/>
      <c r="F33" s="5"/>
      <c r="G33" s="5"/>
      <c r="H33" s="5"/>
      <c r="I33" s="5"/>
      <c r="J33" s="5" t="str">
        <f>A36</f>
        <v>Set FLB Threshold</v>
      </c>
      <c r="K33" s="5">
        <f>VOFLB</f>
        <v>14</v>
      </c>
      <c r="L33" s="5"/>
      <c r="M33" s="5"/>
      <c r="N33" s="5"/>
      <c r="O33" s="5"/>
      <c r="P33" s="5"/>
      <c r="Q33" s="5"/>
    </row>
    <row r="34" spans="1:17" x14ac:dyDescent="0.3">
      <c r="A34" s="103" t="s">
        <v>190</v>
      </c>
      <c r="B34" s="5">
        <f>'Design Worksheet_BAT'!B45</f>
        <v>15</v>
      </c>
      <c r="C34" s="5"/>
      <c r="D34" s="5"/>
      <c r="E34" s="5"/>
      <c r="F34" s="5"/>
      <c r="G34" s="5"/>
      <c r="H34" s="5"/>
      <c r="I34" s="5"/>
      <c r="J34" s="103" t="s">
        <v>191</v>
      </c>
      <c r="K34" s="5">
        <f>'Design Worksheet_BAT'!B54</f>
        <v>0</v>
      </c>
      <c r="L34" s="5"/>
      <c r="M34" s="5"/>
      <c r="N34" s="5"/>
      <c r="O34" s="5"/>
      <c r="P34" s="5"/>
      <c r="Q34" s="5"/>
    </row>
    <row r="35" spans="1:17" x14ac:dyDescent="0.3">
      <c r="A35" s="5" t="s">
        <v>178</v>
      </c>
      <c r="B35" s="5">
        <f>B34*(VOPG-VPG)</f>
        <v>300</v>
      </c>
      <c r="C35" s="5"/>
      <c r="D35" s="5"/>
      <c r="E35" s="5"/>
      <c r="F35" s="5"/>
      <c r="G35" s="5"/>
      <c r="H35" s="5"/>
      <c r="I35" s="5"/>
      <c r="J35" s="5" t="s">
        <v>174</v>
      </c>
      <c r="K35" s="106">
        <f>Set_R8/(VOPG-1)</f>
        <v>0</v>
      </c>
      <c r="L35" s="5"/>
      <c r="M35" s="5"/>
      <c r="N35" s="5"/>
      <c r="O35" s="5"/>
      <c r="P35" s="5"/>
      <c r="Q35" s="5"/>
    </row>
    <row r="36" spans="1:17" x14ac:dyDescent="0.3">
      <c r="A36" s="5" t="s">
        <v>153</v>
      </c>
      <c r="B36" s="5">
        <f>'Design Worksheet_BAT'!B42</f>
        <v>14</v>
      </c>
      <c r="C36" s="5" t="s">
        <v>154</v>
      </c>
      <c r="D36" s="5" t="s">
        <v>165</v>
      </c>
      <c r="E36" s="5" t="s">
        <v>166</v>
      </c>
      <c r="F36" s="5" t="s">
        <v>168</v>
      </c>
      <c r="G36" s="5" t="s">
        <v>169</v>
      </c>
      <c r="H36" s="7" t="s">
        <v>167</v>
      </c>
      <c r="I36" s="5"/>
      <c r="J36" s="5" t="s">
        <v>175</v>
      </c>
      <c r="K36" s="5">
        <f>VOPG</f>
        <v>21</v>
      </c>
      <c r="L36" s="5"/>
      <c r="M36" s="5" t="s">
        <v>165</v>
      </c>
      <c r="N36" s="5" t="s">
        <v>166</v>
      </c>
      <c r="O36" s="5" t="s">
        <v>168</v>
      </c>
      <c r="P36" s="5" t="s">
        <v>169</v>
      </c>
      <c r="Q36" s="7" t="s">
        <v>167</v>
      </c>
    </row>
    <row r="37" spans="1:17" x14ac:dyDescent="0.3">
      <c r="A37" s="5" t="s">
        <v>155</v>
      </c>
      <c r="B37" s="106">
        <f>0.5*VI*($B$35+Set_R9)/VOFLB-Set_R9</f>
        <v>0.75000000000000178</v>
      </c>
      <c r="C37" s="5" t="s">
        <v>142</v>
      </c>
      <c r="D37" s="5">
        <f>INDEX( 'Resistor Table'!$A$1:$A$481,MATCH(1000*$B37, 'Resistor Table'!$A$1:$A$481, 1))</f>
        <v>750</v>
      </c>
      <c r="E37" s="5">
        <f>INDEX( 'Resistor Table'!$B$1:$B$481,MATCH(1000*$B37, 'Resistor Table'!$B$1:$B$481, -1))</f>
        <v>768</v>
      </c>
      <c r="F37" s="5">
        <f>ABS(1-D37/(1000*B37))</f>
        <v>2.4424906541753444E-15</v>
      </c>
      <c r="G37" s="5">
        <f>ABS(1-E37/(1000*B37))</f>
        <v>2.3999999999997579E-2</v>
      </c>
      <c r="H37" s="7">
        <f>IF(F37&lt;G37, D37, E37)</f>
        <v>750</v>
      </c>
      <c r="I37" s="5"/>
      <c r="J37" s="5" t="s">
        <v>176</v>
      </c>
      <c r="K37" s="106">
        <f>0.5*VI*(K35+Set_R8)/K33</f>
        <v>0</v>
      </c>
      <c r="L37" s="5" t="s">
        <v>142</v>
      </c>
      <c r="M37" s="5" t="e">
        <f>INDEX( 'Resistor Table'!$A$1:$A$481,MATCH(1000*$K37, 'Resistor Table'!$A$1:$A$481, 1))</f>
        <v>#N/A</v>
      </c>
      <c r="N37" s="5">
        <f>INDEX( 'Resistor Table'!$B$1:$B$481,MATCH(1000*$K37, 'Resistor Table'!$B$1:$B$481, -1))</f>
        <v>100</v>
      </c>
      <c r="O37" s="5" t="e">
        <f>ABS(1-M37/(1000*K37))</f>
        <v>#N/A</v>
      </c>
      <c r="P37" s="5" t="e">
        <f>ABS(1-N37/(1000*K37))</f>
        <v>#DIV/0!</v>
      </c>
      <c r="Q37" s="7" t="e">
        <f>IF(O37&lt;P37, M37, N37)</f>
        <v>#N/A</v>
      </c>
    </row>
    <row r="38" spans="1:17" x14ac:dyDescent="0.3">
      <c r="A38" s="5" t="s">
        <v>156</v>
      </c>
      <c r="B38" s="106">
        <f>B35-B37</f>
        <v>299.25</v>
      </c>
      <c r="C38" s="5" t="s">
        <v>142</v>
      </c>
      <c r="D38" s="5">
        <f>INDEX( 'Resistor Table'!$A$1:$A$481,MATCH(1000*$B38, 'Resistor Table'!$A$1:$A$481, 1))</f>
        <v>294000</v>
      </c>
      <c r="E38" s="5">
        <f>INDEX( 'Resistor Table'!$B$1:$B$481,MATCH(1000*$B38, 'Resistor Table'!$B$1:$B$481, -1))</f>
        <v>301000</v>
      </c>
      <c r="F38" s="5">
        <f>ABS(1-D38/(1000*B38))</f>
        <v>1.7543859649122862E-2</v>
      </c>
      <c r="G38" s="5">
        <f>ABS(1-E38/(1000*B38))</f>
        <v>5.8479532163742132E-3</v>
      </c>
      <c r="H38" s="7">
        <f>IF(F38&lt;G38, D38, E38)</f>
        <v>301000</v>
      </c>
      <c r="I38" s="5"/>
      <c r="J38" s="5" t="s">
        <v>155</v>
      </c>
      <c r="K38" s="106">
        <f>K35-K37</f>
        <v>0</v>
      </c>
      <c r="L38" s="5" t="s">
        <v>142</v>
      </c>
      <c r="M38" s="5" t="e">
        <f>INDEX( 'Resistor Table'!$A$1:$A$481,MATCH(1000*$K38, 'Resistor Table'!$A$1:$A$481, 1))</f>
        <v>#N/A</v>
      </c>
      <c r="N38" s="5">
        <f>INDEX( 'Resistor Table'!$B$1:$B$481,MATCH(1000*$K38, 'Resistor Table'!$B$1:$B$481, -1))</f>
        <v>100</v>
      </c>
      <c r="O38" s="5" t="e">
        <f>ABS(1-M38/(1000*K38))</f>
        <v>#N/A</v>
      </c>
      <c r="P38" s="5" t="e">
        <f>ABS(1-N38/(1000*K38))</f>
        <v>#DIV/0!</v>
      </c>
      <c r="Q38" s="7" t="e">
        <f>IF(O38&lt;P38, M38, N38)</f>
        <v>#N/A</v>
      </c>
    </row>
    <row r="39" spans="1:17" x14ac:dyDescent="0.3">
      <c r="A39" s="5" t="s">
        <v>173</v>
      </c>
      <c r="B39" s="101">
        <f>(1000*Set_R9+ActR7+ActR8)/(1000*Set_R9)</f>
        <v>21.116666666666667</v>
      </c>
      <c r="C39" s="5"/>
      <c r="D39" s="5"/>
      <c r="E39" s="5"/>
      <c r="F39" s="5"/>
      <c r="G39" s="5"/>
      <c r="H39" s="5"/>
      <c r="I39" s="5"/>
      <c r="J39" s="5" t="str">
        <f>A39</f>
        <v>Calc actual PG</v>
      </c>
      <c r="K39" s="101" t="e">
        <f>(1000*Set_R8+ActR7_sw+ActR9_sw)/(ActR9_sw+ActR7_sw)</f>
        <v>#N/A</v>
      </c>
      <c r="L39" s="5"/>
      <c r="M39" s="5"/>
      <c r="N39" s="5"/>
      <c r="O39" s="5"/>
      <c r="P39" s="5"/>
      <c r="Q39" s="5"/>
    </row>
    <row r="40" spans="1:17" x14ac:dyDescent="0.3">
      <c r="A40" s="5" t="s">
        <v>179</v>
      </c>
      <c r="B40" s="105">
        <f>VOFLB/4*(1000*Set_R9+ActR7)/((1000*Set_R9+ActR7+ActR8)*(Set_Rs*Gain/2))</f>
        <v>8.7016574585635365</v>
      </c>
      <c r="C40" s="5"/>
      <c r="D40" s="5"/>
      <c r="E40" s="5"/>
      <c r="F40" s="5"/>
      <c r="G40" s="5"/>
      <c r="H40" s="5"/>
      <c r="I40" s="5"/>
      <c r="J40" s="5" t="str">
        <f>A40</f>
        <v>Calc OC @ VoFLB/4</v>
      </c>
      <c r="K40" s="105" t="e">
        <f>VI/4*(1000*Set_R8)/((1000*Set_R8+ActR7_sw+ActR9_sw)*(Set_Rs*Gain/2))</f>
        <v>#N/A</v>
      </c>
      <c r="L40" s="5"/>
      <c r="M40" s="5"/>
      <c r="N40" s="5"/>
      <c r="O40" s="5"/>
      <c r="P40" s="5"/>
      <c r="Q40" s="5"/>
    </row>
    <row r="41" spans="1:17" x14ac:dyDescent="0.3">
      <c r="A41" s="5"/>
      <c r="B41" s="105"/>
      <c r="C41" s="5"/>
      <c r="D41" s="5"/>
      <c r="E41" s="5"/>
      <c r="F41" s="5"/>
      <c r="G41" s="5"/>
      <c r="H41" s="5"/>
      <c r="I41" s="5"/>
      <c r="J41" s="5"/>
      <c r="K41" s="105"/>
      <c r="L41" s="5"/>
      <c r="M41" s="5"/>
      <c r="N41" s="5"/>
      <c r="O41" s="5"/>
      <c r="P41" s="5"/>
      <c r="Q41" s="5"/>
    </row>
    <row r="42" spans="1:17" x14ac:dyDescent="0.3">
      <c r="A42" s="5" t="s">
        <v>206</v>
      </c>
      <c r="B42" s="101">
        <f>VPGmax*((1-ResTol)*1000*Set_R9+(1+ResTol)*(ActR7+ActR8))/((1-ResTol)*1000*Set_R9)</f>
        <v>21.738294612794611</v>
      </c>
      <c r="C42" s="5"/>
      <c r="D42" s="5"/>
      <c r="E42" s="5"/>
      <c r="F42" s="5"/>
      <c r="G42" s="5"/>
      <c r="H42" s="5"/>
      <c r="I42" s="5"/>
      <c r="J42" s="5" t="s">
        <v>206</v>
      </c>
      <c r="K42" s="101" t="e">
        <f>VPGmax*((1+ResTol)*1000*Set_R8+(1-ResTol)*(ActR7_sw+ActR9_sw))/((1-ResTol)*(ActR9_sw+ActR7_sw))</f>
        <v>#N/A</v>
      </c>
      <c r="L42" s="5"/>
      <c r="M42" s="5"/>
      <c r="N42" s="5"/>
      <c r="O42" s="5"/>
      <c r="P42" s="5"/>
      <c r="Q42" s="5"/>
    </row>
    <row r="43" spans="1:17" x14ac:dyDescent="0.3">
      <c r="A43" s="5" t="s">
        <v>207</v>
      </c>
      <c r="B43" s="101">
        <f>VPGmin*((1+ResTol)*1000*Set_R9+(1-ResTol)*(ActR7+ActR8))/((1+ResTol)*1000*Set_R9)</f>
        <v>20.511133663366337</v>
      </c>
      <c r="C43" s="5"/>
      <c r="D43" s="5"/>
      <c r="E43" s="5"/>
      <c r="F43" s="5"/>
      <c r="G43" s="5"/>
      <c r="H43" s="5"/>
      <c r="I43" s="5"/>
      <c r="J43" s="5" t="s">
        <v>207</v>
      </c>
      <c r="K43" s="101" t="e">
        <f>VPGmin*((1-ResTol)*1000*Set_R8+(1+ResTol)*(ActR7_sw+ActR9_sw))/((1+ResTol)*(ActR9_sw+ActR7_sw))</f>
        <v>#N/A</v>
      </c>
      <c r="L43" s="5"/>
      <c r="M43" s="5"/>
      <c r="N43" s="5"/>
      <c r="O43" s="5"/>
      <c r="P43" s="5"/>
      <c r="Q43" s="5"/>
    </row>
    <row r="44" spans="1:17" x14ac:dyDescent="0.3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</row>
    <row r="45" spans="1:17" x14ac:dyDescent="0.3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</row>
    <row r="46" spans="1:17" x14ac:dyDescent="0.3">
      <c r="A46" s="72" t="s">
        <v>158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</row>
    <row r="47" spans="1:17" x14ac:dyDescent="0.3">
      <c r="A47" s="103" t="s">
        <v>208</v>
      </c>
      <c r="B47" s="5">
        <f>'Design Worksheet_BAT'!B67</f>
        <v>10</v>
      </c>
      <c r="C47" s="5" t="s">
        <v>160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</row>
    <row r="48" spans="1:17" x14ac:dyDescent="0.3">
      <c r="A48" s="5" t="s">
        <v>159</v>
      </c>
      <c r="B48" s="5">
        <f>1000000000*(Tinit*0.001*-IPOR*0.000001/TimerOffH)</f>
        <v>100</v>
      </c>
      <c r="C48" s="5" t="s">
        <v>161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</row>
    <row r="49" spans="1:17" x14ac:dyDescent="0.3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</row>
    <row r="50" spans="1:17" x14ac:dyDescent="0.3">
      <c r="A50" s="5" t="s">
        <v>209</v>
      </c>
      <c r="B50" s="5">
        <f>1000*(1+CapTol)*B$48*0.000000001*TimerOffHmax/(-IPORmin*0.000001)</f>
        <v>12.466666666666667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</row>
    <row r="51" spans="1:17" x14ac:dyDescent="0.3">
      <c r="A51" s="5" t="s">
        <v>210</v>
      </c>
      <c r="B51" s="5">
        <f>(1000*1-CapTol)*B$48*0.000000001*TimerOffHmin/(-IPORmax*0.000001)</f>
        <v>8.9082000000000008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</row>
    <row r="52" spans="1:17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</row>
    <row r="53" spans="1:17" x14ac:dyDescent="0.3">
      <c r="A53" s="103" t="s">
        <v>195</v>
      </c>
      <c r="B53" s="5">
        <f>'Design Worksheet_BAT'!B73</f>
        <v>200</v>
      </c>
      <c r="C53" s="5" t="s">
        <v>160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</row>
    <row r="54" spans="1:17" x14ac:dyDescent="0.3">
      <c r="A54" s="5" t="s">
        <v>162</v>
      </c>
      <c r="B54" s="5">
        <f>1000000000*(Set_TimerOff*0.001*-TimerOff*0.000001/TimerOffH)</f>
        <v>100</v>
      </c>
      <c r="C54" s="5" t="s">
        <v>161</v>
      </c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</row>
    <row r="55" spans="1:17" x14ac:dyDescent="0.3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</row>
    <row r="56" spans="1:17" x14ac:dyDescent="0.3">
      <c r="A56" s="5" t="s">
        <v>211</v>
      </c>
      <c r="B56" s="5">
        <f>1000*((1+CapTol)*B$54*0.000000001*TimerOffHmax)/(-TimerOffmin*0.000001)</f>
        <v>280.50000000000011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</row>
    <row r="57" spans="1:17" x14ac:dyDescent="0.3">
      <c r="A57" s="5" t="s">
        <v>212</v>
      </c>
      <c r="B57" s="5">
        <f>1000*((1-CapTol)*B$54*0.000000001*TimerOffHmin)/(-TimeOffmax*0.000001)</f>
        <v>147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</row>
    <row r="58" spans="1:17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</row>
    <row r="59" spans="1:17" x14ac:dyDescent="0.3">
      <c r="A59" s="5"/>
      <c r="B59" s="5" t="s">
        <v>217</v>
      </c>
      <c r="C59" s="103" t="s">
        <v>196</v>
      </c>
      <c r="D59" s="5" t="s">
        <v>198</v>
      </c>
      <c r="E59" s="103" t="s">
        <v>197</v>
      </c>
      <c r="F59" s="103" t="s">
        <v>199</v>
      </c>
      <c r="G59" s="103" t="s">
        <v>216</v>
      </c>
      <c r="H59" s="5" t="s">
        <v>217</v>
      </c>
      <c r="I59" s="103" t="s">
        <v>196</v>
      </c>
      <c r="J59" s="5" t="s">
        <v>198</v>
      </c>
      <c r="K59" s="5" t="s">
        <v>197</v>
      </c>
      <c r="L59" s="103" t="s">
        <v>199</v>
      </c>
      <c r="M59" s="103" t="s">
        <v>216</v>
      </c>
      <c r="N59" s="5"/>
      <c r="O59" s="5"/>
      <c r="P59" s="5"/>
      <c r="Q59" s="5"/>
    </row>
    <row r="60" spans="1:17" x14ac:dyDescent="0.3">
      <c r="A60" s="5"/>
      <c r="B60" s="5">
        <v>1.1000000000000001</v>
      </c>
      <c r="C60" s="5">
        <f t="shared" ref="C60:C123" si="0">B60*VOFLB</f>
        <v>15.400000000000002</v>
      </c>
      <c r="D60" s="5">
        <f t="shared" ref="D60:D123" si="1">C60*(ActR7+1000*Set_R9)/(ActR7+ActR8+Set_R9*1000)</f>
        <v>0.76574585635359127</v>
      </c>
      <c r="E60" s="107">
        <f t="shared" ref="E60:E123" si="2">IF(C60*(1000*Set_R9+ActR7)/((1000*Set_R9+ActR7+ActR8)*(Set_Rs*Gain/2))&gt;B$25,B$25,C60*(1000*Set_R9+ActR7)/((1000*Set_R9+ActR7+ActR8)*(Set_Rs*Gain/2)))</f>
        <v>34.789915966386552</v>
      </c>
      <c r="F60" s="5">
        <f t="shared" ref="F60:F123" si="3">IF(D60&lt;0.2,0.2/(Set_Rs*Gain/2),E60)</f>
        <v>34.789915966386552</v>
      </c>
      <c r="G60" s="5">
        <f>(C$60-C60)*F60</f>
        <v>0</v>
      </c>
      <c r="H60" s="5">
        <v>1.2</v>
      </c>
      <c r="I60" s="5">
        <f t="shared" ref="I60:I123" si="4">H60*VOFLB</f>
        <v>16.8</v>
      </c>
      <c r="J60" s="5" t="e">
        <f t="shared" ref="J60:J123" si="5">I60*ActR9_sw/(ActR7_sw+ActR9_sw+Set_R8*1000)</f>
        <v>#N/A</v>
      </c>
      <c r="K60" s="108" t="e">
        <f t="shared" ref="K60:K123" si="6">IF(J60/(0.5*Set_Rs*Gain) &gt;B$25,B$25,J60/(0.5*Set_Rs*Gain))</f>
        <v>#N/A</v>
      </c>
      <c r="L60" s="108" t="e">
        <f t="shared" ref="L60:L123" si="7">IF(J60&lt;0.2,0.2/(0.5*Set_Rs*Gain),K60)</f>
        <v>#N/A</v>
      </c>
      <c r="M60" s="5" t="e">
        <f>(I$60-I60)*L60</f>
        <v>#N/A</v>
      </c>
      <c r="N60" s="5"/>
      <c r="O60" s="5"/>
      <c r="P60" s="5"/>
      <c r="Q60" s="5"/>
    </row>
    <row r="61" spans="1:17" x14ac:dyDescent="0.3">
      <c r="A61" s="5"/>
      <c r="B61" s="5">
        <v>1.095</v>
      </c>
      <c r="C61" s="5">
        <f t="shared" si="0"/>
        <v>15.33</v>
      </c>
      <c r="D61" s="5">
        <f t="shared" si="1"/>
        <v>0.76226519337016574</v>
      </c>
      <c r="E61" s="107">
        <f t="shared" si="2"/>
        <v>34.789915966386552</v>
      </c>
      <c r="F61" s="5">
        <f t="shared" si="3"/>
        <v>34.789915966386552</v>
      </c>
      <c r="G61" s="5">
        <f t="shared" ref="G61:G124" si="8">(C$60-C61)*F61</f>
        <v>2.4352941176471301</v>
      </c>
      <c r="H61" s="5">
        <v>1.1950000000000001</v>
      </c>
      <c r="I61" s="5">
        <f t="shared" si="4"/>
        <v>16.73</v>
      </c>
      <c r="J61" s="5" t="e">
        <f t="shared" si="5"/>
        <v>#N/A</v>
      </c>
      <c r="K61" s="108" t="e">
        <f t="shared" si="6"/>
        <v>#N/A</v>
      </c>
      <c r="L61" s="108" t="e">
        <f t="shared" si="7"/>
        <v>#N/A</v>
      </c>
      <c r="M61" s="5" t="e">
        <f t="shared" ref="M61:M124" si="9">(I$60-I61)*L61</f>
        <v>#N/A</v>
      </c>
      <c r="N61" s="5"/>
      <c r="O61" s="5"/>
      <c r="P61" s="5"/>
      <c r="Q61" s="5"/>
    </row>
    <row r="62" spans="1:17" x14ac:dyDescent="0.3">
      <c r="A62" s="5"/>
      <c r="B62" s="5">
        <v>1.0900000000000001</v>
      </c>
      <c r="C62" s="5">
        <f t="shared" si="0"/>
        <v>15.260000000000002</v>
      </c>
      <c r="D62" s="5">
        <f t="shared" si="1"/>
        <v>0.75878453038674043</v>
      </c>
      <c r="E62" s="107">
        <f t="shared" si="2"/>
        <v>34.789915966386552</v>
      </c>
      <c r="F62" s="5">
        <f t="shared" si="3"/>
        <v>34.789915966386552</v>
      </c>
      <c r="G62" s="5">
        <f t="shared" si="8"/>
        <v>4.8705882352941368</v>
      </c>
      <c r="H62" s="5">
        <v>1.19</v>
      </c>
      <c r="I62" s="5">
        <f t="shared" si="4"/>
        <v>16.66</v>
      </c>
      <c r="J62" s="5" t="e">
        <f t="shared" si="5"/>
        <v>#N/A</v>
      </c>
      <c r="K62" s="108" t="e">
        <f t="shared" si="6"/>
        <v>#N/A</v>
      </c>
      <c r="L62" s="108" t="e">
        <f t="shared" si="7"/>
        <v>#N/A</v>
      </c>
      <c r="M62" s="5" t="e">
        <f t="shared" si="9"/>
        <v>#N/A</v>
      </c>
      <c r="N62" s="5"/>
      <c r="O62" s="5"/>
      <c r="P62" s="5"/>
      <c r="Q62" s="5"/>
    </row>
    <row r="63" spans="1:17" x14ac:dyDescent="0.3">
      <c r="A63" s="5"/>
      <c r="B63" s="5">
        <v>1.085</v>
      </c>
      <c r="C63" s="5">
        <f t="shared" si="0"/>
        <v>15.19</v>
      </c>
      <c r="D63" s="5">
        <f t="shared" si="1"/>
        <v>0.7553038674033149</v>
      </c>
      <c r="E63" s="107">
        <f t="shared" si="2"/>
        <v>34.789915966386552</v>
      </c>
      <c r="F63" s="5">
        <f t="shared" si="3"/>
        <v>34.789915966386552</v>
      </c>
      <c r="G63" s="5">
        <f t="shared" si="8"/>
        <v>7.3058823529412678</v>
      </c>
      <c r="H63" s="5">
        <v>1.1850000000000001</v>
      </c>
      <c r="I63" s="5">
        <f t="shared" si="4"/>
        <v>16.59</v>
      </c>
      <c r="J63" s="5" t="e">
        <f t="shared" si="5"/>
        <v>#N/A</v>
      </c>
      <c r="K63" s="108" t="e">
        <f t="shared" si="6"/>
        <v>#N/A</v>
      </c>
      <c r="L63" s="108" t="e">
        <f t="shared" si="7"/>
        <v>#N/A</v>
      </c>
      <c r="M63" s="5" t="e">
        <f t="shared" si="9"/>
        <v>#N/A</v>
      </c>
      <c r="N63" s="5"/>
      <c r="O63" s="5"/>
      <c r="P63" s="5"/>
      <c r="Q63" s="5"/>
    </row>
    <row r="64" spans="1:17" x14ac:dyDescent="0.3">
      <c r="A64" s="5"/>
      <c r="B64" s="5">
        <v>1.08</v>
      </c>
      <c r="C64" s="5">
        <f t="shared" si="0"/>
        <v>15.120000000000001</v>
      </c>
      <c r="D64" s="5">
        <f t="shared" si="1"/>
        <v>0.75182320441988959</v>
      </c>
      <c r="E64" s="107">
        <f t="shared" si="2"/>
        <v>34.789915966386552</v>
      </c>
      <c r="F64" s="5">
        <f t="shared" si="3"/>
        <v>34.789915966386552</v>
      </c>
      <c r="G64" s="5">
        <f t="shared" si="8"/>
        <v>9.7411764705882735</v>
      </c>
      <c r="H64" s="5">
        <v>1.18</v>
      </c>
      <c r="I64" s="5">
        <f t="shared" si="4"/>
        <v>16.52</v>
      </c>
      <c r="J64" s="5" t="e">
        <f t="shared" si="5"/>
        <v>#N/A</v>
      </c>
      <c r="K64" s="108" t="e">
        <f t="shared" si="6"/>
        <v>#N/A</v>
      </c>
      <c r="L64" s="108" t="e">
        <f t="shared" si="7"/>
        <v>#N/A</v>
      </c>
      <c r="M64" s="5" t="e">
        <f t="shared" si="9"/>
        <v>#N/A</v>
      </c>
      <c r="N64" s="5"/>
      <c r="O64" s="5"/>
      <c r="P64" s="5"/>
      <c r="Q64" s="5"/>
    </row>
    <row r="65" spans="1:17" x14ac:dyDescent="0.3">
      <c r="A65" s="5"/>
      <c r="B65" s="5">
        <v>1.075</v>
      </c>
      <c r="C65" s="5">
        <f t="shared" si="0"/>
        <v>15.049999999999999</v>
      </c>
      <c r="D65" s="5">
        <f t="shared" si="1"/>
        <v>0.74834254143646395</v>
      </c>
      <c r="E65" s="107">
        <f t="shared" si="2"/>
        <v>34.789915966386552</v>
      </c>
      <c r="F65" s="5">
        <f t="shared" si="3"/>
        <v>34.789915966386552</v>
      </c>
      <c r="G65" s="5">
        <f t="shared" si="8"/>
        <v>12.176470588235404</v>
      </c>
      <c r="H65" s="5">
        <v>1.175</v>
      </c>
      <c r="I65" s="5">
        <f t="shared" si="4"/>
        <v>16.45</v>
      </c>
      <c r="J65" s="5" t="e">
        <f t="shared" si="5"/>
        <v>#N/A</v>
      </c>
      <c r="K65" s="108" t="e">
        <f t="shared" si="6"/>
        <v>#N/A</v>
      </c>
      <c r="L65" s="108" t="e">
        <f t="shared" si="7"/>
        <v>#N/A</v>
      </c>
      <c r="M65" s="5" t="e">
        <f t="shared" si="9"/>
        <v>#N/A</v>
      </c>
      <c r="N65" s="5"/>
      <c r="O65" s="5"/>
      <c r="P65" s="5"/>
      <c r="Q65" s="5"/>
    </row>
    <row r="66" spans="1:17" x14ac:dyDescent="0.3">
      <c r="A66" s="5"/>
      <c r="B66" s="5">
        <v>1.07</v>
      </c>
      <c r="C66" s="5">
        <f t="shared" si="0"/>
        <v>14.98</v>
      </c>
      <c r="D66" s="5">
        <f t="shared" si="1"/>
        <v>0.74486187845303864</v>
      </c>
      <c r="E66" s="107">
        <f t="shared" si="2"/>
        <v>34.789915966386552</v>
      </c>
      <c r="F66" s="5">
        <f t="shared" si="3"/>
        <v>34.789915966386552</v>
      </c>
      <c r="G66" s="5">
        <f t="shared" si="8"/>
        <v>14.611764705882411</v>
      </c>
      <c r="H66" s="5">
        <v>1.17</v>
      </c>
      <c r="I66" s="5">
        <f t="shared" si="4"/>
        <v>16.38</v>
      </c>
      <c r="J66" s="5" t="e">
        <f t="shared" si="5"/>
        <v>#N/A</v>
      </c>
      <c r="K66" s="108" t="e">
        <f t="shared" si="6"/>
        <v>#N/A</v>
      </c>
      <c r="L66" s="108" t="e">
        <f t="shared" si="7"/>
        <v>#N/A</v>
      </c>
      <c r="M66" s="5" t="e">
        <f t="shared" si="9"/>
        <v>#N/A</v>
      </c>
      <c r="N66" s="5"/>
      <c r="O66" s="5"/>
      <c r="P66" s="5"/>
      <c r="Q66" s="5"/>
    </row>
    <row r="67" spans="1:17" x14ac:dyDescent="0.3">
      <c r="A67" s="5"/>
      <c r="B67" s="5">
        <v>1.0649999999999999</v>
      </c>
      <c r="C67" s="5">
        <f t="shared" si="0"/>
        <v>14.91</v>
      </c>
      <c r="D67" s="5">
        <f t="shared" si="1"/>
        <v>0.74138121546961322</v>
      </c>
      <c r="E67" s="107">
        <f t="shared" si="2"/>
        <v>34.789915966386552</v>
      </c>
      <c r="F67" s="5">
        <f t="shared" si="3"/>
        <v>34.789915966386552</v>
      </c>
      <c r="G67" s="5">
        <f t="shared" si="8"/>
        <v>17.047058823529479</v>
      </c>
      <c r="H67" s="5">
        <v>1.165</v>
      </c>
      <c r="I67" s="5">
        <f t="shared" si="4"/>
        <v>16.310000000000002</v>
      </c>
      <c r="J67" s="5" t="e">
        <f t="shared" si="5"/>
        <v>#N/A</v>
      </c>
      <c r="K67" s="108" t="e">
        <f t="shared" si="6"/>
        <v>#N/A</v>
      </c>
      <c r="L67" s="108" t="e">
        <f t="shared" si="7"/>
        <v>#N/A</v>
      </c>
      <c r="M67" s="5" t="e">
        <f t="shared" si="9"/>
        <v>#N/A</v>
      </c>
      <c r="N67" s="5"/>
      <c r="O67" s="5"/>
      <c r="P67" s="5"/>
      <c r="Q67" s="5"/>
    </row>
    <row r="68" spans="1:17" x14ac:dyDescent="0.3">
      <c r="A68" s="5"/>
      <c r="B68" s="5">
        <v>1.06</v>
      </c>
      <c r="C68" s="5">
        <f t="shared" si="0"/>
        <v>14.84</v>
      </c>
      <c r="D68" s="5">
        <f t="shared" si="1"/>
        <v>0.7379005524861878</v>
      </c>
      <c r="E68" s="107">
        <f t="shared" si="2"/>
        <v>34.789915966386552</v>
      </c>
      <c r="F68" s="5">
        <f t="shared" si="3"/>
        <v>34.789915966386552</v>
      </c>
      <c r="G68" s="5">
        <f t="shared" si="8"/>
        <v>19.482352941176547</v>
      </c>
      <c r="H68" s="5">
        <v>1.1599999999999999</v>
      </c>
      <c r="I68" s="5">
        <f t="shared" si="4"/>
        <v>16.239999999999998</v>
      </c>
      <c r="J68" s="5" t="e">
        <f t="shared" si="5"/>
        <v>#N/A</v>
      </c>
      <c r="K68" s="108" t="e">
        <f t="shared" si="6"/>
        <v>#N/A</v>
      </c>
      <c r="L68" s="108" t="e">
        <f t="shared" si="7"/>
        <v>#N/A</v>
      </c>
      <c r="M68" s="5" t="e">
        <f t="shared" si="9"/>
        <v>#N/A</v>
      </c>
      <c r="N68" s="5"/>
      <c r="O68" s="5"/>
      <c r="P68" s="5"/>
      <c r="Q68" s="5"/>
    </row>
    <row r="69" spans="1:17" x14ac:dyDescent="0.3">
      <c r="A69" s="5"/>
      <c r="B69" s="5">
        <v>1.0549999999999999</v>
      </c>
      <c r="C69" s="5">
        <f t="shared" si="0"/>
        <v>14.77</v>
      </c>
      <c r="D69" s="5">
        <f t="shared" si="1"/>
        <v>0.73441988950276238</v>
      </c>
      <c r="E69" s="107">
        <f t="shared" si="2"/>
        <v>34.789915966386552</v>
      </c>
      <c r="F69" s="5">
        <f t="shared" si="3"/>
        <v>34.789915966386552</v>
      </c>
      <c r="G69" s="5">
        <f t="shared" si="8"/>
        <v>21.917647058823615</v>
      </c>
      <c r="H69" s="5">
        <v>1.155</v>
      </c>
      <c r="I69" s="5">
        <f t="shared" si="4"/>
        <v>16.170000000000002</v>
      </c>
      <c r="J69" s="5" t="e">
        <f t="shared" si="5"/>
        <v>#N/A</v>
      </c>
      <c r="K69" s="108" t="e">
        <f t="shared" si="6"/>
        <v>#N/A</v>
      </c>
      <c r="L69" s="108" t="e">
        <f t="shared" si="7"/>
        <v>#N/A</v>
      </c>
      <c r="M69" s="5" t="e">
        <f t="shared" si="9"/>
        <v>#N/A</v>
      </c>
      <c r="N69" s="5"/>
      <c r="O69" s="5"/>
      <c r="P69" s="5"/>
      <c r="Q69" s="5"/>
    </row>
    <row r="70" spans="1:17" x14ac:dyDescent="0.3">
      <c r="A70" s="5"/>
      <c r="B70" s="5">
        <v>1.05</v>
      </c>
      <c r="C70" s="5">
        <f t="shared" si="0"/>
        <v>14.700000000000001</v>
      </c>
      <c r="D70" s="5">
        <f t="shared" si="1"/>
        <v>0.73093922651933707</v>
      </c>
      <c r="E70" s="107">
        <f t="shared" si="2"/>
        <v>34.789915966386552</v>
      </c>
      <c r="F70" s="5">
        <f t="shared" si="3"/>
        <v>34.789915966386552</v>
      </c>
      <c r="G70" s="5">
        <f t="shared" si="8"/>
        <v>24.352941176470623</v>
      </c>
      <c r="H70" s="5">
        <v>1.1499999999999999</v>
      </c>
      <c r="I70" s="5">
        <f t="shared" si="4"/>
        <v>16.099999999999998</v>
      </c>
      <c r="J70" s="5" t="e">
        <f t="shared" si="5"/>
        <v>#N/A</v>
      </c>
      <c r="K70" s="108" t="e">
        <f t="shared" si="6"/>
        <v>#N/A</v>
      </c>
      <c r="L70" s="108" t="e">
        <f t="shared" si="7"/>
        <v>#N/A</v>
      </c>
      <c r="M70" s="5" t="e">
        <f t="shared" si="9"/>
        <v>#N/A</v>
      </c>
      <c r="N70" s="5"/>
      <c r="O70" s="5"/>
      <c r="P70" s="5"/>
      <c r="Q70" s="5"/>
    </row>
    <row r="71" spans="1:17" x14ac:dyDescent="0.3">
      <c r="A71" s="5"/>
      <c r="B71" s="5">
        <v>1.0449999999999999</v>
      </c>
      <c r="C71" s="5">
        <f t="shared" si="0"/>
        <v>14.629999999999999</v>
      </c>
      <c r="D71" s="5">
        <f t="shared" si="1"/>
        <v>0.72745856353591154</v>
      </c>
      <c r="E71" s="107">
        <f t="shared" si="2"/>
        <v>34.789915966386552</v>
      </c>
      <c r="F71" s="5">
        <f t="shared" si="3"/>
        <v>34.789915966386552</v>
      </c>
      <c r="G71" s="5">
        <f t="shared" si="8"/>
        <v>26.788235294117754</v>
      </c>
      <c r="H71" s="5">
        <v>1.145</v>
      </c>
      <c r="I71" s="5">
        <f t="shared" si="4"/>
        <v>16.03</v>
      </c>
      <c r="J71" s="5" t="e">
        <f t="shared" si="5"/>
        <v>#N/A</v>
      </c>
      <c r="K71" s="108" t="e">
        <f t="shared" si="6"/>
        <v>#N/A</v>
      </c>
      <c r="L71" s="108" t="e">
        <f t="shared" si="7"/>
        <v>#N/A</v>
      </c>
      <c r="M71" s="5" t="e">
        <f t="shared" si="9"/>
        <v>#N/A</v>
      </c>
      <c r="N71" s="5"/>
      <c r="O71" s="5"/>
      <c r="P71" s="5"/>
      <c r="Q71" s="5"/>
    </row>
    <row r="72" spans="1:17" x14ac:dyDescent="0.3">
      <c r="A72" s="5"/>
      <c r="B72" s="5">
        <v>1.04</v>
      </c>
      <c r="C72" s="5">
        <f t="shared" si="0"/>
        <v>14.56</v>
      </c>
      <c r="D72" s="5">
        <f t="shared" si="1"/>
        <v>0.72397790055248623</v>
      </c>
      <c r="E72" s="107">
        <f t="shared" si="2"/>
        <v>34.789915966386552</v>
      </c>
      <c r="F72" s="5">
        <f t="shared" si="3"/>
        <v>34.789915966386552</v>
      </c>
      <c r="G72" s="5">
        <f t="shared" si="8"/>
        <v>29.223529411764762</v>
      </c>
      <c r="H72" s="5">
        <v>1.1399999999999999</v>
      </c>
      <c r="I72" s="5">
        <f t="shared" si="4"/>
        <v>15.959999999999999</v>
      </c>
      <c r="J72" s="5" t="e">
        <f t="shared" si="5"/>
        <v>#N/A</v>
      </c>
      <c r="K72" s="108" t="e">
        <f t="shared" si="6"/>
        <v>#N/A</v>
      </c>
      <c r="L72" s="108" t="e">
        <f t="shared" si="7"/>
        <v>#N/A</v>
      </c>
      <c r="M72" s="5" t="e">
        <f t="shared" si="9"/>
        <v>#N/A</v>
      </c>
      <c r="N72" s="5"/>
      <c r="O72" s="5"/>
      <c r="P72" s="5"/>
      <c r="Q72" s="5"/>
    </row>
    <row r="73" spans="1:17" x14ac:dyDescent="0.3">
      <c r="A73" s="5"/>
      <c r="B73" s="5">
        <v>1.0349999999999999</v>
      </c>
      <c r="C73" s="5">
        <f t="shared" si="0"/>
        <v>14.489999999999998</v>
      </c>
      <c r="D73" s="5">
        <f t="shared" si="1"/>
        <v>0.7204972375690607</v>
      </c>
      <c r="E73" s="107">
        <f t="shared" si="2"/>
        <v>34.789915966386552</v>
      </c>
      <c r="F73" s="5">
        <f t="shared" si="3"/>
        <v>34.789915966386552</v>
      </c>
      <c r="G73" s="5">
        <f t="shared" si="8"/>
        <v>31.65882352941189</v>
      </c>
      <c r="H73" s="5">
        <v>1.135</v>
      </c>
      <c r="I73" s="5">
        <f t="shared" si="4"/>
        <v>15.89</v>
      </c>
      <c r="J73" s="5" t="e">
        <f t="shared" si="5"/>
        <v>#N/A</v>
      </c>
      <c r="K73" s="108" t="e">
        <f t="shared" si="6"/>
        <v>#N/A</v>
      </c>
      <c r="L73" s="108" t="e">
        <f t="shared" si="7"/>
        <v>#N/A</v>
      </c>
      <c r="M73" s="5" t="e">
        <f t="shared" si="9"/>
        <v>#N/A</v>
      </c>
      <c r="N73" s="5"/>
      <c r="O73" s="5"/>
      <c r="P73" s="5"/>
      <c r="Q73" s="5"/>
    </row>
    <row r="74" spans="1:17" x14ac:dyDescent="0.3">
      <c r="A74" s="5"/>
      <c r="B74" s="5">
        <v>1.03</v>
      </c>
      <c r="C74" s="5">
        <f t="shared" si="0"/>
        <v>14.42</v>
      </c>
      <c r="D74" s="5">
        <f t="shared" si="1"/>
        <v>0.71701657458563539</v>
      </c>
      <c r="E74" s="107">
        <f t="shared" si="2"/>
        <v>34.789915966386552</v>
      </c>
      <c r="F74" s="5">
        <f t="shared" si="3"/>
        <v>34.789915966386552</v>
      </c>
      <c r="G74" s="5">
        <f t="shared" si="8"/>
        <v>34.094117647058894</v>
      </c>
      <c r="H74" s="5">
        <v>1.1299999999999999</v>
      </c>
      <c r="I74" s="5">
        <f t="shared" si="4"/>
        <v>15.819999999999999</v>
      </c>
      <c r="J74" s="5" t="e">
        <f t="shared" si="5"/>
        <v>#N/A</v>
      </c>
      <c r="K74" s="108" t="e">
        <f t="shared" si="6"/>
        <v>#N/A</v>
      </c>
      <c r="L74" s="108" t="e">
        <f t="shared" si="7"/>
        <v>#N/A</v>
      </c>
      <c r="M74" s="5" t="e">
        <f t="shared" si="9"/>
        <v>#N/A</v>
      </c>
      <c r="N74" s="5"/>
      <c r="O74" s="5"/>
      <c r="P74" s="5"/>
      <c r="Q74" s="5"/>
    </row>
    <row r="75" spans="1:17" x14ac:dyDescent="0.3">
      <c r="A75" s="5"/>
      <c r="B75" s="5">
        <v>1.0249999999999999</v>
      </c>
      <c r="C75" s="5">
        <f t="shared" si="0"/>
        <v>14.349999999999998</v>
      </c>
      <c r="D75" s="5">
        <f t="shared" si="1"/>
        <v>0.71353591160220986</v>
      </c>
      <c r="E75" s="107">
        <f t="shared" si="2"/>
        <v>34.789915966386552</v>
      </c>
      <c r="F75" s="5">
        <f t="shared" si="3"/>
        <v>34.789915966386552</v>
      </c>
      <c r="G75" s="5">
        <f t="shared" si="8"/>
        <v>36.529411764706026</v>
      </c>
      <c r="H75" s="5">
        <v>1.125</v>
      </c>
      <c r="I75" s="5">
        <f t="shared" si="4"/>
        <v>15.75</v>
      </c>
      <c r="J75" s="5" t="e">
        <f t="shared" si="5"/>
        <v>#N/A</v>
      </c>
      <c r="K75" s="108" t="e">
        <f t="shared" si="6"/>
        <v>#N/A</v>
      </c>
      <c r="L75" s="108" t="e">
        <f t="shared" si="7"/>
        <v>#N/A</v>
      </c>
      <c r="M75" s="5" t="e">
        <f t="shared" si="9"/>
        <v>#N/A</v>
      </c>
      <c r="N75" s="5"/>
      <c r="O75" s="5"/>
      <c r="P75" s="5"/>
      <c r="Q75" s="5"/>
    </row>
    <row r="76" spans="1:17" x14ac:dyDescent="0.3">
      <c r="A76" s="5"/>
      <c r="B76" s="5">
        <v>1.02</v>
      </c>
      <c r="C76" s="5">
        <f t="shared" si="0"/>
        <v>14.280000000000001</v>
      </c>
      <c r="D76" s="5">
        <f t="shared" si="1"/>
        <v>0.71005524861878466</v>
      </c>
      <c r="E76" s="107">
        <f t="shared" si="2"/>
        <v>34.789915966386552</v>
      </c>
      <c r="F76" s="5">
        <f t="shared" si="3"/>
        <v>34.789915966386552</v>
      </c>
      <c r="G76" s="5">
        <f t="shared" si="8"/>
        <v>38.964705882352973</v>
      </c>
      <c r="H76" s="5">
        <v>1.1200000000000001</v>
      </c>
      <c r="I76" s="5">
        <f t="shared" si="4"/>
        <v>15.680000000000001</v>
      </c>
      <c r="J76" s="5" t="e">
        <f t="shared" si="5"/>
        <v>#N/A</v>
      </c>
      <c r="K76" s="108" t="e">
        <f t="shared" si="6"/>
        <v>#N/A</v>
      </c>
      <c r="L76" s="108" t="e">
        <f t="shared" si="7"/>
        <v>#N/A</v>
      </c>
      <c r="M76" s="5" t="e">
        <f t="shared" si="9"/>
        <v>#N/A</v>
      </c>
      <c r="N76" s="5"/>
      <c r="O76" s="5"/>
      <c r="P76" s="5"/>
      <c r="Q76" s="5"/>
    </row>
    <row r="77" spans="1:17" x14ac:dyDescent="0.3">
      <c r="A77" s="5"/>
      <c r="B77" s="5">
        <v>1.0149999999999999</v>
      </c>
      <c r="C77" s="5">
        <f t="shared" si="0"/>
        <v>14.209999999999999</v>
      </c>
      <c r="D77" s="5">
        <f t="shared" si="1"/>
        <v>0.70657458563535913</v>
      </c>
      <c r="E77" s="107">
        <f t="shared" si="2"/>
        <v>34.789915966386552</v>
      </c>
      <c r="F77" s="5">
        <f t="shared" si="3"/>
        <v>34.789915966386552</v>
      </c>
      <c r="G77" s="5">
        <f t="shared" si="8"/>
        <v>41.400000000000105</v>
      </c>
      <c r="H77" s="5">
        <v>1.115</v>
      </c>
      <c r="I77" s="5">
        <f t="shared" si="4"/>
        <v>15.61</v>
      </c>
      <c r="J77" s="5" t="e">
        <f t="shared" si="5"/>
        <v>#N/A</v>
      </c>
      <c r="K77" s="108" t="e">
        <f t="shared" si="6"/>
        <v>#N/A</v>
      </c>
      <c r="L77" s="108" t="e">
        <f t="shared" si="7"/>
        <v>#N/A</v>
      </c>
      <c r="M77" s="5" t="e">
        <f t="shared" si="9"/>
        <v>#N/A</v>
      </c>
      <c r="N77" s="5"/>
      <c r="O77" s="5"/>
      <c r="P77" s="5"/>
      <c r="Q77" s="5"/>
    </row>
    <row r="78" spans="1:17" x14ac:dyDescent="0.3">
      <c r="A78" s="5"/>
      <c r="B78" s="5">
        <v>1.01</v>
      </c>
      <c r="C78" s="5">
        <f t="shared" si="0"/>
        <v>14.14</v>
      </c>
      <c r="D78" s="5">
        <f t="shared" si="1"/>
        <v>0.70309392265193371</v>
      </c>
      <c r="E78" s="107">
        <f t="shared" si="2"/>
        <v>34.789915966386552</v>
      </c>
      <c r="F78" s="5">
        <f t="shared" si="3"/>
        <v>34.789915966386552</v>
      </c>
      <c r="G78" s="5">
        <f t="shared" si="8"/>
        <v>43.835294117647109</v>
      </c>
      <c r="H78" s="5">
        <v>1.1100000000000001</v>
      </c>
      <c r="I78" s="5">
        <f t="shared" si="4"/>
        <v>15.540000000000001</v>
      </c>
      <c r="J78" s="5" t="e">
        <f t="shared" si="5"/>
        <v>#N/A</v>
      </c>
      <c r="K78" s="108" t="e">
        <f t="shared" si="6"/>
        <v>#N/A</v>
      </c>
      <c r="L78" s="108" t="e">
        <f t="shared" si="7"/>
        <v>#N/A</v>
      </c>
      <c r="M78" s="5" t="e">
        <f t="shared" si="9"/>
        <v>#N/A</v>
      </c>
      <c r="N78" s="5"/>
      <c r="O78" s="5"/>
      <c r="P78" s="5"/>
      <c r="Q78" s="5"/>
    </row>
    <row r="79" spans="1:17" x14ac:dyDescent="0.3">
      <c r="A79" s="5"/>
      <c r="B79" s="5">
        <v>1.0049999999999999</v>
      </c>
      <c r="C79" s="5">
        <f t="shared" si="0"/>
        <v>14.069999999999999</v>
      </c>
      <c r="D79" s="5">
        <f t="shared" si="1"/>
        <v>0.69961325966850818</v>
      </c>
      <c r="E79" s="107">
        <f t="shared" si="2"/>
        <v>34.789915966386552</v>
      </c>
      <c r="F79" s="5">
        <f t="shared" si="3"/>
        <v>34.789915966386552</v>
      </c>
      <c r="G79" s="5">
        <f t="shared" si="8"/>
        <v>46.270588235294241</v>
      </c>
      <c r="H79" s="5">
        <v>1.105</v>
      </c>
      <c r="I79" s="5">
        <f t="shared" si="4"/>
        <v>15.469999999999999</v>
      </c>
      <c r="J79" s="5" t="e">
        <f t="shared" si="5"/>
        <v>#N/A</v>
      </c>
      <c r="K79" s="108" t="e">
        <f t="shared" si="6"/>
        <v>#N/A</v>
      </c>
      <c r="L79" s="108" t="e">
        <f t="shared" si="7"/>
        <v>#N/A</v>
      </c>
      <c r="M79" s="5" t="e">
        <f t="shared" si="9"/>
        <v>#N/A</v>
      </c>
      <c r="N79" s="5"/>
      <c r="O79" s="5"/>
      <c r="P79" s="5"/>
      <c r="Q79" s="5"/>
    </row>
    <row r="80" spans="1:17" x14ac:dyDescent="0.3">
      <c r="A80" s="5"/>
      <c r="B80" s="5">
        <v>1</v>
      </c>
      <c r="C80" s="5">
        <f t="shared" si="0"/>
        <v>14</v>
      </c>
      <c r="D80" s="5">
        <f t="shared" si="1"/>
        <v>0.69613259668508287</v>
      </c>
      <c r="E80" s="107">
        <f t="shared" si="2"/>
        <v>34.789915966386552</v>
      </c>
      <c r="F80" s="5">
        <f t="shared" si="3"/>
        <v>34.789915966386552</v>
      </c>
      <c r="G80" s="5">
        <f t="shared" si="8"/>
        <v>48.705882352941245</v>
      </c>
      <c r="H80" s="5">
        <v>1.1000000000000001</v>
      </c>
      <c r="I80" s="5">
        <f t="shared" si="4"/>
        <v>15.400000000000002</v>
      </c>
      <c r="J80" s="5" t="e">
        <f t="shared" si="5"/>
        <v>#N/A</v>
      </c>
      <c r="K80" s="108" t="e">
        <f t="shared" si="6"/>
        <v>#N/A</v>
      </c>
      <c r="L80" s="108" t="e">
        <f t="shared" si="7"/>
        <v>#N/A</v>
      </c>
      <c r="M80" s="5" t="e">
        <f t="shared" si="9"/>
        <v>#N/A</v>
      </c>
      <c r="N80" s="5"/>
      <c r="O80" s="5"/>
      <c r="P80" s="5"/>
      <c r="Q80" s="5"/>
    </row>
    <row r="81" spans="1:17" x14ac:dyDescent="0.3">
      <c r="A81" s="5"/>
      <c r="B81" s="5">
        <v>0.995</v>
      </c>
      <c r="C81" s="5">
        <f t="shared" si="0"/>
        <v>13.93</v>
      </c>
      <c r="D81" s="5">
        <f t="shared" si="1"/>
        <v>0.69265193370165745</v>
      </c>
      <c r="E81" s="107">
        <f t="shared" si="2"/>
        <v>34.632596685082873</v>
      </c>
      <c r="F81" s="5">
        <f t="shared" si="3"/>
        <v>34.632596685082873</v>
      </c>
      <c r="G81" s="5">
        <f t="shared" si="8"/>
        <v>50.909917127071907</v>
      </c>
      <c r="H81" s="5">
        <v>1.095</v>
      </c>
      <c r="I81" s="5">
        <f t="shared" si="4"/>
        <v>15.33</v>
      </c>
      <c r="J81" s="5" t="e">
        <f t="shared" si="5"/>
        <v>#N/A</v>
      </c>
      <c r="K81" s="108" t="e">
        <f t="shared" si="6"/>
        <v>#N/A</v>
      </c>
      <c r="L81" s="108" t="e">
        <f t="shared" si="7"/>
        <v>#N/A</v>
      </c>
      <c r="M81" s="5" t="e">
        <f t="shared" si="9"/>
        <v>#N/A</v>
      </c>
      <c r="N81" s="5"/>
      <c r="O81" s="5"/>
      <c r="P81" s="5"/>
      <c r="Q81" s="5"/>
    </row>
    <row r="82" spans="1:17" x14ac:dyDescent="0.3">
      <c r="A82" s="5"/>
      <c r="B82" s="5">
        <v>0.99</v>
      </c>
      <c r="C82" s="5">
        <f t="shared" si="0"/>
        <v>13.86</v>
      </c>
      <c r="D82" s="5">
        <f t="shared" si="1"/>
        <v>0.68917127071823203</v>
      </c>
      <c r="E82" s="107">
        <f t="shared" si="2"/>
        <v>34.458563535911601</v>
      </c>
      <c r="F82" s="5">
        <f t="shared" si="3"/>
        <v>34.458563535911601</v>
      </c>
      <c r="G82" s="5">
        <f t="shared" si="8"/>
        <v>53.066187845303958</v>
      </c>
      <c r="H82" s="5">
        <v>1.0900000000000001</v>
      </c>
      <c r="I82" s="5">
        <f t="shared" si="4"/>
        <v>15.260000000000002</v>
      </c>
      <c r="J82" s="5" t="e">
        <f t="shared" si="5"/>
        <v>#N/A</v>
      </c>
      <c r="K82" s="108" t="e">
        <f t="shared" si="6"/>
        <v>#N/A</v>
      </c>
      <c r="L82" s="108" t="e">
        <f t="shared" si="7"/>
        <v>#N/A</v>
      </c>
      <c r="M82" s="5" t="e">
        <f t="shared" si="9"/>
        <v>#N/A</v>
      </c>
      <c r="N82" s="5"/>
      <c r="O82" s="5"/>
      <c r="P82" s="5"/>
      <c r="Q82" s="5"/>
    </row>
    <row r="83" spans="1:17" x14ac:dyDescent="0.3">
      <c r="A83" s="5"/>
      <c r="B83" s="5">
        <v>0.98499999999999999</v>
      </c>
      <c r="C83" s="5">
        <f t="shared" si="0"/>
        <v>13.79</v>
      </c>
      <c r="D83" s="5">
        <f t="shared" si="1"/>
        <v>0.68569060773480661</v>
      </c>
      <c r="E83" s="107">
        <f t="shared" si="2"/>
        <v>34.284530386740329</v>
      </c>
      <c r="F83" s="5">
        <f t="shared" si="3"/>
        <v>34.284530386740329</v>
      </c>
      <c r="G83" s="5">
        <f t="shared" si="8"/>
        <v>55.198093922652035</v>
      </c>
      <c r="H83" s="5">
        <v>1.085</v>
      </c>
      <c r="I83" s="5">
        <f t="shared" si="4"/>
        <v>15.19</v>
      </c>
      <c r="J83" s="5" t="e">
        <f t="shared" si="5"/>
        <v>#N/A</v>
      </c>
      <c r="K83" s="108" t="e">
        <f t="shared" si="6"/>
        <v>#N/A</v>
      </c>
      <c r="L83" s="108" t="e">
        <f t="shared" si="7"/>
        <v>#N/A</v>
      </c>
      <c r="M83" s="5" t="e">
        <f t="shared" si="9"/>
        <v>#N/A</v>
      </c>
      <c r="N83" s="5"/>
      <c r="O83" s="5"/>
      <c r="P83" s="5"/>
      <c r="Q83" s="5"/>
    </row>
    <row r="84" spans="1:17" x14ac:dyDescent="0.3">
      <c r="A84" s="5"/>
      <c r="B84" s="5">
        <v>0.98</v>
      </c>
      <c r="C84" s="5">
        <f t="shared" si="0"/>
        <v>13.719999999999999</v>
      </c>
      <c r="D84" s="5">
        <f t="shared" si="1"/>
        <v>0.68220994475138108</v>
      </c>
      <c r="E84" s="107">
        <f t="shared" si="2"/>
        <v>34.110497237569056</v>
      </c>
      <c r="F84" s="5">
        <f t="shared" si="3"/>
        <v>34.110497237569056</v>
      </c>
      <c r="G84" s="5">
        <f t="shared" si="8"/>
        <v>57.305635359116124</v>
      </c>
      <c r="H84" s="5">
        <v>1.08</v>
      </c>
      <c r="I84" s="5">
        <f t="shared" si="4"/>
        <v>15.120000000000001</v>
      </c>
      <c r="J84" s="5" t="e">
        <f t="shared" si="5"/>
        <v>#N/A</v>
      </c>
      <c r="K84" s="108" t="e">
        <f t="shared" si="6"/>
        <v>#N/A</v>
      </c>
      <c r="L84" s="108" t="e">
        <f t="shared" si="7"/>
        <v>#N/A</v>
      </c>
      <c r="M84" s="5" t="e">
        <f t="shared" si="9"/>
        <v>#N/A</v>
      </c>
      <c r="N84" s="5"/>
      <c r="O84" s="5"/>
      <c r="P84" s="5"/>
      <c r="Q84" s="5"/>
    </row>
    <row r="85" spans="1:17" x14ac:dyDescent="0.3">
      <c r="A85" s="5"/>
      <c r="B85" s="5">
        <v>0.97499999999999998</v>
      </c>
      <c r="C85" s="5">
        <f t="shared" si="0"/>
        <v>13.65</v>
      </c>
      <c r="D85" s="5">
        <f t="shared" si="1"/>
        <v>0.67872928176795577</v>
      </c>
      <c r="E85" s="107">
        <f t="shared" si="2"/>
        <v>33.936464088397791</v>
      </c>
      <c r="F85" s="5">
        <f t="shared" si="3"/>
        <v>33.936464088397791</v>
      </c>
      <c r="G85" s="5">
        <f t="shared" si="8"/>
        <v>59.388812154696197</v>
      </c>
      <c r="H85" s="5">
        <v>1.075</v>
      </c>
      <c r="I85" s="5">
        <f t="shared" si="4"/>
        <v>15.049999999999999</v>
      </c>
      <c r="J85" s="5" t="e">
        <f t="shared" si="5"/>
        <v>#N/A</v>
      </c>
      <c r="K85" s="108" t="e">
        <f t="shared" si="6"/>
        <v>#N/A</v>
      </c>
      <c r="L85" s="108" t="e">
        <f t="shared" si="7"/>
        <v>#N/A</v>
      </c>
      <c r="M85" s="5" t="e">
        <f t="shared" si="9"/>
        <v>#N/A</v>
      </c>
      <c r="N85" s="5"/>
      <c r="O85" s="5"/>
      <c r="P85" s="5"/>
      <c r="Q85" s="5"/>
    </row>
    <row r="86" spans="1:17" x14ac:dyDescent="0.3">
      <c r="A86" s="5"/>
      <c r="B86" s="5">
        <v>0.97</v>
      </c>
      <c r="C86" s="5">
        <f t="shared" si="0"/>
        <v>13.58</v>
      </c>
      <c r="D86" s="5">
        <f t="shared" si="1"/>
        <v>0.67524861878453035</v>
      </c>
      <c r="E86" s="107">
        <f t="shared" si="2"/>
        <v>33.762430939226519</v>
      </c>
      <c r="F86" s="5">
        <f t="shared" si="3"/>
        <v>33.762430939226519</v>
      </c>
      <c r="G86" s="5">
        <f t="shared" si="8"/>
        <v>61.447624309392332</v>
      </c>
      <c r="H86" s="5">
        <v>1.07</v>
      </c>
      <c r="I86" s="5">
        <f t="shared" si="4"/>
        <v>14.98</v>
      </c>
      <c r="J86" s="5" t="e">
        <f t="shared" si="5"/>
        <v>#N/A</v>
      </c>
      <c r="K86" s="108" t="e">
        <f t="shared" si="6"/>
        <v>#N/A</v>
      </c>
      <c r="L86" s="108" t="e">
        <f t="shared" si="7"/>
        <v>#N/A</v>
      </c>
      <c r="M86" s="5" t="e">
        <f t="shared" si="9"/>
        <v>#N/A</v>
      </c>
      <c r="N86" s="5"/>
      <c r="O86" s="5"/>
      <c r="P86" s="5"/>
      <c r="Q86" s="5"/>
    </row>
    <row r="87" spans="1:17" x14ac:dyDescent="0.3">
      <c r="A87" s="5"/>
      <c r="B87" s="5">
        <v>0.96499999999999997</v>
      </c>
      <c r="C87" s="5">
        <f t="shared" si="0"/>
        <v>13.51</v>
      </c>
      <c r="D87" s="5">
        <f t="shared" si="1"/>
        <v>0.67176795580110493</v>
      </c>
      <c r="E87" s="107">
        <f t="shared" si="2"/>
        <v>33.588397790055247</v>
      </c>
      <c r="F87" s="5">
        <f t="shared" si="3"/>
        <v>33.588397790055247</v>
      </c>
      <c r="G87" s="5">
        <f t="shared" si="8"/>
        <v>63.482071823204492</v>
      </c>
      <c r="H87" s="5">
        <v>1.0649999999999999</v>
      </c>
      <c r="I87" s="5">
        <f t="shared" si="4"/>
        <v>14.91</v>
      </c>
      <c r="J87" s="5" t="e">
        <f t="shared" si="5"/>
        <v>#N/A</v>
      </c>
      <c r="K87" s="108" t="e">
        <f t="shared" si="6"/>
        <v>#N/A</v>
      </c>
      <c r="L87" s="108" t="e">
        <f t="shared" si="7"/>
        <v>#N/A</v>
      </c>
      <c r="M87" s="5" t="e">
        <f t="shared" si="9"/>
        <v>#N/A</v>
      </c>
      <c r="N87" s="5"/>
      <c r="O87" s="5"/>
      <c r="P87" s="5"/>
      <c r="Q87" s="5"/>
    </row>
    <row r="88" spans="1:17" x14ac:dyDescent="0.3">
      <c r="A88" s="5"/>
      <c r="B88" s="5">
        <v>0.96</v>
      </c>
      <c r="C88" s="5">
        <f t="shared" si="0"/>
        <v>13.44</v>
      </c>
      <c r="D88" s="5">
        <f t="shared" si="1"/>
        <v>0.66828729281767951</v>
      </c>
      <c r="E88" s="107">
        <f t="shared" si="2"/>
        <v>33.414364640883981</v>
      </c>
      <c r="F88" s="5">
        <f t="shared" si="3"/>
        <v>33.414364640883981</v>
      </c>
      <c r="G88" s="5">
        <f t="shared" si="8"/>
        <v>65.492154696132687</v>
      </c>
      <c r="H88" s="5">
        <v>1.06</v>
      </c>
      <c r="I88" s="5">
        <f t="shared" si="4"/>
        <v>14.84</v>
      </c>
      <c r="J88" s="5" t="e">
        <f t="shared" si="5"/>
        <v>#N/A</v>
      </c>
      <c r="K88" s="108" t="e">
        <f t="shared" si="6"/>
        <v>#N/A</v>
      </c>
      <c r="L88" s="108" t="e">
        <f t="shared" si="7"/>
        <v>#N/A</v>
      </c>
      <c r="M88" s="5" t="e">
        <f t="shared" si="9"/>
        <v>#N/A</v>
      </c>
      <c r="N88" s="5"/>
      <c r="O88" s="5"/>
      <c r="P88" s="5"/>
      <c r="Q88" s="5"/>
    </row>
    <row r="89" spans="1:17" x14ac:dyDescent="0.3">
      <c r="A89" s="5"/>
      <c r="B89" s="5">
        <v>0.95499999999999996</v>
      </c>
      <c r="C89" s="5">
        <f t="shared" si="0"/>
        <v>13.37</v>
      </c>
      <c r="D89" s="5">
        <f t="shared" si="1"/>
        <v>0.66480662983425409</v>
      </c>
      <c r="E89" s="107">
        <f t="shared" si="2"/>
        <v>33.240331491712709</v>
      </c>
      <c r="F89" s="5">
        <f t="shared" si="3"/>
        <v>33.240331491712709</v>
      </c>
      <c r="G89" s="5">
        <f t="shared" si="8"/>
        <v>67.477872928176893</v>
      </c>
      <c r="H89" s="5">
        <v>1.0549999999999999</v>
      </c>
      <c r="I89" s="5">
        <f t="shared" si="4"/>
        <v>14.77</v>
      </c>
      <c r="J89" s="5" t="e">
        <f t="shared" si="5"/>
        <v>#N/A</v>
      </c>
      <c r="K89" s="108" t="e">
        <f t="shared" si="6"/>
        <v>#N/A</v>
      </c>
      <c r="L89" s="108" t="e">
        <f t="shared" si="7"/>
        <v>#N/A</v>
      </c>
      <c r="M89" s="5" t="e">
        <f t="shared" si="9"/>
        <v>#N/A</v>
      </c>
      <c r="N89" s="5"/>
      <c r="O89" s="5"/>
      <c r="P89" s="5"/>
      <c r="Q89" s="5"/>
    </row>
    <row r="90" spans="1:17" x14ac:dyDescent="0.3">
      <c r="A90" s="5"/>
      <c r="B90" s="5">
        <v>0.95</v>
      </c>
      <c r="C90" s="5">
        <f t="shared" si="0"/>
        <v>13.299999999999999</v>
      </c>
      <c r="D90" s="5">
        <f t="shared" si="1"/>
        <v>0.66132596685082867</v>
      </c>
      <c r="E90" s="107">
        <f t="shared" si="2"/>
        <v>33.06629834254143</v>
      </c>
      <c r="F90" s="5">
        <f t="shared" si="3"/>
        <v>33.06629834254143</v>
      </c>
      <c r="G90" s="5">
        <f t="shared" si="8"/>
        <v>69.439226519337112</v>
      </c>
      <c r="H90" s="5">
        <v>1.05</v>
      </c>
      <c r="I90" s="5">
        <f t="shared" si="4"/>
        <v>14.700000000000001</v>
      </c>
      <c r="J90" s="5" t="e">
        <f t="shared" si="5"/>
        <v>#N/A</v>
      </c>
      <c r="K90" s="108" t="e">
        <f t="shared" si="6"/>
        <v>#N/A</v>
      </c>
      <c r="L90" s="108" t="e">
        <f t="shared" si="7"/>
        <v>#N/A</v>
      </c>
      <c r="M90" s="5" t="e">
        <f t="shared" si="9"/>
        <v>#N/A</v>
      </c>
      <c r="N90" s="5"/>
      <c r="O90" s="5"/>
      <c r="P90" s="5"/>
      <c r="Q90" s="5"/>
    </row>
    <row r="91" spans="1:17" x14ac:dyDescent="0.3">
      <c r="A91" s="5"/>
      <c r="B91" s="5">
        <v>0.94499999999999995</v>
      </c>
      <c r="C91" s="5">
        <f t="shared" si="0"/>
        <v>13.229999999999999</v>
      </c>
      <c r="D91" s="5">
        <f t="shared" si="1"/>
        <v>0.65784530386740325</v>
      </c>
      <c r="E91" s="107">
        <f t="shared" si="2"/>
        <v>32.892265193370164</v>
      </c>
      <c r="F91" s="5">
        <f t="shared" si="3"/>
        <v>32.892265193370164</v>
      </c>
      <c r="G91" s="5">
        <f t="shared" si="8"/>
        <v>71.376215469613371</v>
      </c>
      <c r="H91" s="5">
        <v>1.0449999999999999</v>
      </c>
      <c r="I91" s="5">
        <f t="shared" si="4"/>
        <v>14.629999999999999</v>
      </c>
      <c r="J91" s="5" t="e">
        <f t="shared" si="5"/>
        <v>#N/A</v>
      </c>
      <c r="K91" s="108" t="e">
        <f t="shared" si="6"/>
        <v>#N/A</v>
      </c>
      <c r="L91" s="108" t="e">
        <f t="shared" si="7"/>
        <v>#N/A</v>
      </c>
      <c r="M91" s="5" t="e">
        <f t="shared" si="9"/>
        <v>#N/A</v>
      </c>
      <c r="N91" s="5"/>
      <c r="O91" s="5"/>
      <c r="P91" s="5"/>
      <c r="Q91" s="5"/>
    </row>
    <row r="92" spans="1:17" x14ac:dyDescent="0.3">
      <c r="A92" s="5"/>
      <c r="B92" s="5">
        <v>0.94</v>
      </c>
      <c r="C92" s="5">
        <f t="shared" si="0"/>
        <v>13.16</v>
      </c>
      <c r="D92" s="5">
        <f t="shared" si="1"/>
        <v>0.65436464088397794</v>
      </c>
      <c r="E92" s="107">
        <f t="shared" si="2"/>
        <v>32.718232044198892</v>
      </c>
      <c r="F92" s="5">
        <f t="shared" si="3"/>
        <v>32.718232044198892</v>
      </c>
      <c r="G92" s="5">
        <f t="shared" si="8"/>
        <v>73.288839779005585</v>
      </c>
      <c r="H92" s="5">
        <v>1.04</v>
      </c>
      <c r="I92" s="5">
        <f t="shared" si="4"/>
        <v>14.56</v>
      </c>
      <c r="J92" s="5" t="e">
        <f t="shared" si="5"/>
        <v>#N/A</v>
      </c>
      <c r="K92" s="108" t="e">
        <f t="shared" si="6"/>
        <v>#N/A</v>
      </c>
      <c r="L92" s="108" t="e">
        <f t="shared" si="7"/>
        <v>#N/A</v>
      </c>
      <c r="M92" s="5" t="e">
        <f t="shared" si="9"/>
        <v>#N/A</v>
      </c>
      <c r="N92" s="5"/>
      <c r="O92" s="5"/>
      <c r="P92" s="5"/>
      <c r="Q92" s="5"/>
    </row>
    <row r="93" spans="1:17" x14ac:dyDescent="0.3">
      <c r="A93" s="5"/>
      <c r="B93" s="5">
        <v>0.93500000000000005</v>
      </c>
      <c r="C93" s="5">
        <f t="shared" si="0"/>
        <v>13.09</v>
      </c>
      <c r="D93" s="5">
        <f t="shared" si="1"/>
        <v>0.65088397790055252</v>
      </c>
      <c r="E93" s="107">
        <f t="shared" si="2"/>
        <v>32.544198895027627</v>
      </c>
      <c r="F93" s="5">
        <f t="shared" si="3"/>
        <v>32.544198895027627</v>
      </c>
      <c r="G93" s="5">
        <f t="shared" si="8"/>
        <v>75.177099447513896</v>
      </c>
      <c r="H93" s="5">
        <v>1.0349999999999999</v>
      </c>
      <c r="I93" s="5">
        <f t="shared" si="4"/>
        <v>14.489999999999998</v>
      </c>
      <c r="J93" s="5" t="e">
        <f t="shared" si="5"/>
        <v>#N/A</v>
      </c>
      <c r="K93" s="108" t="e">
        <f t="shared" si="6"/>
        <v>#N/A</v>
      </c>
      <c r="L93" s="108" t="e">
        <f t="shared" si="7"/>
        <v>#N/A</v>
      </c>
      <c r="M93" s="5" t="e">
        <f t="shared" si="9"/>
        <v>#N/A</v>
      </c>
      <c r="N93" s="5"/>
      <c r="O93" s="5"/>
      <c r="P93" s="5"/>
      <c r="Q93" s="5"/>
    </row>
    <row r="94" spans="1:17" x14ac:dyDescent="0.3">
      <c r="A94" s="5"/>
      <c r="B94" s="5">
        <v>0.93</v>
      </c>
      <c r="C94" s="5">
        <f t="shared" si="0"/>
        <v>13.020000000000001</v>
      </c>
      <c r="D94" s="5">
        <f t="shared" si="1"/>
        <v>0.64740331491712722</v>
      </c>
      <c r="E94" s="107">
        <f t="shared" si="2"/>
        <v>32.370165745856362</v>
      </c>
      <c r="F94" s="5">
        <f t="shared" si="3"/>
        <v>32.370165745856362</v>
      </c>
      <c r="G94" s="5">
        <f t="shared" si="8"/>
        <v>77.040994475138163</v>
      </c>
      <c r="H94" s="5">
        <v>1.03</v>
      </c>
      <c r="I94" s="5">
        <f t="shared" si="4"/>
        <v>14.42</v>
      </c>
      <c r="J94" s="5" t="e">
        <f t="shared" si="5"/>
        <v>#N/A</v>
      </c>
      <c r="K94" s="108" t="e">
        <f t="shared" si="6"/>
        <v>#N/A</v>
      </c>
      <c r="L94" s="108" t="e">
        <f t="shared" si="7"/>
        <v>#N/A</v>
      </c>
      <c r="M94" s="5" t="e">
        <f t="shared" si="9"/>
        <v>#N/A</v>
      </c>
      <c r="N94" s="5"/>
      <c r="O94" s="5"/>
      <c r="P94" s="5"/>
      <c r="Q94" s="5"/>
    </row>
    <row r="95" spans="1:17" x14ac:dyDescent="0.3">
      <c r="A95" s="5"/>
      <c r="B95" s="5">
        <v>0.92500000000000004</v>
      </c>
      <c r="C95" s="5">
        <f t="shared" si="0"/>
        <v>12.950000000000001</v>
      </c>
      <c r="D95" s="5">
        <f t="shared" si="1"/>
        <v>0.6439226519337018</v>
      </c>
      <c r="E95" s="107">
        <f t="shared" si="2"/>
        <v>32.196132596685089</v>
      </c>
      <c r="F95" s="5">
        <f t="shared" si="3"/>
        <v>32.196132596685089</v>
      </c>
      <c r="G95" s="5">
        <f t="shared" si="8"/>
        <v>78.880524861878499</v>
      </c>
      <c r="H95" s="5">
        <v>1.0249999999999999</v>
      </c>
      <c r="I95" s="5">
        <f t="shared" si="4"/>
        <v>14.349999999999998</v>
      </c>
      <c r="J95" s="5" t="e">
        <f t="shared" si="5"/>
        <v>#N/A</v>
      </c>
      <c r="K95" s="108" t="e">
        <f t="shared" si="6"/>
        <v>#N/A</v>
      </c>
      <c r="L95" s="108" t="e">
        <f t="shared" si="7"/>
        <v>#N/A</v>
      </c>
      <c r="M95" s="5" t="e">
        <f t="shared" si="9"/>
        <v>#N/A</v>
      </c>
      <c r="N95" s="5"/>
      <c r="O95" s="5"/>
      <c r="P95" s="5"/>
      <c r="Q95" s="5"/>
    </row>
    <row r="96" spans="1:17" x14ac:dyDescent="0.3">
      <c r="A96" s="5"/>
      <c r="B96" s="5">
        <v>0.92</v>
      </c>
      <c r="C96" s="5">
        <f t="shared" si="0"/>
        <v>12.88</v>
      </c>
      <c r="D96" s="5">
        <f t="shared" si="1"/>
        <v>0.64044198895027626</v>
      </c>
      <c r="E96" s="107">
        <f t="shared" si="2"/>
        <v>32.02209944751381</v>
      </c>
      <c r="F96" s="5">
        <f t="shared" si="3"/>
        <v>32.02209944751381</v>
      </c>
      <c r="G96" s="5">
        <f t="shared" si="8"/>
        <v>80.695690607734846</v>
      </c>
      <c r="H96" s="5">
        <v>1.02</v>
      </c>
      <c r="I96" s="5">
        <f t="shared" si="4"/>
        <v>14.280000000000001</v>
      </c>
      <c r="J96" s="5" t="e">
        <f t="shared" si="5"/>
        <v>#N/A</v>
      </c>
      <c r="K96" s="108" t="e">
        <f t="shared" si="6"/>
        <v>#N/A</v>
      </c>
      <c r="L96" s="108" t="e">
        <f t="shared" si="7"/>
        <v>#N/A</v>
      </c>
      <c r="M96" s="5" t="e">
        <f t="shared" si="9"/>
        <v>#N/A</v>
      </c>
      <c r="N96" s="5"/>
      <c r="O96" s="5"/>
      <c r="P96" s="5"/>
      <c r="Q96" s="5"/>
    </row>
    <row r="97" spans="1:17" x14ac:dyDescent="0.3">
      <c r="A97" s="5"/>
      <c r="B97" s="5">
        <v>0.91500000000000004</v>
      </c>
      <c r="C97" s="5">
        <f t="shared" si="0"/>
        <v>12.81</v>
      </c>
      <c r="D97" s="5">
        <f t="shared" si="1"/>
        <v>0.63696132596685084</v>
      </c>
      <c r="E97" s="107">
        <f t="shared" si="2"/>
        <v>31.848066298342541</v>
      </c>
      <c r="F97" s="5">
        <f t="shared" si="3"/>
        <v>31.848066298342541</v>
      </c>
      <c r="G97" s="5">
        <f t="shared" si="8"/>
        <v>82.486491712707235</v>
      </c>
      <c r="H97" s="5">
        <v>1.0149999999999999</v>
      </c>
      <c r="I97" s="5">
        <f t="shared" si="4"/>
        <v>14.209999999999999</v>
      </c>
      <c r="J97" s="5" t="e">
        <f t="shared" si="5"/>
        <v>#N/A</v>
      </c>
      <c r="K97" s="108" t="e">
        <f t="shared" si="6"/>
        <v>#N/A</v>
      </c>
      <c r="L97" s="108" t="e">
        <f t="shared" si="7"/>
        <v>#N/A</v>
      </c>
      <c r="M97" s="5" t="e">
        <f t="shared" si="9"/>
        <v>#N/A</v>
      </c>
      <c r="N97" s="5"/>
      <c r="O97" s="5"/>
      <c r="P97" s="5"/>
      <c r="Q97" s="5"/>
    </row>
    <row r="98" spans="1:17" x14ac:dyDescent="0.3">
      <c r="A98" s="5"/>
      <c r="B98" s="5">
        <v>0.91</v>
      </c>
      <c r="C98" s="5">
        <f t="shared" si="0"/>
        <v>12.74</v>
      </c>
      <c r="D98" s="5">
        <f t="shared" si="1"/>
        <v>0.63348066298342542</v>
      </c>
      <c r="E98" s="107">
        <f t="shared" si="2"/>
        <v>31.674033149171272</v>
      </c>
      <c r="F98" s="5">
        <f t="shared" si="3"/>
        <v>31.674033149171272</v>
      </c>
      <c r="G98" s="5">
        <f t="shared" si="8"/>
        <v>84.252928176795649</v>
      </c>
      <c r="H98" s="5">
        <v>1.01</v>
      </c>
      <c r="I98" s="5">
        <f t="shared" si="4"/>
        <v>14.14</v>
      </c>
      <c r="J98" s="5" t="e">
        <f t="shared" si="5"/>
        <v>#N/A</v>
      </c>
      <c r="K98" s="108" t="e">
        <f t="shared" si="6"/>
        <v>#N/A</v>
      </c>
      <c r="L98" s="108" t="e">
        <f t="shared" si="7"/>
        <v>#N/A</v>
      </c>
      <c r="M98" s="5" t="e">
        <f t="shared" si="9"/>
        <v>#N/A</v>
      </c>
      <c r="N98" s="5"/>
      <c r="O98" s="5"/>
      <c r="P98" s="5"/>
      <c r="Q98" s="5"/>
    </row>
    <row r="99" spans="1:17" x14ac:dyDescent="0.3">
      <c r="A99" s="5"/>
      <c r="B99" s="5">
        <v>0.90500000000000003</v>
      </c>
      <c r="C99" s="5">
        <f t="shared" si="0"/>
        <v>12.67</v>
      </c>
      <c r="D99" s="5">
        <f t="shared" si="1"/>
        <v>0.63</v>
      </c>
      <c r="E99" s="107">
        <f t="shared" si="2"/>
        <v>31.5</v>
      </c>
      <c r="F99" s="5">
        <f t="shared" si="3"/>
        <v>31.5</v>
      </c>
      <c r="G99" s="5">
        <f t="shared" si="8"/>
        <v>85.995000000000076</v>
      </c>
      <c r="H99" s="5">
        <v>1.0049999999999999</v>
      </c>
      <c r="I99" s="5">
        <f t="shared" si="4"/>
        <v>14.069999999999999</v>
      </c>
      <c r="J99" s="5" t="e">
        <f t="shared" si="5"/>
        <v>#N/A</v>
      </c>
      <c r="K99" s="108" t="e">
        <f t="shared" si="6"/>
        <v>#N/A</v>
      </c>
      <c r="L99" s="108" t="e">
        <f t="shared" si="7"/>
        <v>#N/A</v>
      </c>
      <c r="M99" s="5" t="e">
        <f t="shared" si="9"/>
        <v>#N/A</v>
      </c>
      <c r="N99" s="5"/>
      <c r="O99" s="5"/>
      <c r="P99" s="5"/>
      <c r="Q99" s="5"/>
    </row>
    <row r="100" spans="1:17" x14ac:dyDescent="0.3">
      <c r="A100" s="5"/>
      <c r="B100" s="5">
        <v>0.9</v>
      </c>
      <c r="C100" s="5">
        <f t="shared" si="0"/>
        <v>12.6</v>
      </c>
      <c r="D100" s="5">
        <f t="shared" si="1"/>
        <v>0.62651933701657458</v>
      </c>
      <c r="E100" s="107">
        <f t="shared" si="2"/>
        <v>31.325966850828728</v>
      </c>
      <c r="F100" s="5">
        <f t="shared" si="3"/>
        <v>31.325966850828728</v>
      </c>
      <c r="G100" s="5">
        <f t="shared" si="8"/>
        <v>87.712707182320514</v>
      </c>
      <c r="H100" s="5">
        <v>1</v>
      </c>
      <c r="I100" s="5">
        <f t="shared" si="4"/>
        <v>14</v>
      </c>
      <c r="J100" s="5" t="e">
        <f t="shared" si="5"/>
        <v>#N/A</v>
      </c>
      <c r="K100" s="108" t="e">
        <f t="shared" si="6"/>
        <v>#N/A</v>
      </c>
      <c r="L100" s="108" t="e">
        <f t="shared" si="7"/>
        <v>#N/A</v>
      </c>
      <c r="M100" s="5" t="e">
        <f t="shared" si="9"/>
        <v>#N/A</v>
      </c>
      <c r="N100" s="5"/>
      <c r="O100" s="5"/>
      <c r="P100" s="5"/>
      <c r="Q100" s="5"/>
    </row>
    <row r="101" spans="1:17" x14ac:dyDescent="0.3">
      <c r="A101" s="5"/>
      <c r="B101" s="5">
        <v>0.89500000000000002</v>
      </c>
      <c r="C101" s="5">
        <f t="shared" si="0"/>
        <v>12.530000000000001</v>
      </c>
      <c r="D101" s="5">
        <f t="shared" si="1"/>
        <v>0.62303867403314928</v>
      </c>
      <c r="E101" s="107">
        <f t="shared" si="2"/>
        <v>31.151933701657462</v>
      </c>
      <c r="F101" s="5">
        <f t="shared" si="3"/>
        <v>31.151933701657462</v>
      </c>
      <c r="G101" s="5">
        <f t="shared" si="8"/>
        <v>89.406049723756951</v>
      </c>
      <c r="H101" s="5">
        <v>0.99500000000000399</v>
      </c>
      <c r="I101" s="5">
        <f t="shared" si="4"/>
        <v>13.930000000000057</v>
      </c>
      <c r="J101" s="5" t="e">
        <f t="shared" si="5"/>
        <v>#N/A</v>
      </c>
      <c r="K101" s="108" t="e">
        <f t="shared" si="6"/>
        <v>#N/A</v>
      </c>
      <c r="L101" s="108" t="e">
        <f t="shared" si="7"/>
        <v>#N/A</v>
      </c>
      <c r="M101" s="5" t="e">
        <f t="shared" si="9"/>
        <v>#N/A</v>
      </c>
      <c r="N101" s="5"/>
      <c r="O101" s="5"/>
      <c r="P101" s="5"/>
      <c r="Q101" s="5"/>
    </row>
    <row r="102" spans="1:17" x14ac:dyDescent="0.3">
      <c r="A102" s="5"/>
      <c r="B102" s="5">
        <v>0.89</v>
      </c>
      <c r="C102" s="5">
        <f t="shared" si="0"/>
        <v>12.46</v>
      </c>
      <c r="D102" s="5">
        <f t="shared" si="1"/>
        <v>0.61955801104972374</v>
      </c>
      <c r="E102" s="107">
        <f t="shared" si="2"/>
        <v>30.977900552486187</v>
      </c>
      <c r="F102" s="5">
        <f t="shared" si="3"/>
        <v>30.977900552486187</v>
      </c>
      <c r="G102" s="5">
        <f t="shared" si="8"/>
        <v>91.075027624309428</v>
      </c>
      <c r="H102" s="5">
        <v>0.99000000000000399</v>
      </c>
      <c r="I102" s="5">
        <f t="shared" si="4"/>
        <v>13.860000000000056</v>
      </c>
      <c r="J102" s="5" t="e">
        <f t="shared" si="5"/>
        <v>#N/A</v>
      </c>
      <c r="K102" s="108" t="e">
        <f t="shared" si="6"/>
        <v>#N/A</v>
      </c>
      <c r="L102" s="108" t="e">
        <f t="shared" si="7"/>
        <v>#N/A</v>
      </c>
      <c r="M102" s="5" t="e">
        <f t="shared" si="9"/>
        <v>#N/A</v>
      </c>
      <c r="N102" s="5"/>
      <c r="O102" s="5"/>
      <c r="P102" s="5"/>
      <c r="Q102" s="5"/>
    </row>
    <row r="103" spans="1:17" x14ac:dyDescent="0.3">
      <c r="A103" s="5"/>
      <c r="B103" s="5">
        <v>0.88500000000000001</v>
      </c>
      <c r="C103" s="5">
        <f t="shared" si="0"/>
        <v>12.39</v>
      </c>
      <c r="D103" s="5">
        <f t="shared" si="1"/>
        <v>0.61607734806629832</v>
      </c>
      <c r="E103" s="107">
        <f t="shared" si="2"/>
        <v>30.803867403314918</v>
      </c>
      <c r="F103" s="5">
        <f t="shared" si="3"/>
        <v>30.803867403314918</v>
      </c>
      <c r="G103" s="5">
        <f t="shared" si="8"/>
        <v>92.719640883977945</v>
      </c>
      <c r="H103" s="5">
        <v>0.98500000000000498</v>
      </c>
      <c r="I103" s="5">
        <f t="shared" si="4"/>
        <v>13.79000000000007</v>
      </c>
      <c r="J103" s="5" t="e">
        <f t="shared" si="5"/>
        <v>#N/A</v>
      </c>
      <c r="K103" s="108" t="e">
        <f t="shared" si="6"/>
        <v>#N/A</v>
      </c>
      <c r="L103" s="108" t="e">
        <f t="shared" si="7"/>
        <v>#N/A</v>
      </c>
      <c r="M103" s="5" t="e">
        <f t="shared" si="9"/>
        <v>#N/A</v>
      </c>
      <c r="N103" s="5"/>
      <c r="O103" s="5"/>
      <c r="P103" s="5"/>
      <c r="Q103" s="5"/>
    </row>
    <row r="104" spans="1:17" x14ac:dyDescent="0.3">
      <c r="A104" s="5"/>
      <c r="B104" s="5">
        <v>0.88</v>
      </c>
      <c r="C104" s="5">
        <f t="shared" si="0"/>
        <v>12.32</v>
      </c>
      <c r="D104" s="5">
        <f t="shared" si="1"/>
        <v>0.6125966850828729</v>
      </c>
      <c r="E104" s="107">
        <f t="shared" si="2"/>
        <v>30.629834254143645</v>
      </c>
      <c r="F104" s="5">
        <f t="shared" si="3"/>
        <v>30.629834254143645</v>
      </c>
      <c r="G104" s="5">
        <f t="shared" si="8"/>
        <v>94.339889502762489</v>
      </c>
      <c r="H104" s="5">
        <v>0.98000000000000498</v>
      </c>
      <c r="I104" s="5">
        <f t="shared" si="4"/>
        <v>13.72000000000007</v>
      </c>
      <c r="J104" s="5" t="e">
        <f t="shared" si="5"/>
        <v>#N/A</v>
      </c>
      <c r="K104" s="108" t="e">
        <f t="shared" si="6"/>
        <v>#N/A</v>
      </c>
      <c r="L104" s="108" t="e">
        <f t="shared" si="7"/>
        <v>#N/A</v>
      </c>
      <c r="M104" s="5" t="e">
        <f t="shared" si="9"/>
        <v>#N/A</v>
      </c>
      <c r="N104" s="5"/>
      <c r="O104" s="5"/>
      <c r="P104" s="5"/>
      <c r="Q104" s="5"/>
    </row>
    <row r="105" spans="1:17" x14ac:dyDescent="0.3">
      <c r="A105" s="5"/>
      <c r="B105" s="5">
        <v>0.875</v>
      </c>
      <c r="C105" s="5">
        <f t="shared" si="0"/>
        <v>12.25</v>
      </c>
      <c r="D105" s="5">
        <f t="shared" si="1"/>
        <v>0.60911602209944748</v>
      </c>
      <c r="E105" s="107">
        <f t="shared" si="2"/>
        <v>30.455801104972377</v>
      </c>
      <c r="F105" s="5">
        <f t="shared" si="3"/>
        <v>30.455801104972377</v>
      </c>
      <c r="G105" s="5">
        <f t="shared" si="8"/>
        <v>95.935773480663045</v>
      </c>
      <c r="H105" s="5">
        <v>0.97500000000000497</v>
      </c>
      <c r="I105" s="5">
        <f t="shared" si="4"/>
        <v>13.65000000000007</v>
      </c>
      <c r="J105" s="5" t="e">
        <f t="shared" si="5"/>
        <v>#N/A</v>
      </c>
      <c r="K105" s="108" t="e">
        <f t="shared" si="6"/>
        <v>#N/A</v>
      </c>
      <c r="L105" s="108" t="e">
        <f t="shared" si="7"/>
        <v>#N/A</v>
      </c>
      <c r="M105" s="5" t="e">
        <f t="shared" si="9"/>
        <v>#N/A</v>
      </c>
      <c r="N105" s="5"/>
      <c r="O105" s="5"/>
      <c r="P105" s="5"/>
      <c r="Q105" s="5"/>
    </row>
    <row r="106" spans="1:17" x14ac:dyDescent="0.3">
      <c r="A106" s="5"/>
      <c r="B106" s="5">
        <v>0.87</v>
      </c>
      <c r="C106" s="5">
        <f t="shared" si="0"/>
        <v>12.18</v>
      </c>
      <c r="D106" s="5">
        <f t="shared" si="1"/>
        <v>0.60563535911602207</v>
      </c>
      <c r="E106" s="107">
        <f t="shared" si="2"/>
        <v>30.281767955801104</v>
      </c>
      <c r="F106" s="5">
        <f t="shared" si="3"/>
        <v>30.281767955801104</v>
      </c>
      <c r="G106" s="5">
        <f t="shared" si="8"/>
        <v>97.507292817679627</v>
      </c>
      <c r="H106" s="5">
        <v>0.97000000000000497</v>
      </c>
      <c r="I106" s="5">
        <f t="shared" si="4"/>
        <v>13.580000000000069</v>
      </c>
      <c r="J106" s="5" t="e">
        <f t="shared" si="5"/>
        <v>#N/A</v>
      </c>
      <c r="K106" s="108" t="e">
        <f t="shared" si="6"/>
        <v>#N/A</v>
      </c>
      <c r="L106" s="108" t="e">
        <f t="shared" si="7"/>
        <v>#N/A</v>
      </c>
      <c r="M106" s="5" t="e">
        <f t="shared" si="9"/>
        <v>#N/A</v>
      </c>
      <c r="N106" s="5"/>
      <c r="O106" s="5"/>
      <c r="P106" s="5"/>
      <c r="Q106" s="5"/>
    </row>
    <row r="107" spans="1:17" x14ac:dyDescent="0.3">
      <c r="A107" s="5"/>
      <c r="B107" s="5">
        <v>0.86499999999999999</v>
      </c>
      <c r="C107" s="5">
        <f t="shared" si="0"/>
        <v>12.11</v>
      </c>
      <c r="D107" s="5">
        <f t="shared" si="1"/>
        <v>0.60215469613259665</v>
      </c>
      <c r="E107" s="107">
        <f t="shared" si="2"/>
        <v>30.107734806629836</v>
      </c>
      <c r="F107" s="5">
        <f t="shared" si="3"/>
        <v>30.107734806629836</v>
      </c>
      <c r="G107" s="5">
        <f t="shared" si="8"/>
        <v>99.054447513812235</v>
      </c>
      <c r="H107" s="5">
        <v>0.96500000000000496</v>
      </c>
      <c r="I107" s="5">
        <f t="shared" si="4"/>
        <v>13.510000000000069</v>
      </c>
      <c r="J107" s="5" t="e">
        <f t="shared" si="5"/>
        <v>#N/A</v>
      </c>
      <c r="K107" s="108" t="e">
        <f t="shared" si="6"/>
        <v>#N/A</v>
      </c>
      <c r="L107" s="108" t="e">
        <f t="shared" si="7"/>
        <v>#N/A</v>
      </c>
      <c r="M107" s="5" t="e">
        <f t="shared" si="9"/>
        <v>#N/A</v>
      </c>
      <c r="N107" s="5"/>
      <c r="O107" s="5"/>
      <c r="P107" s="5"/>
      <c r="Q107" s="5"/>
    </row>
    <row r="108" spans="1:17" x14ac:dyDescent="0.3">
      <c r="A108" s="5"/>
      <c r="B108" s="5">
        <v>0.86</v>
      </c>
      <c r="C108" s="5">
        <f t="shared" si="0"/>
        <v>12.04</v>
      </c>
      <c r="D108" s="5">
        <f t="shared" si="1"/>
        <v>0.59867403314917123</v>
      </c>
      <c r="E108" s="107">
        <f t="shared" si="2"/>
        <v>29.933701657458563</v>
      </c>
      <c r="F108" s="5">
        <f t="shared" si="3"/>
        <v>29.933701657458563</v>
      </c>
      <c r="G108" s="5">
        <f t="shared" si="8"/>
        <v>100.57723756906086</v>
      </c>
      <c r="H108" s="5">
        <v>0.96000000000000496</v>
      </c>
      <c r="I108" s="5">
        <f t="shared" si="4"/>
        <v>13.440000000000069</v>
      </c>
      <c r="J108" s="5" t="e">
        <f t="shared" si="5"/>
        <v>#N/A</v>
      </c>
      <c r="K108" s="108" t="e">
        <f t="shared" si="6"/>
        <v>#N/A</v>
      </c>
      <c r="L108" s="108" t="e">
        <f t="shared" si="7"/>
        <v>#N/A</v>
      </c>
      <c r="M108" s="5" t="e">
        <f t="shared" si="9"/>
        <v>#N/A</v>
      </c>
      <c r="N108" s="5"/>
      <c r="O108" s="5"/>
      <c r="P108" s="5"/>
      <c r="Q108" s="5"/>
    </row>
    <row r="109" spans="1:17" x14ac:dyDescent="0.3">
      <c r="A109" s="5"/>
      <c r="B109" s="5">
        <v>0.85499999999999998</v>
      </c>
      <c r="C109" s="5">
        <f t="shared" si="0"/>
        <v>11.969999999999999</v>
      </c>
      <c r="D109" s="5">
        <f t="shared" si="1"/>
        <v>0.59519337016574581</v>
      </c>
      <c r="E109" s="107">
        <f t="shared" si="2"/>
        <v>29.759668508287287</v>
      </c>
      <c r="F109" s="5">
        <f t="shared" si="3"/>
        <v>29.759668508287287</v>
      </c>
      <c r="G109" s="5">
        <f t="shared" si="8"/>
        <v>102.07566298342549</v>
      </c>
      <c r="H109" s="5">
        <v>0.95500000000000496</v>
      </c>
      <c r="I109" s="5">
        <f t="shared" si="4"/>
        <v>13.370000000000068</v>
      </c>
      <c r="J109" s="5" t="e">
        <f t="shared" si="5"/>
        <v>#N/A</v>
      </c>
      <c r="K109" s="108" t="e">
        <f t="shared" si="6"/>
        <v>#N/A</v>
      </c>
      <c r="L109" s="108" t="e">
        <f t="shared" si="7"/>
        <v>#N/A</v>
      </c>
      <c r="M109" s="5" t="e">
        <f t="shared" si="9"/>
        <v>#N/A</v>
      </c>
      <c r="N109" s="5"/>
      <c r="O109" s="5"/>
      <c r="P109" s="5"/>
      <c r="Q109" s="5"/>
    </row>
    <row r="110" spans="1:17" x14ac:dyDescent="0.3">
      <c r="A110" s="5"/>
      <c r="B110" s="5">
        <v>0.85</v>
      </c>
      <c r="C110" s="5">
        <f t="shared" si="0"/>
        <v>11.9</v>
      </c>
      <c r="D110" s="5">
        <f t="shared" si="1"/>
        <v>0.5917127071823205</v>
      </c>
      <c r="E110" s="107">
        <f t="shared" si="2"/>
        <v>29.585635359116022</v>
      </c>
      <c r="F110" s="5">
        <f t="shared" si="3"/>
        <v>29.585635359116022</v>
      </c>
      <c r="G110" s="5">
        <f t="shared" si="8"/>
        <v>103.54972375690613</v>
      </c>
      <c r="H110" s="5">
        <v>0.95000000000000495</v>
      </c>
      <c r="I110" s="5">
        <f t="shared" si="4"/>
        <v>13.30000000000007</v>
      </c>
      <c r="J110" s="5" t="e">
        <f t="shared" si="5"/>
        <v>#N/A</v>
      </c>
      <c r="K110" s="108" t="e">
        <f t="shared" si="6"/>
        <v>#N/A</v>
      </c>
      <c r="L110" s="108" t="e">
        <f t="shared" si="7"/>
        <v>#N/A</v>
      </c>
      <c r="M110" s="5" t="e">
        <f t="shared" si="9"/>
        <v>#N/A</v>
      </c>
      <c r="N110" s="5"/>
      <c r="O110" s="5"/>
      <c r="P110" s="5"/>
      <c r="Q110" s="5"/>
    </row>
    <row r="111" spans="1:17" x14ac:dyDescent="0.3">
      <c r="A111" s="5"/>
      <c r="B111" s="5">
        <v>0.84499999999999997</v>
      </c>
      <c r="C111" s="5">
        <f t="shared" si="0"/>
        <v>11.83</v>
      </c>
      <c r="D111" s="5">
        <f t="shared" si="1"/>
        <v>0.58823204419889508</v>
      </c>
      <c r="E111" s="107">
        <f t="shared" si="2"/>
        <v>29.41160220994475</v>
      </c>
      <c r="F111" s="5">
        <f t="shared" si="3"/>
        <v>29.41160220994475</v>
      </c>
      <c r="G111" s="5">
        <f t="shared" si="8"/>
        <v>104.99941988950282</v>
      </c>
      <c r="H111" s="5">
        <v>0.94500000000000495</v>
      </c>
      <c r="I111" s="5">
        <f t="shared" si="4"/>
        <v>13.23000000000007</v>
      </c>
      <c r="J111" s="5" t="e">
        <f t="shared" si="5"/>
        <v>#N/A</v>
      </c>
      <c r="K111" s="108" t="e">
        <f t="shared" si="6"/>
        <v>#N/A</v>
      </c>
      <c r="L111" s="108" t="e">
        <f t="shared" si="7"/>
        <v>#N/A</v>
      </c>
      <c r="M111" s="5" t="e">
        <f t="shared" si="9"/>
        <v>#N/A</v>
      </c>
      <c r="N111" s="5"/>
      <c r="O111" s="5"/>
      <c r="P111" s="5"/>
      <c r="Q111" s="5"/>
    </row>
    <row r="112" spans="1:17" x14ac:dyDescent="0.3">
      <c r="A112" s="5"/>
      <c r="B112" s="5">
        <v>0.84</v>
      </c>
      <c r="C112" s="5">
        <f t="shared" si="0"/>
        <v>11.76</v>
      </c>
      <c r="D112" s="5">
        <f t="shared" si="1"/>
        <v>0.58475138121546966</v>
      </c>
      <c r="E112" s="107">
        <f t="shared" si="2"/>
        <v>29.237569060773481</v>
      </c>
      <c r="F112" s="5">
        <f t="shared" si="3"/>
        <v>29.237569060773481</v>
      </c>
      <c r="G112" s="5">
        <f t="shared" si="8"/>
        <v>106.42475138121554</v>
      </c>
      <c r="H112" s="5">
        <v>0.94000000000000605</v>
      </c>
      <c r="I112" s="5">
        <f t="shared" si="4"/>
        <v>13.160000000000085</v>
      </c>
      <c r="J112" s="5" t="e">
        <f t="shared" si="5"/>
        <v>#N/A</v>
      </c>
      <c r="K112" s="108" t="e">
        <f t="shared" si="6"/>
        <v>#N/A</v>
      </c>
      <c r="L112" s="108" t="e">
        <f t="shared" si="7"/>
        <v>#N/A</v>
      </c>
      <c r="M112" s="5" t="e">
        <f t="shared" si="9"/>
        <v>#N/A</v>
      </c>
      <c r="N112" s="5"/>
      <c r="O112" s="5"/>
      <c r="P112" s="5"/>
      <c r="Q112" s="5"/>
    </row>
    <row r="113" spans="1:17" x14ac:dyDescent="0.3">
      <c r="A113" s="5"/>
      <c r="B113" s="5">
        <v>0.83499999999999996</v>
      </c>
      <c r="C113" s="5">
        <f t="shared" si="0"/>
        <v>11.69</v>
      </c>
      <c r="D113" s="5">
        <f t="shared" si="1"/>
        <v>0.58127071823204424</v>
      </c>
      <c r="E113" s="107">
        <f t="shared" si="2"/>
        <v>29.063535911602209</v>
      </c>
      <c r="F113" s="5">
        <f t="shared" si="3"/>
        <v>29.063535911602209</v>
      </c>
      <c r="G113" s="5">
        <f t="shared" si="8"/>
        <v>107.82571823204427</v>
      </c>
      <c r="H113" s="5">
        <v>0.93500000000000605</v>
      </c>
      <c r="I113" s="5">
        <f t="shared" si="4"/>
        <v>13.090000000000085</v>
      </c>
      <c r="J113" s="5" t="e">
        <f t="shared" si="5"/>
        <v>#N/A</v>
      </c>
      <c r="K113" s="108" t="e">
        <f t="shared" si="6"/>
        <v>#N/A</v>
      </c>
      <c r="L113" s="108" t="e">
        <f t="shared" si="7"/>
        <v>#N/A</v>
      </c>
      <c r="M113" s="5" t="e">
        <f t="shared" si="9"/>
        <v>#N/A</v>
      </c>
      <c r="N113" s="5"/>
      <c r="O113" s="5"/>
      <c r="P113" s="5"/>
      <c r="Q113" s="5"/>
    </row>
    <row r="114" spans="1:17" x14ac:dyDescent="0.3">
      <c r="A114" s="5"/>
      <c r="B114" s="5">
        <v>0.83</v>
      </c>
      <c r="C114" s="5">
        <f t="shared" si="0"/>
        <v>11.62</v>
      </c>
      <c r="D114" s="5">
        <f t="shared" si="1"/>
        <v>0.57779005524861882</v>
      </c>
      <c r="E114" s="107">
        <f t="shared" si="2"/>
        <v>28.88950276243094</v>
      </c>
      <c r="F114" s="5">
        <f t="shared" si="3"/>
        <v>28.88950276243094</v>
      </c>
      <c r="G114" s="5">
        <f t="shared" si="8"/>
        <v>109.20232044198903</v>
      </c>
      <c r="H114" s="5">
        <v>0.93000000000000604</v>
      </c>
      <c r="I114" s="5">
        <f t="shared" si="4"/>
        <v>13.020000000000085</v>
      </c>
      <c r="J114" s="5" t="e">
        <f t="shared" si="5"/>
        <v>#N/A</v>
      </c>
      <c r="K114" s="108" t="e">
        <f t="shared" si="6"/>
        <v>#N/A</v>
      </c>
      <c r="L114" s="108" t="e">
        <f t="shared" si="7"/>
        <v>#N/A</v>
      </c>
      <c r="M114" s="5" t="e">
        <f t="shared" si="9"/>
        <v>#N/A</v>
      </c>
      <c r="N114" s="5"/>
      <c r="O114" s="5"/>
      <c r="P114" s="5"/>
      <c r="Q114" s="5"/>
    </row>
    <row r="115" spans="1:17" x14ac:dyDescent="0.3">
      <c r="A115" s="5"/>
      <c r="B115" s="5">
        <v>0.82499999999999996</v>
      </c>
      <c r="C115" s="5">
        <f t="shared" si="0"/>
        <v>11.549999999999999</v>
      </c>
      <c r="D115" s="5">
        <f t="shared" si="1"/>
        <v>0.57430939226519329</v>
      </c>
      <c r="E115" s="107">
        <f t="shared" si="2"/>
        <v>28.715469613259664</v>
      </c>
      <c r="F115" s="5">
        <f t="shared" si="3"/>
        <v>28.715469613259664</v>
      </c>
      <c r="G115" s="5">
        <f t="shared" si="8"/>
        <v>110.55455801104979</v>
      </c>
      <c r="H115" s="5">
        <v>0.92500000000000604</v>
      </c>
      <c r="I115" s="5">
        <f t="shared" si="4"/>
        <v>12.950000000000085</v>
      </c>
      <c r="J115" s="5" t="e">
        <f t="shared" si="5"/>
        <v>#N/A</v>
      </c>
      <c r="K115" s="108" t="e">
        <f t="shared" si="6"/>
        <v>#N/A</v>
      </c>
      <c r="L115" s="108" t="e">
        <f t="shared" si="7"/>
        <v>#N/A</v>
      </c>
      <c r="M115" s="5" t="e">
        <f t="shared" si="9"/>
        <v>#N/A</v>
      </c>
      <c r="N115" s="5"/>
      <c r="O115" s="5"/>
      <c r="P115" s="5"/>
      <c r="Q115" s="5"/>
    </row>
    <row r="116" spans="1:17" x14ac:dyDescent="0.3">
      <c r="A116" s="5"/>
      <c r="B116" s="5">
        <v>0.82</v>
      </c>
      <c r="C116" s="5">
        <f t="shared" si="0"/>
        <v>11.479999999999999</v>
      </c>
      <c r="D116" s="5">
        <f t="shared" si="1"/>
        <v>0.57082872928176787</v>
      </c>
      <c r="E116" s="107">
        <f t="shared" si="2"/>
        <v>28.541436464088392</v>
      </c>
      <c r="F116" s="5">
        <f t="shared" si="3"/>
        <v>28.541436464088392</v>
      </c>
      <c r="G116" s="5">
        <f t="shared" si="8"/>
        <v>111.88243093922659</v>
      </c>
      <c r="H116" s="5">
        <v>0.92000000000000604</v>
      </c>
      <c r="I116" s="5">
        <f t="shared" si="4"/>
        <v>12.880000000000084</v>
      </c>
      <c r="J116" s="5" t="e">
        <f t="shared" si="5"/>
        <v>#N/A</v>
      </c>
      <c r="K116" s="108" t="e">
        <f t="shared" si="6"/>
        <v>#N/A</v>
      </c>
      <c r="L116" s="108" t="e">
        <f t="shared" si="7"/>
        <v>#N/A</v>
      </c>
      <c r="M116" s="5" t="e">
        <f t="shared" si="9"/>
        <v>#N/A</v>
      </c>
      <c r="N116" s="5"/>
      <c r="O116" s="5"/>
      <c r="P116" s="5"/>
      <c r="Q116" s="5"/>
    </row>
    <row r="117" spans="1:17" x14ac:dyDescent="0.3">
      <c r="A117" s="5"/>
      <c r="B117" s="5">
        <v>0.81499999999999995</v>
      </c>
      <c r="C117" s="5">
        <f t="shared" si="0"/>
        <v>11.41</v>
      </c>
      <c r="D117" s="5">
        <f t="shared" si="1"/>
        <v>0.56734806629834256</v>
      </c>
      <c r="E117" s="107">
        <f t="shared" si="2"/>
        <v>28.367403314917127</v>
      </c>
      <c r="F117" s="5">
        <f t="shared" si="3"/>
        <v>28.367403314917127</v>
      </c>
      <c r="G117" s="5">
        <f t="shared" si="8"/>
        <v>113.18593922651939</v>
      </c>
      <c r="H117" s="5">
        <v>0.91500000000000603</v>
      </c>
      <c r="I117" s="5">
        <f t="shared" si="4"/>
        <v>12.810000000000084</v>
      </c>
      <c r="J117" s="5" t="e">
        <f t="shared" si="5"/>
        <v>#N/A</v>
      </c>
      <c r="K117" s="108" t="e">
        <f t="shared" si="6"/>
        <v>#N/A</v>
      </c>
      <c r="L117" s="108" t="e">
        <f t="shared" si="7"/>
        <v>#N/A</v>
      </c>
      <c r="M117" s="5" t="e">
        <f t="shared" si="9"/>
        <v>#N/A</v>
      </c>
      <c r="N117" s="5"/>
      <c r="O117" s="5"/>
      <c r="P117" s="5"/>
      <c r="Q117" s="5"/>
    </row>
    <row r="118" spans="1:17" x14ac:dyDescent="0.3">
      <c r="A118" s="5"/>
      <c r="B118" s="5">
        <v>0.81</v>
      </c>
      <c r="C118" s="5">
        <f t="shared" si="0"/>
        <v>11.34</v>
      </c>
      <c r="D118" s="5">
        <f t="shared" si="1"/>
        <v>0.56386740331491714</v>
      </c>
      <c r="E118" s="107">
        <f t="shared" si="2"/>
        <v>28.193370165745858</v>
      </c>
      <c r="F118" s="5">
        <f t="shared" si="3"/>
        <v>28.193370165745858</v>
      </c>
      <c r="G118" s="5">
        <f t="shared" si="8"/>
        <v>114.46508287292825</v>
      </c>
      <c r="H118" s="5">
        <v>0.91000000000000603</v>
      </c>
      <c r="I118" s="5">
        <f t="shared" si="4"/>
        <v>12.740000000000084</v>
      </c>
      <c r="J118" s="5" t="e">
        <f t="shared" si="5"/>
        <v>#N/A</v>
      </c>
      <c r="K118" s="108" t="e">
        <f t="shared" si="6"/>
        <v>#N/A</v>
      </c>
      <c r="L118" s="108" t="e">
        <f t="shared" si="7"/>
        <v>#N/A</v>
      </c>
      <c r="M118" s="5" t="e">
        <f t="shared" si="9"/>
        <v>#N/A</v>
      </c>
      <c r="N118" s="5"/>
      <c r="O118" s="5"/>
      <c r="P118" s="5"/>
      <c r="Q118" s="5"/>
    </row>
    <row r="119" spans="1:17" x14ac:dyDescent="0.3">
      <c r="A119" s="5"/>
      <c r="B119" s="5">
        <v>0.80500000000000005</v>
      </c>
      <c r="C119" s="5">
        <f t="shared" si="0"/>
        <v>11.270000000000001</v>
      </c>
      <c r="D119" s="5">
        <f t="shared" si="1"/>
        <v>0.56038674033149183</v>
      </c>
      <c r="E119" s="107">
        <f t="shared" si="2"/>
        <v>28.019337016574589</v>
      </c>
      <c r="F119" s="5">
        <f t="shared" si="3"/>
        <v>28.019337016574589</v>
      </c>
      <c r="G119" s="5">
        <f t="shared" si="8"/>
        <v>115.71986187845307</v>
      </c>
      <c r="H119" s="5">
        <v>0.90500000000000602</v>
      </c>
      <c r="I119" s="5">
        <f t="shared" si="4"/>
        <v>12.670000000000083</v>
      </c>
      <c r="J119" s="5" t="e">
        <f t="shared" si="5"/>
        <v>#N/A</v>
      </c>
      <c r="K119" s="108" t="e">
        <f t="shared" si="6"/>
        <v>#N/A</v>
      </c>
      <c r="L119" s="108" t="e">
        <f t="shared" si="7"/>
        <v>#N/A</v>
      </c>
      <c r="M119" s="5" t="e">
        <f t="shared" si="9"/>
        <v>#N/A</v>
      </c>
      <c r="N119" s="5"/>
      <c r="O119" s="5"/>
      <c r="P119" s="5"/>
      <c r="Q119" s="5"/>
    </row>
    <row r="120" spans="1:17" x14ac:dyDescent="0.3">
      <c r="A120" s="5"/>
      <c r="B120" s="5">
        <v>0.8</v>
      </c>
      <c r="C120" s="5">
        <f t="shared" si="0"/>
        <v>11.200000000000001</v>
      </c>
      <c r="D120" s="5">
        <f t="shared" si="1"/>
        <v>0.55690607734806641</v>
      </c>
      <c r="E120" s="107">
        <f t="shared" si="2"/>
        <v>27.84530386740332</v>
      </c>
      <c r="F120" s="5">
        <f t="shared" si="3"/>
        <v>27.84530386740332</v>
      </c>
      <c r="G120" s="5">
        <f t="shared" si="8"/>
        <v>116.95027624309398</v>
      </c>
      <c r="H120" s="5">
        <v>0.90000000000000602</v>
      </c>
      <c r="I120" s="5">
        <f t="shared" si="4"/>
        <v>12.600000000000085</v>
      </c>
      <c r="J120" s="5" t="e">
        <f t="shared" si="5"/>
        <v>#N/A</v>
      </c>
      <c r="K120" s="108" t="e">
        <f t="shared" si="6"/>
        <v>#N/A</v>
      </c>
      <c r="L120" s="108" t="e">
        <f t="shared" si="7"/>
        <v>#N/A</v>
      </c>
      <c r="M120" s="5" t="e">
        <f t="shared" si="9"/>
        <v>#N/A</v>
      </c>
      <c r="N120" s="5"/>
      <c r="O120" s="5"/>
      <c r="P120" s="5"/>
      <c r="Q120" s="5"/>
    </row>
    <row r="121" spans="1:17" x14ac:dyDescent="0.3">
      <c r="A121" s="5"/>
      <c r="B121" s="5">
        <v>0.79500000000000004</v>
      </c>
      <c r="C121" s="5">
        <f t="shared" si="0"/>
        <v>11.13</v>
      </c>
      <c r="D121" s="5">
        <f t="shared" si="1"/>
        <v>0.55342541436464088</v>
      </c>
      <c r="E121" s="107">
        <f t="shared" si="2"/>
        <v>27.671270718232044</v>
      </c>
      <c r="F121" s="5">
        <f t="shared" si="3"/>
        <v>27.671270718232044</v>
      </c>
      <c r="G121" s="5">
        <f t="shared" si="8"/>
        <v>118.15632596685087</v>
      </c>
      <c r="H121" s="5">
        <v>0.89500000000000701</v>
      </c>
      <c r="I121" s="5">
        <f t="shared" si="4"/>
        <v>12.530000000000099</v>
      </c>
      <c r="J121" s="5" t="e">
        <f t="shared" si="5"/>
        <v>#N/A</v>
      </c>
      <c r="K121" s="108" t="e">
        <f t="shared" si="6"/>
        <v>#N/A</v>
      </c>
      <c r="L121" s="108" t="e">
        <f t="shared" si="7"/>
        <v>#N/A</v>
      </c>
      <c r="M121" s="5" t="e">
        <f t="shared" si="9"/>
        <v>#N/A</v>
      </c>
      <c r="N121" s="5"/>
      <c r="O121" s="5"/>
      <c r="P121" s="5"/>
      <c r="Q121" s="5"/>
    </row>
    <row r="122" spans="1:17" x14ac:dyDescent="0.3">
      <c r="A122" s="5"/>
      <c r="B122" s="5">
        <v>0.79</v>
      </c>
      <c r="C122" s="5">
        <f t="shared" si="0"/>
        <v>11.06</v>
      </c>
      <c r="D122" s="5">
        <f t="shared" si="1"/>
        <v>0.54994475138121546</v>
      </c>
      <c r="E122" s="107">
        <f t="shared" si="2"/>
        <v>27.497237569060772</v>
      </c>
      <c r="F122" s="5">
        <f t="shared" si="3"/>
        <v>27.497237569060772</v>
      </c>
      <c r="G122" s="5">
        <f t="shared" si="8"/>
        <v>119.33801104972379</v>
      </c>
      <c r="H122" s="5">
        <v>0.89000000000000701</v>
      </c>
      <c r="I122" s="5">
        <f t="shared" si="4"/>
        <v>12.460000000000099</v>
      </c>
      <c r="J122" s="5" t="e">
        <f t="shared" si="5"/>
        <v>#N/A</v>
      </c>
      <c r="K122" s="108" t="e">
        <f t="shared" si="6"/>
        <v>#N/A</v>
      </c>
      <c r="L122" s="108" t="e">
        <f t="shared" si="7"/>
        <v>#N/A</v>
      </c>
      <c r="M122" s="5" t="e">
        <f t="shared" si="9"/>
        <v>#N/A</v>
      </c>
      <c r="N122" s="5"/>
      <c r="O122" s="5"/>
      <c r="P122" s="5"/>
      <c r="Q122" s="5"/>
    </row>
    <row r="123" spans="1:17" x14ac:dyDescent="0.3">
      <c r="A123" s="5"/>
      <c r="B123" s="5">
        <v>0.78500000000000003</v>
      </c>
      <c r="C123" s="5">
        <f t="shared" si="0"/>
        <v>10.99</v>
      </c>
      <c r="D123" s="5">
        <f t="shared" si="1"/>
        <v>0.54646408839779004</v>
      </c>
      <c r="E123" s="107">
        <f t="shared" si="2"/>
        <v>27.323204419889503</v>
      </c>
      <c r="F123" s="5">
        <f t="shared" si="3"/>
        <v>27.323204419889503</v>
      </c>
      <c r="G123" s="5">
        <f t="shared" si="8"/>
        <v>120.49533149171276</v>
      </c>
      <c r="H123" s="5">
        <v>0.885000000000007</v>
      </c>
      <c r="I123" s="5">
        <f t="shared" si="4"/>
        <v>12.390000000000098</v>
      </c>
      <c r="J123" s="5" t="e">
        <f t="shared" si="5"/>
        <v>#N/A</v>
      </c>
      <c r="K123" s="108" t="e">
        <f t="shared" si="6"/>
        <v>#N/A</v>
      </c>
      <c r="L123" s="108" t="e">
        <f t="shared" si="7"/>
        <v>#N/A</v>
      </c>
      <c r="M123" s="5" t="e">
        <f t="shared" si="9"/>
        <v>#N/A</v>
      </c>
      <c r="N123" s="5"/>
      <c r="O123" s="5"/>
      <c r="P123" s="5"/>
      <c r="Q123" s="5"/>
    </row>
    <row r="124" spans="1:17" x14ac:dyDescent="0.3">
      <c r="A124" s="5"/>
      <c r="B124" s="5">
        <v>0.78</v>
      </c>
      <c r="C124" s="5">
        <f t="shared" ref="C124:C187" si="10">B124*VOFLB</f>
        <v>10.92</v>
      </c>
      <c r="D124" s="5">
        <f t="shared" ref="D124:D187" si="11">C124*(ActR7+1000*Set_R9)/(ActR7+ActR8+Set_R9*1000)</f>
        <v>0.54298342541436462</v>
      </c>
      <c r="E124" s="107">
        <f t="shared" ref="E124:E187" si="12">IF(C124*(1000*Set_R9+ActR7)/((1000*Set_R9+ActR7+ActR8)*(Set_Rs*Gain/2))&gt;B$25,B$25,C124*(1000*Set_R9+ActR7)/((1000*Set_R9+ActR7+ActR8)*(Set_Rs*Gain/2)))</f>
        <v>27.149171270718231</v>
      </c>
      <c r="F124" s="5">
        <f t="shared" ref="F124:F187" si="13">IF(D124&lt;0.2,0.2/(Set_Rs*Gain/2),E124)</f>
        <v>27.149171270718231</v>
      </c>
      <c r="G124" s="5">
        <f t="shared" si="8"/>
        <v>121.62828729281773</v>
      </c>
      <c r="H124" s="5">
        <v>0.880000000000007</v>
      </c>
      <c r="I124" s="5">
        <f t="shared" ref="I124:I187" si="14">H124*VOFLB</f>
        <v>12.320000000000098</v>
      </c>
      <c r="J124" s="5" t="e">
        <f t="shared" ref="J124:J187" si="15">I124*ActR9_sw/(ActR7_sw+ActR9_sw+Set_R8*1000)</f>
        <v>#N/A</v>
      </c>
      <c r="K124" s="108" t="e">
        <f t="shared" ref="K124:K187" si="16">IF(J124/(0.5*Set_Rs*Gain) &gt;B$25,B$25,J124/(0.5*Set_Rs*Gain))</f>
        <v>#N/A</v>
      </c>
      <c r="L124" s="108" t="e">
        <f t="shared" ref="L124:L187" si="17">IF(J124&lt;0.2,0.2/(0.5*Set_Rs*Gain),K124)</f>
        <v>#N/A</v>
      </c>
      <c r="M124" s="5" t="e">
        <f t="shared" si="9"/>
        <v>#N/A</v>
      </c>
      <c r="N124" s="5"/>
      <c r="O124" s="5"/>
      <c r="P124" s="5"/>
      <c r="Q124" s="5"/>
    </row>
    <row r="125" spans="1:17" x14ac:dyDescent="0.3">
      <c r="A125" s="5"/>
      <c r="B125" s="5">
        <v>0.77500000000000002</v>
      </c>
      <c r="C125" s="5">
        <f t="shared" si="10"/>
        <v>10.85</v>
      </c>
      <c r="D125" s="5">
        <f t="shared" si="11"/>
        <v>0.5395027624309392</v>
      </c>
      <c r="E125" s="107">
        <f t="shared" si="12"/>
        <v>26.975138121546962</v>
      </c>
      <c r="F125" s="5">
        <f t="shared" si="13"/>
        <v>26.975138121546962</v>
      </c>
      <c r="G125" s="5">
        <f t="shared" ref="G125:G188" si="18">(C$60-C125)*F125</f>
        <v>122.73687845303874</v>
      </c>
      <c r="H125" s="5">
        <v>0.87500000000000699</v>
      </c>
      <c r="I125" s="5">
        <f t="shared" si="14"/>
        <v>12.250000000000098</v>
      </c>
      <c r="J125" s="5" t="e">
        <f t="shared" si="15"/>
        <v>#N/A</v>
      </c>
      <c r="K125" s="108" t="e">
        <f t="shared" si="16"/>
        <v>#N/A</v>
      </c>
      <c r="L125" s="108" t="e">
        <f t="shared" si="17"/>
        <v>#N/A</v>
      </c>
      <c r="M125" s="5" t="e">
        <f t="shared" ref="M125:M188" si="19">(I$60-I125)*L125</f>
        <v>#N/A</v>
      </c>
      <c r="N125" s="5"/>
      <c r="O125" s="5"/>
      <c r="P125" s="5"/>
      <c r="Q125" s="5"/>
    </row>
    <row r="126" spans="1:17" x14ac:dyDescent="0.3">
      <c r="A126" s="5"/>
      <c r="B126" s="5">
        <v>0.77</v>
      </c>
      <c r="C126" s="5">
        <f t="shared" si="10"/>
        <v>10.780000000000001</v>
      </c>
      <c r="D126" s="5">
        <f t="shared" si="11"/>
        <v>0.53602209944751389</v>
      </c>
      <c r="E126" s="107">
        <f t="shared" si="12"/>
        <v>26.801104972375697</v>
      </c>
      <c r="F126" s="5">
        <f t="shared" si="13"/>
        <v>26.801104972375697</v>
      </c>
      <c r="G126" s="5">
        <f t="shared" si="18"/>
        <v>123.82110497237575</v>
      </c>
      <c r="H126" s="5">
        <v>0.87000000000000699</v>
      </c>
      <c r="I126" s="5">
        <f t="shared" si="14"/>
        <v>12.180000000000097</v>
      </c>
      <c r="J126" s="5" t="e">
        <f t="shared" si="15"/>
        <v>#N/A</v>
      </c>
      <c r="K126" s="108" t="e">
        <f t="shared" si="16"/>
        <v>#N/A</v>
      </c>
      <c r="L126" s="108" t="e">
        <f t="shared" si="17"/>
        <v>#N/A</v>
      </c>
      <c r="M126" s="5" t="e">
        <f t="shared" si="19"/>
        <v>#N/A</v>
      </c>
      <c r="N126" s="5"/>
      <c r="O126" s="5"/>
      <c r="P126" s="5"/>
      <c r="Q126" s="5"/>
    </row>
    <row r="127" spans="1:17" x14ac:dyDescent="0.3">
      <c r="A127" s="5"/>
      <c r="B127" s="5">
        <v>0.76500000000000001</v>
      </c>
      <c r="C127" s="5">
        <f t="shared" si="10"/>
        <v>10.71</v>
      </c>
      <c r="D127" s="5">
        <f t="shared" si="11"/>
        <v>0.53254143646408836</v>
      </c>
      <c r="E127" s="107">
        <f t="shared" si="12"/>
        <v>26.627071823204421</v>
      </c>
      <c r="F127" s="5">
        <f t="shared" si="13"/>
        <v>26.627071823204421</v>
      </c>
      <c r="G127" s="5">
        <f t="shared" si="18"/>
        <v>124.88096685082877</v>
      </c>
      <c r="H127" s="5">
        <v>0.86500000000000699</v>
      </c>
      <c r="I127" s="5">
        <f t="shared" si="14"/>
        <v>12.110000000000097</v>
      </c>
      <c r="J127" s="5" t="e">
        <f t="shared" si="15"/>
        <v>#N/A</v>
      </c>
      <c r="K127" s="108" t="e">
        <f t="shared" si="16"/>
        <v>#N/A</v>
      </c>
      <c r="L127" s="108" t="e">
        <f t="shared" si="17"/>
        <v>#N/A</v>
      </c>
      <c r="M127" s="5" t="e">
        <f t="shared" si="19"/>
        <v>#N/A</v>
      </c>
      <c r="N127" s="5"/>
      <c r="O127" s="5"/>
      <c r="P127" s="5"/>
      <c r="Q127" s="5"/>
    </row>
    <row r="128" spans="1:17" x14ac:dyDescent="0.3">
      <c r="A128" s="5"/>
      <c r="B128" s="5">
        <v>0.76</v>
      </c>
      <c r="C128" s="5">
        <f t="shared" si="10"/>
        <v>10.64</v>
      </c>
      <c r="D128" s="5">
        <f t="shared" si="11"/>
        <v>0.52906077348066294</v>
      </c>
      <c r="E128" s="107">
        <f t="shared" si="12"/>
        <v>26.453038674033149</v>
      </c>
      <c r="F128" s="5">
        <f t="shared" si="13"/>
        <v>26.453038674033149</v>
      </c>
      <c r="G128" s="5">
        <f t="shared" si="18"/>
        <v>125.91646408839783</v>
      </c>
      <c r="H128" s="5">
        <v>0.86000000000000698</v>
      </c>
      <c r="I128" s="5">
        <f t="shared" si="14"/>
        <v>12.040000000000099</v>
      </c>
      <c r="J128" s="5" t="e">
        <f t="shared" si="15"/>
        <v>#N/A</v>
      </c>
      <c r="K128" s="108" t="e">
        <f t="shared" si="16"/>
        <v>#N/A</v>
      </c>
      <c r="L128" s="108" t="e">
        <f t="shared" si="17"/>
        <v>#N/A</v>
      </c>
      <c r="M128" s="5" t="e">
        <f t="shared" si="19"/>
        <v>#N/A</v>
      </c>
      <c r="N128" s="5"/>
      <c r="O128" s="5"/>
      <c r="P128" s="5"/>
      <c r="Q128" s="5"/>
    </row>
    <row r="129" spans="1:17" x14ac:dyDescent="0.3">
      <c r="A129" s="5"/>
      <c r="B129" s="5">
        <v>0.755</v>
      </c>
      <c r="C129" s="5">
        <f t="shared" si="10"/>
        <v>10.57</v>
      </c>
      <c r="D129" s="5">
        <f t="shared" si="11"/>
        <v>0.52558011049723752</v>
      </c>
      <c r="E129" s="107">
        <f t="shared" si="12"/>
        <v>26.27900552486188</v>
      </c>
      <c r="F129" s="5">
        <f t="shared" si="13"/>
        <v>26.27900552486188</v>
      </c>
      <c r="G129" s="5">
        <f t="shared" si="18"/>
        <v>126.92759668508293</v>
      </c>
      <c r="H129" s="5">
        <v>0.85500000000000698</v>
      </c>
      <c r="I129" s="5">
        <f t="shared" si="14"/>
        <v>11.970000000000098</v>
      </c>
      <c r="J129" s="5" t="e">
        <f t="shared" si="15"/>
        <v>#N/A</v>
      </c>
      <c r="K129" s="108" t="e">
        <f t="shared" si="16"/>
        <v>#N/A</v>
      </c>
      <c r="L129" s="108" t="e">
        <f t="shared" si="17"/>
        <v>#N/A</v>
      </c>
      <c r="M129" s="5" t="e">
        <f t="shared" si="19"/>
        <v>#N/A</v>
      </c>
      <c r="N129" s="5"/>
      <c r="O129" s="5"/>
      <c r="P129" s="5"/>
      <c r="Q129" s="5"/>
    </row>
    <row r="130" spans="1:17" x14ac:dyDescent="0.3">
      <c r="A130" s="5"/>
      <c r="B130" s="5">
        <v>0.75</v>
      </c>
      <c r="C130" s="5">
        <f t="shared" si="10"/>
        <v>10.5</v>
      </c>
      <c r="D130" s="5">
        <f t="shared" si="11"/>
        <v>0.52209944751381221</v>
      </c>
      <c r="E130" s="107">
        <f t="shared" si="12"/>
        <v>26.104972375690608</v>
      </c>
      <c r="F130" s="5">
        <f t="shared" si="13"/>
        <v>26.104972375690608</v>
      </c>
      <c r="G130" s="5">
        <f t="shared" si="18"/>
        <v>127.91436464088403</v>
      </c>
      <c r="H130" s="5">
        <v>0.85000000000000697</v>
      </c>
      <c r="I130" s="5">
        <f t="shared" si="14"/>
        <v>11.900000000000098</v>
      </c>
      <c r="J130" s="5" t="e">
        <f t="shared" si="15"/>
        <v>#N/A</v>
      </c>
      <c r="K130" s="108" t="e">
        <f t="shared" si="16"/>
        <v>#N/A</v>
      </c>
      <c r="L130" s="108" t="e">
        <f t="shared" si="17"/>
        <v>#N/A</v>
      </c>
      <c r="M130" s="5" t="e">
        <f t="shared" si="19"/>
        <v>#N/A</v>
      </c>
      <c r="N130" s="5"/>
      <c r="O130" s="5"/>
      <c r="P130" s="5"/>
      <c r="Q130" s="5"/>
    </row>
    <row r="131" spans="1:17" x14ac:dyDescent="0.3">
      <c r="A131" s="5"/>
      <c r="B131" s="5">
        <v>0.745</v>
      </c>
      <c r="C131" s="5">
        <f t="shared" si="10"/>
        <v>10.43</v>
      </c>
      <c r="D131" s="5">
        <f t="shared" si="11"/>
        <v>0.51861878453038679</v>
      </c>
      <c r="E131" s="107">
        <f t="shared" si="12"/>
        <v>25.930939226519335</v>
      </c>
      <c r="F131" s="5">
        <f t="shared" si="13"/>
        <v>25.930939226519335</v>
      </c>
      <c r="G131" s="5">
        <f t="shared" si="18"/>
        <v>128.87676795580117</v>
      </c>
      <c r="H131" s="5">
        <v>0.84500000000000797</v>
      </c>
      <c r="I131" s="5">
        <f t="shared" si="14"/>
        <v>11.830000000000112</v>
      </c>
      <c r="J131" s="5" t="e">
        <f t="shared" si="15"/>
        <v>#N/A</v>
      </c>
      <c r="K131" s="108" t="e">
        <f t="shared" si="16"/>
        <v>#N/A</v>
      </c>
      <c r="L131" s="108" t="e">
        <f t="shared" si="17"/>
        <v>#N/A</v>
      </c>
      <c r="M131" s="5" t="e">
        <f t="shared" si="19"/>
        <v>#N/A</v>
      </c>
      <c r="N131" s="5"/>
      <c r="O131" s="5"/>
      <c r="P131" s="5"/>
      <c r="Q131" s="5"/>
    </row>
    <row r="132" spans="1:17" x14ac:dyDescent="0.3">
      <c r="A132" s="5"/>
      <c r="B132" s="5">
        <v>0.74</v>
      </c>
      <c r="C132" s="5">
        <f t="shared" si="10"/>
        <v>10.36</v>
      </c>
      <c r="D132" s="5">
        <f t="shared" si="11"/>
        <v>0.51513812154696137</v>
      </c>
      <c r="E132" s="107">
        <f t="shared" si="12"/>
        <v>25.756906077348066</v>
      </c>
      <c r="F132" s="5">
        <f t="shared" si="13"/>
        <v>25.756906077348066</v>
      </c>
      <c r="G132" s="5">
        <f t="shared" si="18"/>
        <v>129.81480662983432</v>
      </c>
      <c r="H132" s="5">
        <v>0.84000000000000796</v>
      </c>
      <c r="I132" s="5">
        <f t="shared" si="14"/>
        <v>11.760000000000112</v>
      </c>
      <c r="J132" s="5" t="e">
        <f t="shared" si="15"/>
        <v>#N/A</v>
      </c>
      <c r="K132" s="108" t="e">
        <f t="shared" si="16"/>
        <v>#N/A</v>
      </c>
      <c r="L132" s="108" t="e">
        <f t="shared" si="17"/>
        <v>#N/A</v>
      </c>
      <c r="M132" s="5" t="e">
        <f t="shared" si="19"/>
        <v>#N/A</v>
      </c>
      <c r="N132" s="5"/>
      <c r="O132" s="5"/>
      <c r="P132" s="5"/>
      <c r="Q132" s="5"/>
    </row>
    <row r="133" spans="1:17" x14ac:dyDescent="0.3">
      <c r="A133" s="5"/>
      <c r="B133" s="5">
        <v>0.73499999999999999</v>
      </c>
      <c r="C133" s="5">
        <f t="shared" si="10"/>
        <v>10.29</v>
      </c>
      <c r="D133" s="5">
        <f t="shared" si="11"/>
        <v>0.51165745856353595</v>
      </c>
      <c r="E133" s="107">
        <f t="shared" si="12"/>
        <v>25.582872928176794</v>
      </c>
      <c r="F133" s="5">
        <f t="shared" si="13"/>
        <v>25.582872928176794</v>
      </c>
      <c r="G133" s="5">
        <f t="shared" si="18"/>
        <v>130.72848066298349</v>
      </c>
      <c r="H133" s="5">
        <v>0.83500000000000796</v>
      </c>
      <c r="I133" s="5">
        <f t="shared" si="14"/>
        <v>11.690000000000111</v>
      </c>
      <c r="J133" s="5" t="e">
        <f t="shared" si="15"/>
        <v>#N/A</v>
      </c>
      <c r="K133" s="108" t="e">
        <f t="shared" si="16"/>
        <v>#N/A</v>
      </c>
      <c r="L133" s="108" t="e">
        <f t="shared" si="17"/>
        <v>#N/A</v>
      </c>
      <c r="M133" s="5" t="e">
        <f t="shared" si="19"/>
        <v>#N/A</v>
      </c>
      <c r="N133" s="5"/>
      <c r="O133" s="5"/>
      <c r="P133" s="5"/>
      <c r="Q133" s="5"/>
    </row>
    <row r="134" spans="1:17" x14ac:dyDescent="0.3">
      <c r="A134" s="5"/>
      <c r="B134" s="5">
        <v>0.73</v>
      </c>
      <c r="C134" s="5">
        <f t="shared" si="10"/>
        <v>10.219999999999999</v>
      </c>
      <c r="D134" s="5">
        <f t="shared" si="11"/>
        <v>0.50817679558011042</v>
      </c>
      <c r="E134" s="107">
        <f t="shared" si="12"/>
        <v>25.408839779005522</v>
      </c>
      <c r="F134" s="5">
        <f t="shared" si="13"/>
        <v>25.408839779005522</v>
      </c>
      <c r="G134" s="5">
        <f t="shared" si="18"/>
        <v>131.61779005524869</v>
      </c>
      <c r="H134" s="5">
        <v>0.83000000000000795</v>
      </c>
      <c r="I134" s="5">
        <f t="shared" si="14"/>
        <v>11.620000000000111</v>
      </c>
      <c r="J134" s="5" t="e">
        <f t="shared" si="15"/>
        <v>#N/A</v>
      </c>
      <c r="K134" s="108" t="e">
        <f t="shared" si="16"/>
        <v>#N/A</v>
      </c>
      <c r="L134" s="108" t="e">
        <f t="shared" si="17"/>
        <v>#N/A</v>
      </c>
      <c r="M134" s="5" t="e">
        <f t="shared" si="19"/>
        <v>#N/A</v>
      </c>
      <c r="N134" s="5"/>
      <c r="O134" s="5"/>
      <c r="P134" s="5"/>
      <c r="Q134" s="5"/>
    </row>
    <row r="135" spans="1:17" x14ac:dyDescent="0.3">
      <c r="A135" s="5"/>
      <c r="B135" s="5">
        <v>0.72499999999999998</v>
      </c>
      <c r="C135" s="5">
        <f t="shared" si="10"/>
        <v>10.15</v>
      </c>
      <c r="D135" s="5">
        <f t="shared" si="11"/>
        <v>0.50469613259668511</v>
      </c>
      <c r="E135" s="107">
        <f t="shared" si="12"/>
        <v>25.234806629834253</v>
      </c>
      <c r="F135" s="5">
        <f t="shared" si="13"/>
        <v>25.234806629834253</v>
      </c>
      <c r="G135" s="5">
        <f t="shared" si="18"/>
        <v>132.48273480662988</v>
      </c>
      <c r="H135" s="5">
        <v>0.82500000000000795</v>
      </c>
      <c r="I135" s="5">
        <f t="shared" si="14"/>
        <v>11.550000000000111</v>
      </c>
      <c r="J135" s="5" t="e">
        <f t="shared" si="15"/>
        <v>#N/A</v>
      </c>
      <c r="K135" s="108" t="e">
        <f t="shared" si="16"/>
        <v>#N/A</v>
      </c>
      <c r="L135" s="108" t="e">
        <f t="shared" si="17"/>
        <v>#N/A</v>
      </c>
      <c r="M135" s="5" t="e">
        <f t="shared" si="19"/>
        <v>#N/A</v>
      </c>
      <c r="N135" s="5"/>
      <c r="O135" s="5"/>
      <c r="P135" s="5"/>
      <c r="Q135" s="5"/>
    </row>
    <row r="136" spans="1:17" x14ac:dyDescent="0.3">
      <c r="A136" s="5"/>
      <c r="B136" s="5">
        <v>0.72</v>
      </c>
      <c r="C136" s="5">
        <f t="shared" si="10"/>
        <v>10.08</v>
      </c>
      <c r="D136" s="5">
        <f t="shared" si="11"/>
        <v>0.50121546961325969</v>
      </c>
      <c r="E136" s="107">
        <f t="shared" si="12"/>
        <v>25.060773480662984</v>
      </c>
      <c r="F136" s="5">
        <f t="shared" si="13"/>
        <v>25.060773480662984</v>
      </c>
      <c r="G136" s="5">
        <f t="shared" si="18"/>
        <v>133.32331491712714</v>
      </c>
      <c r="H136" s="5">
        <v>0.82000000000000794</v>
      </c>
      <c r="I136" s="5">
        <f t="shared" si="14"/>
        <v>11.480000000000111</v>
      </c>
      <c r="J136" s="5" t="e">
        <f t="shared" si="15"/>
        <v>#N/A</v>
      </c>
      <c r="K136" s="108" t="e">
        <f t="shared" si="16"/>
        <v>#N/A</v>
      </c>
      <c r="L136" s="108" t="e">
        <f t="shared" si="17"/>
        <v>#N/A</v>
      </c>
      <c r="M136" s="5" t="e">
        <f t="shared" si="19"/>
        <v>#N/A</v>
      </c>
      <c r="N136" s="5"/>
      <c r="O136" s="5"/>
      <c r="P136" s="5"/>
      <c r="Q136" s="5"/>
    </row>
    <row r="137" spans="1:17" x14ac:dyDescent="0.3">
      <c r="A137" s="5"/>
      <c r="B137" s="5">
        <v>0.71499999999999997</v>
      </c>
      <c r="C137" s="5">
        <f t="shared" si="10"/>
        <v>10.01</v>
      </c>
      <c r="D137" s="5">
        <f t="shared" si="11"/>
        <v>0.49773480662983427</v>
      </c>
      <c r="E137" s="107">
        <f t="shared" si="12"/>
        <v>24.886740331491712</v>
      </c>
      <c r="F137" s="5">
        <f t="shared" si="13"/>
        <v>24.886740331491712</v>
      </c>
      <c r="G137" s="5">
        <f t="shared" si="18"/>
        <v>134.13953038674038</v>
      </c>
      <c r="H137" s="5">
        <v>0.81500000000000805</v>
      </c>
      <c r="I137" s="5">
        <f t="shared" si="14"/>
        <v>11.410000000000112</v>
      </c>
      <c r="J137" s="5" t="e">
        <f t="shared" si="15"/>
        <v>#N/A</v>
      </c>
      <c r="K137" s="108" t="e">
        <f t="shared" si="16"/>
        <v>#N/A</v>
      </c>
      <c r="L137" s="108" t="e">
        <f t="shared" si="17"/>
        <v>#N/A</v>
      </c>
      <c r="M137" s="5" t="e">
        <f t="shared" si="19"/>
        <v>#N/A</v>
      </c>
      <c r="N137" s="5"/>
      <c r="O137" s="5"/>
      <c r="P137" s="5"/>
      <c r="Q137" s="5"/>
    </row>
    <row r="138" spans="1:17" x14ac:dyDescent="0.3">
      <c r="A138" s="5"/>
      <c r="B138" s="5">
        <v>0.71</v>
      </c>
      <c r="C138" s="5">
        <f t="shared" si="10"/>
        <v>9.94</v>
      </c>
      <c r="D138" s="5">
        <f t="shared" si="11"/>
        <v>0.49425414364640885</v>
      </c>
      <c r="E138" s="107">
        <f t="shared" si="12"/>
        <v>24.712707182320443</v>
      </c>
      <c r="F138" s="5">
        <f t="shared" si="13"/>
        <v>24.712707182320443</v>
      </c>
      <c r="G138" s="5">
        <f t="shared" si="18"/>
        <v>134.93138121546968</v>
      </c>
      <c r="H138" s="5">
        <v>0.81000000000000805</v>
      </c>
      <c r="I138" s="5">
        <f t="shared" si="14"/>
        <v>11.340000000000114</v>
      </c>
      <c r="J138" s="5" t="e">
        <f t="shared" si="15"/>
        <v>#N/A</v>
      </c>
      <c r="K138" s="108" t="e">
        <f t="shared" si="16"/>
        <v>#N/A</v>
      </c>
      <c r="L138" s="108" t="e">
        <f t="shared" si="17"/>
        <v>#N/A</v>
      </c>
      <c r="M138" s="5" t="e">
        <f t="shared" si="19"/>
        <v>#N/A</v>
      </c>
      <c r="N138" s="5"/>
      <c r="O138" s="5"/>
      <c r="P138" s="5"/>
      <c r="Q138" s="5"/>
    </row>
    <row r="139" spans="1:17" x14ac:dyDescent="0.3">
      <c r="A139" s="5"/>
      <c r="B139" s="5">
        <v>0.70499999999999996</v>
      </c>
      <c r="C139" s="5">
        <f t="shared" si="10"/>
        <v>9.8699999999999992</v>
      </c>
      <c r="D139" s="5">
        <f t="shared" si="11"/>
        <v>0.49077348066298343</v>
      </c>
      <c r="E139" s="107">
        <f t="shared" si="12"/>
        <v>24.538674033149171</v>
      </c>
      <c r="F139" s="5">
        <f t="shared" si="13"/>
        <v>24.538674033149171</v>
      </c>
      <c r="G139" s="5">
        <f t="shared" si="18"/>
        <v>135.69886740331498</v>
      </c>
      <c r="H139" s="5">
        <v>0.80500000000000804</v>
      </c>
      <c r="I139" s="5">
        <f t="shared" si="14"/>
        <v>11.270000000000113</v>
      </c>
      <c r="J139" s="5" t="e">
        <f t="shared" si="15"/>
        <v>#N/A</v>
      </c>
      <c r="K139" s="108" t="e">
        <f t="shared" si="16"/>
        <v>#N/A</v>
      </c>
      <c r="L139" s="108" t="e">
        <f t="shared" si="17"/>
        <v>#N/A</v>
      </c>
      <c r="M139" s="5" t="e">
        <f t="shared" si="19"/>
        <v>#N/A</v>
      </c>
      <c r="N139" s="5"/>
      <c r="O139" s="5"/>
      <c r="P139" s="5"/>
      <c r="Q139" s="5"/>
    </row>
    <row r="140" spans="1:17" x14ac:dyDescent="0.3">
      <c r="A140" s="5"/>
      <c r="B140" s="5">
        <v>0.7</v>
      </c>
      <c r="C140" s="5">
        <f t="shared" si="10"/>
        <v>9.7999999999999989</v>
      </c>
      <c r="D140" s="5">
        <f t="shared" si="11"/>
        <v>0.4872928176795579</v>
      </c>
      <c r="E140" s="107">
        <f t="shared" si="12"/>
        <v>24.364640883977895</v>
      </c>
      <c r="F140" s="5">
        <f t="shared" si="13"/>
        <v>24.364640883977895</v>
      </c>
      <c r="G140" s="5">
        <f t="shared" si="18"/>
        <v>136.44198895027628</v>
      </c>
      <c r="H140" s="5">
        <v>0.80000000000000904</v>
      </c>
      <c r="I140" s="5">
        <f t="shared" si="14"/>
        <v>11.200000000000127</v>
      </c>
      <c r="J140" s="5" t="e">
        <f t="shared" si="15"/>
        <v>#N/A</v>
      </c>
      <c r="K140" s="108" t="e">
        <f t="shared" si="16"/>
        <v>#N/A</v>
      </c>
      <c r="L140" s="108" t="e">
        <f t="shared" si="17"/>
        <v>#N/A</v>
      </c>
      <c r="M140" s="5" t="e">
        <f t="shared" si="19"/>
        <v>#N/A</v>
      </c>
      <c r="N140" s="5"/>
      <c r="O140" s="5"/>
      <c r="P140" s="5"/>
      <c r="Q140" s="5"/>
    </row>
    <row r="141" spans="1:17" x14ac:dyDescent="0.3">
      <c r="A141" s="5"/>
      <c r="B141" s="5">
        <v>0.69499999999999995</v>
      </c>
      <c r="C141" s="5">
        <f t="shared" si="10"/>
        <v>9.7299999999999986</v>
      </c>
      <c r="D141" s="5">
        <f t="shared" si="11"/>
        <v>0.48381215469613248</v>
      </c>
      <c r="E141" s="107">
        <f t="shared" si="12"/>
        <v>24.190607734806626</v>
      </c>
      <c r="F141" s="5">
        <f t="shared" si="13"/>
        <v>24.190607734806626</v>
      </c>
      <c r="G141" s="5">
        <f t="shared" si="18"/>
        <v>137.16074585635366</v>
      </c>
      <c r="H141" s="5">
        <v>0.79500000000000903</v>
      </c>
      <c r="I141" s="5">
        <f t="shared" si="14"/>
        <v>11.130000000000127</v>
      </c>
      <c r="J141" s="5" t="e">
        <f t="shared" si="15"/>
        <v>#N/A</v>
      </c>
      <c r="K141" s="108" t="e">
        <f t="shared" si="16"/>
        <v>#N/A</v>
      </c>
      <c r="L141" s="108" t="e">
        <f t="shared" si="17"/>
        <v>#N/A</v>
      </c>
      <c r="M141" s="5" t="e">
        <f t="shared" si="19"/>
        <v>#N/A</v>
      </c>
      <c r="N141" s="5"/>
      <c r="O141" s="5"/>
      <c r="P141" s="5"/>
      <c r="Q141" s="5"/>
    </row>
    <row r="142" spans="1:17" x14ac:dyDescent="0.3">
      <c r="A142" s="5"/>
      <c r="B142" s="5">
        <v>0.69</v>
      </c>
      <c r="C142" s="5">
        <f t="shared" si="10"/>
        <v>9.66</v>
      </c>
      <c r="D142" s="5">
        <f t="shared" si="11"/>
        <v>0.48033149171270717</v>
      </c>
      <c r="E142" s="107">
        <f t="shared" si="12"/>
        <v>24.016574585635357</v>
      </c>
      <c r="F142" s="5">
        <f t="shared" si="13"/>
        <v>24.016574585635357</v>
      </c>
      <c r="G142" s="5">
        <f t="shared" si="18"/>
        <v>137.85513812154699</v>
      </c>
      <c r="H142" s="5">
        <v>0.79000000000000903</v>
      </c>
      <c r="I142" s="5">
        <f t="shared" si="14"/>
        <v>11.060000000000127</v>
      </c>
      <c r="J142" s="5" t="e">
        <f t="shared" si="15"/>
        <v>#N/A</v>
      </c>
      <c r="K142" s="108" t="e">
        <f t="shared" si="16"/>
        <v>#N/A</v>
      </c>
      <c r="L142" s="108" t="e">
        <f t="shared" si="17"/>
        <v>#N/A</v>
      </c>
      <c r="M142" s="5" t="e">
        <f t="shared" si="19"/>
        <v>#N/A</v>
      </c>
      <c r="N142" s="5"/>
      <c r="O142" s="5"/>
      <c r="P142" s="5"/>
      <c r="Q142" s="5"/>
    </row>
    <row r="143" spans="1:17" x14ac:dyDescent="0.3">
      <c r="A143" s="5"/>
      <c r="B143" s="5">
        <v>0.68500000000000005</v>
      </c>
      <c r="C143" s="5">
        <f t="shared" si="10"/>
        <v>9.59</v>
      </c>
      <c r="D143" s="5">
        <f t="shared" si="11"/>
        <v>0.47685082872928175</v>
      </c>
      <c r="E143" s="107">
        <f t="shared" si="12"/>
        <v>23.842541436464089</v>
      </c>
      <c r="F143" s="5">
        <f t="shared" si="13"/>
        <v>23.842541436464089</v>
      </c>
      <c r="G143" s="5">
        <f t="shared" si="18"/>
        <v>138.52516574585641</v>
      </c>
      <c r="H143" s="5">
        <v>0.78500000000000902</v>
      </c>
      <c r="I143" s="5">
        <f t="shared" si="14"/>
        <v>10.990000000000126</v>
      </c>
      <c r="J143" s="5" t="e">
        <f t="shared" si="15"/>
        <v>#N/A</v>
      </c>
      <c r="K143" s="108" t="e">
        <f t="shared" si="16"/>
        <v>#N/A</v>
      </c>
      <c r="L143" s="108" t="e">
        <f t="shared" si="17"/>
        <v>#N/A</v>
      </c>
      <c r="M143" s="5" t="e">
        <f t="shared" si="19"/>
        <v>#N/A</v>
      </c>
      <c r="N143" s="5"/>
      <c r="O143" s="5"/>
      <c r="P143" s="5"/>
      <c r="Q143" s="5"/>
    </row>
    <row r="144" spans="1:17" x14ac:dyDescent="0.3">
      <c r="A144" s="5"/>
      <c r="B144" s="5">
        <v>0.68</v>
      </c>
      <c r="C144" s="5">
        <f t="shared" si="10"/>
        <v>9.5200000000000014</v>
      </c>
      <c r="D144" s="5">
        <f t="shared" si="11"/>
        <v>0.47337016574585644</v>
      </c>
      <c r="E144" s="107">
        <f t="shared" si="12"/>
        <v>23.668508287292823</v>
      </c>
      <c r="F144" s="5">
        <f t="shared" si="13"/>
        <v>23.668508287292823</v>
      </c>
      <c r="G144" s="5">
        <f t="shared" si="18"/>
        <v>139.17082872928182</v>
      </c>
      <c r="H144" s="5">
        <v>0.78000000000000902</v>
      </c>
      <c r="I144" s="5">
        <f t="shared" si="14"/>
        <v>10.920000000000126</v>
      </c>
      <c r="J144" s="5" t="e">
        <f t="shared" si="15"/>
        <v>#N/A</v>
      </c>
      <c r="K144" s="108" t="e">
        <f t="shared" si="16"/>
        <v>#N/A</v>
      </c>
      <c r="L144" s="108" t="e">
        <f t="shared" si="17"/>
        <v>#N/A</v>
      </c>
      <c r="M144" s="5" t="e">
        <f t="shared" si="19"/>
        <v>#N/A</v>
      </c>
      <c r="N144" s="5"/>
      <c r="O144" s="5"/>
      <c r="P144" s="5"/>
      <c r="Q144" s="5"/>
    </row>
    <row r="145" spans="1:17" x14ac:dyDescent="0.3">
      <c r="A145" s="5"/>
      <c r="B145" s="5">
        <v>0.67500000000000004</v>
      </c>
      <c r="C145" s="5">
        <f t="shared" si="10"/>
        <v>9.4500000000000011</v>
      </c>
      <c r="D145" s="5">
        <f t="shared" si="11"/>
        <v>0.46988950276243102</v>
      </c>
      <c r="E145" s="107">
        <f t="shared" si="12"/>
        <v>23.494475138121551</v>
      </c>
      <c r="F145" s="5">
        <f t="shared" si="13"/>
        <v>23.494475138121551</v>
      </c>
      <c r="G145" s="5">
        <f t="shared" si="18"/>
        <v>139.79212707182324</v>
      </c>
      <c r="H145" s="5">
        <v>0.77500000000000902</v>
      </c>
      <c r="I145" s="5">
        <f t="shared" si="14"/>
        <v>10.850000000000126</v>
      </c>
      <c r="J145" s="5" t="e">
        <f t="shared" si="15"/>
        <v>#N/A</v>
      </c>
      <c r="K145" s="108" t="e">
        <f t="shared" si="16"/>
        <v>#N/A</v>
      </c>
      <c r="L145" s="108" t="e">
        <f t="shared" si="17"/>
        <v>#N/A</v>
      </c>
      <c r="M145" s="5" t="e">
        <f t="shared" si="19"/>
        <v>#N/A</v>
      </c>
      <c r="N145" s="5"/>
      <c r="O145" s="5"/>
      <c r="P145" s="5"/>
      <c r="Q145" s="5"/>
    </row>
    <row r="146" spans="1:17" x14ac:dyDescent="0.3">
      <c r="A146" s="5"/>
      <c r="B146" s="5">
        <v>0.67</v>
      </c>
      <c r="C146" s="5">
        <f t="shared" si="10"/>
        <v>9.3800000000000008</v>
      </c>
      <c r="D146" s="5">
        <f t="shared" si="11"/>
        <v>0.46640883977900555</v>
      </c>
      <c r="E146" s="107">
        <f t="shared" si="12"/>
        <v>23.320441988950275</v>
      </c>
      <c r="F146" s="5">
        <f t="shared" si="13"/>
        <v>23.320441988950275</v>
      </c>
      <c r="G146" s="5">
        <f t="shared" si="18"/>
        <v>140.38906077348068</v>
      </c>
      <c r="H146" s="5">
        <v>0.77000000000000901</v>
      </c>
      <c r="I146" s="5">
        <f t="shared" si="14"/>
        <v>10.780000000000125</v>
      </c>
      <c r="J146" s="5" t="e">
        <f t="shared" si="15"/>
        <v>#N/A</v>
      </c>
      <c r="K146" s="108" t="e">
        <f t="shared" si="16"/>
        <v>#N/A</v>
      </c>
      <c r="L146" s="108" t="e">
        <f t="shared" si="17"/>
        <v>#N/A</v>
      </c>
      <c r="M146" s="5" t="e">
        <f t="shared" si="19"/>
        <v>#N/A</v>
      </c>
      <c r="N146" s="5"/>
      <c r="O146" s="5"/>
      <c r="P146" s="5"/>
      <c r="Q146" s="5"/>
    </row>
    <row r="147" spans="1:17" x14ac:dyDescent="0.3">
      <c r="A147" s="5"/>
      <c r="B147" s="5">
        <v>0.66500000000000004</v>
      </c>
      <c r="C147" s="5">
        <f t="shared" si="10"/>
        <v>9.31</v>
      </c>
      <c r="D147" s="5">
        <f t="shared" si="11"/>
        <v>0.46292817679558013</v>
      </c>
      <c r="E147" s="107">
        <f t="shared" si="12"/>
        <v>23.146408839779006</v>
      </c>
      <c r="F147" s="5">
        <f t="shared" si="13"/>
        <v>23.146408839779006</v>
      </c>
      <c r="G147" s="5">
        <f t="shared" si="18"/>
        <v>140.96162983425418</v>
      </c>
      <c r="H147" s="5">
        <v>0.76500000000000901</v>
      </c>
      <c r="I147" s="5">
        <f t="shared" si="14"/>
        <v>10.710000000000125</v>
      </c>
      <c r="J147" s="5" t="e">
        <f t="shared" si="15"/>
        <v>#N/A</v>
      </c>
      <c r="K147" s="108" t="e">
        <f t="shared" si="16"/>
        <v>#N/A</v>
      </c>
      <c r="L147" s="108" t="e">
        <f t="shared" si="17"/>
        <v>#N/A</v>
      </c>
      <c r="M147" s="5" t="e">
        <f t="shared" si="19"/>
        <v>#N/A</v>
      </c>
      <c r="N147" s="5"/>
      <c r="O147" s="5"/>
      <c r="P147" s="5"/>
      <c r="Q147" s="5"/>
    </row>
    <row r="148" spans="1:17" x14ac:dyDescent="0.3">
      <c r="A148" s="5"/>
      <c r="B148" s="5">
        <v>0.66</v>
      </c>
      <c r="C148" s="5">
        <f t="shared" si="10"/>
        <v>9.24</v>
      </c>
      <c r="D148" s="5">
        <f t="shared" si="11"/>
        <v>0.45944751381215471</v>
      </c>
      <c r="E148" s="107">
        <f t="shared" si="12"/>
        <v>22.972375690607734</v>
      </c>
      <c r="F148" s="5">
        <f t="shared" si="13"/>
        <v>22.972375690607734</v>
      </c>
      <c r="G148" s="5">
        <f t="shared" si="18"/>
        <v>141.5098342541437</v>
      </c>
      <c r="H148" s="5">
        <v>0.760000000000009</v>
      </c>
      <c r="I148" s="5">
        <f t="shared" si="14"/>
        <v>10.640000000000127</v>
      </c>
      <c r="J148" s="5" t="e">
        <f t="shared" si="15"/>
        <v>#N/A</v>
      </c>
      <c r="K148" s="108" t="e">
        <f t="shared" si="16"/>
        <v>#N/A</v>
      </c>
      <c r="L148" s="108" t="e">
        <f t="shared" si="17"/>
        <v>#N/A</v>
      </c>
      <c r="M148" s="5" t="e">
        <f t="shared" si="19"/>
        <v>#N/A</v>
      </c>
      <c r="N148" s="5"/>
      <c r="O148" s="5"/>
      <c r="P148" s="5"/>
      <c r="Q148" s="5"/>
    </row>
    <row r="149" spans="1:17" x14ac:dyDescent="0.3">
      <c r="A149" s="5"/>
      <c r="B149" s="5">
        <v>0.65500000000000003</v>
      </c>
      <c r="C149" s="5">
        <f t="shared" si="10"/>
        <v>9.17</v>
      </c>
      <c r="D149" s="5">
        <f t="shared" si="11"/>
        <v>0.45596685082872929</v>
      </c>
      <c r="E149" s="107">
        <f t="shared" si="12"/>
        <v>22.798342541436465</v>
      </c>
      <c r="F149" s="5">
        <f t="shared" si="13"/>
        <v>22.798342541436465</v>
      </c>
      <c r="G149" s="5">
        <f t="shared" si="18"/>
        <v>142.03367403314923</v>
      </c>
      <c r="H149" s="5">
        <v>0.755000000000009</v>
      </c>
      <c r="I149" s="5">
        <f t="shared" si="14"/>
        <v>10.570000000000126</v>
      </c>
      <c r="J149" s="5" t="e">
        <f t="shared" si="15"/>
        <v>#N/A</v>
      </c>
      <c r="K149" s="108" t="e">
        <f t="shared" si="16"/>
        <v>#N/A</v>
      </c>
      <c r="L149" s="108" t="e">
        <f t="shared" si="17"/>
        <v>#N/A</v>
      </c>
      <c r="M149" s="5" t="e">
        <f t="shared" si="19"/>
        <v>#N/A</v>
      </c>
      <c r="N149" s="5"/>
      <c r="O149" s="5"/>
      <c r="P149" s="5"/>
      <c r="Q149" s="5"/>
    </row>
    <row r="150" spans="1:17" x14ac:dyDescent="0.3">
      <c r="A150" s="5"/>
      <c r="B150" s="5">
        <v>0.65</v>
      </c>
      <c r="C150" s="5">
        <f t="shared" si="10"/>
        <v>9.1</v>
      </c>
      <c r="D150" s="5">
        <f t="shared" si="11"/>
        <v>0.45248618784530387</v>
      </c>
      <c r="E150" s="107">
        <f t="shared" si="12"/>
        <v>22.624309392265193</v>
      </c>
      <c r="F150" s="5">
        <f t="shared" si="13"/>
        <v>22.624309392265193</v>
      </c>
      <c r="G150" s="5">
        <f t="shared" si="18"/>
        <v>142.53314917127076</v>
      </c>
      <c r="H150" s="5">
        <v>0.75000000000000999</v>
      </c>
      <c r="I150" s="5">
        <f t="shared" si="14"/>
        <v>10.50000000000014</v>
      </c>
      <c r="J150" s="5" t="e">
        <f t="shared" si="15"/>
        <v>#N/A</v>
      </c>
      <c r="K150" s="108" t="e">
        <f t="shared" si="16"/>
        <v>#N/A</v>
      </c>
      <c r="L150" s="108" t="e">
        <f t="shared" si="17"/>
        <v>#N/A</v>
      </c>
      <c r="M150" s="5" t="e">
        <f t="shared" si="19"/>
        <v>#N/A</v>
      </c>
      <c r="N150" s="5"/>
      <c r="O150" s="5"/>
      <c r="P150" s="5"/>
      <c r="Q150" s="5"/>
    </row>
    <row r="151" spans="1:17" x14ac:dyDescent="0.3">
      <c r="A151" s="5"/>
      <c r="B151" s="5">
        <v>0.64500000000000002</v>
      </c>
      <c r="C151" s="5">
        <f t="shared" si="10"/>
        <v>9.0300000000000011</v>
      </c>
      <c r="D151" s="5">
        <f t="shared" si="11"/>
        <v>0.44900552486187856</v>
      </c>
      <c r="E151" s="107">
        <f t="shared" si="12"/>
        <v>22.450276243093928</v>
      </c>
      <c r="F151" s="5">
        <f t="shared" si="13"/>
        <v>22.450276243093928</v>
      </c>
      <c r="G151" s="5">
        <f t="shared" si="18"/>
        <v>143.00825966850834</v>
      </c>
      <c r="H151" s="5">
        <v>0.74500000000000999</v>
      </c>
      <c r="I151" s="5">
        <f t="shared" si="14"/>
        <v>10.43000000000014</v>
      </c>
      <c r="J151" s="5" t="e">
        <f t="shared" si="15"/>
        <v>#N/A</v>
      </c>
      <c r="K151" s="108" t="e">
        <f t="shared" si="16"/>
        <v>#N/A</v>
      </c>
      <c r="L151" s="108" t="e">
        <f t="shared" si="17"/>
        <v>#N/A</v>
      </c>
      <c r="M151" s="5" t="e">
        <f t="shared" si="19"/>
        <v>#N/A</v>
      </c>
      <c r="N151" s="5"/>
      <c r="O151" s="5"/>
      <c r="P151" s="5"/>
      <c r="Q151" s="5"/>
    </row>
    <row r="152" spans="1:17" x14ac:dyDescent="0.3">
      <c r="A152" s="5"/>
      <c r="B152" s="5">
        <v>0.64</v>
      </c>
      <c r="C152" s="5">
        <f t="shared" si="10"/>
        <v>8.9600000000000009</v>
      </c>
      <c r="D152" s="5">
        <f t="shared" si="11"/>
        <v>0.44552486187845303</v>
      </c>
      <c r="E152" s="107">
        <f t="shared" si="12"/>
        <v>22.276243093922652</v>
      </c>
      <c r="F152" s="5">
        <f t="shared" si="13"/>
        <v>22.276243093922652</v>
      </c>
      <c r="G152" s="5">
        <f t="shared" si="18"/>
        <v>143.45900552486191</v>
      </c>
      <c r="H152" s="5">
        <v>0.74000000000000998</v>
      </c>
      <c r="I152" s="5">
        <f t="shared" si="14"/>
        <v>10.36000000000014</v>
      </c>
      <c r="J152" s="5" t="e">
        <f t="shared" si="15"/>
        <v>#N/A</v>
      </c>
      <c r="K152" s="108" t="e">
        <f t="shared" si="16"/>
        <v>#N/A</v>
      </c>
      <c r="L152" s="108" t="e">
        <f t="shared" si="17"/>
        <v>#N/A</v>
      </c>
      <c r="M152" s="5" t="e">
        <f t="shared" si="19"/>
        <v>#N/A</v>
      </c>
      <c r="N152" s="5"/>
      <c r="O152" s="5"/>
      <c r="P152" s="5"/>
      <c r="Q152" s="5"/>
    </row>
    <row r="153" spans="1:17" x14ac:dyDescent="0.3">
      <c r="A153" s="5"/>
      <c r="B153" s="5">
        <v>0.63500000000000001</v>
      </c>
      <c r="C153" s="5">
        <f t="shared" si="10"/>
        <v>8.89</v>
      </c>
      <c r="D153" s="5">
        <f t="shared" si="11"/>
        <v>0.44204419889502761</v>
      </c>
      <c r="E153" s="107">
        <f t="shared" si="12"/>
        <v>22.10220994475138</v>
      </c>
      <c r="F153" s="5">
        <f t="shared" si="13"/>
        <v>22.10220994475138</v>
      </c>
      <c r="G153" s="5">
        <f t="shared" si="18"/>
        <v>143.88538674033151</v>
      </c>
      <c r="H153" s="5">
        <v>0.73500000000000998</v>
      </c>
      <c r="I153" s="5">
        <f t="shared" si="14"/>
        <v>10.290000000000139</v>
      </c>
      <c r="J153" s="5" t="e">
        <f t="shared" si="15"/>
        <v>#N/A</v>
      </c>
      <c r="K153" s="108" t="e">
        <f t="shared" si="16"/>
        <v>#N/A</v>
      </c>
      <c r="L153" s="108" t="e">
        <f t="shared" si="17"/>
        <v>#N/A</v>
      </c>
      <c r="M153" s="5" t="e">
        <f t="shared" si="19"/>
        <v>#N/A</v>
      </c>
      <c r="N153" s="5"/>
      <c r="O153" s="5"/>
      <c r="P153" s="5"/>
      <c r="Q153" s="5"/>
    </row>
    <row r="154" spans="1:17" x14ac:dyDescent="0.3">
      <c r="A154" s="5"/>
      <c r="B154" s="5">
        <v>0.63</v>
      </c>
      <c r="C154" s="5">
        <f t="shared" si="10"/>
        <v>8.82</v>
      </c>
      <c r="D154" s="5">
        <f t="shared" si="11"/>
        <v>0.43856353591160219</v>
      </c>
      <c r="E154" s="107">
        <f t="shared" si="12"/>
        <v>21.928176795580111</v>
      </c>
      <c r="F154" s="5">
        <f t="shared" si="13"/>
        <v>21.928176795580111</v>
      </c>
      <c r="G154" s="5">
        <f t="shared" si="18"/>
        <v>144.28740331491716</v>
      </c>
      <c r="H154" s="5">
        <v>0.73000000000000997</v>
      </c>
      <c r="I154" s="5">
        <f t="shared" si="14"/>
        <v>10.220000000000139</v>
      </c>
      <c r="J154" s="5" t="e">
        <f t="shared" si="15"/>
        <v>#N/A</v>
      </c>
      <c r="K154" s="108" t="e">
        <f t="shared" si="16"/>
        <v>#N/A</v>
      </c>
      <c r="L154" s="108" t="e">
        <f t="shared" si="17"/>
        <v>#N/A</v>
      </c>
      <c r="M154" s="5" t="e">
        <f t="shared" si="19"/>
        <v>#N/A</v>
      </c>
      <c r="N154" s="5"/>
      <c r="O154" s="5"/>
      <c r="P154" s="5"/>
      <c r="Q154" s="5"/>
    </row>
    <row r="155" spans="1:17" x14ac:dyDescent="0.3">
      <c r="A155" s="5"/>
      <c r="B155" s="5">
        <v>0.625</v>
      </c>
      <c r="C155" s="5">
        <f t="shared" si="10"/>
        <v>8.75</v>
      </c>
      <c r="D155" s="5">
        <f t="shared" si="11"/>
        <v>0.43508287292817682</v>
      </c>
      <c r="E155" s="107">
        <f t="shared" si="12"/>
        <v>21.754143646408838</v>
      </c>
      <c r="F155" s="5">
        <f t="shared" si="13"/>
        <v>21.754143646408838</v>
      </c>
      <c r="G155" s="5">
        <f t="shared" si="18"/>
        <v>144.66505524861881</v>
      </c>
      <c r="H155" s="5">
        <v>0.72500000000000997</v>
      </c>
      <c r="I155" s="5">
        <f t="shared" si="14"/>
        <v>10.150000000000139</v>
      </c>
      <c r="J155" s="5" t="e">
        <f t="shared" si="15"/>
        <v>#N/A</v>
      </c>
      <c r="K155" s="108" t="e">
        <f t="shared" si="16"/>
        <v>#N/A</v>
      </c>
      <c r="L155" s="108" t="e">
        <f t="shared" si="17"/>
        <v>#N/A</v>
      </c>
      <c r="M155" s="5" t="e">
        <f t="shared" si="19"/>
        <v>#N/A</v>
      </c>
      <c r="N155" s="5"/>
      <c r="O155" s="5"/>
      <c r="P155" s="5"/>
      <c r="Q155" s="5"/>
    </row>
    <row r="156" spans="1:17" x14ac:dyDescent="0.3">
      <c r="A156" s="5"/>
      <c r="B156" s="5">
        <v>0.62</v>
      </c>
      <c r="C156" s="5">
        <f t="shared" si="10"/>
        <v>8.68</v>
      </c>
      <c r="D156" s="5">
        <f t="shared" si="11"/>
        <v>0.4316022099447514</v>
      </c>
      <c r="E156" s="107">
        <f t="shared" si="12"/>
        <v>21.58011049723757</v>
      </c>
      <c r="F156" s="5">
        <f t="shared" si="13"/>
        <v>21.58011049723757</v>
      </c>
      <c r="G156" s="5">
        <f t="shared" si="18"/>
        <v>145.01834254143651</v>
      </c>
      <c r="H156" s="5">
        <v>0.72000000000000997</v>
      </c>
      <c r="I156" s="5">
        <f t="shared" si="14"/>
        <v>10.08000000000014</v>
      </c>
      <c r="J156" s="5" t="e">
        <f t="shared" si="15"/>
        <v>#N/A</v>
      </c>
      <c r="K156" s="108" t="e">
        <f t="shared" si="16"/>
        <v>#N/A</v>
      </c>
      <c r="L156" s="108" t="e">
        <f t="shared" si="17"/>
        <v>#N/A</v>
      </c>
      <c r="M156" s="5" t="e">
        <f t="shared" si="19"/>
        <v>#N/A</v>
      </c>
      <c r="N156" s="5"/>
      <c r="O156" s="5"/>
      <c r="P156" s="5"/>
      <c r="Q156" s="5"/>
    </row>
    <row r="157" spans="1:17" x14ac:dyDescent="0.3">
      <c r="A157" s="5"/>
      <c r="B157" s="5">
        <v>0.61499999999999999</v>
      </c>
      <c r="C157" s="5">
        <f t="shared" si="10"/>
        <v>8.61</v>
      </c>
      <c r="D157" s="5">
        <f t="shared" si="11"/>
        <v>0.42812154696132598</v>
      </c>
      <c r="E157" s="107">
        <f t="shared" si="12"/>
        <v>21.406077348066297</v>
      </c>
      <c r="F157" s="5">
        <f t="shared" si="13"/>
        <v>21.406077348066297</v>
      </c>
      <c r="G157" s="5">
        <f t="shared" si="18"/>
        <v>145.34726519337022</v>
      </c>
      <c r="H157" s="5">
        <v>0.71500000000000996</v>
      </c>
      <c r="I157" s="5">
        <f t="shared" si="14"/>
        <v>10.01000000000014</v>
      </c>
      <c r="J157" s="5" t="e">
        <f t="shared" si="15"/>
        <v>#N/A</v>
      </c>
      <c r="K157" s="108" t="e">
        <f t="shared" si="16"/>
        <v>#N/A</v>
      </c>
      <c r="L157" s="108" t="e">
        <f t="shared" si="17"/>
        <v>#N/A</v>
      </c>
      <c r="M157" s="5" t="e">
        <f t="shared" si="19"/>
        <v>#N/A</v>
      </c>
      <c r="N157" s="5"/>
      <c r="O157" s="5"/>
      <c r="P157" s="5"/>
      <c r="Q157" s="5"/>
    </row>
    <row r="158" spans="1:17" x14ac:dyDescent="0.3">
      <c r="A158" s="5"/>
      <c r="B158" s="5">
        <v>0.61</v>
      </c>
      <c r="C158" s="5">
        <f t="shared" si="10"/>
        <v>8.5399999999999991</v>
      </c>
      <c r="D158" s="5">
        <f t="shared" si="11"/>
        <v>0.42464088397790056</v>
      </c>
      <c r="E158" s="107">
        <f t="shared" si="12"/>
        <v>21.232044198895029</v>
      </c>
      <c r="F158" s="5">
        <f t="shared" si="13"/>
        <v>21.232044198895029</v>
      </c>
      <c r="G158" s="5">
        <f t="shared" si="18"/>
        <v>145.65182320441997</v>
      </c>
      <c r="H158" s="5">
        <v>0.71000000000000996</v>
      </c>
      <c r="I158" s="5">
        <f t="shared" si="14"/>
        <v>9.9400000000001398</v>
      </c>
      <c r="J158" s="5" t="e">
        <f t="shared" si="15"/>
        <v>#N/A</v>
      </c>
      <c r="K158" s="108" t="e">
        <f t="shared" si="16"/>
        <v>#N/A</v>
      </c>
      <c r="L158" s="108" t="e">
        <f t="shared" si="17"/>
        <v>#N/A</v>
      </c>
      <c r="M158" s="5" t="e">
        <f t="shared" si="19"/>
        <v>#N/A</v>
      </c>
      <c r="N158" s="5"/>
      <c r="O158" s="5"/>
      <c r="P158" s="5"/>
      <c r="Q158" s="5"/>
    </row>
    <row r="159" spans="1:17" x14ac:dyDescent="0.3">
      <c r="A159" s="5"/>
      <c r="B159" s="5">
        <v>0.60499999999999998</v>
      </c>
      <c r="C159" s="5">
        <f t="shared" si="10"/>
        <v>8.4699999999999989</v>
      </c>
      <c r="D159" s="5">
        <f t="shared" si="11"/>
        <v>0.42116022099447503</v>
      </c>
      <c r="E159" s="107">
        <f t="shared" si="12"/>
        <v>21.058011049723753</v>
      </c>
      <c r="F159" s="5">
        <f t="shared" si="13"/>
        <v>21.058011049723753</v>
      </c>
      <c r="G159" s="5">
        <f t="shared" si="18"/>
        <v>145.93201657458567</v>
      </c>
      <c r="H159" s="5">
        <v>0.70500000000001095</v>
      </c>
      <c r="I159" s="5">
        <f t="shared" si="14"/>
        <v>9.8700000000001538</v>
      </c>
      <c r="J159" s="5" t="e">
        <f t="shared" si="15"/>
        <v>#N/A</v>
      </c>
      <c r="K159" s="108" t="e">
        <f t="shared" si="16"/>
        <v>#N/A</v>
      </c>
      <c r="L159" s="108" t="e">
        <f t="shared" si="17"/>
        <v>#N/A</v>
      </c>
      <c r="M159" s="5" t="e">
        <f t="shared" si="19"/>
        <v>#N/A</v>
      </c>
      <c r="N159" s="5"/>
      <c r="O159" s="5"/>
      <c r="P159" s="5"/>
      <c r="Q159" s="5"/>
    </row>
    <row r="160" spans="1:17" x14ac:dyDescent="0.3">
      <c r="A160" s="5"/>
      <c r="B160" s="5">
        <v>0.6</v>
      </c>
      <c r="C160" s="5">
        <f t="shared" si="10"/>
        <v>8.4</v>
      </c>
      <c r="D160" s="5">
        <f t="shared" si="11"/>
        <v>0.41767955801104972</v>
      </c>
      <c r="E160" s="107">
        <f t="shared" si="12"/>
        <v>20.883977900552487</v>
      </c>
      <c r="F160" s="5">
        <f t="shared" si="13"/>
        <v>20.883977900552487</v>
      </c>
      <c r="G160" s="5">
        <f t="shared" si="18"/>
        <v>146.18784530386745</v>
      </c>
      <c r="H160" s="5">
        <v>0.70000000000001095</v>
      </c>
      <c r="I160" s="5">
        <f t="shared" si="14"/>
        <v>9.8000000000001535</v>
      </c>
      <c r="J160" s="5" t="e">
        <f t="shared" si="15"/>
        <v>#N/A</v>
      </c>
      <c r="K160" s="108" t="e">
        <f t="shared" si="16"/>
        <v>#N/A</v>
      </c>
      <c r="L160" s="108" t="e">
        <f t="shared" si="17"/>
        <v>#N/A</v>
      </c>
      <c r="M160" s="5" t="e">
        <f t="shared" si="19"/>
        <v>#N/A</v>
      </c>
      <c r="N160" s="5"/>
      <c r="O160" s="5"/>
      <c r="P160" s="5"/>
      <c r="Q160" s="5"/>
    </row>
    <row r="161" spans="1:17" x14ac:dyDescent="0.3">
      <c r="A161" s="5"/>
      <c r="B161" s="5">
        <v>0.59499999999999997</v>
      </c>
      <c r="C161" s="5">
        <f t="shared" si="10"/>
        <v>8.33</v>
      </c>
      <c r="D161" s="5">
        <f t="shared" si="11"/>
        <v>0.4141988950276243</v>
      </c>
      <c r="E161" s="107">
        <f t="shared" si="12"/>
        <v>20.709944751381215</v>
      </c>
      <c r="F161" s="5">
        <f t="shared" si="13"/>
        <v>20.709944751381215</v>
      </c>
      <c r="G161" s="5">
        <f t="shared" si="18"/>
        <v>146.41930939226523</v>
      </c>
      <c r="H161" s="5">
        <v>0.69500000000001105</v>
      </c>
      <c r="I161" s="5">
        <f t="shared" si="14"/>
        <v>9.730000000000155</v>
      </c>
      <c r="J161" s="5" t="e">
        <f t="shared" si="15"/>
        <v>#N/A</v>
      </c>
      <c r="K161" s="108" t="e">
        <f t="shared" si="16"/>
        <v>#N/A</v>
      </c>
      <c r="L161" s="108" t="e">
        <f t="shared" si="17"/>
        <v>#N/A</v>
      </c>
      <c r="M161" s="5" t="e">
        <f t="shared" si="19"/>
        <v>#N/A</v>
      </c>
      <c r="N161" s="5"/>
      <c r="O161" s="5"/>
      <c r="P161" s="5"/>
      <c r="Q161" s="5"/>
    </row>
    <row r="162" spans="1:17" x14ac:dyDescent="0.3">
      <c r="A162" s="5"/>
      <c r="B162" s="5">
        <v>0.59</v>
      </c>
      <c r="C162" s="5">
        <f t="shared" si="10"/>
        <v>8.26</v>
      </c>
      <c r="D162" s="5">
        <f t="shared" si="11"/>
        <v>0.41071823204419888</v>
      </c>
      <c r="E162" s="107">
        <f t="shared" si="12"/>
        <v>20.535911602209946</v>
      </c>
      <c r="F162" s="5">
        <f t="shared" si="13"/>
        <v>20.535911602209946</v>
      </c>
      <c r="G162" s="5">
        <f t="shared" si="18"/>
        <v>146.62640883977906</v>
      </c>
      <c r="H162" s="5">
        <v>0.69000000000001105</v>
      </c>
      <c r="I162" s="5">
        <f t="shared" si="14"/>
        <v>9.6600000000001547</v>
      </c>
      <c r="J162" s="5" t="e">
        <f t="shared" si="15"/>
        <v>#N/A</v>
      </c>
      <c r="K162" s="108" t="e">
        <f t="shared" si="16"/>
        <v>#N/A</v>
      </c>
      <c r="L162" s="108" t="e">
        <f t="shared" si="17"/>
        <v>#N/A</v>
      </c>
      <c r="M162" s="5" t="e">
        <f t="shared" si="19"/>
        <v>#N/A</v>
      </c>
      <c r="N162" s="5"/>
      <c r="O162" s="5"/>
      <c r="P162" s="5"/>
      <c r="Q162" s="5"/>
    </row>
    <row r="163" spans="1:17" x14ac:dyDescent="0.3">
      <c r="A163" s="5"/>
      <c r="B163" s="5">
        <v>0.58499999999999996</v>
      </c>
      <c r="C163" s="5">
        <f t="shared" si="10"/>
        <v>8.19</v>
      </c>
      <c r="D163" s="5">
        <f t="shared" si="11"/>
        <v>0.40723756906077341</v>
      </c>
      <c r="E163" s="107">
        <f t="shared" si="12"/>
        <v>20.361878453038671</v>
      </c>
      <c r="F163" s="5">
        <f t="shared" si="13"/>
        <v>20.361878453038671</v>
      </c>
      <c r="G163" s="5">
        <f t="shared" si="18"/>
        <v>146.80914364640887</v>
      </c>
      <c r="H163" s="5">
        <v>0.68500000000001104</v>
      </c>
      <c r="I163" s="5">
        <f t="shared" si="14"/>
        <v>9.5900000000001544</v>
      </c>
      <c r="J163" s="5" t="e">
        <f t="shared" si="15"/>
        <v>#N/A</v>
      </c>
      <c r="K163" s="108" t="e">
        <f t="shared" si="16"/>
        <v>#N/A</v>
      </c>
      <c r="L163" s="108" t="e">
        <f t="shared" si="17"/>
        <v>#N/A</v>
      </c>
      <c r="M163" s="5" t="e">
        <f t="shared" si="19"/>
        <v>#N/A</v>
      </c>
      <c r="N163" s="5"/>
      <c r="O163" s="5"/>
      <c r="P163" s="5"/>
      <c r="Q163" s="5"/>
    </row>
    <row r="164" spans="1:17" x14ac:dyDescent="0.3">
      <c r="A164" s="5"/>
      <c r="B164" s="5">
        <v>0.57999999999999996</v>
      </c>
      <c r="C164" s="5">
        <f t="shared" si="10"/>
        <v>8.1199999999999992</v>
      </c>
      <c r="D164" s="5">
        <f t="shared" si="11"/>
        <v>0.40375690607734804</v>
      </c>
      <c r="E164" s="107">
        <f t="shared" si="12"/>
        <v>20.187845303867402</v>
      </c>
      <c r="F164" s="5">
        <f t="shared" si="13"/>
        <v>20.187845303867402</v>
      </c>
      <c r="G164" s="5">
        <f t="shared" si="18"/>
        <v>146.96751381215475</v>
      </c>
      <c r="H164" s="5">
        <v>0.68000000000001104</v>
      </c>
      <c r="I164" s="5">
        <f t="shared" si="14"/>
        <v>9.5200000000001541</v>
      </c>
      <c r="J164" s="5" t="e">
        <f t="shared" si="15"/>
        <v>#N/A</v>
      </c>
      <c r="K164" s="108" t="e">
        <f t="shared" si="16"/>
        <v>#N/A</v>
      </c>
      <c r="L164" s="108" t="e">
        <f t="shared" si="17"/>
        <v>#N/A</v>
      </c>
      <c r="M164" s="5" t="e">
        <f t="shared" si="19"/>
        <v>#N/A</v>
      </c>
      <c r="N164" s="5"/>
      <c r="O164" s="5"/>
      <c r="P164" s="5"/>
      <c r="Q164" s="5"/>
    </row>
    <row r="165" spans="1:17" x14ac:dyDescent="0.3">
      <c r="A165" s="5"/>
      <c r="B165" s="5">
        <v>0.57499999999999996</v>
      </c>
      <c r="C165" s="5">
        <f t="shared" si="10"/>
        <v>8.0499999999999989</v>
      </c>
      <c r="D165" s="5">
        <f t="shared" si="11"/>
        <v>0.40027624309392262</v>
      </c>
      <c r="E165" s="107">
        <f t="shared" si="12"/>
        <v>20.013812154696129</v>
      </c>
      <c r="F165" s="5">
        <f t="shared" si="13"/>
        <v>20.013812154696129</v>
      </c>
      <c r="G165" s="5">
        <f t="shared" si="18"/>
        <v>147.10151933701661</v>
      </c>
      <c r="H165" s="5">
        <v>0.67500000000001104</v>
      </c>
      <c r="I165" s="5">
        <f t="shared" si="14"/>
        <v>9.4500000000001538</v>
      </c>
      <c r="J165" s="5" t="e">
        <f t="shared" si="15"/>
        <v>#N/A</v>
      </c>
      <c r="K165" s="108" t="e">
        <f t="shared" si="16"/>
        <v>#N/A</v>
      </c>
      <c r="L165" s="108" t="e">
        <f t="shared" si="17"/>
        <v>#N/A</v>
      </c>
      <c r="M165" s="5" t="e">
        <f t="shared" si="19"/>
        <v>#N/A</v>
      </c>
      <c r="N165" s="5"/>
      <c r="O165" s="5"/>
      <c r="P165" s="5"/>
      <c r="Q165" s="5"/>
    </row>
    <row r="166" spans="1:17" x14ac:dyDescent="0.3">
      <c r="A166" s="5"/>
      <c r="B166" s="5">
        <v>0.56999999999999995</v>
      </c>
      <c r="C166" s="5">
        <f t="shared" si="10"/>
        <v>7.9799999999999995</v>
      </c>
      <c r="D166" s="5">
        <f t="shared" si="11"/>
        <v>0.39679558011049726</v>
      </c>
      <c r="E166" s="107">
        <f t="shared" si="12"/>
        <v>19.839779005524861</v>
      </c>
      <c r="F166" s="5">
        <f t="shared" si="13"/>
        <v>19.839779005524861</v>
      </c>
      <c r="G166" s="5">
        <f t="shared" si="18"/>
        <v>147.21116022099451</v>
      </c>
      <c r="H166" s="5">
        <v>0.67000000000001103</v>
      </c>
      <c r="I166" s="5">
        <f t="shared" si="14"/>
        <v>9.3800000000001553</v>
      </c>
      <c r="J166" s="5" t="e">
        <f t="shared" si="15"/>
        <v>#N/A</v>
      </c>
      <c r="K166" s="108" t="e">
        <f t="shared" si="16"/>
        <v>#N/A</v>
      </c>
      <c r="L166" s="108" t="e">
        <f t="shared" si="17"/>
        <v>#N/A</v>
      </c>
      <c r="M166" s="5" t="e">
        <f t="shared" si="19"/>
        <v>#N/A</v>
      </c>
      <c r="N166" s="5"/>
      <c r="O166" s="5"/>
      <c r="P166" s="5"/>
      <c r="Q166" s="5"/>
    </row>
    <row r="167" spans="1:17" x14ac:dyDescent="0.3">
      <c r="A167" s="5"/>
      <c r="B167" s="5">
        <v>0.56499999999999995</v>
      </c>
      <c r="C167" s="5">
        <f t="shared" si="10"/>
        <v>7.9099999999999993</v>
      </c>
      <c r="D167" s="5">
        <f t="shared" si="11"/>
        <v>0.39331491712707178</v>
      </c>
      <c r="E167" s="107">
        <f t="shared" si="12"/>
        <v>19.665745856353588</v>
      </c>
      <c r="F167" s="5">
        <f t="shared" si="13"/>
        <v>19.665745856353588</v>
      </c>
      <c r="G167" s="5">
        <f t="shared" si="18"/>
        <v>147.29643646408843</v>
      </c>
      <c r="H167" s="5">
        <v>0.66500000000001103</v>
      </c>
      <c r="I167" s="5">
        <f t="shared" si="14"/>
        <v>9.310000000000155</v>
      </c>
      <c r="J167" s="5" t="e">
        <f t="shared" si="15"/>
        <v>#N/A</v>
      </c>
      <c r="K167" s="108" t="e">
        <f t="shared" si="16"/>
        <v>#N/A</v>
      </c>
      <c r="L167" s="108" t="e">
        <f t="shared" si="17"/>
        <v>#N/A</v>
      </c>
      <c r="M167" s="5" t="e">
        <f t="shared" si="19"/>
        <v>#N/A</v>
      </c>
      <c r="N167" s="5"/>
      <c r="O167" s="5"/>
      <c r="P167" s="5"/>
      <c r="Q167" s="5"/>
    </row>
    <row r="168" spans="1:17" x14ac:dyDescent="0.3">
      <c r="A168" s="5"/>
      <c r="B168" s="5">
        <v>0.56000000000000005</v>
      </c>
      <c r="C168" s="5">
        <f t="shared" si="10"/>
        <v>7.8400000000000007</v>
      </c>
      <c r="D168" s="5">
        <f t="shared" si="11"/>
        <v>0.38983425414364647</v>
      </c>
      <c r="E168" s="107">
        <f t="shared" si="12"/>
        <v>19.491712707182323</v>
      </c>
      <c r="F168" s="5">
        <f t="shared" si="13"/>
        <v>19.491712707182323</v>
      </c>
      <c r="G168" s="5">
        <f t="shared" si="18"/>
        <v>147.35734806629839</v>
      </c>
      <c r="H168" s="5">
        <v>0.66000000000001202</v>
      </c>
      <c r="I168" s="5">
        <f t="shared" si="14"/>
        <v>9.240000000000169</v>
      </c>
      <c r="J168" s="5" t="e">
        <f t="shared" si="15"/>
        <v>#N/A</v>
      </c>
      <c r="K168" s="108" t="e">
        <f t="shared" si="16"/>
        <v>#N/A</v>
      </c>
      <c r="L168" s="108" t="e">
        <f t="shared" si="17"/>
        <v>#N/A</v>
      </c>
      <c r="M168" s="5" t="e">
        <f t="shared" si="19"/>
        <v>#N/A</v>
      </c>
      <c r="N168" s="5"/>
      <c r="O168" s="5"/>
      <c r="P168" s="5"/>
      <c r="Q168" s="5"/>
    </row>
    <row r="169" spans="1:17" x14ac:dyDescent="0.3">
      <c r="A169" s="5"/>
      <c r="B169" s="5">
        <v>0.55500000000000005</v>
      </c>
      <c r="C169" s="5">
        <f t="shared" si="10"/>
        <v>7.7700000000000005</v>
      </c>
      <c r="D169" s="5">
        <f t="shared" si="11"/>
        <v>0.386353591160221</v>
      </c>
      <c r="E169" s="107">
        <f t="shared" si="12"/>
        <v>19.317679558011051</v>
      </c>
      <c r="F169" s="5">
        <f t="shared" si="13"/>
        <v>19.317679558011051</v>
      </c>
      <c r="G169" s="5">
        <f t="shared" si="18"/>
        <v>147.39389502762435</v>
      </c>
      <c r="H169" s="5">
        <v>0.65500000000001202</v>
      </c>
      <c r="I169" s="5">
        <f t="shared" si="14"/>
        <v>9.1700000000001687</v>
      </c>
      <c r="J169" s="5" t="e">
        <f t="shared" si="15"/>
        <v>#N/A</v>
      </c>
      <c r="K169" s="108" t="e">
        <f t="shared" si="16"/>
        <v>#N/A</v>
      </c>
      <c r="L169" s="108" t="e">
        <f t="shared" si="17"/>
        <v>#N/A</v>
      </c>
      <c r="M169" s="5" t="e">
        <f t="shared" si="19"/>
        <v>#N/A</v>
      </c>
      <c r="N169" s="5"/>
      <c r="O169" s="5"/>
      <c r="P169" s="5"/>
      <c r="Q169" s="5"/>
    </row>
    <row r="170" spans="1:17" x14ac:dyDescent="0.3">
      <c r="A170" s="5"/>
      <c r="B170" s="5">
        <v>0.55000000000000004</v>
      </c>
      <c r="C170" s="5">
        <f t="shared" si="10"/>
        <v>7.7000000000000011</v>
      </c>
      <c r="D170" s="5">
        <f t="shared" si="11"/>
        <v>0.38287292817679563</v>
      </c>
      <c r="E170" s="107">
        <f t="shared" si="12"/>
        <v>19.143646408839782</v>
      </c>
      <c r="F170" s="5">
        <f t="shared" si="13"/>
        <v>19.143646408839782</v>
      </c>
      <c r="G170" s="5">
        <f t="shared" si="18"/>
        <v>147.40607734806633</v>
      </c>
      <c r="H170" s="5">
        <v>0.65000000000001201</v>
      </c>
      <c r="I170" s="5">
        <f t="shared" si="14"/>
        <v>9.1000000000001684</v>
      </c>
      <c r="J170" s="5" t="e">
        <f t="shared" si="15"/>
        <v>#N/A</v>
      </c>
      <c r="K170" s="108" t="e">
        <f t="shared" si="16"/>
        <v>#N/A</v>
      </c>
      <c r="L170" s="108" t="e">
        <f t="shared" si="17"/>
        <v>#N/A</v>
      </c>
      <c r="M170" s="5" t="e">
        <f t="shared" si="19"/>
        <v>#N/A</v>
      </c>
      <c r="N170" s="5"/>
      <c r="O170" s="5"/>
      <c r="P170" s="5"/>
      <c r="Q170" s="5"/>
    </row>
    <row r="171" spans="1:17" x14ac:dyDescent="0.3">
      <c r="A171" s="5"/>
      <c r="B171" s="5">
        <v>0.54500000000000004</v>
      </c>
      <c r="C171" s="5">
        <f t="shared" si="10"/>
        <v>7.6300000000000008</v>
      </c>
      <c r="D171" s="5">
        <f t="shared" si="11"/>
        <v>0.37939226519337022</v>
      </c>
      <c r="E171" s="107">
        <f t="shared" si="12"/>
        <v>18.96961325966851</v>
      </c>
      <c r="F171" s="5">
        <f t="shared" si="13"/>
        <v>18.96961325966851</v>
      </c>
      <c r="G171" s="5">
        <f t="shared" si="18"/>
        <v>147.39389502762435</v>
      </c>
      <c r="H171" s="5">
        <v>0.64500000000001201</v>
      </c>
      <c r="I171" s="5">
        <f t="shared" si="14"/>
        <v>9.0300000000001681</v>
      </c>
      <c r="J171" s="5" t="e">
        <f t="shared" si="15"/>
        <v>#N/A</v>
      </c>
      <c r="K171" s="108" t="e">
        <f t="shared" si="16"/>
        <v>#N/A</v>
      </c>
      <c r="L171" s="108" t="e">
        <f t="shared" si="17"/>
        <v>#N/A</v>
      </c>
      <c r="M171" s="5" t="e">
        <f t="shared" si="19"/>
        <v>#N/A</v>
      </c>
      <c r="N171" s="5"/>
      <c r="O171" s="5"/>
      <c r="P171" s="5"/>
      <c r="Q171" s="5"/>
    </row>
    <row r="172" spans="1:17" x14ac:dyDescent="0.3">
      <c r="A172" s="5"/>
      <c r="B172" s="5">
        <v>0.54</v>
      </c>
      <c r="C172" s="5">
        <f t="shared" si="10"/>
        <v>7.5600000000000005</v>
      </c>
      <c r="D172" s="5">
        <f t="shared" si="11"/>
        <v>0.3759116022099448</v>
      </c>
      <c r="E172" s="107">
        <f t="shared" si="12"/>
        <v>18.795580110497241</v>
      </c>
      <c r="F172" s="5">
        <f t="shared" si="13"/>
        <v>18.795580110497241</v>
      </c>
      <c r="G172" s="5">
        <f t="shared" si="18"/>
        <v>147.35734806629839</v>
      </c>
      <c r="H172" s="5">
        <v>0.640000000000012</v>
      </c>
      <c r="I172" s="5">
        <f t="shared" si="14"/>
        <v>8.9600000000001678</v>
      </c>
      <c r="J172" s="5" t="e">
        <f t="shared" si="15"/>
        <v>#N/A</v>
      </c>
      <c r="K172" s="108" t="e">
        <f t="shared" si="16"/>
        <v>#N/A</v>
      </c>
      <c r="L172" s="108" t="e">
        <f t="shared" si="17"/>
        <v>#N/A</v>
      </c>
      <c r="M172" s="5" t="e">
        <f t="shared" si="19"/>
        <v>#N/A</v>
      </c>
      <c r="N172" s="5"/>
      <c r="O172" s="5"/>
      <c r="P172" s="5"/>
      <c r="Q172" s="5"/>
    </row>
    <row r="173" spans="1:17" x14ac:dyDescent="0.3">
      <c r="A173" s="5"/>
      <c r="B173" s="5">
        <v>0.53500000000000003</v>
      </c>
      <c r="C173" s="5">
        <f t="shared" si="10"/>
        <v>7.49</v>
      </c>
      <c r="D173" s="5">
        <f t="shared" si="11"/>
        <v>0.37243093922651932</v>
      </c>
      <c r="E173" s="107">
        <f t="shared" si="12"/>
        <v>18.621546961325969</v>
      </c>
      <c r="F173" s="5">
        <f t="shared" si="13"/>
        <v>18.621546961325969</v>
      </c>
      <c r="G173" s="5">
        <f t="shared" si="18"/>
        <v>147.29643646408846</v>
      </c>
      <c r="H173" s="5">
        <v>0.635000000000012</v>
      </c>
      <c r="I173" s="5">
        <f t="shared" si="14"/>
        <v>8.8900000000001675</v>
      </c>
      <c r="J173" s="5" t="e">
        <f t="shared" si="15"/>
        <v>#N/A</v>
      </c>
      <c r="K173" s="108" t="e">
        <f t="shared" si="16"/>
        <v>#N/A</v>
      </c>
      <c r="L173" s="108" t="e">
        <f t="shared" si="17"/>
        <v>#N/A</v>
      </c>
      <c r="M173" s="5" t="e">
        <f t="shared" si="19"/>
        <v>#N/A</v>
      </c>
      <c r="N173" s="5"/>
      <c r="O173" s="5"/>
      <c r="P173" s="5"/>
      <c r="Q173" s="5"/>
    </row>
    <row r="174" spans="1:17" x14ac:dyDescent="0.3">
      <c r="A174" s="5"/>
      <c r="B174" s="5">
        <v>0.53</v>
      </c>
      <c r="C174" s="5">
        <f t="shared" si="10"/>
        <v>7.42</v>
      </c>
      <c r="D174" s="5">
        <f t="shared" si="11"/>
        <v>0.3689502762430939</v>
      </c>
      <c r="E174" s="107">
        <f t="shared" si="12"/>
        <v>18.447513812154696</v>
      </c>
      <c r="F174" s="5">
        <f t="shared" si="13"/>
        <v>18.447513812154696</v>
      </c>
      <c r="G174" s="5">
        <f t="shared" si="18"/>
        <v>147.21116022099451</v>
      </c>
      <c r="H174" s="5">
        <v>0.63000000000001199</v>
      </c>
      <c r="I174" s="5">
        <f t="shared" si="14"/>
        <v>8.8200000000001673</v>
      </c>
      <c r="J174" s="5" t="e">
        <f t="shared" si="15"/>
        <v>#N/A</v>
      </c>
      <c r="K174" s="108" t="e">
        <f t="shared" si="16"/>
        <v>#N/A</v>
      </c>
      <c r="L174" s="108" t="e">
        <f t="shared" si="17"/>
        <v>#N/A</v>
      </c>
      <c r="M174" s="5" t="e">
        <f t="shared" si="19"/>
        <v>#N/A</v>
      </c>
      <c r="N174" s="5"/>
      <c r="O174" s="5"/>
      <c r="P174" s="5"/>
      <c r="Q174" s="5"/>
    </row>
    <row r="175" spans="1:17" x14ac:dyDescent="0.3">
      <c r="A175" s="5"/>
      <c r="B175" s="5">
        <v>0.52500000000000002</v>
      </c>
      <c r="C175" s="5">
        <f t="shared" si="10"/>
        <v>7.3500000000000005</v>
      </c>
      <c r="D175" s="5">
        <f t="shared" si="11"/>
        <v>0.36546961325966854</v>
      </c>
      <c r="E175" s="107">
        <f t="shared" si="12"/>
        <v>18.273480662983427</v>
      </c>
      <c r="F175" s="5">
        <f t="shared" si="13"/>
        <v>18.273480662983427</v>
      </c>
      <c r="G175" s="5">
        <f t="shared" si="18"/>
        <v>147.10151933701661</v>
      </c>
      <c r="H175" s="5">
        <v>0.62500000000001199</v>
      </c>
      <c r="I175" s="5">
        <f t="shared" si="14"/>
        <v>8.750000000000167</v>
      </c>
      <c r="J175" s="5" t="e">
        <f t="shared" si="15"/>
        <v>#N/A</v>
      </c>
      <c r="K175" s="108" t="e">
        <f t="shared" si="16"/>
        <v>#N/A</v>
      </c>
      <c r="L175" s="108" t="e">
        <f t="shared" si="17"/>
        <v>#N/A</v>
      </c>
      <c r="M175" s="5" t="e">
        <f t="shared" si="19"/>
        <v>#N/A</v>
      </c>
      <c r="N175" s="5"/>
      <c r="O175" s="5"/>
      <c r="P175" s="5"/>
      <c r="Q175" s="5"/>
    </row>
    <row r="176" spans="1:17" x14ac:dyDescent="0.3">
      <c r="A176" s="5"/>
      <c r="B176" s="5">
        <v>0.52</v>
      </c>
      <c r="C176" s="5">
        <f t="shared" si="10"/>
        <v>7.28</v>
      </c>
      <c r="D176" s="5">
        <f t="shared" si="11"/>
        <v>0.36198895027624312</v>
      </c>
      <c r="E176" s="107">
        <f t="shared" si="12"/>
        <v>18.099447513812155</v>
      </c>
      <c r="F176" s="5">
        <f t="shared" si="13"/>
        <v>18.099447513812155</v>
      </c>
      <c r="G176" s="5">
        <f t="shared" si="18"/>
        <v>146.96751381215472</v>
      </c>
      <c r="H176" s="5">
        <v>0.62000000000001199</v>
      </c>
      <c r="I176" s="5">
        <f t="shared" si="14"/>
        <v>8.6800000000001685</v>
      </c>
      <c r="J176" s="5" t="e">
        <f t="shared" si="15"/>
        <v>#N/A</v>
      </c>
      <c r="K176" s="108" t="e">
        <f t="shared" si="16"/>
        <v>#N/A</v>
      </c>
      <c r="L176" s="108" t="e">
        <f t="shared" si="17"/>
        <v>#N/A</v>
      </c>
      <c r="M176" s="5" t="e">
        <f t="shared" si="19"/>
        <v>#N/A</v>
      </c>
      <c r="N176" s="5"/>
      <c r="O176" s="5"/>
      <c r="P176" s="5"/>
      <c r="Q176" s="5"/>
    </row>
    <row r="177" spans="1:17" x14ac:dyDescent="0.3">
      <c r="A177" s="5"/>
      <c r="B177" s="5">
        <v>0.51500000000000001</v>
      </c>
      <c r="C177" s="5">
        <f t="shared" si="10"/>
        <v>7.21</v>
      </c>
      <c r="D177" s="5">
        <f t="shared" si="11"/>
        <v>0.3585082872928177</v>
      </c>
      <c r="E177" s="107">
        <f t="shared" si="12"/>
        <v>17.925414364640883</v>
      </c>
      <c r="F177" s="5">
        <f t="shared" si="13"/>
        <v>17.925414364640883</v>
      </c>
      <c r="G177" s="5">
        <f t="shared" si="18"/>
        <v>146.80914364640884</v>
      </c>
      <c r="H177" s="5">
        <v>0.61500000000001198</v>
      </c>
      <c r="I177" s="5">
        <f t="shared" si="14"/>
        <v>8.6100000000001682</v>
      </c>
      <c r="J177" s="5" t="e">
        <f t="shared" si="15"/>
        <v>#N/A</v>
      </c>
      <c r="K177" s="108" t="e">
        <f t="shared" si="16"/>
        <v>#N/A</v>
      </c>
      <c r="L177" s="108" t="e">
        <f t="shared" si="17"/>
        <v>#N/A</v>
      </c>
      <c r="M177" s="5" t="e">
        <f t="shared" si="19"/>
        <v>#N/A</v>
      </c>
      <c r="N177" s="5"/>
      <c r="O177" s="5"/>
      <c r="P177" s="5"/>
      <c r="Q177" s="5"/>
    </row>
    <row r="178" spans="1:17" x14ac:dyDescent="0.3">
      <c r="A178" s="5"/>
      <c r="B178" s="5">
        <v>0.51</v>
      </c>
      <c r="C178" s="5">
        <f t="shared" si="10"/>
        <v>7.1400000000000006</v>
      </c>
      <c r="D178" s="5">
        <f t="shared" si="11"/>
        <v>0.35502762430939233</v>
      </c>
      <c r="E178" s="107">
        <f t="shared" si="12"/>
        <v>17.751381215469614</v>
      </c>
      <c r="F178" s="5">
        <f t="shared" si="13"/>
        <v>17.751381215469614</v>
      </c>
      <c r="G178" s="5">
        <f t="shared" si="18"/>
        <v>146.62640883977903</v>
      </c>
      <c r="H178" s="5">
        <v>0.61000000000001298</v>
      </c>
      <c r="I178" s="5">
        <f t="shared" si="14"/>
        <v>8.5400000000001821</v>
      </c>
      <c r="J178" s="5" t="e">
        <f t="shared" si="15"/>
        <v>#N/A</v>
      </c>
      <c r="K178" s="108" t="e">
        <f t="shared" si="16"/>
        <v>#N/A</v>
      </c>
      <c r="L178" s="108" t="e">
        <f t="shared" si="17"/>
        <v>#N/A</v>
      </c>
      <c r="M178" s="5" t="e">
        <f t="shared" si="19"/>
        <v>#N/A</v>
      </c>
      <c r="N178" s="5"/>
      <c r="O178" s="5"/>
      <c r="P178" s="5"/>
      <c r="Q178" s="5"/>
    </row>
    <row r="179" spans="1:17" x14ac:dyDescent="0.3">
      <c r="A179" s="5"/>
      <c r="B179" s="5">
        <v>0.505</v>
      </c>
      <c r="C179" s="5">
        <f t="shared" si="10"/>
        <v>7.07</v>
      </c>
      <c r="D179" s="5">
        <f t="shared" si="11"/>
        <v>0.35154696132596686</v>
      </c>
      <c r="E179" s="107">
        <f t="shared" si="12"/>
        <v>17.577348066298342</v>
      </c>
      <c r="F179" s="5">
        <f t="shared" si="13"/>
        <v>17.577348066298342</v>
      </c>
      <c r="G179" s="5">
        <f t="shared" si="18"/>
        <v>146.41930939226521</v>
      </c>
      <c r="H179" s="5">
        <v>0.60500000000001297</v>
      </c>
      <c r="I179" s="5">
        <f t="shared" si="14"/>
        <v>8.4700000000001818</v>
      </c>
      <c r="J179" s="5" t="e">
        <f t="shared" si="15"/>
        <v>#N/A</v>
      </c>
      <c r="K179" s="108" t="e">
        <f t="shared" si="16"/>
        <v>#N/A</v>
      </c>
      <c r="L179" s="108" t="e">
        <f t="shared" si="17"/>
        <v>#N/A</v>
      </c>
      <c r="M179" s="5" t="e">
        <f t="shared" si="19"/>
        <v>#N/A</v>
      </c>
      <c r="N179" s="5"/>
      <c r="O179" s="5"/>
      <c r="P179" s="5"/>
      <c r="Q179" s="5"/>
    </row>
    <row r="180" spans="1:17" x14ac:dyDescent="0.3">
      <c r="A180" s="5"/>
      <c r="B180" s="5">
        <v>0.5</v>
      </c>
      <c r="C180" s="5">
        <f t="shared" si="10"/>
        <v>7</v>
      </c>
      <c r="D180" s="5">
        <f t="shared" si="11"/>
        <v>0.34806629834254144</v>
      </c>
      <c r="E180" s="107">
        <f t="shared" si="12"/>
        <v>17.403314917127073</v>
      </c>
      <c r="F180" s="5">
        <f t="shared" si="13"/>
        <v>17.403314917127073</v>
      </c>
      <c r="G180" s="5">
        <f t="shared" si="18"/>
        <v>146.18784530386745</v>
      </c>
      <c r="H180" s="5">
        <v>0.60000000000001297</v>
      </c>
      <c r="I180" s="5">
        <f t="shared" si="14"/>
        <v>8.4000000000001815</v>
      </c>
      <c r="J180" s="5" t="e">
        <f t="shared" si="15"/>
        <v>#N/A</v>
      </c>
      <c r="K180" s="108" t="e">
        <f t="shared" si="16"/>
        <v>#N/A</v>
      </c>
      <c r="L180" s="108" t="e">
        <f t="shared" si="17"/>
        <v>#N/A</v>
      </c>
      <c r="M180" s="5" t="e">
        <f t="shared" si="19"/>
        <v>#N/A</v>
      </c>
      <c r="N180" s="5"/>
      <c r="O180" s="5"/>
      <c r="P180" s="5"/>
      <c r="Q180" s="5"/>
    </row>
    <row r="181" spans="1:17" x14ac:dyDescent="0.3">
      <c r="A181" s="5"/>
      <c r="B181" s="5">
        <v>0.495</v>
      </c>
      <c r="C181" s="5">
        <f t="shared" si="10"/>
        <v>6.93</v>
      </c>
      <c r="D181" s="5">
        <f t="shared" si="11"/>
        <v>0.34458563535911602</v>
      </c>
      <c r="E181" s="107">
        <f t="shared" si="12"/>
        <v>17.229281767955801</v>
      </c>
      <c r="F181" s="5">
        <f t="shared" si="13"/>
        <v>17.229281767955801</v>
      </c>
      <c r="G181" s="5">
        <f t="shared" si="18"/>
        <v>145.93201657458567</v>
      </c>
      <c r="H181" s="5">
        <v>0.59500000000001296</v>
      </c>
      <c r="I181" s="5">
        <f t="shared" si="14"/>
        <v>8.3300000000001813</v>
      </c>
      <c r="J181" s="5" t="e">
        <f t="shared" si="15"/>
        <v>#N/A</v>
      </c>
      <c r="K181" s="108" t="e">
        <f t="shared" si="16"/>
        <v>#N/A</v>
      </c>
      <c r="L181" s="108" t="e">
        <f t="shared" si="17"/>
        <v>#N/A</v>
      </c>
      <c r="M181" s="5" t="e">
        <f t="shared" si="19"/>
        <v>#N/A</v>
      </c>
      <c r="N181" s="5"/>
      <c r="O181" s="5"/>
      <c r="P181" s="5"/>
      <c r="Q181" s="5"/>
    </row>
    <row r="182" spans="1:17" x14ac:dyDescent="0.3">
      <c r="A182" s="5"/>
      <c r="B182" s="5">
        <v>0.49</v>
      </c>
      <c r="C182" s="5">
        <f t="shared" si="10"/>
        <v>6.8599999999999994</v>
      </c>
      <c r="D182" s="5">
        <f t="shared" si="11"/>
        <v>0.34110497237569054</v>
      </c>
      <c r="E182" s="107">
        <f t="shared" si="12"/>
        <v>17.055248618784528</v>
      </c>
      <c r="F182" s="5">
        <f t="shared" si="13"/>
        <v>17.055248618784528</v>
      </c>
      <c r="G182" s="5">
        <f t="shared" si="18"/>
        <v>145.65182320441991</v>
      </c>
      <c r="H182" s="5">
        <v>0.59000000000001296</v>
      </c>
      <c r="I182" s="5">
        <f t="shared" si="14"/>
        <v>8.260000000000181</v>
      </c>
      <c r="J182" s="5" t="e">
        <f t="shared" si="15"/>
        <v>#N/A</v>
      </c>
      <c r="K182" s="108" t="e">
        <f t="shared" si="16"/>
        <v>#N/A</v>
      </c>
      <c r="L182" s="108" t="e">
        <f t="shared" si="17"/>
        <v>#N/A</v>
      </c>
      <c r="M182" s="5" t="e">
        <f t="shared" si="19"/>
        <v>#N/A</v>
      </c>
      <c r="N182" s="5"/>
      <c r="O182" s="5"/>
      <c r="P182" s="5"/>
      <c r="Q182" s="5"/>
    </row>
    <row r="183" spans="1:17" x14ac:dyDescent="0.3">
      <c r="A183" s="5"/>
      <c r="B183" s="5">
        <v>0.48499999999999999</v>
      </c>
      <c r="C183" s="5">
        <f t="shared" si="10"/>
        <v>6.79</v>
      </c>
      <c r="D183" s="5">
        <f t="shared" si="11"/>
        <v>0.33762430939226518</v>
      </c>
      <c r="E183" s="107">
        <f t="shared" si="12"/>
        <v>16.881215469613259</v>
      </c>
      <c r="F183" s="5">
        <f t="shared" si="13"/>
        <v>16.881215469613259</v>
      </c>
      <c r="G183" s="5">
        <f t="shared" si="18"/>
        <v>145.34726519337022</v>
      </c>
      <c r="H183" s="5">
        <v>0.58500000000001295</v>
      </c>
      <c r="I183" s="5">
        <f t="shared" si="14"/>
        <v>8.1900000000001807</v>
      </c>
      <c r="J183" s="5" t="e">
        <f t="shared" si="15"/>
        <v>#N/A</v>
      </c>
      <c r="K183" s="108" t="e">
        <f t="shared" si="16"/>
        <v>#N/A</v>
      </c>
      <c r="L183" s="108" t="e">
        <f t="shared" si="17"/>
        <v>#N/A</v>
      </c>
      <c r="M183" s="5" t="e">
        <f t="shared" si="19"/>
        <v>#N/A</v>
      </c>
      <c r="N183" s="5"/>
      <c r="O183" s="5"/>
      <c r="P183" s="5"/>
      <c r="Q183" s="5"/>
    </row>
    <row r="184" spans="1:17" x14ac:dyDescent="0.3">
      <c r="A184" s="5"/>
      <c r="B184" s="5">
        <v>0.48</v>
      </c>
      <c r="C184" s="5">
        <f t="shared" si="10"/>
        <v>6.72</v>
      </c>
      <c r="D184" s="5">
        <f t="shared" si="11"/>
        <v>0.33414364640883976</v>
      </c>
      <c r="E184" s="107">
        <f t="shared" si="12"/>
        <v>16.707182320441991</v>
      </c>
      <c r="F184" s="5">
        <f t="shared" si="13"/>
        <v>16.707182320441991</v>
      </c>
      <c r="G184" s="5">
        <f t="shared" si="18"/>
        <v>145.01834254143654</v>
      </c>
      <c r="H184" s="5">
        <v>0.58000000000001295</v>
      </c>
      <c r="I184" s="5">
        <f t="shared" si="14"/>
        <v>8.1200000000001822</v>
      </c>
      <c r="J184" s="5" t="e">
        <f t="shared" si="15"/>
        <v>#N/A</v>
      </c>
      <c r="K184" s="108" t="e">
        <f t="shared" si="16"/>
        <v>#N/A</v>
      </c>
      <c r="L184" s="108" t="e">
        <f t="shared" si="17"/>
        <v>#N/A</v>
      </c>
      <c r="M184" s="5" t="e">
        <f t="shared" si="19"/>
        <v>#N/A</v>
      </c>
      <c r="N184" s="5"/>
      <c r="O184" s="5"/>
      <c r="P184" s="5"/>
      <c r="Q184" s="5"/>
    </row>
    <row r="185" spans="1:17" x14ac:dyDescent="0.3">
      <c r="A185" s="5"/>
      <c r="B185" s="5">
        <v>0.47499999999999998</v>
      </c>
      <c r="C185" s="5">
        <f t="shared" si="10"/>
        <v>6.6499999999999995</v>
      </c>
      <c r="D185" s="5">
        <f t="shared" si="11"/>
        <v>0.33066298342541434</v>
      </c>
      <c r="E185" s="107">
        <f t="shared" si="12"/>
        <v>16.533149171270715</v>
      </c>
      <c r="F185" s="5">
        <f t="shared" si="13"/>
        <v>16.533149171270715</v>
      </c>
      <c r="G185" s="5">
        <f t="shared" si="18"/>
        <v>144.66505524861881</v>
      </c>
      <c r="H185" s="5">
        <v>0.57500000000001295</v>
      </c>
      <c r="I185" s="5">
        <f t="shared" si="14"/>
        <v>8.0500000000001819</v>
      </c>
      <c r="J185" s="5" t="e">
        <f t="shared" si="15"/>
        <v>#N/A</v>
      </c>
      <c r="K185" s="108" t="e">
        <f t="shared" si="16"/>
        <v>#N/A</v>
      </c>
      <c r="L185" s="108" t="e">
        <f t="shared" si="17"/>
        <v>#N/A</v>
      </c>
      <c r="M185" s="5" t="e">
        <f t="shared" si="19"/>
        <v>#N/A</v>
      </c>
      <c r="N185" s="5"/>
      <c r="O185" s="5"/>
      <c r="P185" s="5"/>
      <c r="Q185" s="5"/>
    </row>
    <row r="186" spans="1:17" x14ac:dyDescent="0.3">
      <c r="A186" s="5"/>
      <c r="B186" s="5">
        <v>0.47</v>
      </c>
      <c r="C186" s="5">
        <f t="shared" si="10"/>
        <v>6.58</v>
      </c>
      <c r="D186" s="5">
        <f t="shared" si="11"/>
        <v>0.32718232044198897</v>
      </c>
      <c r="E186" s="107">
        <f t="shared" si="12"/>
        <v>16.359116022099446</v>
      </c>
      <c r="F186" s="5">
        <f t="shared" si="13"/>
        <v>16.359116022099446</v>
      </c>
      <c r="G186" s="5">
        <f t="shared" si="18"/>
        <v>144.28740331491716</v>
      </c>
      <c r="H186" s="5">
        <v>0.57000000000001305</v>
      </c>
      <c r="I186" s="5">
        <f t="shared" si="14"/>
        <v>7.9800000000001825</v>
      </c>
      <c r="J186" s="5" t="e">
        <f t="shared" si="15"/>
        <v>#N/A</v>
      </c>
      <c r="K186" s="108" t="e">
        <f t="shared" si="16"/>
        <v>#N/A</v>
      </c>
      <c r="L186" s="108" t="e">
        <f t="shared" si="17"/>
        <v>#N/A</v>
      </c>
      <c r="M186" s="5" t="e">
        <f t="shared" si="19"/>
        <v>#N/A</v>
      </c>
      <c r="N186" s="5"/>
      <c r="O186" s="5"/>
      <c r="P186" s="5"/>
      <c r="Q186" s="5"/>
    </row>
    <row r="187" spans="1:17" x14ac:dyDescent="0.3">
      <c r="A187" s="5"/>
      <c r="B187" s="5">
        <v>0.46500000000000002</v>
      </c>
      <c r="C187" s="5">
        <f t="shared" si="10"/>
        <v>6.5100000000000007</v>
      </c>
      <c r="D187" s="5">
        <f t="shared" si="11"/>
        <v>0.32370165745856361</v>
      </c>
      <c r="E187" s="107">
        <f t="shared" si="12"/>
        <v>16.185082872928181</v>
      </c>
      <c r="F187" s="5">
        <f t="shared" si="13"/>
        <v>16.185082872928181</v>
      </c>
      <c r="G187" s="5">
        <f t="shared" si="18"/>
        <v>143.88538674033154</v>
      </c>
      <c r="H187" s="5">
        <v>0.56500000000001405</v>
      </c>
      <c r="I187" s="5">
        <f t="shared" si="14"/>
        <v>7.9100000000001964</v>
      </c>
      <c r="J187" s="5" t="e">
        <f t="shared" si="15"/>
        <v>#N/A</v>
      </c>
      <c r="K187" s="108" t="e">
        <f t="shared" si="16"/>
        <v>#N/A</v>
      </c>
      <c r="L187" s="108" t="e">
        <f t="shared" si="17"/>
        <v>#N/A</v>
      </c>
      <c r="M187" s="5" t="e">
        <f t="shared" si="19"/>
        <v>#N/A</v>
      </c>
      <c r="N187" s="5"/>
      <c r="O187" s="5"/>
      <c r="P187" s="5"/>
      <c r="Q187" s="5"/>
    </row>
    <row r="188" spans="1:17" x14ac:dyDescent="0.3">
      <c r="A188" s="5"/>
      <c r="B188" s="5">
        <v>0.46</v>
      </c>
      <c r="C188" s="5">
        <f t="shared" ref="C188:C251" si="20">B188*VOFLB</f>
        <v>6.44</v>
      </c>
      <c r="D188" s="5">
        <f t="shared" ref="D188:D251" si="21">C188*(ActR7+1000*Set_R9)/(ActR7+ActR8+Set_R9*1000)</f>
        <v>0.32022099447513813</v>
      </c>
      <c r="E188" s="107">
        <f t="shared" ref="E188:E251" si="22">IF(C188*(1000*Set_R9+ActR7)/((1000*Set_R9+ActR7+ActR8)*(Set_Rs*Gain/2))&gt;B$25,B$25,C188*(1000*Set_R9+ActR7)/((1000*Set_R9+ActR7+ActR8)*(Set_Rs*Gain/2)))</f>
        <v>16.011049723756905</v>
      </c>
      <c r="F188" s="5">
        <f t="shared" ref="F188:F251" si="23">IF(D188&lt;0.2,0.2/(Set_Rs*Gain/2),E188)</f>
        <v>16.011049723756905</v>
      </c>
      <c r="G188" s="5">
        <f t="shared" si="18"/>
        <v>143.45900552486188</v>
      </c>
      <c r="H188" s="5">
        <v>0.56000000000001404</v>
      </c>
      <c r="I188" s="5">
        <f t="shared" ref="I188:I251" si="24">H188*VOFLB</f>
        <v>7.840000000000197</v>
      </c>
      <c r="J188" s="5" t="e">
        <f t="shared" ref="J188:J251" si="25">I188*ActR9_sw/(ActR7_sw+ActR9_sw+Set_R8*1000)</f>
        <v>#N/A</v>
      </c>
      <c r="K188" s="108" t="e">
        <f t="shared" ref="K188:K251" si="26">IF(J188/(0.5*Set_Rs*Gain) &gt;B$25,B$25,J188/(0.5*Set_Rs*Gain))</f>
        <v>#N/A</v>
      </c>
      <c r="L188" s="108" t="e">
        <f t="shared" ref="L188:L251" si="27">IF(J188&lt;0.2,0.2/(0.5*Set_Rs*Gain),K188)</f>
        <v>#N/A</v>
      </c>
      <c r="M188" s="5" t="e">
        <f t="shared" si="19"/>
        <v>#N/A</v>
      </c>
      <c r="N188" s="5"/>
      <c r="O188" s="5"/>
      <c r="P188" s="5"/>
      <c r="Q188" s="5"/>
    </row>
    <row r="189" spans="1:17" x14ac:dyDescent="0.3">
      <c r="A189" s="5"/>
      <c r="B189" s="5">
        <v>0.45500000000000002</v>
      </c>
      <c r="C189" s="5">
        <f t="shared" si="20"/>
        <v>6.37</v>
      </c>
      <c r="D189" s="5">
        <f t="shared" si="21"/>
        <v>0.31674033149171271</v>
      </c>
      <c r="E189" s="107">
        <f t="shared" si="22"/>
        <v>15.837016574585636</v>
      </c>
      <c r="F189" s="5">
        <f t="shared" si="23"/>
        <v>15.837016574585636</v>
      </c>
      <c r="G189" s="5">
        <f t="shared" ref="G189:G252" si="28">(C$60-C189)*F189</f>
        <v>143.00825966850832</v>
      </c>
      <c r="H189" s="5">
        <v>0.55500000000001404</v>
      </c>
      <c r="I189" s="5">
        <f t="shared" si="24"/>
        <v>7.7700000000001967</v>
      </c>
      <c r="J189" s="5" t="e">
        <f t="shared" si="25"/>
        <v>#N/A</v>
      </c>
      <c r="K189" s="108" t="e">
        <f t="shared" si="26"/>
        <v>#N/A</v>
      </c>
      <c r="L189" s="108" t="e">
        <f t="shared" si="27"/>
        <v>#N/A</v>
      </c>
      <c r="M189" s="5" t="e">
        <f t="shared" ref="M189:M252" si="29">(I$60-I189)*L189</f>
        <v>#N/A</v>
      </c>
      <c r="N189" s="5"/>
      <c r="O189" s="5"/>
      <c r="P189" s="5"/>
      <c r="Q189" s="5"/>
    </row>
    <row r="190" spans="1:17" x14ac:dyDescent="0.3">
      <c r="A190" s="5"/>
      <c r="B190" s="5">
        <v>0.45</v>
      </c>
      <c r="C190" s="5">
        <f t="shared" si="20"/>
        <v>6.3</v>
      </c>
      <c r="D190" s="5">
        <f t="shared" si="21"/>
        <v>0.31325966850828729</v>
      </c>
      <c r="E190" s="107">
        <f t="shared" si="22"/>
        <v>15.662983425414364</v>
      </c>
      <c r="F190" s="5">
        <f t="shared" si="23"/>
        <v>15.662983425414364</v>
      </c>
      <c r="G190" s="5">
        <f t="shared" si="28"/>
        <v>142.53314917127074</v>
      </c>
      <c r="H190" s="5">
        <v>0.55000000000001403</v>
      </c>
      <c r="I190" s="5">
        <f t="shared" si="24"/>
        <v>7.7000000000001965</v>
      </c>
      <c r="J190" s="5" t="e">
        <f t="shared" si="25"/>
        <v>#N/A</v>
      </c>
      <c r="K190" s="108" t="e">
        <f t="shared" si="26"/>
        <v>#N/A</v>
      </c>
      <c r="L190" s="108" t="e">
        <f t="shared" si="27"/>
        <v>#N/A</v>
      </c>
      <c r="M190" s="5" t="e">
        <f t="shared" si="29"/>
        <v>#N/A</v>
      </c>
      <c r="N190" s="5"/>
      <c r="O190" s="5"/>
      <c r="P190" s="5"/>
      <c r="Q190" s="5"/>
    </row>
    <row r="191" spans="1:17" x14ac:dyDescent="0.3">
      <c r="A191" s="5"/>
      <c r="B191" s="5">
        <v>0.44500000000000001</v>
      </c>
      <c r="C191" s="5">
        <f t="shared" si="20"/>
        <v>6.23</v>
      </c>
      <c r="D191" s="5">
        <f t="shared" si="21"/>
        <v>0.30977900552486187</v>
      </c>
      <c r="E191" s="107">
        <f t="shared" si="22"/>
        <v>15.488950276243093</v>
      </c>
      <c r="F191" s="5">
        <f t="shared" si="23"/>
        <v>15.488950276243093</v>
      </c>
      <c r="G191" s="5">
        <f t="shared" si="28"/>
        <v>142.0336740331492</v>
      </c>
      <c r="H191" s="5">
        <v>0.54500000000001403</v>
      </c>
      <c r="I191" s="5">
        <f t="shared" si="24"/>
        <v>7.6300000000001962</v>
      </c>
      <c r="J191" s="5" t="e">
        <f t="shared" si="25"/>
        <v>#N/A</v>
      </c>
      <c r="K191" s="108" t="e">
        <f t="shared" si="26"/>
        <v>#N/A</v>
      </c>
      <c r="L191" s="108" t="e">
        <f t="shared" si="27"/>
        <v>#N/A</v>
      </c>
      <c r="M191" s="5" t="e">
        <f t="shared" si="29"/>
        <v>#N/A</v>
      </c>
      <c r="N191" s="5"/>
      <c r="O191" s="5"/>
      <c r="P191" s="5"/>
      <c r="Q191" s="5"/>
    </row>
    <row r="192" spans="1:17" x14ac:dyDescent="0.3">
      <c r="A192" s="5"/>
      <c r="B192" s="5">
        <v>0.44</v>
      </c>
      <c r="C192" s="5">
        <f t="shared" si="20"/>
        <v>6.16</v>
      </c>
      <c r="D192" s="5">
        <f t="shared" si="21"/>
        <v>0.30629834254143645</v>
      </c>
      <c r="E192" s="107">
        <f t="shared" si="22"/>
        <v>15.314917127071823</v>
      </c>
      <c r="F192" s="5">
        <f t="shared" si="23"/>
        <v>15.314917127071823</v>
      </c>
      <c r="G192" s="5">
        <f t="shared" si="28"/>
        <v>141.50983425414367</v>
      </c>
      <c r="H192" s="5">
        <v>0.54000000000001402</v>
      </c>
      <c r="I192" s="5">
        <f t="shared" si="24"/>
        <v>7.5600000000001959</v>
      </c>
      <c r="J192" s="5" t="e">
        <f t="shared" si="25"/>
        <v>#N/A</v>
      </c>
      <c r="K192" s="108" t="e">
        <f t="shared" si="26"/>
        <v>#N/A</v>
      </c>
      <c r="L192" s="108" t="e">
        <f t="shared" si="27"/>
        <v>#N/A</v>
      </c>
      <c r="M192" s="5" t="e">
        <f t="shared" si="29"/>
        <v>#N/A</v>
      </c>
      <c r="N192" s="5"/>
      <c r="O192" s="5"/>
      <c r="P192" s="5"/>
      <c r="Q192" s="5"/>
    </row>
    <row r="193" spans="1:17" x14ac:dyDescent="0.3">
      <c r="A193" s="5"/>
      <c r="B193" s="5">
        <v>0.434999999999999</v>
      </c>
      <c r="C193" s="5">
        <f t="shared" si="20"/>
        <v>6.0899999999999856</v>
      </c>
      <c r="D193" s="5">
        <f t="shared" si="21"/>
        <v>0.30281767955801031</v>
      </c>
      <c r="E193" s="107">
        <f t="shared" si="22"/>
        <v>15.140883977900515</v>
      </c>
      <c r="F193" s="5">
        <f t="shared" si="23"/>
        <v>15.140883977900515</v>
      </c>
      <c r="G193" s="5">
        <f t="shared" si="28"/>
        <v>140.96162983425404</v>
      </c>
      <c r="H193" s="5">
        <v>0.53500000000001402</v>
      </c>
      <c r="I193" s="5">
        <f t="shared" si="24"/>
        <v>7.4900000000001965</v>
      </c>
      <c r="J193" s="5" t="e">
        <f t="shared" si="25"/>
        <v>#N/A</v>
      </c>
      <c r="K193" s="108" t="e">
        <f t="shared" si="26"/>
        <v>#N/A</v>
      </c>
      <c r="L193" s="108" t="e">
        <f t="shared" si="27"/>
        <v>#N/A</v>
      </c>
      <c r="M193" s="5" t="e">
        <f t="shared" si="29"/>
        <v>#N/A</v>
      </c>
      <c r="N193" s="5"/>
      <c r="O193" s="5"/>
      <c r="P193" s="5"/>
      <c r="Q193" s="5"/>
    </row>
    <row r="194" spans="1:17" x14ac:dyDescent="0.3">
      <c r="A194" s="5"/>
      <c r="B194" s="5">
        <v>0.42999999999999899</v>
      </c>
      <c r="C194" s="5">
        <f t="shared" si="20"/>
        <v>6.0199999999999863</v>
      </c>
      <c r="D194" s="5">
        <f t="shared" si="21"/>
        <v>0.29933701657458495</v>
      </c>
      <c r="E194" s="107">
        <f t="shared" si="22"/>
        <v>14.966850828729248</v>
      </c>
      <c r="F194" s="5">
        <f t="shared" si="23"/>
        <v>14.966850828729248</v>
      </c>
      <c r="G194" s="5">
        <f t="shared" si="28"/>
        <v>140.38906077348059</v>
      </c>
      <c r="H194" s="5">
        <v>0.53000000000001402</v>
      </c>
      <c r="I194" s="5">
        <f t="shared" si="24"/>
        <v>7.4200000000001962</v>
      </c>
      <c r="J194" s="5" t="e">
        <f t="shared" si="25"/>
        <v>#N/A</v>
      </c>
      <c r="K194" s="108" t="e">
        <f t="shared" si="26"/>
        <v>#N/A</v>
      </c>
      <c r="L194" s="108" t="e">
        <f t="shared" si="27"/>
        <v>#N/A</v>
      </c>
      <c r="M194" s="5" t="e">
        <f t="shared" si="29"/>
        <v>#N/A</v>
      </c>
      <c r="N194" s="5"/>
      <c r="O194" s="5"/>
      <c r="P194" s="5"/>
      <c r="Q194" s="5"/>
    </row>
    <row r="195" spans="1:17" x14ac:dyDescent="0.3">
      <c r="A195" s="5"/>
      <c r="B195" s="5">
        <v>0.42499999999999899</v>
      </c>
      <c r="C195" s="5">
        <f t="shared" si="20"/>
        <v>5.949999999999986</v>
      </c>
      <c r="D195" s="5">
        <f t="shared" si="21"/>
        <v>0.29585635359115953</v>
      </c>
      <c r="E195" s="107">
        <f t="shared" si="22"/>
        <v>14.792817679557977</v>
      </c>
      <c r="F195" s="5">
        <f t="shared" si="23"/>
        <v>14.792817679557977</v>
      </c>
      <c r="G195" s="5">
        <f t="shared" si="28"/>
        <v>139.79212707182313</v>
      </c>
      <c r="H195" s="5">
        <v>0.52500000000001401</v>
      </c>
      <c r="I195" s="5">
        <f t="shared" si="24"/>
        <v>7.3500000000001959</v>
      </c>
      <c r="J195" s="5" t="e">
        <f t="shared" si="25"/>
        <v>#N/A</v>
      </c>
      <c r="K195" s="108" t="e">
        <f t="shared" si="26"/>
        <v>#N/A</v>
      </c>
      <c r="L195" s="108" t="e">
        <f t="shared" si="27"/>
        <v>#N/A</v>
      </c>
      <c r="M195" s="5" t="e">
        <f t="shared" si="29"/>
        <v>#N/A</v>
      </c>
      <c r="N195" s="5"/>
      <c r="O195" s="5"/>
      <c r="P195" s="5"/>
      <c r="Q195" s="5"/>
    </row>
    <row r="196" spans="1:17" x14ac:dyDescent="0.3">
      <c r="A196" s="5"/>
      <c r="B196" s="5">
        <v>0.41999999999999899</v>
      </c>
      <c r="C196" s="5">
        <f t="shared" si="20"/>
        <v>5.8799999999999857</v>
      </c>
      <c r="D196" s="5">
        <f t="shared" si="21"/>
        <v>0.29237569060773411</v>
      </c>
      <c r="E196" s="107">
        <f t="shared" si="22"/>
        <v>14.618784530386705</v>
      </c>
      <c r="F196" s="5">
        <f t="shared" si="23"/>
        <v>14.618784530386705</v>
      </c>
      <c r="G196" s="5">
        <f t="shared" si="28"/>
        <v>139.17082872928168</v>
      </c>
      <c r="H196" s="5">
        <v>0.52000000000001401</v>
      </c>
      <c r="I196" s="5">
        <f t="shared" si="24"/>
        <v>7.2800000000001965</v>
      </c>
      <c r="J196" s="5" t="e">
        <f t="shared" si="25"/>
        <v>#N/A</v>
      </c>
      <c r="K196" s="108" t="e">
        <f t="shared" si="26"/>
        <v>#N/A</v>
      </c>
      <c r="L196" s="108" t="e">
        <f t="shared" si="27"/>
        <v>#N/A</v>
      </c>
      <c r="M196" s="5" t="e">
        <f t="shared" si="29"/>
        <v>#N/A</v>
      </c>
      <c r="N196" s="5"/>
      <c r="O196" s="5"/>
      <c r="P196" s="5"/>
      <c r="Q196" s="5"/>
    </row>
    <row r="197" spans="1:17" x14ac:dyDescent="0.3">
      <c r="A197" s="5"/>
      <c r="B197" s="5">
        <v>0.41499999999999898</v>
      </c>
      <c r="C197" s="5">
        <f t="shared" si="20"/>
        <v>5.8099999999999854</v>
      </c>
      <c r="D197" s="5">
        <f t="shared" si="21"/>
        <v>0.28889502762430863</v>
      </c>
      <c r="E197" s="107">
        <f t="shared" si="22"/>
        <v>14.444751381215433</v>
      </c>
      <c r="F197" s="5">
        <f t="shared" si="23"/>
        <v>14.444751381215433</v>
      </c>
      <c r="G197" s="5">
        <f t="shared" si="28"/>
        <v>138.52516574585624</v>
      </c>
      <c r="H197" s="5">
        <v>0.515000000000015</v>
      </c>
      <c r="I197" s="5">
        <f t="shared" si="24"/>
        <v>7.2100000000002105</v>
      </c>
      <c r="J197" s="5" t="e">
        <f t="shared" si="25"/>
        <v>#N/A</v>
      </c>
      <c r="K197" s="108" t="e">
        <f t="shared" si="26"/>
        <v>#N/A</v>
      </c>
      <c r="L197" s="108" t="e">
        <f t="shared" si="27"/>
        <v>#N/A</v>
      </c>
      <c r="M197" s="5" t="e">
        <f t="shared" si="29"/>
        <v>#N/A</v>
      </c>
      <c r="N197" s="5"/>
      <c r="O197" s="5"/>
      <c r="P197" s="5"/>
      <c r="Q197" s="5"/>
    </row>
    <row r="198" spans="1:17" x14ac:dyDescent="0.3">
      <c r="A198" s="5"/>
      <c r="B198" s="5">
        <v>0.40999999999999898</v>
      </c>
      <c r="C198" s="5">
        <f t="shared" si="20"/>
        <v>5.739999999999986</v>
      </c>
      <c r="D198" s="5">
        <f t="shared" si="21"/>
        <v>0.28541436464088327</v>
      </c>
      <c r="E198" s="107">
        <f t="shared" si="22"/>
        <v>14.270718232044164</v>
      </c>
      <c r="F198" s="5">
        <f t="shared" si="23"/>
        <v>14.270718232044164</v>
      </c>
      <c r="G198" s="5">
        <f t="shared" si="28"/>
        <v>137.85513812154684</v>
      </c>
      <c r="H198" s="5">
        <v>0.510000000000015</v>
      </c>
      <c r="I198" s="5">
        <f t="shared" si="24"/>
        <v>7.1400000000002102</v>
      </c>
      <c r="J198" s="5" t="e">
        <f t="shared" si="25"/>
        <v>#N/A</v>
      </c>
      <c r="K198" s="108" t="e">
        <f t="shared" si="26"/>
        <v>#N/A</v>
      </c>
      <c r="L198" s="108" t="e">
        <f t="shared" si="27"/>
        <v>#N/A</v>
      </c>
      <c r="M198" s="5" t="e">
        <f t="shared" si="29"/>
        <v>#N/A</v>
      </c>
      <c r="N198" s="5"/>
      <c r="O198" s="5"/>
      <c r="P198" s="5"/>
      <c r="Q198" s="5"/>
    </row>
    <row r="199" spans="1:17" x14ac:dyDescent="0.3">
      <c r="A199" s="5"/>
      <c r="B199" s="5">
        <v>0.40499999999999903</v>
      </c>
      <c r="C199" s="5">
        <f t="shared" si="20"/>
        <v>5.6699999999999866</v>
      </c>
      <c r="D199" s="5">
        <f t="shared" si="21"/>
        <v>0.2819337016574579</v>
      </c>
      <c r="E199" s="107">
        <f t="shared" si="22"/>
        <v>14.096685082872897</v>
      </c>
      <c r="F199" s="5">
        <f t="shared" si="23"/>
        <v>14.096685082872897</v>
      </c>
      <c r="G199" s="5">
        <f t="shared" si="28"/>
        <v>137.16074585635349</v>
      </c>
      <c r="H199" s="5">
        <v>0.50500000000001499</v>
      </c>
      <c r="I199" s="5">
        <f t="shared" si="24"/>
        <v>7.0700000000002099</v>
      </c>
      <c r="J199" s="5" t="e">
        <f t="shared" si="25"/>
        <v>#N/A</v>
      </c>
      <c r="K199" s="108" t="e">
        <f t="shared" si="26"/>
        <v>#N/A</v>
      </c>
      <c r="L199" s="108" t="e">
        <f t="shared" si="27"/>
        <v>#N/A</v>
      </c>
      <c r="M199" s="5" t="e">
        <f t="shared" si="29"/>
        <v>#N/A</v>
      </c>
      <c r="N199" s="5"/>
      <c r="O199" s="5"/>
      <c r="P199" s="5"/>
      <c r="Q199" s="5"/>
    </row>
    <row r="200" spans="1:17" x14ac:dyDescent="0.3">
      <c r="A200" s="5"/>
      <c r="B200" s="5">
        <v>0.39999999999999902</v>
      </c>
      <c r="C200" s="5">
        <f t="shared" si="20"/>
        <v>5.5999999999999863</v>
      </c>
      <c r="D200" s="5">
        <f t="shared" si="21"/>
        <v>0.27845303867403248</v>
      </c>
      <c r="E200" s="107">
        <f t="shared" si="22"/>
        <v>13.922651933701623</v>
      </c>
      <c r="F200" s="5">
        <f t="shared" si="23"/>
        <v>13.922651933701623</v>
      </c>
      <c r="G200" s="5">
        <f t="shared" si="28"/>
        <v>136.44198895027611</v>
      </c>
      <c r="H200" s="5">
        <v>0.50000000000001499</v>
      </c>
      <c r="I200" s="5">
        <f t="shared" si="24"/>
        <v>7.0000000000002096</v>
      </c>
      <c r="J200" s="5" t="e">
        <f t="shared" si="25"/>
        <v>#N/A</v>
      </c>
      <c r="K200" s="108" t="e">
        <f t="shared" si="26"/>
        <v>#N/A</v>
      </c>
      <c r="L200" s="108" t="e">
        <f t="shared" si="27"/>
        <v>#N/A</v>
      </c>
      <c r="M200" s="5" t="e">
        <f t="shared" si="29"/>
        <v>#N/A</v>
      </c>
      <c r="N200" s="5"/>
      <c r="O200" s="5"/>
      <c r="P200" s="5"/>
      <c r="Q200" s="5"/>
    </row>
    <row r="201" spans="1:17" x14ac:dyDescent="0.3">
      <c r="A201" s="5"/>
      <c r="B201" s="5">
        <v>0.39499999999999902</v>
      </c>
      <c r="C201" s="5">
        <f t="shared" si="20"/>
        <v>5.529999999999986</v>
      </c>
      <c r="D201" s="5">
        <f t="shared" si="21"/>
        <v>0.27497237569060706</v>
      </c>
      <c r="E201" s="107">
        <f t="shared" si="22"/>
        <v>13.748618784530352</v>
      </c>
      <c r="F201" s="5">
        <f t="shared" si="23"/>
        <v>13.748618784530352</v>
      </c>
      <c r="G201" s="5">
        <f t="shared" si="28"/>
        <v>135.69886740331478</v>
      </c>
      <c r="H201" s="5">
        <v>0.49500000000001498</v>
      </c>
      <c r="I201" s="5">
        <f t="shared" si="24"/>
        <v>6.9300000000002093</v>
      </c>
      <c r="J201" s="5" t="e">
        <f t="shared" si="25"/>
        <v>#N/A</v>
      </c>
      <c r="K201" s="108" t="e">
        <f t="shared" si="26"/>
        <v>#N/A</v>
      </c>
      <c r="L201" s="108" t="e">
        <f t="shared" si="27"/>
        <v>#N/A</v>
      </c>
      <c r="M201" s="5" t="e">
        <f t="shared" si="29"/>
        <v>#N/A</v>
      </c>
      <c r="N201" s="5"/>
      <c r="O201" s="5"/>
      <c r="P201" s="5"/>
      <c r="Q201" s="5"/>
    </row>
    <row r="202" spans="1:17" x14ac:dyDescent="0.3">
      <c r="A202" s="5"/>
      <c r="B202" s="5">
        <v>0.38999999999999901</v>
      </c>
      <c r="C202" s="5">
        <f t="shared" si="20"/>
        <v>5.4599999999999866</v>
      </c>
      <c r="D202" s="5">
        <f t="shared" si="21"/>
        <v>0.2714917127071817</v>
      </c>
      <c r="E202" s="107">
        <f t="shared" si="22"/>
        <v>13.574585635359083</v>
      </c>
      <c r="F202" s="5">
        <f t="shared" si="23"/>
        <v>13.574585635359083</v>
      </c>
      <c r="G202" s="5">
        <f t="shared" si="28"/>
        <v>134.93138121546949</v>
      </c>
      <c r="H202" s="5">
        <v>0.49000000000001498</v>
      </c>
      <c r="I202" s="5">
        <f t="shared" si="24"/>
        <v>6.8600000000002099</v>
      </c>
      <c r="J202" s="5" t="e">
        <f t="shared" si="25"/>
        <v>#N/A</v>
      </c>
      <c r="K202" s="108" t="e">
        <f t="shared" si="26"/>
        <v>#N/A</v>
      </c>
      <c r="L202" s="108" t="e">
        <f t="shared" si="27"/>
        <v>#N/A</v>
      </c>
      <c r="M202" s="5" t="e">
        <f t="shared" si="29"/>
        <v>#N/A</v>
      </c>
      <c r="N202" s="5"/>
      <c r="O202" s="5"/>
      <c r="P202" s="5"/>
      <c r="Q202" s="5"/>
    </row>
    <row r="203" spans="1:17" x14ac:dyDescent="0.3">
      <c r="A203" s="5"/>
      <c r="B203" s="5">
        <v>0.38499999999999901</v>
      </c>
      <c r="C203" s="5">
        <f t="shared" si="20"/>
        <v>5.3899999999999864</v>
      </c>
      <c r="D203" s="5">
        <f t="shared" si="21"/>
        <v>0.26801104972375622</v>
      </c>
      <c r="E203" s="107">
        <f t="shared" si="22"/>
        <v>13.400552486187811</v>
      </c>
      <c r="F203" s="5">
        <f t="shared" si="23"/>
        <v>13.400552486187811</v>
      </c>
      <c r="G203" s="5">
        <f t="shared" si="28"/>
        <v>134.1395303867402</v>
      </c>
      <c r="H203" s="5">
        <v>0.48500000000001497</v>
      </c>
      <c r="I203" s="5">
        <f t="shared" si="24"/>
        <v>6.7900000000002096</v>
      </c>
      <c r="J203" s="5" t="e">
        <f t="shared" si="25"/>
        <v>#N/A</v>
      </c>
      <c r="K203" s="108" t="e">
        <f t="shared" si="26"/>
        <v>#N/A</v>
      </c>
      <c r="L203" s="108" t="e">
        <f t="shared" si="27"/>
        <v>#N/A</v>
      </c>
      <c r="M203" s="5" t="e">
        <f t="shared" si="29"/>
        <v>#N/A</v>
      </c>
      <c r="N203" s="5"/>
      <c r="O203" s="5"/>
      <c r="P203" s="5"/>
      <c r="Q203" s="5"/>
    </row>
    <row r="204" spans="1:17" x14ac:dyDescent="0.3">
      <c r="A204" s="5"/>
      <c r="B204" s="5">
        <v>0.37999999999999901</v>
      </c>
      <c r="C204" s="5">
        <f t="shared" si="20"/>
        <v>5.3199999999999861</v>
      </c>
      <c r="D204" s="5">
        <f t="shared" si="21"/>
        <v>0.2645303867403308</v>
      </c>
      <c r="E204" s="107">
        <f t="shared" si="22"/>
        <v>13.226519337016541</v>
      </c>
      <c r="F204" s="5">
        <f t="shared" si="23"/>
        <v>13.226519337016541</v>
      </c>
      <c r="G204" s="5">
        <f t="shared" si="28"/>
        <v>133.32331491712694</v>
      </c>
      <c r="H204" s="5">
        <v>0.48000000000001503</v>
      </c>
      <c r="I204" s="5">
        <f t="shared" si="24"/>
        <v>6.7200000000002102</v>
      </c>
      <c r="J204" s="5" t="e">
        <f t="shared" si="25"/>
        <v>#N/A</v>
      </c>
      <c r="K204" s="108" t="e">
        <f t="shared" si="26"/>
        <v>#N/A</v>
      </c>
      <c r="L204" s="108" t="e">
        <f t="shared" si="27"/>
        <v>#N/A</v>
      </c>
      <c r="M204" s="5" t="e">
        <f t="shared" si="29"/>
        <v>#N/A</v>
      </c>
      <c r="N204" s="5"/>
      <c r="O204" s="5"/>
      <c r="P204" s="5"/>
      <c r="Q204" s="5"/>
    </row>
    <row r="205" spans="1:17" x14ac:dyDescent="0.3">
      <c r="A205" s="5"/>
      <c r="B205" s="5">
        <v>0.374999999999999</v>
      </c>
      <c r="C205" s="5">
        <f t="shared" si="20"/>
        <v>5.2499999999999858</v>
      </c>
      <c r="D205" s="5">
        <f t="shared" si="21"/>
        <v>0.26104972375690538</v>
      </c>
      <c r="E205" s="107">
        <f t="shared" si="22"/>
        <v>13.05248618784527</v>
      </c>
      <c r="F205" s="5">
        <f t="shared" si="23"/>
        <v>13.05248618784527</v>
      </c>
      <c r="G205" s="5">
        <f t="shared" si="28"/>
        <v>132.48273480662971</v>
      </c>
      <c r="H205" s="5">
        <v>0.47500000000001502</v>
      </c>
      <c r="I205" s="5">
        <f t="shared" si="24"/>
        <v>6.65000000000021</v>
      </c>
      <c r="J205" s="5" t="e">
        <f t="shared" si="25"/>
        <v>#N/A</v>
      </c>
      <c r="K205" s="108" t="e">
        <f t="shared" si="26"/>
        <v>#N/A</v>
      </c>
      <c r="L205" s="108" t="e">
        <f t="shared" si="27"/>
        <v>#N/A</v>
      </c>
      <c r="M205" s="5" t="e">
        <f t="shared" si="29"/>
        <v>#N/A</v>
      </c>
      <c r="N205" s="5"/>
      <c r="O205" s="5"/>
      <c r="P205" s="5"/>
      <c r="Q205" s="5"/>
    </row>
    <row r="206" spans="1:17" x14ac:dyDescent="0.3">
      <c r="A206" s="5"/>
      <c r="B206" s="5">
        <v>0.369999999999999</v>
      </c>
      <c r="C206" s="5">
        <f t="shared" si="20"/>
        <v>5.1799999999999855</v>
      </c>
      <c r="D206" s="5">
        <f t="shared" si="21"/>
        <v>0.25756906077347991</v>
      </c>
      <c r="E206" s="107">
        <f t="shared" si="22"/>
        <v>12.878453038673996</v>
      </c>
      <c r="F206" s="5">
        <f t="shared" si="23"/>
        <v>12.878453038673996</v>
      </c>
      <c r="G206" s="5">
        <f t="shared" si="28"/>
        <v>131.61779005524846</v>
      </c>
      <c r="H206" s="5">
        <v>0.47000000000001602</v>
      </c>
      <c r="I206" s="5">
        <f t="shared" si="24"/>
        <v>6.5800000000002239</v>
      </c>
      <c r="J206" s="5" t="e">
        <f t="shared" si="25"/>
        <v>#N/A</v>
      </c>
      <c r="K206" s="108" t="e">
        <f t="shared" si="26"/>
        <v>#N/A</v>
      </c>
      <c r="L206" s="108" t="e">
        <f t="shared" si="27"/>
        <v>#N/A</v>
      </c>
      <c r="M206" s="5" t="e">
        <f t="shared" si="29"/>
        <v>#N/A</v>
      </c>
      <c r="N206" s="5"/>
      <c r="O206" s="5"/>
      <c r="P206" s="5"/>
      <c r="Q206" s="5"/>
    </row>
    <row r="207" spans="1:17" x14ac:dyDescent="0.3">
      <c r="A207" s="5"/>
      <c r="B207" s="5">
        <v>0.36499999999999899</v>
      </c>
      <c r="C207" s="5">
        <f t="shared" si="20"/>
        <v>5.1099999999999861</v>
      </c>
      <c r="D207" s="5">
        <f t="shared" si="21"/>
        <v>0.25408839779005454</v>
      </c>
      <c r="E207" s="107">
        <f t="shared" si="22"/>
        <v>12.704419889502727</v>
      </c>
      <c r="F207" s="5">
        <f t="shared" si="23"/>
        <v>12.704419889502727</v>
      </c>
      <c r="G207" s="5">
        <f t="shared" si="28"/>
        <v>130.72848066298329</v>
      </c>
      <c r="H207" s="5">
        <v>0.46500000000001601</v>
      </c>
      <c r="I207" s="5">
        <f t="shared" si="24"/>
        <v>6.5100000000002245</v>
      </c>
      <c r="J207" s="5" t="e">
        <f t="shared" si="25"/>
        <v>#N/A</v>
      </c>
      <c r="K207" s="108" t="e">
        <f t="shared" si="26"/>
        <v>#N/A</v>
      </c>
      <c r="L207" s="108" t="e">
        <f t="shared" si="27"/>
        <v>#N/A</v>
      </c>
      <c r="M207" s="5" t="e">
        <f t="shared" si="29"/>
        <v>#N/A</v>
      </c>
      <c r="N207" s="5"/>
      <c r="O207" s="5"/>
      <c r="P207" s="5"/>
      <c r="Q207" s="5"/>
    </row>
    <row r="208" spans="1:17" x14ac:dyDescent="0.3">
      <c r="A208" s="5"/>
      <c r="B208" s="5">
        <v>0.35999999999999899</v>
      </c>
      <c r="C208" s="5">
        <f t="shared" si="20"/>
        <v>5.0399999999999858</v>
      </c>
      <c r="D208" s="5">
        <f t="shared" si="21"/>
        <v>0.25060773480662912</v>
      </c>
      <c r="E208" s="107">
        <f t="shared" si="22"/>
        <v>12.530386740331457</v>
      </c>
      <c r="F208" s="5">
        <f t="shared" si="23"/>
        <v>12.530386740331457</v>
      </c>
      <c r="G208" s="5">
        <f t="shared" si="28"/>
        <v>129.8148066298341</v>
      </c>
      <c r="H208" s="5">
        <v>0.46000000000001601</v>
      </c>
      <c r="I208" s="5">
        <f t="shared" si="24"/>
        <v>6.4400000000002242</v>
      </c>
      <c r="J208" s="5" t="e">
        <f t="shared" si="25"/>
        <v>#N/A</v>
      </c>
      <c r="K208" s="108" t="e">
        <f t="shared" si="26"/>
        <v>#N/A</v>
      </c>
      <c r="L208" s="108" t="e">
        <f t="shared" si="27"/>
        <v>#N/A</v>
      </c>
      <c r="M208" s="5" t="e">
        <f t="shared" si="29"/>
        <v>#N/A</v>
      </c>
      <c r="N208" s="5"/>
      <c r="O208" s="5"/>
      <c r="P208" s="5"/>
      <c r="Q208" s="5"/>
    </row>
    <row r="209" spans="1:17" x14ac:dyDescent="0.3">
      <c r="A209" s="5"/>
      <c r="B209" s="5">
        <v>0.35499999999999898</v>
      </c>
      <c r="C209" s="5">
        <f t="shared" si="20"/>
        <v>4.9699999999999855</v>
      </c>
      <c r="D209" s="5">
        <f t="shared" si="21"/>
        <v>0.24712707182320368</v>
      </c>
      <c r="E209" s="107">
        <f t="shared" si="22"/>
        <v>12.356353591160184</v>
      </c>
      <c r="F209" s="5">
        <f t="shared" si="23"/>
        <v>12.356353591160184</v>
      </c>
      <c r="G209" s="5">
        <f t="shared" si="28"/>
        <v>128.87676795580094</v>
      </c>
      <c r="H209" s="5">
        <v>0.455000000000016</v>
      </c>
      <c r="I209" s="5">
        <f t="shared" si="24"/>
        <v>6.3700000000002239</v>
      </c>
      <c r="J209" s="5" t="e">
        <f t="shared" si="25"/>
        <v>#N/A</v>
      </c>
      <c r="K209" s="108" t="e">
        <f t="shared" si="26"/>
        <v>#N/A</v>
      </c>
      <c r="L209" s="108" t="e">
        <f t="shared" si="27"/>
        <v>#N/A</v>
      </c>
      <c r="M209" s="5" t="e">
        <f t="shared" si="29"/>
        <v>#N/A</v>
      </c>
      <c r="N209" s="5"/>
      <c r="O209" s="5"/>
      <c r="P209" s="5"/>
      <c r="Q209" s="5"/>
    </row>
    <row r="210" spans="1:17" x14ac:dyDescent="0.3">
      <c r="A210" s="5"/>
      <c r="B210" s="5">
        <v>0.34999999999999898</v>
      </c>
      <c r="C210" s="5">
        <f t="shared" si="20"/>
        <v>4.8999999999999861</v>
      </c>
      <c r="D210" s="5">
        <f t="shared" si="21"/>
        <v>0.24364640883977831</v>
      </c>
      <c r="E210" s="107">
        <f t="shared" si="22"/>
        <v>12.182320441988916</v>
      </c>
      <c r="F210" s="5">
        <f t="shared" si="23"/>
        <v>12.182320441988916</v>
      </c>
      <c r="G210" s="5">
        <f t="shared" si="28"/>
        <v>127.9143646408838</v>
      </c>
      <c r="H210" s="5">
        <v>0.450000000000016</v>
      </c>
      <c r="I210" s="5">
        <f t="shared" si="24"/>
        <v>6.3000000000002236</v>
      </c>
      <c r="J210" s="5" t="e">
        <f t="shared" si="25"/>
        <v>#N/A</v>
      </c>
      <c r="K210" s="108" t="e">
        <f t="shared" si="26"/>
        <v>#N/A</v>
      </c>
      <c r="L210" s="108" t="e">
        <f t="shared" si="27"/>
        <v>#N/A</v>
      </c>
      <c r="M210" s="5" t="e">
        <f t="shared" si="29"/>
        <v>#N/A</v>
      </c>
      <c r="N210" s="5"/>
      <c r="O210" s="5"/>
      <c r="P210" s="5"/>
      <c r="Q210" s="5"/>
    </row>
    <row r="211" spans="1:17" x14ac:dyDescent="0.3">
      <c r="A211" s="5"/>
      <c r="B211" s="5">
        <v>0.34499999999999897</v>
      </c>
      <c r="C211" s="5">
        <f t="shared" si="20"/>
        <v>4.8299999999999859</v>
      </c>
      <c r="D211" s="5">
        <f t="shared" si="21"/>
        <v>0.24016574585635289</v>
      </c>
      <c r="E211" s="107">
        <f t="shared" si="22"/>
        <v>12.008287292817645</v>
      </c>
      <c r="F211" s="5">
        <f t="shared" si="23"/>
        <v>12.008287292817645</v>
      </c>
      <c r="G211" s="5">
        <f t="shared" si="28"/>
        <v>126.9275966850827</v>
      </c>
      <c r="H211" s="5">
        <v>0.44500000000001599</v>
      </c>
      <c r="I211" s="5">
        <f t="shared" si="24"/>
        <v>6.2300000000002242</v>
      </c>
      <c r="J211" s="5" t="e">
        <f t="shared" si="25"/>
        <v>#N/A</v>
      </c>
      <c r="K211" s="108" t="e">
        <f t="shared" si="26"/>
        <v>#N/A</v>
      </c>
      <c r="L211" s="108" t="e">
        <f t="shared" si="27"/>
        <v>#N/A</v>
      </c>
      <c r="M211" s="5" t="e">
        <f t="shared" si="29"/>
        <v>#N/A</v>
      </c>
      <c r="N211" s="5"/>
      <c r="O211" s="5"/>
      <c r="P211" s="5"/>
      <c r="Q211" s="5"/>
    </row>
    <row r="212" spans="1:17" x14ac:dyDescent="0.3">
      <c r="A212" s="5"/>
      <c r="B212" s="5">
        <v>0.33999999999999903</v>
      </c>
      <c r="C212" s="5">
        <f t="shared" si="20"/>
        <v>4.7599999999999865</v>
      </c>
      <c r="D212" s="5">
        <f t="shared" si="21"/>
        <v>0.2366850828729275</v>
      </c>
      <c r="E212" s="107">
        <f t="shared" si="22"/>
        <v>11.834254143646374</v>
      </c>
      <c r="F212" s="5">
        <f t="shared" si="23"/>
        <v>11.834254143646374</v>
      </c>
      <c r="G212" s="5">
        <f t="shared" si="28"/>
        <v>125.9164640883976</v>
      </c>
      <c r="H212" s="5">
        <v>0.44000000000001599</v>
      </c>
      <c r="I212" s="5">
        <f t="shared" si="24"/>
        <v>6.160000000000224</v>
      </c>
      <c r="J212" s="5" t="e">
        <f t="shared" si="25"/>
        <v>#N/A</v>
      </c>
      <c r="K212" s="108" t="e">
        <f t="shared" si="26"/>
        <v>#N/A</v>
      </c>
      <c r="L212" s="108" t="e">
        <f t="shared" si="27"/>
        <v>#N/A</v>
      </c>
      <c r="M212" s="5" t="e">
        <f t="shared" si="29"/>
        <v>#N/A</v>
      </c>
      <c r="N212" s="5"/>
      <c r="O212" s="5"/>
      <c r="P212" s="5"/>
      <c r="Q212" s="5"/>
    </row>
    <row r="213" spans="1:17" x14ac:dyDescent="0.3">
      <c r="A213" s="5"/>
      <c r="B213" s="5">
        <v>0.33499999999999902</v>
      </c>
      <c r="C213" s="5">
        <f t="shared" si="20"/>
        <v>4.6899999999999862</v>
      </c>
      <c r="D213" s="5">
        <f t="shared" si="21"/>
        <v>0.23320441988950208</v>
      </c>
      <c r="E213" s="107">
        <f t="shared" si="22"/>
        <v>11.660220994475104</v>
      </c>
      <c r="F213" s="5">
        <f t="shared" si="23"/>
        <v>11.660220994475104</v>
      </c>
      <c r="G213" s="5">
        <f t="shared" si="28"/>
        <v>124.88096685082854</v>
      </c>
      <c r="H213" s="5">
        <v>0.43500000000001598</v>
      </c>
      <c r="I213" s="5">
        <f t="shared" si="24"/>
        <v>6.0900000000002237</v>
      </c>
      <c r="J213" s="5" t="e">
        <f t="shared" si="25"/>
        <v>#N/A</v>
      </c>
      <c r="K213" s="108" t="e">
        <f t="shared" si="26"/>
        <v>#N/A</v>
      </c>
      <c r="L213" s="108" t="e">
        <f t="shared" si="27"/>
        <v>#N/A</v>
      </c>
      <c r="M213" s="5" t="e">
        <f t="shared" si="29"/>
        <v>#N/A</v>
      </c>
      <c r="N213" s="5"/>
      <c r="O213" s="5"/>
      <c r="P213" s="5"/>
      <c r="Q213" s="5"/>
    </row>
    <row r="214" spans="1:17" x14ac:dyDescent="0.3">
      <c r="A214" s="5"/>
      <c r="B214" s="5">
        <v>0.32999999999999902</v>
      </c>
      <c r="C214" s="5">
        <f t="shared" si="20"/>
        <v>4.6199999999999859</v>
      </c>
      <c r="D214" s="5">
        <f t="shared" si="21"/>
        <v>0.22972375690607666</v>
      </c>
      <c r="E214" s="107">
        <f t="shared" si="22"/>
        <v>11.486187845303833</v>
      </c>
      <c r="F214" s="5">
        <f t="shared" si="23"/>
        <v>11.486187845303833</v>
      </c>
      <c r="G214" s="5">
        <f t="shared" si="28"/>
        <v>123.82110497237549</v>
      </c>
      <c r="H214" s="5">
        <v>0.43000000000001598</v>
      </c>
      <c r="I214" s="5">
        <f t="shared" si="24"/>
        <v>6.0200000000002234</v>
      </c>
      <c r="J214" s="5" t="e">
        <f t="shared" si="25"/>
        <v>#N/A</v>
      </c>
      <c r="K214" s="108" t="e">
        <f t="shared" si="26"/>
        <v>#N/A</v>
      </c>
      <c r="L214" s="108" t="e">
        <f t="shared" si="27"/>
        <v>#N/A</v>
      </c>
      <c r="M214" s="5" t="e">
        <f t="shared" si="29"/>
        <v>#N/A</v>
      </c>
      <c r="N214" s="5"/>
      <c r="O214" s="5"/>
      <c r="P214" s="5"/>
      <c r="Q214" s="5"/>
    </row>
    <row r="215" spans="1:17" x14ac:dyDescent="0.3">
      <c r="A215" s="5"/>
      <c r="B215" s="5">
        <v>0.32499999999999901</v>
      </c>
      <c r="C215" s="5">
        <f t="shared" si="20"/>
        <v>4.5499999999999865</v>
      </c>
      <c r="D215" s="5">
        <f t="shared" si="21"/>
        <v>0.22624309392265124</v>
      </c>
      <c r="E215" s="107">
        <f t="shared" si="22"/>
        <v>11.312154696132563</v>
      </c>
      <c r="F215" s="5">
        <f t="shared" si="23"/>
        <v>11.312154696132563</v>
      </c>
      <c r="G215" s="5">
        <f t="shared" si="28"/>
        <v>122.73687845303849</v>
      </c>
      <c r="H215" s="5">
        <v>0.42500000000001698</v>
      </c>
      <c r="I215" s="5">
        <f t="shared" si="24"/>
        <v>5.9500000000002373</v>
      </c>
      <c r="J215" s="5" t="e">
        <f t="shared" si="25"/>
        <v>#N/A</v>
      </c>
      <c r="K215" s="108" t="e">
        <f t="shared" si="26"/>
        <v>#N/A</v>
      </c>
      <c r="L215" s="108" t="e">
        <f t="shared" si="27"/>
        <v>#N/A</v>
      </c>
      <c r="M215" s="5" t="e">
        <f t="shared" si="29"/>
        <v>#N/A</v>
      </c>
      <c r="N215" s="5"/>
      <c r="O215" s="5"/>
      <c r="P215" s="5"/>
      <c r="Q215" s="5"/>
    </row>
    <row r="216" spans="1:17" x14ac:dyDescent="0.3">
      <c r="A216" s="5"/>
      <c r="B216" s="5">
        <v>0.31999999999999901</v>
      </c>
      <c r="C216" s="5">
        <f t="shared" si="20"/>
        <v>4.4799999999999862</v>
      </c>
      <c r="D216" s="5">
        <f t="shared" si="21"/>
        <v>0.22276243093922582</v>
      </c>
      <c r="E216" s="107">
        <f t="shared" si="22"/>
        <v>11.138121546961292</v>
      </c>
      <c r="F216" s="5">
        <f t="shared" si="23"/>
        <v>11.138121546961292</v>
      </c>
      <c r="G216" s="5">
        <f t="shared" si="28"/>
        <v>121.62828729281749</v>
      </c>
      <c r="H216" s="5">
        <v>0.42000000000001703</v>
      </c>
      <c r="I216" s="5">
        <f t="shared" si="24"/>
        <v>5.8800000000002388</v>
      </c>
      <c r="J216" s="5" t="e">
        <f t="shared" si="25"/>
        <v>#N/A</v>
      </c>
      <c r="K216" s="108" t="e">
        <f t="shared" si="26"/>
        <v>#N/A</v>
      </c>
      <c r="L216" s="108" t="e">
        <f t="shared" si="27"/>
        <v>#N/A</v>
      </c>
      <c r="M216" s="5" t="e">
        <f t="shared" si="29"/>
        <v>#N/A</v>
      </c>
      <c r="N216" s="5"/>
      <c r="O216" s="5"/>
      <c r="P216" s="5"/>
      <c r="Q216" s="5"/>
    </row>
    <row r="217" spans="1:17" x14ac:dyDescent="0.3">
      <c r="A217" s="5"/>
      <c r="B217" s="5">
        <v>0.314999999999999</v>
      </c>
      <c r="C217" s="5">
        <f t="shared" si="20"/>
        <v>4.4099999999999859</v>
      </c>
      <c r="D217" s="5">
        <f t="shared" si="21"/>
        <v>0.21928176795580043</v>
      </c>
      <c r="E217" s="107">
        <f t="shared" si="22"/>
        <v>10.964088397790022</v>
      </c>
      <c r="F217" s="5">
        <f t="shared" si="23"/>
        <v>10.964088397790022</v>
      </c>
      <c r="G217" s="5">
        <f t="shared" si="28"/>
        <v>120.49533149171252</v>
      </c>
      <c r="H217" s="5">
        <v>0.41500000000001702</v>
      </c>
      <c r="I217" s="5">
        <f t="shared" si="24"/>
        <v>5.8100000000002385</v>
      </c>
      <c r="J217" s="5" t="e">
        <f t="shared" si="25"/>
        <v>#N/A</v>
      </c>
      <c r="K217" s="108" t="e">
        <f t="shared" si="26"/>
        <v>#N/A</v>
      </c>
      <c r="L217" s="108" t="e">
        <f t="shared" si="27"/>
        <v>#N/A</v>
      </c>
      <c r="M217" s="5" t="e">
        <f t="shared" si="29"/>
        <v>#N/A</v>
      </c>
      <c r="N217" s="5"/>
      <c r="O217" s="5"/>
      <c r="P217" s="5"/>
      <c r="Q217" s="5"/>
    </row>
    <row r="218" spans="1:17" x14ac:dyDescent="0.3">
      <c r="A218" s="5"/>
      <c r="B218" s="5">
        <v>0.309999999999999</v>
      </c>
      <c r="C218" s="5">
        <f t="shared" si="20"/>
        <v>4.3399999999999856</v>
      </c>
      <c r="D218" s="5">
        <f t="shared" si="21"/>
        <v>0.21580110497237495</v>
      </c>
      <c r="E218" s="107">
        <f t="shared" si="22"/>
        <v>10.790055248618748</v>
      </c>
      <c r="F218" s="5">
        <f t="shared" si="23"/>
        <v>10.790055248618748</v>
      </c>
      <c r="G218" s="5">
        <f t="shared" si="28"/>
        <v>119.33801104972352</v>
      </c>
      <c r="H218" s="5">
        <v>0.41000000000001702</v>
      </c>
      <c r="I218" s="5">
        <f t="shared" si="24"/>
        <v>5.7400000000002382</v>
      </c>
      <c r="J218" s="5" t="e">
        <f t="shared" si="25"/>
        <v>#N/A</v>
      </c>
      <c r="K218" s="108" t="e">
        <f t="shared" si="26"/>
        <v>#N/A</v>
      </c>
      <c r="L218" s="108" t="e">
        <f t="shared" si="27"/>
        <v>#N/A</v>
      </c>
      <c r="M218" s="5" t="e">
        <f t="shared" si="29"/>
        <v>#N/A</v>
      </c>
      <c r="N218" s="5"/>
      <c r="O218" s="5"/>
      <c r="P218" s="5"/>
      <c r="Q218" s="5"/>
    </row>
    <row r="219" spans="1:17" x14ac:dyDescent="0.3">
      <c r="A219" s="5"/>
      <c r="B219" s="5">
        <v>0.30499999999999899</v>
      </c>
      <c r="C219" s="5">
        <f t="shared" si="20"/>
        <v>4.2699999999999863</v>
      </c>
      <c r="D219" s="5">
        <f t="shared" si="21"/>
        <v>0.21232044198894959</v>
      </c>
      <c r="E219" s="107">
        <f t="shared" si="22"/>
        <v>10.616022099447479</v>
      </c>
      <c r="F219" s="5">
        <f t="shared" si="23"/>
        <v>10.616022099447479</v>
      </c>
      <c r="G219" s="5">
        <f t="shared" si="28"/>
        <v>118.15632596685062</v>
      </c>
      <c r="H219" s="5">
        <v>0.40500000000001701</v>
      </c>
      <c r="I219" s="5">
        <f t="shared" si="24"/>
        <v>5.670000000000238</v>
      </c>
      <c r="J219" s="5" t="e">
        <f t="shared" si="25"/>
        <v>#N/A</v>
      </c>
      <c r="K219" s="108" t="e">
        <f t="shared" si="26"/>
        <v>#N/A</v>
      </c>
      <c r="L219" s="108" t="e">
        <f t="shared" si="27"/>
        <v>#N/A</v>
      </c>
      <c r="M219" s="5" t="e">
        <f t="shared" si="29"/>
        <v>#N/A</v>
      </c>
      <c r="N219" s="5"/>
      <c r="O219" s="5"/>
      <c r="P219" s="5"/>
      <c r="Q219" s="5"/>
    </row>
    <row r="220" spans="1:17" x14ac:dyDescent="0.3">
      <c r="A220" s="5"/>
      <c r="B220" s="5">
        <v>0.29999999999999899</v>
      </c>
      <c r="C220" s="5">
        <f t="shared" si="20"/>
        <v>4.199999999999986</v>
      </c>
      <c r="D220" s="5">
        <f t="shared" si="21"/>
        <v>0.20883977900552417</v>
      </c>
      <c r="E220" s="107">
        <f t="shared" si="22"/>
        <v>10.441988950276208</v>
      </c>
      <c r="F220" s="5">
        <f t="shared" si="23"/>
        <v>10.441988950276208</v>
      </c>
      <c r="G220" s="5">
        <f t="shared" si="28"/>
        <v>116.95027624309371</v>
      </c>
      <c r="H220" s="5">
        <v>0.40000000000001701</v>
      </c>
      <c r="I220" s="5">
        <f t="shared" si="24"/>
        <v>5.6000000000002377</v>
      </c>
      <c r="J220" s="5" t="e">
        <f t="shared" si="25"/>
        <v>#N/A</v>
      </c>
      <c r="K220" s="108" t="e">
        <f t="shared" si="26"/>
        <v>#N/A</v>
      </c>
      <c r="L220" s="108" t="e">
        <f t="shared" si="27"/>
        <v>#N/A</v>
      </c>
      <c r="M220" s="5" t="e">
        <f t="shared" si="29"/>
        <v>#N/A</v>
      </c>
      <c r="N220" s="5"/>
      <c r="O220" s="5"/>
      <c r="P220" s="5"/>
      <c r="Q220" s="5"/>
    </row>
    <row r="221" spans="1:17" x14ac:dyDescent="0.3">
      <c r="A221" s="5"/>
      <c r="B221" s="5">
        <v>0.29499999999999899</v>
      </c>
      <c r="C221" s="5">
        <f t="shared" si="20"/>
        <v>4.1299999999999857</v>
      </c>
      <c r="D221" s="5">
        <f t="shared" si="21"/>
        <v>0.20535911602209875</v>
      </c>
      <c r="E221" s="107">
        <f t="shared" si="22"/>
        <v>10.267955801104936</v>
      </c>
      <c r="F221" s="5">
        <f t="shared" si="23"/>
        <v>10.267955801104936</v>
      </c>
      <c r="G221" s="5">
        <f t="shared" si="28"/>
        <v>115.7198618784528</v>
      </c>
      <c r="H221" s="5">
        <v>0.395000000000017</v>
      </c>
      <c r="I221" s="5">
        <f t="shared" si="24"/>
        <v>5.5300000000002383</v>
      </c>
      <c r="J221" s="5" t="e">
        <f t="shared" si="25"/>
        <v>#N/A</v>
      </c>
      <c r="K221" s="108" t="e">
        <f t="shared" si="26"/>
        <v>#N/A</v>
      </c>
      <c r="L221" s="108" t="e">
        <f t="shared" si="27"/>
        <v>#N/A</v>
      </c>
      <c r="M221" s="5" t="e">
        <f t="shared" si="29"/>
        <v>#N/A</v>
      </c>
      <c r="N221" s="5"/>
      <c r="O221" s="5"/>
      <c r="P221" s="5"/>
      <c r="Q221" s="5"/>
    </row>
    <row r="222" spans="1:17" x14ac:dyDescent="0.3">
      <c r="A222" s="5"/>
      <c r="B222" s="5">
        <v>0.28999999999999898</v>
      </c>
      <c r="C222" s="5">
        <f t="shared" si="20"/>
        <v>4.0599999999999854</v>
      </c>
      <c r="D222" s="5">
        <f t="shared" si="21"/>
        <v>0.2018784530386733</v>
      </c>
      <c r="E222" s="107">
        <f t="shared" si="22"/>
        <v>10.093922651933665</v>
      </c>
      <c r="F222" s="5">
        <f t="shared" si="23"/>
        <v>10.093922651933665</v>
      </c>
      <c r="G222" s="5">
        <f t="shared" si="28"/>
        <v>114.46508287292794</v>
      </c>
      <c r="H222" s="5">
        <v>0.390000000000017</v>
      </c>
      <c r="I222" s="5">
        <f t="shared" si="24"/>
        <v>5.460000000000238</v>
      </c>
      <c r="J222" s="5" t="e">
        <f t="shared" si="25"/>
        <v>#N/A</v>
      </c>
      <c r="K222" s="108" t="e">
        <f t="shared" si="26"/>
        <v>#N/A</v>
      </c>
      <c r="L222" s="108" t="e">
        <f t="shared" si="27"/>
        <v>#N/A</v>
      </c>
      <c r="M222" s="5" t="e">
        <f t="shared" si="29"/>
        <v>#N/A</v>
      </c>
      <c r="N222" s="5"/>
      <c r="O222" s="5"/>
      <c r="P222" s="5"/>
      <c r="Q222" s="5"/>
    </row>
    <row r="223" spans="1:17" x14ac:dyDescent="0.3">
      <c r="A223" s="5"/>
      <c r="B223" s="5">
        <v>0.28499999999999898</v>
      </c>
      <c r="C223" s="5">
        <f t="shared" si="20"/>
        <v>3.9899999999999856</v>
      </c>
      <c r="D223" s="5">
        <f t="shared" si="21"/>
        <v>0.19839779005524791</v>
      </c>
      <c r="E223" s="107">
        <f t="shared" si="22"/>
        <v>9.9198895027623948</v>
      </c>
      <c r="F223" s="5">
        <f t="shared" si="23"/>
        <v>10</v>
      </c>
      <c r="G223" s="5">
        <f t="shared" si="28"/>
        <v>114.10000000000016</v>
      </c>
      <c r="H223" s="5">
        <v>0.385000000000017</v>
      </c>
      <c r="I223" s="5">
        <f t="shared" si="24"/>
        <v>5.3900000000002377</v>
      </c>
      <c r="J223" s="5" t="e">
        <f t="shared" si="25"/>
        <v>#N/A</v>
      </c>
      <c r="K223" s="108" t="e">
        <f t="shared" si="26"/>
        <v>#N/A</v>
      </c>
      <c r="L223" s="108" t="e">
        <f t="shared" si="27"/>
        <v>#N/A</v>
      </c>
      <c r="M223" s="5" t="e">
        <f t="shared" si="29"/>
        <v>#N/A</v>
      </c>
      <c r="N223" s="5"/>
      <c r="O223" s="5"/>
      <c r="P223" s="5"/>
      <c r="Q223" s="5"/>
    </row>
    <row r="224" spans="1:17" x14ac:dyDescent="0.3">
      <c r="A224" s="5"/>
      <c r="B224" s="5">
        <v>0.27999999999999903</v>
      </c>
      <c r="C224" s="5">
        <f t="shared" si="20"/>
        <v>3.9199999999999866</v>
      </c>
      <c r="D224" s="5">
        <f t="shared" si="21"/>
        <v>0.19491712707182254</v>
      </c>
      <c r="E224" s="107">
        <f t="shared" si="22"/>
        <v>9.7458563535911278</v>
      </c>
      <c r="F224" s="5">
        <f t="shared" si="23"/>
        <v>10</v>
      </c>
      <c r="G224" s="5">
        <f t="shared" si="28"/>
        <v>114.80000000000015</v>
      </c>
      <c r="H224" s="5">
        <v>0.38000000000001699</v>
      </c>
      <c r="I224" s="5">
        <f t="shared" si="24"/>
        <v>5.3200000000002383</v>
      </c>
      <c r="J224" s="5" t="e">
        <f t="shared" si="25"/>
        <v>#N/A</v>
      </c>
      <c r="K224" s="108" t="e">
        <f t="shared" si="26"/>
        <v>#N/A</v>
      </c>
      <c r="L224" s="108" t="e">
        <f t="shared" si="27"/>
        <v>#N/A</v>
      </c>
      <c r="M224" s="5" t="e">
        <f t="shared" si="29"/>
        <v>#N/A</v>
      </c>
      <c r="N224" s="5"/>
      <c r="O224" s="5"/>
      <c r="P224" s="5"/>
      <c r="Q224" s="5"/>
    </row>
    <row r="225" spans="1:17" x14ac:dyDescent="0.3">
      <c r="A225" s="5"/>
      <c r="B225" s="5">
        <v>0.27499999999999902</v>
      </c>
      <c r="C225" s="5">
        <f t="shared" si="20"/>
        <v>3.8499999999999863</v>
      </c>
      <c r="D225" s="5">
        <f t="shared" si="21"/>
        <v>0.1914364640883971</v>
      </c>
      <c r="E225" s="107">
        <f t="shared" si="22"/>
        <v>9.5718232044198555</v>
      </c>
      <c r="F225" s="5">
        <f t="shared" si="23"/>
        <v>10</v>
      </c>
      <c r="G225" s="5">
        <f t="shared" si="28"/>
        <v>115.50000000000014</v>
      </c>
      <c r="H225" s="5">
        <v>0.37500000000001799</v>
      </c>
      <c r="I225" s="5">
        <f t="shared" si="24"/>
        <v>5.2500000000002522</v>
      </c>
      <c r="J225" s="5" t="e">
        <f t="shared" si="25"/>
        <v>#N/A</v>
      </c>
      <c r="K225" s="108" t="e">
        <f t="shared" si="26"/>
        <v>#N/A</v>
      </c>
      <c r="L225" s="108" t="e">
        <f t="shared" si="27"/>
        <v>#N/A</v>
      </c>
      <c r="M225" s="5" t="e">
        <f t="shared" si="29"/>
        <v>#N/A</v>
      </c>
      <c r="N225" s="5"/>
      <c r="O225" s="5"/>
      <c r="P225" s="5"/>
      <c r="Q225" s="5"/>
    </row>
    <row r="226" spans="1:17" x14ac:dyDescent="0.3">
      <c r="A226" s="5"/>
      <c r="B226" s="5">
        <v>0.26999999999999902</v>
      </c>
      <c r="C226" s="5">
        <f t="shared" si="20"/>
        <v>3.779999999999986</v>
      </c>
      <c r="D226" s="5">
        <f t="shared" si="21"/>
        <v>0.18795580110497168</v>
      </c>
      <c r="E226" s="107">
        <f t="shared" si="22"/>
        <v>9.3977900552485849</v>
      </c>
      <c r="F226" s="5">
        <f t="shared" si="23"/>
        <v>10</v>
      </c>
      <c r="G226" s="5">
        <f t="shared" si="28"/>
        <v>116.20000000000016</v>
      </c>
      <c r="H226" s="5">
        <v>0.37000000000001798</v>
      </c>
      <c r="I226" s="5">
        <f t="shared" si="24"/>
        <v>5.180000000000252</v>
      </c>
      <c r="J226" s="5" t="e">
        <f t="shared" si="25"/>
        <v>#N/A</v>
      </c>
      <c r="K226" s="108" t="e">
        <f t="shared" si="26"/>
        <v>#N/A</v>
      </c>
      <c r="L226" s="108" t="e">
        <f t="shared" si="27"/>
        <v>#N/A</v>
      </c>
      <c r="M226" s="5" t="e">
        <f t="shared" si="29"/>
        <v>#N/A</v>
      </c>
      <c r="N226" s="5"/>
      <c r="O226" s="5"/>
      <c r="P226" s="5"/>
      <c r="Q226" s="5"/>
    </row>
    <row r="227" spans="1:17" x14ac:dyDescent="0.3">
      <c r="A227" s="5"/>
      <c r="B227" s="5">
        <v>0.26499999999999901</v>
      </c>
      <c r="C227" s="5">
        <f t="shared" si="20"/>
        <v>3.7099999999999862</v>
      </c>
      <c r="D227" s="5">
        <f t="shared" si="21"/>
        <v>0.18447513812154628</v>
      </c>
      <c r="E227" s="107">
        <f t="shared" si="22"/>
        <v>9.2237569060773144</v>
      </c>
      <c r="F227" s="5">
        <f t="shared" si="23"/>
        <v>10</v>
      </c>
      <c r="G227" s="5">
        <f t="shared" si="28"/>
        <v>116.90000000000015</v>
      </c>
      <c r="H227" s="5">
        <v>0.36500000000001798</v>
      </c>
      <c r="I227" s="5">
        <f t="shared" si="24"/>
        <v>5.1100000000002517</v>
      </c>
      <c r="J227" s="5" t="e">
        <f t="shared" si="25"/>
        <v>#N/A</v>
      </c>
      <c r="K227" s="108" t="e">
        <f t="shared" si="26"/>
        <v>#N/A</v>
      </c>
      <c r="L227" s="108" t="e">
        <f t="shared" si="27"/>
        <v>#N/A</v>
      </c>
      <c r="M227" s="5" t="e">
        <f t="shared" si="29"/>
        <v>#N/A</v>
      </c>
      <c r="N227" s="5"/>
      <c r="O227" s="5"/>
      <c r="P227" s="5"/>
      <c r="Q227" s="5"/>
    </row>
    <row r="228" spans="1:17" x14ac:dyDescent="0.3">
      <c r="A228" s="5"/>
      <c r="B228" s="5">
        <v>0.25999999999999901</v>
      </c>
      <c r="C228" s="5">
        <f t="shared" si="20"/>
        <v>3.6399999999999864</v>
      </c>
      <c r="D228" s="5">
        <f t="shared" si="21"/>
        <v>0.18099447513812086</v>
      </c>
      <c r="E228" s="107">
        <f t="shared" si="22"/>
        <v>9.049723756906042</v>
      </c>
      <c r="F228" s="5">
        <f t="shared" si="23"/>
        <v>10</v>
      </c>
      <c r="G228" s="5">
        <f t="shared" si="28"/>
        <v>117.60000000000016</v>
      </c>
      <c r="H228" s="5">
        <v>0.36000000000001797</v>
      </c>
      <c r="I228" s="5">
        <f t="shared" si="24"/>
        <v>5.0400000000002514</v>
      </c>
      <c r="J228" s="5" t="e">
        <f t="shared" si="25"/>
        <v>#N/A</v>
      </c>
      <c r="K228" s="108" t="e">
        <f t="shared" si="26"/>
        <v>#N/A</v>
      </c>
      <c r="L228" s="108" t="e">
        <f t="shared" si="27"/>
        <v>#N/A</v>
      </c>
      <c r="M228" s="5" t="e">
        <f t="shared" si="29"/>
        <v>#N/A</v>
      </c>
      <c r="N228" s="5"/>
      <c r="O228" s="5"/>
      <c r="P228" s="5"/>
      <c r="Q228" s="5"/>
    </row>
    <row r="229" spans="1:17" x14ac:dyDescent="0.3">
      <c r="A229" s="5"/>
      <c r="B229" s="5">
        <v>0.25499999999999901</v>
      </c>
      <c r="C229" s="5">
        <f t="shared" si="20"/>
        <v>3.5699999999999861</v>
      </c>
      <c r="D229" s="5">
        <f t="shared" si="21"/>
        <v>0.17751381215469544</v>
      </c>
      <c r="E229" s="107">
        <f t="shared" si="22"/>
        <v>8.8756906077347715</v>
      </c>
      <c r="F229" s="5">
        <f t="shared" si="23"/>
        <v>10</v>
      </c>
      <c r="G229" s="5">
        <f t="shared" si="28"/>
        <v>118.30000000000015</v>
      </c>
      <c r="H229" s="5">
        <v>0.35500000000001802</v>
      </c>
      <c r="I229" s="5">
        <f t="shared" si="24"/>
        <v>4.970000000000252</v>
      </c>
      <c r="J229" s="5" t="e">
        <f t="shared" si="25"/>
        <v>#N/A</v>
      </c>
      <c r="K229" s="108" t="e">
        <f t="shared" si="26"/>
        <v>#N/A</v>
      </c>
      <c r="L229" s="108" t="e">
        <f t="shared" si="27"/>
        <v>#N/A</v>
      </c>
      <c r="M229" s="5" t="e">
        <f t="shared" si="29"/>
        <v>#N/A</v>
      </c>
      <c r="N229" s="5"/>
      <c r="O229" s="5"/>
      <c r="P229" s="5"/>
      <c r="Q229" s="5"/>
    </row>
    <row r="230" spans="1:17" x14ac:dyDescent="0.3">
      <c r="A230" s="5"/>
      <c r="B230" s="5">
        <v>0.249999999999999</v>
      </c>
      <c r="C230" s="5">
        <f t="shared" si="20"/>
        <v>3.4999999999999858</v>
      </c>
      <c r="D230" s="5">
        <f t="shared" si="21"/>
        <v>0.17403314917127</v>
      </c>
      <c r="E230" s="107">
        <f t="shared" si="22"/>
        <v>8.7016574585635009</v>
      </c>
      <c r="F230" s="5">
        <f t="shared" si="23"/>
        <v>10</v>
      </c>
      <c r="G230" s="5">
        <f t="shared" si="28"/>
        <v>119.00000000000017</v>
      </c>
      <c r="H230" s="5">
        <v>0.35000000000001802</v>
      </c>
      <c r="I230" s="5">
        <f t="shared" si="24"/>
        <v>4.9000000000002526</v>
      </c>
      <c r="J230" s="5" t="e">
        <f t="shared" si="25"/>
        <v>#N/A</v>
      </c>
      <c r="K230" s="108" t="e">
        <f t="shared" si="26"/>
        <v>#N/A</v>
      </c>
      <c r="L230" s="108" t="e">
        <f t="shared" si="27"/>
        <v>#N/A</v>
      </c>
      <c r="M230" s="5" t="e">
        <f t="shared" si="29"/>
        <v>#N/A</v>
      </c>
      <c r="N230" s="5"/>
      <c r="O230" s="5"/>
      <c r="P230" s="5"/>
      <c r="Q230" s="5"/>
    </row>
    <row r="231" spans="1:17" x14ac:dyDescent="0.3">
      <c r="A231" s="5"/>
      <c r="B231" s="5">
        <v>0.244999999999999</v>
      </c>
      <c r="C231" s="5">
        <f t="shared" si="20"/>
        <v>3.4299999999999859</v>
      </c>
      <c r="D231" s="5">
        <f t="shared" si="21"/>
        <v>0.1705524861878446</v>
      </c>
      <c r="E231" s="107">
        <f t="shared" si="22"/>
        <v>8.5276243093922304</v>
      </c>
      <c r="F231" s="5">
        <f t="shared" si="23"/>
        <v>10</v>
      </c>
      <c r="G231" s="5">
        <f t="shared" si="28"/>
        <v>119.70000000000016</v>
      </c>
      <c r="H231" s="5">
        <v>0.34500000000001801</v>
      </c>
      <c r="I231" s="5">
        <f t="shared" si="24"/>
        <v>4.8300000000002523</v>
      </c>
      <c r="J231" s="5" t="e">
        <f t="shared" si="25"/>
        <v>#N/A</v>
      </c>
      <c r="K231" s="108" t="e">
        <f t="shared" si="26"/>
        <v>#N/A</v>
      </c>
      <c r="L231" s="108" t="e">
        <f t="shared" si="27"/>
        <v>#N/A</v>
      </c>
      <c r="M231" s="5" t="e">
        <f t="shared" si="29"/>
        <v>#N/A</v>
      </c>
      <c r="N231" s="5"/>
      <c r="O231" s="5"/>
      <c r="P231" s="5"/>
      <c r="Q231" s="5"/>
    </row>
    <row r="232" spans="1:17" x14ac:dyDescent="0.3">
      <c r="A232" s="5"/>
      <c r="B232" s="5">
        <v>0.23999999999999899</v>
      </c>
      <c r="C232" s="5">
        <f t="shared" si="20"/>
        <v>3.3599999999999861</v>
      </c>
      <c r="D232" s="5">
        <f t="shared" si="21"/>
        <v>0.16707182320441921</v>
      </c>
      <c r="E232" s="107">
        <f t="shared" si="22"/>
        <v>8.3535911602209598</v>
      </c>
      <c r="F232" s="5">
        <f t="shared" si="23"/>
        <v>10</v>
      </c>
      <c r="G232" s="5">
        <f t="shared" si="28"/>
        <v>120.40000000000018</v>
      </c>
      <c r="H232" s="5">
        <v>0.34000000000001801</v>
      </c>
      <c r="I232" s="5">
        <f t="shared" si="24"/>
        <v>4.760000000000252</v>
      </c>
      <c r="J232" s="5" t="e">
        <f t="shared" si="25"/>
        <v>#N/A</v>
      </c>
      <c r="K232" s="108" t="e">
        <f t="shared" si="26"/>
        <v>#N/A</v>
      </c>
      <c r="L232" s="108" t="e">
        <f t="shared" si="27"/>
        <v>#N/A</v>
      </c>
      <c r="M232" s="5" t="e">
        <f t="shared" si="29"/>
        <v>#N/A</v>
      </c>
      <c r="N232" s="5"/>
      <c r="O232" s="5"/>
      <c r="P232" s="5"/>
      <c r="Q232" s="5"/>
    </row>
    <row r="233" spans="1:17" x14ac:dyDescent="0.3">
      <c r="A233" s="5"/>
      <c r="B233" s="5">
        <v>0.23499999999999899</v>
      </c>
      <c r="C233" s="5">
        <f t="shared" si="20"/>
        <v>3.2899999999999858</v>
      </c>
      <c r="D233" s="5">
        <f t="shared" si="21"/>
        <v>0.16359116022099376</v>
      </c>
      <c r="E233" s="107">
        <f t="shared" si="22"/>
        <v>8.1795580110496875</v>
      </c>
      <c r="F233" s="5">
        <f t="shared" si="23"/>
        <v>10</v>
      </c>
      <c r="G233" s="5">
        <f t="shared" si="28"/>
        <v>121.10000000000016</v>
      </c>
      <c r="H233" s="5">
        <v>0.33500000000001801</v>
      </c>
      <c r="I233" s="5">
        <f t="shared" si="24"/>
        <v>4.6900000000002517</v>
      </c>
      <c r="J233" s="5" t="e">
        <f t="shared" si="25"/>
        <v>#N/A</v>
      </c>
      <c r="K233" s="108" t="e">
        <f t="shared" si="26"/>
        <v>#N/A</v>
      </c>
      <c r="L233" s="108" t="e">
        <f t="shared" si="27"/>
        <v>#N/A</v>
      </c>
      <c r="M233" s="5" t="e">
        <f t="shared" si="29"/>
        <v>#N/A</v>
      </c>
      <c r="N233" s="5"/>
      <c r="O233" s="5"/>
      <c r="P233" s="5"/>
      <c r="Q233" s="5"/>
    </row>
    <row r="234" spans="1:17" x14ac:dyDescent="0.3">
      <c r="A234" s="5"/>
      <c r="B234" s="5">
        <v>0.22999999999999901</v>
      </c>
      <c r="C234" s="5">
        <f t="shared" si="20"/>
        <v>3.219999999999986</v>
      </c>
      <c r="D234" s="5">
        <f t="shared" si="21"/>
        <v>0.16011049723756837</v>
      </c>
      <c r="E234" s="107">
        <f t="shared" si="22"/>
        <v>8.0055248618784187</v>
      </c>
      <c r="F234" s="5">
        <f t="shared" si="23"/>
        <v>10</v>
      </c>
      <c r="G234" s="5">
        <f t="shared" si="28"/>
        <v>121.80000000000015</v>
      </c>
      <c r="H234" s="5">
        <v>0.330000000000019</v>
      </c>
      <c r="I234" s="5">
        <f t="shared" si="24"/>
        <v>4.6200000000002657</v>
      </c>
      <c r="J234" s="5" t="e">
        <f t="shared" si="25"/>
        <v>#N/A</v>
      </c>
      <c r="K234" s="108" t="e">
        <f t="shared" si="26"/>
        <v>#N/A</v>
      </c>
      <c r="L234" s="108" t="e">
        <f t="shared" si="27"/>
        <v>#N/A</v>
      </c>
      <c r="M234" s="5" t="e">
        <f t="shared" si="29"/>
        <v>#N/A</v>
      </c>
      <c r="N234" s="5"/>
      <c r="O234" s="5"/>
      <c r="P234" s="5"/>
      <c r="Q234" s="5"/>
    </row>
    <row r="235" spans="1:17" x14ac:dyDescent="0.3">
      <c r="A235" s="5"/>
      <c r="B235" s="5">
        <v>0.22499999999999901</v>
      </c>
      <c r="C235" s="5">
        <f t="shared" si="20"/>
        <v>3.1499999999999861</v>
      </c>
      <c r="D235" s="5">
        <f t="shared" si="21"/>
        <v>0.15662983425414295</v>
      </c>
      <c r="E235" s="107">
        <f t="shared" si="22"/>
        <v>7.8314917127071482</v>
      </c>
      <c r="F235" s="5">
        <f t="shared" si="23"/>
        <v>10</v>
      </c>
      <c r="G235" s="5">
        <f t="shared" si="28"/>
        <v>122.50000000000016</v>
      </c>
      <c r="H235" s="5">
        <v>0.325000000000019</v>
      </c>
      <c r="I235" s="5">
        <f t="shared" si="24"/>
        <v>4.5500000000002663</v>
      </c>
      <c r="J235" s="5" t="e">
        <f t="shared" si="25"/>
        <v>#N/A</v>
      </c>
      <c r="K235" s="108" t="e">
        <f t="shared" si="26"/>
        <v>#N/A</v>
      </c>
      <c r="L235" s="108" t="e">
        <f t="shared" si="27"/>
        <v>#N/A</v>
      </c>
      <c r="M235" s="5" t="e">
        <f t="shared" si="29"/>
        <v>#N/A</v>
      </c>
      <c r="N235" s="5"/>
      <c r="O235" s="5"/>
      <c r="P235" s="5"/>
      <c r="Q235" s="5"/>
    </row>
    <row r="236" spans="1:17" x14ac:dyDescent="0.3">
      <c r="A236" s="5"/>
      <c r="B236" s="5">
        <v>0.219999999999999</v>
      </c>
      <c r="C236" s="5">
        <f t="shared" si="20"/>
        <v>3.0799999999999859</v>
      </c>
      <c r="D236" s="5">
        <f t="shared" si="21"/>
        <v>0.15314917127071753</v>
      </c>
      <c r="E236" s="107">
        <f t="shared" si="22"/>
        <v>7.6574585635358758</v>
      </c>
      <c r="F236" s="5">
        <f t="shared" si="23"/>
        <v>10</v>
      </c>
      <c r="G236" s="5">
        <f t="shared" si="28"/>
        <v>123.20000000000016</v>
      </c>
      <c r="H236" s="5">
        <v>0.32000000000001899</v>
      </c>
      <c r="I236" s="5">
        <f t="shared" si="24"/>
        <v>4.480000000000266</v>
      </c>
      <c r="J236" s="5" t="e">
        <f t="shared" si="25"/>
        <v>#N/A</v>
      </c>
      <c r="K236" s="108" t="e">
        <f t="shared" si="26"/>
        <v>#N/A</v>
      </c>
      <c r="L236" s="108" t="e">
        <f t="shared" si="27"/>
        <v>#N/A</v>
      </c>
      <c r="M236" s="5" t="e">
        <f t="shared" si="29"/>
        <v>#N/A</v>
      </c>
      <c r="N236" s="5"/>
      <c r="O236" s="5"/>
      <c r="P236" s="5"/>
      <c r="Q236" s="5"/>
    </row>
    <row r="237" spans="1:17" x14ac:dyDescent="0.3">
      <c r="A237" s="5"/>
      <c r="B237" s="5">
        <v>0.214999999999999</v>
      </c>
      <c r="C237" s="5">
        <f t="shared" si="20"/>
        <v>3.009999999999986</v>
      </c>
      <c r="D237" s="5">
        <f t="shared" si="21"/>
        <v>0.14966850828729214</v>
      </c>
      <c r="E237" s="107">
        <f t="shared" si="22"/>
        <v>7.4834254143646062</v>
      </c>
      <c r="F237" s="5">
        <f t="shared" si="23"/>
        <v>10</v>
      </c>
      <c r="G237" s="5">
        <f t="shared" si="28"/>
        <v>123.90000000000016</v>
      </c>
      <c r="H237" s="5">
        <v>0.31500000000001899</v>
      </c>
      <c r="I237" s="5">
        <f t="shared" si="24"/>
        <v>4.4100000000002657</v>
      </c>
      <c r="J237" s="5" t="e">
        <f t="shared" si="25"/>
        <v>#N/A</v>
      </c>
      <c r="K237" s="108" t="e">
        <f t="shared" si="26"/>
        <v>#N/A</v>
      </c>
      <c r="L237" s="108" t="e">
        <f t="shared" si="27"/>
        <v>#N/A</v>
      </c>
      <c r="M237" s="5" t="e">
        <f t="shared" si="29"/>
        <v>#N/A</v>
      </c>
      <c r="N237" s="5"/>
      <c r="O237" s="5"/>
      <c r="P237" s="5"/>
      <c r="Q237" s="5"/>
    </row>
    <row r="238" spans="1:17" x14ac:dyDescent="0.3">
      <c r="A238" s="5"/>
      <c r="B238" s="5">
        <v>0.20999999999999899</v>
      </c>
      <c r="C238" s="5">
        <f t="shared" si="20"/>
        <v>2.9399999999999857</v>
      </c>
      <c r="D238" s="5">
        <f t="shared" si="21"/>
        <v>0.14618784530386669</v>
      </c>
      <c r="E238" s="107">
        <f t="shared" si="22"/>
        <v>7.3093922651933347</v>
      </c>
      <c r="F238" s="5">
        <f t="shared" si="23"/>
        <v>10</v>
      </c>
      <c r="G238" s="5">
        <f t="shared" si="28"/>
        <v>124.60000000000016</v>
      </c>
      <c r="H238" s="5">
        <v>0.31000000000001898</v>
      </c>
      <c r="I238" s="5">
        <f t="shared" si="24"/>
        <v>4.3400000000002654</v>
      </c>
      <c r="J238" s="5" t="e">
        <f t="shared" si="25"/>
        <v>#N/A</v>
      </c>
      <c r="K238" s="108" t="e">
        <f t="shared" si="26"/>
        <v>#N/A</v>
      </c>
      <c r="L238" s="108" t="e">
        <f t="shared" si="27"/>
        <v>#N/A</v>
      </c>
      <c r="M238" s="5" t="e">
        <f t="shared" si="29"/>
        <v>#N/A</v>
      </c>
      <c r="N238" s="5"/>
      <c r="O238" s="5"/>
      <c r="P238" s="5"/>
      <c r="Q238" s="5"/>
    </row>
    <row r="239" spans="1:17" x14ac:dyDescent="0.3">
      <c r="A239" s="5"/>
      <c r="B239" s="5">
        <v>0.20499999999999899</v>
      </c>
      <c r="C239" s="5">
        <f t="shared" si="20"/>
        <v>2.8699999999999859</v>
      </c>
      <c r="D239" s="5">
        <f t="shared" si="21"/>
        <v>0.14270718232044127</v>
      </c>
      <c r="E239" s="107">
        <f t="shared" si="22"/>
        <v>7.1353591160220642</v>
      </c>
      <c r="F239" s="5">
        <f t="shared" si="23"/>
        <v>10</v>
      </c>
      <c r="G239" s="5">
        <f t="shared" si="28"/>
        <v>125.30000000000015</v>
      </c>
      <c r="H239" s="5">
        <v>0.30500000000001898</v>
      </c>
      <c r="I239" s="5">
        <f t="shared" si="24"/>
        <v>4.270000000000266</v>
      </c>
      <c r="J239" s="5" t="e">
        <f t="shared" si="25"/>
        <v>#N/A</v>
      </c>
      <c r="K239" s="108" t="e">
        <f t="shared" si="26"/>
        <v>#N/A</v>
      </c>
      <c r="L239" s="108" t="e">
        <f t="shared" si="27"/>
        <v>#N/A</v>
      </c>
      <c r="M239" s="5" t="e">
        <f t="shared" si="29"/>
        <v>#N/A</v>
      </c>
      <c r="N239" s="5"/>
      <c r="O239" s="5"/>
      <c r="P239" s="5"/>
      <c r="Q239" s="5"/>
    </row>
    <row r="240" spans="1:17" x14ac:dyDescent="0.3">
      <c r="A240" s="5"/>
      <c r="B240" s="5">
        <v>0.19999999999999901</v>
      </c>
      <c r="C240" s="5">
        <f t="shared" si="20"/>
        <v>2.7999999999999861</v>
      </c>
      <c r="D240" s="5">
        <f t="shared" si="21"/>
        <v>0.13922651933701588</v>
      </c>
      <c r="E240" s="107">
        <f t="shared" si="22"/>
        <v>6.9613259668507945</v>
      </c>
      <c r="F240" s="5">
        <f t="shared" si="23"/>
        <v>10</v>
      </c>
      <c r="G240" s="5">
        <f t="shared" si="28"/>
        <v>126.00000000000016</v>
      </c>
      <c r="H240" s="5">
        <v>0.30000000000001897</v>
      </c>
      <c r="I240" s="5">
        <f t="shared" si="24"/>
        <v>4.2000000000002657</v>
      </c>
      <c r="J240" s="5" t="e">
        <f t="shared" si="25"/>
        <v>#N/A</v>
      </c>
      <c r="K240" s="108" t="e">
        <f t="shared" si="26"/>
        <v>#N/A</v>
      </c>
      <c r="L240" s="108" t="e">
        <f t="shared" si="27"/>
        <v>#N/A</v>
      </c>
      <c r="M240" s="5" t="e">
        <f t="shared" si="29"/>
        <v>#N/A</v>
      </c>
      <c r="N240" s="5"/>
      <c r="O240" s="5"/>
      <c r="P240" s="5"/>
      <c r="Q240" s="5"/>
    </row>
    <row r="241" spans="1:17" x14ac:dyDescent="0.3">
      <c r="A241" s="5"/>
      <c r="B241" s="5">
        <v>0.19499999999999901</v>
      </c>
      <c r="C241" s="5">
        <f t="shared" si="20"/>
        <v>2.7299999999999862</v>
      </c>
      <c r="D241" s="5">
        <f t="shared" si="21"/>
        <v>0.13574585635359046</v>
      </c>
      <c r="E241" s="107">
        <f t="shared" si="22"/>
        <v>6.787292817679524</v>
      </c>
      <c r="F241" s="5">
        <f t="shared" si="23"/>
        <v>10</v>
      </c>
      <c r="G241" s="5">
        <f t="shared" si="28"/>
        <v>126.70000000000016</v>
      </c>
      <c r="H241" s="5">
        <v>0.29500000000001902</v>
      </c>
      <c r="I241" s="5">
        <f t="shared" si="24"/>
        <v>4.1300000000002663</v>
      </c>
      <c r="J241" s="5" t="e">
        <f t="shared" si="25"/>
        <v>#N/A</v>
      </c>
      <c r="K241" s="108" t="e">
        <f t="shared" si="26"/>
        <v>#N/A</v>
      </c>
      <c r="L241" s="108" t="e">
        <f t="shared" si="27"/>
        <v>#N/A</v>
      </c>
      <c r="M241" s="5" t="e">
        <f t="shared" si="29"/>
        <v>#N/A</v>
      </c>
      <c r="N241" s="5"/>
      <c r="O241" s="5"/>
      <c r="P241" s="5"/>
      <c r="Q241" s="5"/>
    </row>
    <row r="242" spans="1:17" x14ac:dyDescent="0.3">
      <c r="A242" s="5"/>
      <c r="B242" s="5">
        <v>0.189999999999999</v>
      </c>
      <c r="C242" s="5">
        <f t="shared" si="20"/>
        <v>2.6599999999999859</v>
      </c>
      <c r="D242" s="5">
        <f t="shared" si="21"/>
        <v>0.13226519337016507</v>
      </c>
      <c r="E242" s="107">
        <f t="shared" si="22"/>
        <v>6.6132596685082525</v>
      </c>
      <c r="F242" s="5">
        <f t="shared" si="23"/>
        <v>10</v>
      </c>
      <c r="G242" s="5">
        <f t="shared" si="28"/>
        <v>127.40000000000016</v>
      </c>
      <c r="H242" s="5">
        <v>0.29000000000001902</v>
      </c>
      <c r="I242" s="5">
        <f t="shared" si="24"/>
        <v>4.0600000000002661</v>
      </c>
      <c r="J242" s="5" t="e">
        <f t="shared" si="25"/>
        <v>#N/A</v>
      </c>
      <c r="K242" s="108" t="e">
        <f t="shared" si="26"/>
        <v>#N/A</v>
      </c>
      <c r="L242" s="108" t="e">
        <f t="shared" si="27"/>
        <v>#N/A</v>
      </c>
      <c r="M242" s="5" t="e">
        <f t="shared" si="29"/>
        <v>#N/A</v>
      </c>
      <c r="N242" s="5"/>
      <c r="O242" s="5"/>
      <c r="P242" s="5"/>
      <c r="Q242" s="5"/>
    </row>
    <row r="243" spans="1:17" x14ac:dyDescent="0.3">
      <c r="A243" s="5"/>
      <c r="B243" s="5">
        <v>0.184999999999999</v>
      </c>
      <c r="C243" s="5">
        <f t="shared" si="20"/>
        <v>2.5899999999999861</v>
      </c>
      <c r="D243" s="5">
        <f t="shared" si="21"/>
        <v>0.12878453038673965</v>
      </c>
      <c r="E243" s="107">
        <f t="shared" si="22"/>
        <v>6.439226519336982</v>
      </c>
      <c r="F243" s="5">
        <f t="shared" si="23"/>
        <v>10</v>
      </c>
      <c r="G243" s="5">
        <f t="shared" si="28"/>
        <v>128.10000000000016</v>
      </c>
      <c r="H243" s="5">
        <v>0.28500000000002002</v>
      </c>
      <c r="I243" s="5">
        <f t="shared" si="24"/>
        <v>3.99000000000028</v>
      </c>
      <c r="J243" s="5" t="e">
        <f t="shared" si="25"/>
        <v>#N/A</v>
      </c>
      <c r="K243" s="108" t="e">
        <f t="shared" si="26"/>
        <v>#N/A</v>
      </c>
      <c r="L243" s="108" t="e">
        <f t="shared" si="27"/>
        <v>#N/A</v>
      </c>
      <c r="M243" s="5" t="e">
        <f t="shared" si="29"/>
        <v>#N/A</v>
      </c>
      <c r="N243" s="5"/>
      <c r="O243" s="5"/>
      <c r="P243" s="5"/>
      <c r="Q243" s="5"/>
    </row>
    <row r="244" spans="1:17" x14ac:dyDescent="0.3">
      <c r="A244" s="5"/>
      <c r="B244" s="5">
        <v>0.17999999999999899</v>
      </c>
      <c r="C244" s="5">
        <f t="shared" si="20"/>
        <v>2.5199999999999858</v>
      </c>
      <c r="D244" s="5">
        <f t="shared" si="21"/>
        <v>0.1253038674033142</v>
      </c>
      <c r="E244" s="107">
        <f t="shared" si="22"/>
        <v>6.2651933701657105</v>
      </c>
      <c r="F244" s="5">
        <f t="shared" si="23"/>
        <v>10</v>
      </c>
      <c r="G244" s="5">
        <f t="shared" si="28"/>
        <v>128.80000000000018</v>
      </c>
      <c r="H244" s="5">
        <v>0.28000000000002001</v>
      </c>
      <c r="I244" s="5">
        <f t="shared" si="24"/>
        <v>3.9200000000002801</v>
      </c>
      <c r="J244" s="5" t="e">
        <f t="shared" si="25"/>
        <v>#N/A</v>
      </c>
      <c r="K244" s="108" t="e">
        <f t="shared" si="26"/>
        <v>#N/A</v>
      </c>
      <c r="L244" s="108" t="e">
        <f t="shared" si="27"/>
        <v>#N/A</v>
      </c>
      <c r="M244" s="5" t="e">
        <f t="shared" si="29"/>
        <v>#N/A</v>
      </c>
      <c r="N244" s="5"/>
      <c r="O244" s="5"/>
      <c r="P244" s="5"/>
      <c r="Q244" s="5"/>
    </row>
    <row r="245" spans="1:17" x14ac:dyDescent="0.3">
      <c r="A245" s="5"/>
      <c r="B245" s="5">
        <v>0.17499999999999899</v>
      </c>
      <c r="C245" s="5">
        <f t="shared" si="20"/>
        <v>2.449999999999986</v>
      </c>
      <c r="D245" s="5">
        <f t="shared" si="21"/>
        <v>0.12182320441988881</v>
      </c>
      <c r="E245" s="107">
        <f t="shared" si="22"/>
        <v>6.0911602209944409</v>
      </c>
      <c r="F245" s="5">
        <f t="shared" si="23"/>
        <v>10</v>
      </c>
      <c r="G245" s="5">
        <f t="shared" si="28"/>
        <v>129.50000000000017</v>
      </c>
      <c r="H245" s="5">
        <v>0.27500000000002001</v>
      </c>
      <c r="I245" s="5">
        <f t="shared" si="24"/>
        <v>3.8500000000002803</v>
      </c>
      <c r="J245" s="5" t="e">
        <f t="shared" si="25"/>
        <v>#N/A</v>
      </c>
      <c r="K245" s="108" t="e">
        <f t="shared" si="26"/>
        <v>#N/A</v>
      </c>
      <c r="L245" s="108" t="e">
        <f t="shared" si="27"/>
        <v>#N/A</v>
      </c>
      <c r="M245" s="5" t="e">
        <f t="shared" si="29"/>
        <v>#N/A</v>
      </c>
      <c r="N245" s="5"/>
      <c r="O245" s="5"/>
      <c r="P245" s="5"/>
      <c r="Q245" s="5"/>
    </row>
    <row r="246" spans="1:17" x14ac:dyDescent="0.3">
      <c r="A246" s="5"/>
      <c r="B246" s="5">
        <v>0.16999999999999901</v>
      </c>
      <c r="C246" s="5">
        <f t="shared" si="20"/>
        <v>2.3799999999999861</v>
      </c>
      <c r="D246" s="5">
        <f t="shared" si="21"/>
        <v>0.1183425414364634</v>
      </c>
      <c r="E246" s="107">
        <f t="shared" si="22"/>
        <v>5.9171270718231703</v>
      </c>
      <c r="F246" s="5">
        <f t="shared" si="23"/>
        <v>10</v>
      </c>
      <c r="G246" s="5">
        <f t="shared" si="28"/>
        <v>130.20000000000016</v>
      </c>
      <c r="H246" s="5">
        <v>0.27000000000002</v>
      </c>
      <c r="I246" s="5">
        <f t="shared" si="24"/>
        <v>3.78000000000028</v>
      </c>
      <c r="J246" s="5" t="e">
        <f t="shared" si="25"/>
        <v>#N/A</v>
      </c>
      <c r="K246" s="108" t="e">
        <f t="shared" si="26"/>
        <v>#N/A</v>
      </c>
      <c r="L246" s="108" t="e">
        <f t="shared" si="27"/>
        <v>#N/A</v>
      </c>
      <c r="M246" s="5" t="e">
        <f t="shared" si="29"/>
        <v>#N/A</v>
      </c>
      <c r="N246" s="5"/>
      <c r="O246" s="5"/>
      <c r="P246" s="5"/>
      <c r="Q246" s="5"/>
    </row>
    <row r="247" spans="1:17" x14ac:dyDescent="0.3">
      <c r="A247" s="5"/>
      <c r="B247" s="5">
        <v>0.16499999999999901</v>
      </c>
      <c r="C247" s="5">
        <f t="shared" si="20"/>
        <v>2.3099999999999863</v>
      </c>
      <c r="D247" s="5">
        <f t="shared" si="21"/>
        <v>0.11486187845303798</v>
      </c>
      <c r="E247" s="107">
        <f t="shared" si="22"/>
        <v>5.7430939226518989</v>
      </c>
      <c r="F247" s="5">
        <f t="shared" si="23"/>
        <v>10</v>
      </c>
      <c r="G247" s="5">
        <f t="shared" si="28"/>
        <v>130.90000000000015</v>
      </c>
      <c r="H247" s="5">
        <v>0.26500000000002</v>
      </c>
      <c r="I247" s="5">
        <f t="shared" si="24"/>
        <v>3.7100000000002797</v>
      </c>
      <c r="J247" s="5" t="e">
        <f t="shared" si="25"/>
        <v>#N/A</v>
      </c>
      <c r="K247" s="108" t="e">
        <f t="shared" si="26"/>
        <v>#N/A</v>
      </c>
      <c r="L247" s="108" t="e">
        <f t="shared" si="27"/>
        <v>#N/A</v>
      </c>
      <c r="M247" s="5" t="e">
        <f t="shared" si="29"/>
        <v>#N/A</v>
      </c>
      <c r="N247" s="5"/>
      <c r="O247" s="5"/>
      <c r="P247" s="5"/>
      <c r="Q247" s="5"/>
    </row>
    <row r="248" spans="1:17" x14ac:dyDescent="0.3">
      <c r="A248" s="5"/>
      <c r="B248" s="5">
        <v>0.159999999999999</v>
      </c>
      <c r="C248" s="5">
        <f t="shared" si="20"/>
        <v>2.239999999999986</v>
      </c>
      <c r="D248" s="5">
        <f t="shared" si="21"/>
        <v>0.11138121546961258</v>
      </c>
      <c r="E248" s="107">
        <f t="shared" si="22"/>
        <v>5.5690607734806283</v>
      </c>
      <c r="F248" s="5">
        <f t="shared" si="23"/>
        <v>10</v>
      </c>
      <c r="G248" s="5">
        <f t="shared" si="28"/>
        <v>131.60000000000016</v>
      </c>
      <c r="H248" s="5">
        <v>0.26000000000001999</v>
      </c>
      <c r="I248" s="5">
        <f t="shared" si="24"/>
        <v>3.6400000000002799</v>
      </c>
      <c r="J248" s="5" t="e">
        <f t="shared" si="25"/>
        <v>#N/A</v>
      </c>
      <c r="K248" s="108" t="e">
        <f t="shared" si="26"/>
        <v>#N/A</v>
      </c>
      <c r="L248" s="108" t="e">
        <f t="shared" si="27"/>
        <v>#N/A</v>
      </c>
      <c r="M248" s="5" t="e">
        <f t="shared" si="29"/>
        <v>#N/A</v>
      </c>
      <c r="N248" s="5"/>
      <c r="O248" s="5"/>
      <c r="P248" s="5"/>
      <c r="Q248" s="5"/>
    </row>
    <row r="249" spans="1:17" x14ac:dyDescent="0.3">
      <c r="A249" s="5"/>
      <c r="B249" s="5">
        <v>0.154999999999999</v>
      </c>
      <c r="C249" s="5">
        <f t="shared" si="20"/>
        <v>2.1699999999999862</v>
      </c>
      <c r="D249" s="5">
        <f t="shared" si="21"/>
        <v>0.10790055248618716</v>
      </c>
      <c r="E249" s="107">
        <f t="shared" si="22"/>
        <v>5.3950276243093578</v>
      </c>
      <c r="F249" s="5">
        <f t="shared" si="23"/>
        <v>10</v>
      </c>
      <c r="G249" s="5">
        <f t="shared" si="28"/>
        <v>132.30000000000015</v>
      </c>
      <c r="H249" s="5">
        <v>0.25500000000001999</v>
      </c>
      <c r="I249" s="5">
        <f t="shared" si="24"/>
        <v>3.5700000000002801</v>
      </c>
      <c r="J249" s="5" t="e">
        <f t="shared" si="25"/>
        <v>#N/A</v>
      </c>
      <c r="K249" s="108" t="e">
        <f t="shared" si="26"/>
        <v>#N/A</v>
      </c>
      <c r="L249" s="108" t="e">
        <f t="shared" si="27"/>
        <v>#N/A</v>
      </c>
      <c r="M249" s="5" t="e">
        <f t="shared" si="29"/>
        <v>#N/A</v>
      </c>
      <c r="N249" s="5"/>
      <c r="O249" s="5"/>
      <c r="P249" s="5"/>
      <c r="Q249" s="5"/>
    </row>
    <row r="250" spans="1:17" x14ac:dyDescent="0.3">
      <c r="A250" s="5"/>
      <c r="B250" s="5">
        <v>0.149999999999999</v>
      </c>
      <c r="C250" s="5">
        <f t="shared" si="20"/>
        <v>2.0999999999999859</v>
      </c>
      <c r="D250" s="5">
        <f t="shared" si="21"/>
        <v>0.10441988950276172</v>
      </c>
      <c r="E250" s="107">
        <f t="shared" si="22"/>
        <v>5.2209944751380863</v>
      </c>
      <c r="F250" s="5">
        <f t="shared" si="23"/>
        <v>10</v>
      </c>
      <c r="G250" s="5">
        <f t="shared" si="28"/>
        <v>133.00000000000017</v>
      </c>
      <c r="H250" s="5">
        <v>0.25000000000001998</v>
      </c>
      <c r="I250" s="5">
        <f t="shared" si="24"/>
        <v>3.5000000000002798</v>
      </c>
      <c r="J250" s="5" t="e">
        <f t="shared" si="25"/>
        <v>#N/A</v>
      </c>
      <c r="K250" s="108" t="e">
        <f t="shared" si="26"/>
        <v>#N/A</v>
      </c>
      <c r="L250" s="108" t="e">
        <f t="shared" si="27"/>
        <v>#N/A</v>
      </c>
      <c r="M250" s="5" t="e">
        <f t="shared" si="29"/>
        <v>#N/A</v>
      </c>
      <c r="N250" s="5"/>
      <c r="O250" s="5"/>
      <c r="P250" s="5"/>
      <c r="Q250" s="5"/>
    </row>
    <row r="251" spans="1:17" x14ac:dyDescent="0.3">
      <c r="A251" s="5"/>
      <c r="B251" s="5">
        <v>0.14499999999999899</v>
      </c>
      <c r="C251" s="5">
        <f t="shared" si="20"/>
        <v>2.029999999999986</v>
      </c>
      <c r="D251" s="5">
        <f t="shared" si="21"/>
        <v>0.10093922651933633</v>
      </c>
      <c r="E251" s="107">
        <f t="shared" si="22"/>
        <v>5.0469613259668167</v>
      </c>
      <c r="F251" s="5">
        <f t="shared" si="23"/>
        <v>10</v>
      </c>
      <c r="G251" s="5">
        <f t="shared" si="28"/>
        <v>133.70000000000016</v>
      </c>
      <c r="H251" s="5">
        <v>0.24500000000002001</v>
      </c>
      <c r="I251" s="5">
        <f t="shared" si="24"/>
        <v>3.4300000000002799</v>
      </c>
      <c r="J251" s="5" t="e">
        <f t="shared" si="25"/>
        <v>#N/A</v>
      </c>
      <c r="K251" s="108" t="e">
        <f t="shared" si="26"/>
        <v>#N/A</v>
      </c>
      <c r="L251" s="108" t="e">
        <f t="shared" si="27"/>
        <v>#N/A</v>
      </c>
      <c r="M251" s="5" t="e">
        <f t="shared" si="29"/>
        <v>#N/A</v>
      </c>
      <c r="N251" s="5"/>
      <c r="O251" s="5"/>
      <c r="P251" s="5"/>
      <c r="Q251" s="5"/>
    </row>
    <row r="252" spans="1:17" x14ac:dyDescent="0.3">
      <c r="A252" s="5"/>
      <c r="B252" s="5">
        <v>0.13999999999999899</v>
      </c>
      <c r="C252" s="5">
        <f t="shared" ref="C252:C279" si="30">B252*VOFLB</f>
        <v>1.9599999999999858</v>
      </c>
      <c r="D252" s="5">
        <f t="shared" ref="D252:D279" si="31">C252*(ActR7+1000*Set_R9)/(ActR7+ActR8+Set_R9*1000)</f>
        <v>9.7458563535910897E-2</v>
      </c>
      <c r="E252" s="107">
        <f t="shared" ref="E252:E279" si="32">IF(C252*(1000*Set_R9+ActR7)/((1000*Set_R9+ActR7+ActR8)*(Set_Rs*Gain/2))&gt;B$25,B$25,C252*(1000*Set_R9+ActR7)/((1000*Set_R9+ActR7+ActR8)*(Set_Rs*Gain/2)))</f>
        <v>4.8729281767955444</v>
      </c>
      <c r="F252" s="5">
        <f t="shared" ref="F252:F279" si="33">IF(D252&lt;0.2,0.2/(Set_Rs*Gain/2),E252)</f>
        <v>10</v>
      </c>
      <c r="G252" s="5">
        <f t="shared" si="28"/>
        <v>134.40000000000015</v>
      </c>
      <c r="H252" s="5">
        <v>0.24000000000002</v>
      </c>
      <c r="I252" s="5">
        <f t="shared" ref="I252:I290" si="34">H252*VOFLB</f>
        <v>3.3600000000002801</v>
      </c>
      <c r="J252" s="5" t="e">
        <f t="shared" ref="J252:J290" si="35">I252*ActR9_sw/(ActR7_sw+ActR9_sw+Set_R8*1000)</f>
        <v>#N/A</v>
      </c>
      <c r="K252" s="108" t="e">
        <f t="shared" ref="K252:K290" si="36">IF(J252/(0.5*Set_Rs*Gain) &gt;B$25,B$25,J252/(0.5*Set_Rs*Gain))</f>
        <v>#N/A</v>
      </c>
      <c r="L252" s="108" t="e">
        <f t="shared" ref="L252:L290" si="37">IF(J252&lt;0.2,0.2/(0.5*Set_Rs*Gain),K252)</f>
        <v>#N/A</v>
      </c>
      <c r="M252" s="5" t="e">
        <f t="shared" si="29"/>
        <v>#N/A</v>
      </c>
      <c r="N252" s="5"/>
      <c r="O252" s="5"/>
      <c r="P252" s="5"/>
      <c r="Q252" s="5"/>
    </row>
    <row r="253" spans="1:17" x14ac:dyDescent="0.3">
      <c r="A253" s="5"/>
      <c r="B253" s="5">
        <v>0.13499999999999901</v>
      </c>
      <c r="C253" s="5">
        <f t="shared" si="30"/>
        <v>1.8899999999999861</v>
      </c>
      <c r="D253" s="5">
        <f t="shared" si="31"/>
        <v>9.3977900552485505E-2</v>
      </c>
      <c r="E253" s="107">
        <f t="shared" si="32"/>
        <v>4.6988950276242747</v>
      </c>
      <c r="F253" s="5">
        <f t="shared" si="33"/>
        <v>10</v>
      </c>
      <c r="G253" s="5">
        <f t="shared" ref="G253:G279" si="38">(C$60-C253)*F253</f>
        <v>135.10000000000016</v>
      </c>
      <c r="H253" s="5">
        <v>0.235000000000021</v>
      </c>
      <c r="I253" s="5">
        <f t="shared" si="34"/>
        <v>3.290000000000294</v>
      </c>
      <c r="J253" s="5" t="e">
        <f t="shared" si="35"/>
        <v>#N/A</v>
      </c>
      <c r="K253" s="108" t="e">
        <f t="shared" si="36"/>
        <v>#N/A</v>
      </c>
      <c r="L253" s="108" t="e">
        <f t="shared" si="37"/>
        <v>#N/A</v>
      </c>
      <c r="M253" s="5" t="e">
        <f t="shared" ref="M253:M290" si="39">(I$60-I253)*L253</f>
        <v>#N/A</v>
      </c>
      <c r="N253" s="5"/>
      <c r="O253" s="5"/>
      <c r="P253" s="5"/>
      <c r="Q253" s="5"/>
    </row>
    <row r="254" spans="1:17" x14ac:dyDescent="0.3">
      <c r="A254" s="5"/>
      <c r="B254" s="5">
        <v>0.12999999999999901</v>
      </c>
      <c r="C254" s="5">
        <f t="shared" si="30"/>
        <v>1.8199999999999861</v>
      </c>
      <c r="D254" s="5">
        <f t="shared" si="31"/>
        <v>9.0497237569060085E-2</v>
      </c>
      <c r="E254" s="107">
        <f t="shared" si="32"/>
        <v>4.5248618784530041</v>
      </c>
      <c r="F254" s="5">
        <f t="shared" si="33"/>
        <v>10</v>
      </c>
      <c r="G254" s="5">
        <f t="shared" si="38"/>
        <v>135.80000000000015</v>
      </c>
      <c r="H254" s="5">
        <v>0.23000000000002099</v>
      </c>
      <c r="I254" s="5">
        <f t="shared" si="34"/>
        <v>3.2200000000002937</v>
      </c>
      <c r="J254" s="5" t="e">
        <f t="shared" si="35"/>
        <v>#N/A</v>
      </c>
      <c r="K254" s="108" t="e">
        <f t="shared" si="36"/>
        <v>#N/A</v>
      </c>
      <c r="L254" s="108" t="e">
        <f t="shared" si="37"/>
        <v>#N/A</v>
      </c>
      <c r="M254" s="5" t="e">
        <f t="shared" si="39"/>
        <v>#N/A</v>
      </c>
      <c r="N254" s="5"/>
      <c r="O254" s="5"/>
      <c r="P254" s="5"/>
      <c r="Q254" s="5"/>
    </row>
    <row r="255" spans="1:17" x14ac:dyDescent="0.3">
      <c r="A255" s="5"/>
      <c r="B255" s="5">
        <v>0.124999999999999</v>
      </c>
      <c r="C255" s="5">
        <f t="shared" si="30"/>
        <v>1.749999999999986</v>
      </c>
      <c r="D255" s="5">
        <f t="shared" si="31"/>
        <v>8.7016574585634665E-2</v>
      </c>
      <c r="E255" s="107">
        <f t="shared" si="32"/>
        <v>4.3508287292817327</v>
      </c>
      <c r="F255" s="5">
        <f t="shared" si="33"/>
        <v>10</v>
      </c>
      <c r="G255" s="5">
        <f t="shared" si="38"/>
        <v>136.50000000000017</v>
      </c>
      <c r="H255" s="5">
        <v>0.22500000000002099</v>
      </c>
      <c r="I255" s="5">
        <f t="shared" si="34"/>
        <v>3.1500000000002939</v>
      </c>
      <c r="J255" s="5" t="e">
        <f t="shared" si="35"/>
        <v>#N/A</v>
      </c>
      <c r="K255" s="108" t="e">
        <f t="shared" si="36"/>
        <v>#N/A</v>
      </c>
      <c r="L255" s="108" t="e">
        <f t="shared" si="37"/>
        <v>#N/A</v>
      </c>
      <c r="M255" s="5" t="e">
        <f t="shared" si="39"/>
        <v>#N/A</v>
      </c>
      <c r="N255" s="5"/>
      <c r="O255" s="5"/>
      <c r="P255" s="5"/>
      <c r="Q255" s="5"/>
    </row>
    <row r="256" spans="1:17" x14ac:dyDescent="0.3">
      <c r="A256" s="5"/>
      <c r="B256" s="5">
        <v>0.119999999999999</v>
      </c>
      <c r="C256" s="5">
        <f t="shared" si="30"/>
        <v>1.6799999999999859</v>
      </c>
      <c r="D256" s="5">
        <f t="shared" si="31"/>
        <v>8.3535911602209245E-2</v>
      </c>
      <c r="E256" s="107">
        <f t="shared" si="32"/>
        <v>4.1767955801104621</v>
      </c>
      <c r="F256" s="5">
        <f t="shared" si="33"/>
        <v>10</v>
      </c>
      <c r="G256" s="5">
        <f t="shared" si="38"/>
        <v>137.20000000000016</v>
      </c>
      <c r="H256" s="5">
        <v>0.22000000000002101</v>
      </c>
      <c r="I256" s="5">
        <f t="shared" si="34"/>
        <v>3.0800000000002941</v>
      </c>
      <c r="J256" s="5" t="e">
        <f t="shared" si="35"/>
        <v>#N/A</v>
      </c>
      <c r="K256" s="108" t="e">
        <f t="shared" si="36"/>
        <v>#N/A</v>
      </c>
      <c r="L256" s="108" t="e">
        <f t="shared" si="37"/>
        <v>#N/A</v>
      </c>
      <c r="M256" s="5" t="e">
        <f t="shared" si="39"/>
        <v>#N/A</v>
      </c>
      <c r="N256" s="5"/>
      <c r="O256" s="5"/>
      <c r="P256" s="5"/>
      <c r="Q256" s="5"/>
    </row>
    <row r="257" spans="1:17" x14ac:dyDescent="0.3">
      <c r="A257" s="5"/>
      <c r="B257" s="5">
        <v>0.11499999999999901</v>
      </c>
      <c r="C257" s="5">
        <f t="shared" si="30"/>
        <v>1.6099999999999861</v>
      </c>
      <c r="D257" s="5">
        <f t="shared" si="31"/>
        <v>8.0055248618783839E-2</v>
      </c>
      <c r="E257" s="107">
        <f t="shared" si="32"/>
        <v>4.0027624309391925</v>
      </c>
      <c r="F257" s="5">
        <f t="shared" si="33"/>
        <v>10</v>
      </c>
      <c r="G257" s="5">
        <f t="shared" si="38"/>
        <v>137.90000000000018</v>
      </c>
      <c r="H257" s="5">
        <v>0.21500000000002101</v>
      </c>
      <c r="I257" s="5">
        <f t="shared" si="34"/>
        <v>3.0100000000002942</v>
      </c>
      <c r="J257" s="5" t="e">
        <f t="shared" si="35"/>
        <v>#N/A</v>
      </c>
      <c r="K257" s="108" t="e">
        <f t="shared" si="36"/>
        <v>#N/A</v>
      </c>
      <c r="L257" s="108" t="e">
        <f t="shared" si="37"/>
        <v>#N/A</v>
      </c>
      <c r="M257" s="5" t="e">
        <f t="shared" si="39"/>
        <v>#N/A</v>
      </c>
      <c r="N257" s="5"/>
      <c r="O257" s="5"/>
      <c r="P257" s="5"/>
      <c r="Q257" s="5"/>
    </row>
    <row r="258" spans="1:17" x14ac:dyDescent="0.3">
      <c r="A258" s="5"/>
      <c r="B258" s="5">
        <v>0.109999999999999</v>
      </c>
      <c r="C258" s="5">
        <f t="shared" si="30"/>
        <v>1.539999999999986</v>
      </c>
      <c r="D258" s="5">
        <f t="shared" si="31"/>
        <v>7.6574585635358433E-2</v>
      </c>
      <c r="E258" s="107">
        <f t="shared" si="32"/>
        <v>3.8287292817679215</v>
      </c>
      <c r="F258" s="5">
        <f t="shared" si="33"/>
        <v>10</v>
      </c>
      <c r="G258" s="5">
        <f t="shared" si="38"/>
        <v>138.60000000000016</v>
      </c>
      <c r="H258" s="5">
        <v>0.210000000000021</v>
      </c>
      <c r="I258" s="5">
        <f t="shared" si="34"/>
        <v>2.9400000000002939</v>
      </c>
      <c r="J258" s="5" t="e">
        <f t="shared" si="35"/>
        <v>#N/A</v>
      </c>
      <c r="K258" s="108" t="e">
        <f t="shared" si="36"/>
        <v>#N/A</v>
      </c>
      <c r="L258" s="108" t="e">
        <f t="shared" si="37"/>
        <v>#N/A</v>
      </c>
      <c r="M258" s="5" t="e">
        <f t="shared" si="39"/>
        <v>#N/A</v>
      </c>
      <c r="N258" s="5"/>
      <c r="O258" s="5"/>
      <c r="P258" s="5"/>
      <c r="Q258" s="5"/>
    </row>
    <row r="259" spans="1:17" x14ac:dyDescent="0.3">
      <c r="A259" s="5"/>
      <c r="B259" s="5">
        <v>0.104999999999999</v>
      </c>
      <c r="C259" s="5">
        <f t="shared" si="30"/>
        <v>1.469999999999986</v>
      </c>
      <c r="D259" s="5">
        <f t="shared" si="31"/>
        <v>7.3093922651932999E-2</v>
      </c>
      <c r="E259" s="107">
        <f t="shared" si="32"/>
        <v>3.65469613259665</v>
      </c>
      <c r="F259" s="5">
        <f t="shared" si="33"/>
        <v>10</v>
      </c>
      <c r="G259" s="5">
        <f t="shared" si="38"/>
        <v>139.30000000000015</v>
      </c>
      <c r="H259" s="5">
        <v>0.205000000000021</v>
      </c>
      <c r="I259" s="5">
        <f t="shared" si="34"/>
        <v>2.8700000000002941</v>
      </c>
      <c r="J259" s="5" t="e">
        <f t="shared" si="35"/>
        <v>#N/A</v>
      </c>
      <c r="K259" s="108" t="e">
        <f t="shared" si="36"/>
        <v>#N/A</v>
      </c>
      <c r="L259" s="108" t="e">
        <f t="shared" si="37"/>
        <v>#N/A</v>
      </c>
      <c r="M259" s="5" t="e">
        <f t="shared" si="39"/>
        <v>#N/A</v>
      </c>
      <c r="N259" s="5"/>
      <c r="O259" s="5"/>
      <c r="P259" s="5"/>
      <c r="Q259" s="5"/>
    </row>
    <row r="260" spans="1:17" x14ac:dyDescent="0.3">
      <c r="A260" s="5"/>
      <c r="B260" s="5">
        <v>9.9999999999999006E-2</v>
      </c>
      <c r="C260" s="5">
        <f t="shared" si="30"/>
        <v>1.3999999999999861</v>
      </c>
      <c r="D260" s="5">
        <f t="shared" si="31"/>
        <v>6.9613259668507593E-2</v>
      </c>
      <c r="E260" s="107">
        <f t="shared" si="32"/>
        <v>3.4806629834253799</v>
      </c>
      <c r="F260" s="5">
        <f t="shared" si="33"/>
        <v>10</v>
      </c>
      <c r="G260" s="5">
        <f t="shared" si="38"/>
        <v>140.00000000000017</v>
      </c>
      <c r="H260" s="5">
        <v>0.20000000000002099</v>
      </c>
      <c r="I260" s="5">
        <f t="shared" si="34"/>
        <v>2.8000000000002938</v>
      </c>
      <c r="J260" s="5" t="e">
        <f t="shared" si="35"/>
        <v>#N/A</v>
      </c>
      <c r="K260" s="108" t="e">
        <f t="shared" si="36"/>
        <v>#N/A</v>
      </c>
      <c r="L260" s="108" t="e">
        <f t="shared" si="37"/>
        <v>#N/A</v>
      </c>
      <c r="M260" s="5" t="e">
        <f t="shared" si="39"/>
        <v>#N/A</v>
      </c>
      <c r="N260" s="5"/>
      <c r="O260" s="5"/>
      <c r="P260" s="5"/>
      <c r="Q260" s="5"/>
    </row>
    <row r="261" spans="1:17" x14ac:dyDescent="0.3">
      <c r="A261" s="5"/>
      <c r="B261" s="5">
        <v>9.4999999999999002E-2</v>
      </c>
      <c r="C261" s="5">
        <f t="shared" si="30"/>
        <v>1.3299999999999861</v>
      </c>
      <c r="D261" s="5">
        <f t="shared" si="31"/>
        <v>6.6132596685082187E-2</v>
      </c>
      <c r="E261" s="107">
        <f t="shared" si="32"/>
        <v>3.3066298342541094</v>
      </c>
      <c r="F261" s="5">
        <f t="shared" si="33"/>
        <v>10</v>
      </c>
      <c r="G261" s="5">
        <f t="shared" si="38"/>
        <v>140.70000000000016</v>
      </c>
      <c r="H261" s="5">
        <v>0.19500000000001999</v>
      </c>
      <c r="I261" s="5">
        <f t="shared" si="34"/>
        <v>2.7300000000002798</v>
      </c>
      <c r="J261" s="5" t="e">
        <f t="shared" si="35"/>
        <v>#N/A</v>
      </c>
      <c r="K261" s="108" t="e">
        <f t="shared" si="36"/>
        <v>#N/A</v>
      </c>
      <c r="L261" s="108" t="e">
        <f t="shared" si="37"/>
        <v>#N/A</v>
      </c>
      <c r="M261" s="5" t="e">
        <f t="shared" si="39"/>
        <v>#N/A</v>
      </c>
      <c r="N261" s="5"/>
      <c r="O261" s="5"/>
      <c r="P261" s="5"/>
      <c r="Q261" s="5"/>
    </row>
    <row r="262" spans="1:17" x14ac:dyDescent="0.3">
      <c r="A262" s="5"/>
      <c r="B262" s="5">
        <v>8.9999999999998997E-2</v>
      </c>
      <c r="C262" s="5">
        <f t="shared" si="30"/>
        <v>1.259999999999986</v>
      </c>
      <c r="D262" s="5">
        <f t="shared" si="31"/>
        <v>6.2651933701656753E-2</v>
      </c>
      <c r="E262" s="107">
        <f t="shared" si="32"/>
        <v>3.132596685082838</v>
      </c>
      <c r="F262" s="5">
        <f t="shared" si="33"/>
        <v>10</v>
      </c>
      <c r="G262" s="5">
        <f t="shared" si="38"/>
        <v>141.40000000000018</v>
      </c>
      <c r="H262" s="5">
        <v>0.19000000000001999</v>
      </c>
      <c r="I262" s="5">
        <f t="shared" si="34"/>
        <v>2.6600000000002799</v>
      </c>
      <c r="J262" s="5" t="e">
        <f t="shared" si="35"/>
        <v>#N/A</v>
      </c>
      <c r="K262" s="108" t="e">
        <f t="shared" si="36"/>
        <v>#N/A</v>
      </c>
      <c r="L262" s="108" t="e">
        <f t="shared" si="37"/>
        <v>#N/A</v>
      </c>
      <c r="M262" s="5" t="e">
        <f t="shared" si="39"/>
        <v>#N/A</v>
      </c>
      <c r="N262" s="5"/>
      <c r="O262" s="5"/>
      <c r="P262" s="5"/>
      <c r="Q262" s="5"/>
    </row>
    <row r="263" spans="1:17" x14ac:dyDescent="0.3">
      <c r="A263" s="5"/>
      <c r="B263" s="5">
        <v>8.4999999999999007E-2</v>
      </c>
      <c r="C263" s="5">
        <f t="shared" si="30"/>
        <v>1.1899999999999862</v>
      </c>
      <c r="D263" s="5">
        <f t="shared" si="31"/>
        <v>5.9171270718231354E-2</v>
      </c>
      <c r="E263" s="107">
        <f t="shared" si="32"/>
        <v>2.9585635359115678</v>
      </c>
      <c r="F263" s="5">
        <f t="shared" si="33"/>
        <v>10</v>
      </c>
      <c r="G263" s="5">
        <f t="shared" si="38"/>
        <v>142.10000000000014</v>
      </c>
      <c r="H263" s="5">
        <v>0.18500000000002001</v>
      </c>
      <c r="I263" s="5">
        <f t="shared" si="34"/>
        <v>2.5900000000002801</v>
      </c>
      <c r="J263" s="5" t="e">
        <f t="shared" si="35"/>
        <v>#N/A</v>
      </c>
      <c r="K263" s="108" t="e">
        <f t="shared" si="36"/>
        <v>#N/A</v>
      </c>
      <c r="L263" s="108" t="e">
        <f t="shared" si="37"/>
        <v>#N/A</v>
      </c>
      <c r="M263" s="5" t="e">
        <f t="shared" si="39"/>
        <v>#N/A</v>
      </c>
      <c r="N263" s="5"/>
      <c r="O263" s="5"/>
      <c r="P263" s="5"/>
      <c r="Q263" s="5"/>
    </row>
    <row r="264" spans="1:17" x14ac:dyDescent="0.3">
      <c r="A264" s="5"/>
      <c r="B264" s="5">
        <v>7.9999999999999002E-2</v>
      </c>
      <c r="C264" s="5">
        <f t="shared" si="30"/>
        <v>1.1199999999999861</v>
      </c>
      <c r="D264" s="5">
        <f t="shared" si="31"/>
        <v>5.5690607734805941E-2</v>
      </c>
      <c r="E264" s="107">
        <f t="shared" si="32"/>
        <v>2.7845303867402968</v>
      </c>
      <c r="F264" s="5">
        <f t="shared" si="33"/>
        <v>10</v>
      </c>
      <c r="G264" s="5">
        <f t="shared" si="38"/>
        <v>142.80000000000015</v>
      </c>
      <c r="H264" s="5">
        <v>0.18000000000002001</v>
      </c>
      <c r="I264" s="5">
        <f t="shared" si="34"/>
        <v>2.5200000000002802</v>
      </c>
      <c r="J264" s="5" t="e">
        <f t="shared" si="35"/>
        <v>#N/A</v>
      </c>
      <c r="K264" s="108" t="e">
        <f t="shared" si="36"/>
        <v>#N/A</v>
      </c>
      <c r="L264" s="108" t="e">
        <f t="shared" si="37"/>
        <v>#N/A</v>
      </c>
      <c r="M264" s="5" t="e">
        <f t="shared" si="39"/>
        <v>#N/A</v>
      </c>
      <c r="N264" s="5"/>
      <c r="O264" s="5"/>
      <c r="P264" s="5"/>
      <c r="Q264" s="5"/>
    </row>
    <row r="265" spans="1:17" x14ac:dyDescent="0.3">
      <c r="A265" s="5"/>
      <c r="B265" s="5">
        <v>7.4999999999998998E-2</v>
      </c>
      <c r="C265" s="5">
        <f t="shared" si="30"/>
        <v>1.0499999999999861</v>
      </c>
      <c r="D265" s="5">
        <f t="shared" si="31"/>
        <v>5.2209944751380528E-2</v>
      </c>
      <c r="E265" s="107">
        <f t="shared" si="32"/>
        <v>2.6104972375690263</v>
      </c>
      <c r="F265" s="5">
        <f t="shared" si="33"/>
        <v>10</v>
      </c>
      <c r="G265" s="5">
        <f t="shared" si="38"/>
        <v>143.50000000000017</v>
      </c>
      <c r="H265" s="5">
        <v>0.17500000000002</v>
      </c>
      <c r="I265" s="5">
        <f t="shared" si="34"/>
        <v>2.45000000000028</v>
      </c>
      <c r="J265" s="5" t="e">
        <f t="shared" si="35"/>
        <v>#N/A</v>
      </c>
      <c r="K265" s="108" t="e">
        <f t="shared" si="36"/>
        <v>#N/A</v>
      </c>
      <c r="L265" s="108" t="e">
        <f t="shared" si="37"/>
        <v>#N/A</v>
      </c>
      <c r="M265" s="5" t="e">
        <f t="shared" si="39"/>
        <v>#N/A</v>
      </c>
      <c r="N265" s="5"/>
      <c r="O265" s="5"/>
      <c r="P265" s="5"/>
      <c r="Q265" s="5"/>
    </row>
    <row r="266" spans="1:17" x14ac:dyDescent="0.3">
      <c r="A266" s="5"/>
      <c r="B266" s="5">
        <v>6.9999999999998994E-2</v>
      </c>
      <c r="C266" s="5">
        <f t="shared" si="30"/>
        <v>0.97999999999998588</v>
      </c>
      <c r="D266" s="5">
        <f t="shared" si="31"/>
        <v>4.8729281767955102E-2</v>
      </c>
      <c r="E266" s="107">
        <f t="shared" si="32"/>
        <v>2.4364640883977549</v>
      </c>
      <c r="F266" s="5">
        <f t="shared" si="33"/>
        <v>10</v>
      </c>
      <c r="G266" s="5">
        <f t="shared" si="38"/>
        <v>144.20000000000016</v>
      </c>
      <c r="H266" s="5">
        <v>0.17000000000002</v>
      </c>
      <c r="I266" s="5">
        <f t="shared" si="34"/>
        <v>2.3800000000002801</v>
      </c>
      <c r="J266" s="5" t="e">
        <f t="shared" si="35"/>
        <v>#N/A</v>
      </c>
      <c r="K266" s="108" t="e">
        <f t="shared" si="36"/>
        <v>#N/A</v>
      </c>
      <c r="L266" s="108" t="e">
        <f t="shared" si="37"/>
        <v>#N/A</v>
      </c>
      <c r="M266" s="5" t="e">
        <f t="shared" si="39"/>
        <v>#N/A</v>
      </c>
      <c r="N266" s="5"/>
      <c r="O266" s="5"/>
      <c r="P266" s="5"/>
      <c r="Q266" s="5"/>
    </row>
    <row r="267" spans="1:17" x14ac:dyDescent="0.3">
      <c r="A267" s="5"/>
      <c r="B267" s="5">
        <v>6.4999999999998906E-2</v>
      </c>
      <c r="C267" s="5">
        <f t="shared" si="30"/>
        <v>0.90999999999998471</v>
      </c>
      <c r="D267" s="5">
        <f t="shared" si="31"/>
        <v>4.5248618784529626E-2</v>
      </c>
      <c r="E267" s="107">
        <f t="shared" si="32"/>
        <v>2.2624309392264816</v>
      </c>
      <c r="F267" s="5">
        <f t="shared" si="33"/>
        <v>10</v>
      </c>
      <c r="G267" s="5">
        <f t="shared" si="38"/>
        <v>144.90000000000018</v>
      </c>
      <c r="H267" s="5">
        <v>0.16500000000001999</v>
      </c>
      <c r="I267" s="5">
        <f t="shared" si="34"/>
        <v>2.3100000000002798</v>
      </c>
      <c r="J267" s="5" t="e">
        <f t="shared" si="35"/>
        <v>#N/A</v>
      </c>
      <c r="K267" s="108" t="e">
        <f t="shared" si="36"/>
        <v>#N/A</v>
      </c>
      <c r="L267" s="108" t="e">
        <f t="shared" si="37"/>
        <v>#N/A</v>
      </c>
      <c r="M267" s="5" t="e">
        <f t="shared" si="39"/>
        <v>#N/A</v>
      </c>
      <c r="N267" s="5"/>
      <c r="O267" s="5"/>
      <c r="P267" s="5"/>
      <c r="Q267" s="5"/>
    </row>
    <row r="268" spans="1:17" x14ac:dyDescent="0.3">
      <c r="A268" s="5"/>
      <c r="B268" s="5">
        <v>5.9999999999999103E-2</v>
      </c>
      <c r="C268" s="5">
        <f t="shared" si="30"/>
        <v>0.83999999999998742</v>
      </c>
      <c r="D268" s="5">
        <f t="shared" si="31"/>
        <v>4.1767955801104345E-2</v>
      </c>
      <c r="E268" s="107">
        <f t="shared" si="32"/>
        <v>2.0883977900552173</v>
      </c>
      <c r="F268" s="5">
        <f t="shared" si="33"/>
        <v>10</v>
      </c>
      <c r="G268" s="5">
        <f t="shared" si="38"/>
        <v>145.60000000000014</v>
      </c>
      <c r="H268" s="5">
        <v>0.16000000000001999</v>
      </c>
      <c r="I268" s="5">
        <f t="shared" si="34"/>
        <v>2.24000000000028</v>
      </c>
      <c r="J268" s="5" t="e">
        <f t="shared" si="35"/>
        <v>#N/A</v>
      </c>
      <c r="K268" s="108" t="e">
        <f t="shared" si="36"/>
        <v>#N/A</v>
      </c>
      <c r="L268" s="108" t="e">
        <f t="shared" si="37"/>
        <v>#N/A</v>
      </c>
      <c r="M268" s="5" t="e">
        <f t="shared" si="39"/>
        <v>#N/A</v>
      </c>
      <c r="N268" s="5"/>
      <c r="O268" s="5"/>
      <c r="P268" s="5"/>
      <c r="Q268" s="5"/>
    </row>
    <row r="269" spans="1:17" x14ac:dyDescent="0.3">
      <c r="A269" s="5"/>
      <c r="B269" s="5">
        <v>5.4999999999999001E-2</v>
      </c>
      <c r="C269" s="5">
        <f t="shared" si="30"/>
        <v>0.76999999999998603</v>
      </c>
      <c r="D269" s="5">
        <f t="shared" si="31"/>
        <v>3.8287292817678863E-2</v>
      </c>
      <c r="E269" s="107">
        <f t="shared" si="32"/>
        <v>1.9143646408839432</v>
      </c>
      <c r="F269" s="5">
        <f t="shared" si="33"/>
        <v>10</v>
      </c>
      <c r="G269" s="5">
        <f t="shared" si="38"/>
        <v>146.30000000000018</v>
      </c>
      <c r="H269" s="5">
        <v>0.15500000000002001</v>
      </c>
      <c r="I269" s="5">
        <f t="shared" si="34"/>
        <v>2.1700000000002801</v>
      </c>
      <c r="J269" s="5" t="e">
        <f t="shared" si="35"/>
        <v>#N/A</v>
      </c>
      <c r="K269" s="108" t="e">
        <f t="shared" si="36"/>
        <v>#N/A</v>
      </c>
      <c r="L269" s="108" t="e">
        <f t="shared" si="37"/>
        <v>#N/A</v>
      </c>
      <c r="M269" s="5" t="e">
        <f t="shared" si="39"/>
        <v>#N/A</v>
      </c>
      <c r="N269" s="5"/>
      <c r="O269" s="5"/>
      <c r="P269" s="5"/>
      <c r="Q269" s="5"/>
    </row>
    <row r="270" spans="1:17" x14ac:dyDescent="0.3">
      <c r="A270" s="5"/>
      <c r="B270" s="5">
        <v>4.9999999999998997E-2</v>
      </c>
      <c r="C270" s="5">
        <f t="shared" si="30"/>
        <v>0.69999999999998597</v>
      </c>
      <c r="D270" s="5">
        <f t="shared" si="31"/>
        <v>3.4806629834253443E-2</v>
      </c>
      <c r="E270" s="107">
        <f t="shared" si="32"/>
        <v>1.7403314917126722</v>
      </c>
      <c r="F270" s="5">
        <f t="shared" si="33"/>
        <v>10</v>
      </c>
      <c r="G270" s="5">
        <f t="shared" si="38"/>
        <v>147.00000000000017</v>
      </c>
      <c r="H270" s="5">
        <v>0.15000000000002001</v>
      </c>
      <c r="I270" s="5">
        <f t="shared" si="34"/>
        <v>2.1000000000002803</v>
      </c>
      <c r="J270" s="5" t="e">
        <f t="shared" si="35"/>
        <v>#N/A</v>
      </c>
      <c r="K270" s="108" t="e">
        <f t="shared" si="36"/>
        <v>#N/A</v>
      </c>
      <c r="L270" s="108" t="e">
        <f t="shared" si="37"/>
        <v>#N/A</v>
      </c>
      <c r="M270" s="5" t="e">
        <f t="shared" si="39"/>
        <v>#N/A</v>
      </c>
      <c r="N270" s="5"/>
      <c r="O270" s="5"/>
      <c r="P270" s="5"/>
      <c r="Q270" s="5"/>
    </row>
    <row r="271" spans="1:17" x14ac:dyDescent="0.3">
      <c r="A271" s="5"/>
      <c r="B271" s="5">
        <v>4.4999999999998999E-2</v>
      </c>
      <c r="C271" s="5">
        <f t="shared" si="30"/>
        <v>0.62999999999998602</v>
      </c>
      <c r="D271" s="5">
        <f t="shared" si="31"/>
        <v>3.1325966850828037E-2</v>
      </c>
      <c r="E271" s="107">
        <f t="shared" si="32"/>
        <v>1.5662983425414017</v>
      </c>
      <c r="F271" s="5">
        <f t="shared" si="33"/>
        <v>10</v>
      </c>
      <c r="G271" s="5">
        <f t="shared" si="38"/>
        <v>147.70000000000016</v>
      </c>
      <c r="H271" s="5">
        <v>0.14500000000002</v>
      </c>
      <c r="I271" s="5">
        <f t="shared" si="34"/>
        <v>2.03000000000028</v>
      </c>
      <c r="J271" s="5" t="e">
        <f t="shared" si="35"/>
        <v>#N/A</v>
      </c>
      <c r="K271" s="108" t="e">
        <f t="shared" si="36"/>
        <v>#N/A</v>
      </c>
      <c r="L271" s="108" t="e">
        <f t="shared" si="37"/>
        <v>#N/A</v>
      </c>
      <c r="M271" s="5" t="e">
        <f t="shared" si="39"/>
        <v>#N/A</v>
      </c>
      <c r="N271" s="5"/>
      <c r="O271" s="5"/>
      <c r="P271" s="5"/>
      <c r="Q271" s="5"/>
    </row>
    <row r="272" spans="1:17" x14ac:dyDescent="0.3">
      <c r="A272" s="5"/>
      <c r="B272" s="5">
        <v>3.9999999999999002E-2</v>
      </c>
      <c r="C272" s="5">
        <f t="shared" si="30"/>
        <v>0.55999999999998606</v>
      </c>
      <c r="D272" s="5">
        <f t="shared" si="31"/>
        <v>2.784530386740262E-2</v>
      </c>
      <c r="E272" s="107">
        <f t="shared" si="32"/>
        <v>1.3922651933701311</v>
      </c>
      <c r="F272" s="5">
        <f t="shared" si="33"/>
        <v>10</v>
      </c>
      <c r="G272" s="5">
        <f t="shared" si="38"/>
        <v>148.40000000000015</v>
      </c>
      <c r="H272" s="5">
        <v>0.14000000000002</v>
      </c>
      <c r="I272" s="5">
        <f t="shared" si="34"/>
        <v>1.96000000000028</v>
      </c>
      <c r="J272" s="5" t="e">
        <f t="shared" si="35"/>
        <v>#N/A</v>
      </c>
      <c r="K272" s="108" t="e">
        <f t="shared" si="36"/>
        <v>#N/A</v>
      </c>
      <c r="L272" s="108" t="e">
        <f t="shared" si="37"/>
        <v>#N/A</v>
      </c>
      <c r="M272" s="5" t="e">
        <f t="shared" si="39"/>
        <v>#N/A</v>
      </c>
      <c r="N272" s="5"/>
      <c r="O272" s="5"/>
      <c r="P272" s="5"/>
      <c r="Q272" s="5"/>
    </row>
    <row r="273" spans="1:17" x14ac:dyDescent="0.3">
      <c r="A273" s="5"/>
      <c r="B273" s="5">
        <v>3.4999999999998997E-2</v>
      </c>
      <c r="C273" s="5">
        <f t="shared" si="30"/>
        <v>0.48999999999998595</v>
      </c>
      <c r="D273" s="5">
        <f t="shared" si="31"/>
        <v>2.4364640883977204E-2</v>
      </c>
      <c r="E273" s="107">
        <f t="shared" si="32"/>
        <v>1.2182320441988601</v>
      </c>
      <c r="F273" s="5">
        <f t="shared" si="33"/>
        <v>10</v>
      </c>
      <c r="G273" s="5">
        <f t="shared" si="38"/>
        <v>149.10000000000016</v>
      </c>
      <c r="H273" s="5">
        <v>0.13500000000001999</v>
      </c>
      <c r="I273" s="5">
        <f t="shared" si="34"/>
        <v>1.8900000000002799</v>
      </c>
      <c r="J273" s="5" t="e">
        <f t="shared" si="35"/>
        <v>#N/A</v>
      </c>
      <c r="K273" s="108" t="e">
        <f t="shared" si="36"/>
        <v>#N/A</v>
      </c>
      <c r="L273" s="108" t="e">
        <f t="shared" si="37"/>
        <v>#N/A</v>
      </c>
      <c r="M273" s="5" t="e">
        <f t="shared" si="39"/>
        <v>#N/A</v>
      </c>
      <c r="N273" s="5"/>
      <c r="O273" s="5"/>
      <c r="P273" s="5"/>
      <c r="Q273" s="5"/>
    </row>
    <row r="274" spans="1:17" x14ac:dyDescent="0.3">
      <c r="A274" s="5"/>
      <c r="B274" s="5">
        <v>2.9999999999999E-2</v>
      </c>
      <c r="C274" s="5">
        <f t="shared" si="30"/>
        <v>0.419999999999986</v>
      </c>
      <c r="D274" s="5">
        <f t="shared" si="31"/>
        <v>2.0883977900551787E-2</v>
      </c>
      <c r="E274" s="107">
        <f t="shared" si="32"/>
        <v>1.0441988950275893</v>
      </c>
      <c r="F274" s="5">
        <f t="shared" si="33"/>
        <v>10</v>
      </c>
      <c r="G274" s="5">
        <f t="shared" si="38"/>
        <v>149.80000000000015</v>
      </c>
      <c r="H274" s="5">
        <v>0.13000000000001999</v>
      </c>
      <c r="I274" s="5">
        <f t="shared" si="34"/>
        <v>1.8200000000002798</v>
      </c>
      <c r="J274" s="5" t="e">
        <f t="shared" si="35"/>
        <v>#N/A</v>
      </c>
      <c r="K274" s="108" t="e">
        <f t="shared" si="36"/>
        <v>#N/A</v>
      </c>
      <c r="L274" s="108" t="e">
        <f t="shared" si="37"/>
        <v>#N/A</v>
      </c>
      <c r="M274" s="5" t="e">
        <f t="shared" si="39"/>
        <v>#N/A</v>
      </c>
      <c r="N274" s="5"/>
      <c r="O274" s="5"/>
      <c r="P274" s="5"/>
      <c r="Q274" s="5"/>
    </row>
    <row r="275" spans="1:17" x14ac:dyDescent="0.3">
      <c r="A275" s="5"/>
      <c r="B275" s="5">
        <v>2.4999999999998999E-2</v>
      </c>
      <c r="C275" s="5">
        <f t="shared" si="30"/>
        <v>0.34999999999998599</v>
      </c>
      <c r="D275" s="5">
        <f t="shared" si="31"/>
        <v>1.7403314917126374E-2</v>
      </c>
      <c r="E275" s="107">
        <f t="shared" si="32"/>
        <v>0.87016574585631867</v>
      </c>
      <c r="F275" s="5">
        <f t="shared" si="33"/>
        <v>10</v>
      </c>
      <c r="G275" s="5">
        <f t="shared" si="38"/>
        <v>150.50000000000017</v>
      </c>
      <c r="H275" s="5">
        <v>0.12500000000002001</v>
      </c>
      <c r="I275" s="5">
        <f t="shared" si="34"/>
        <v>1.7500000000002802</v>
      </c>
      <c r="J275" s="5" t="e">
        <f t="shared" si="35"/>
        <v>#N/A</v>
      </c>
      <c r="K275" s="108" t="e">
        <f t="shared" si="36"/>
        <v>#N/A</v>
      </c>
      <c r="L275" s="108" t="e">
        <f t="shared" si="37"/>
        <v>#N/A</v>
      </c>
      <c r="M275" s="5" t="e">
        <f t="shared" si="39"/>
        <v>#N/A</v>
      </c>
      <c r="N275" s="5"/>
      <c r="O275" s="5"/>
      <c r="P275" s="5"/>
      <c r="Q275" s="5"/>
    </row>
    <row r="276" spans="1:17" x14ac:dyDescent="0.3">
      <c r="A276" s="5"/>
      <c r="B276" s="5">
        <v>1.9999999999999001E-2</v>
      </c>
      <c r="C276" s="5">
        <f t="shared" si="30"/>
        <v>0.27999999999998604</v>
      </c>
      <c r="D276" s="5">
        <f t="shared" si="31"/>
        <v>1.3922651933700963E-2</v>
      </c>
      <c r="E276" s="107">
        <f t="shared" si="32"/>
        <v>0.69613259668504812</v>
      </c>
      <c r="F276" s="5">
        <f t="shared" si="33"/>
        <v>10</v>
      </c>
      <c r="G276" s="5">
        <f t="shared" si="38"/>
        <v>151.20000000000016</v>
      </c>
      <c r="H276" s="5">
        <v>0.12000000000001999</v>
      </c>
      <c r="I276" s="5">
        <f t="shared" si="34"/>
        <v>1.6800000000002799</v>
      </c>
      <c r="J276" s="5" t="e">
        <f t="shared" si="35"/>
        <v>#N/A</v>
      </c>
      <c r="K276" s="108" t="e">
        <f t="shared" si="36"/>
        <v>#N/A</v>
      </c>
      <c r="L276" s="108" t="e">
        <f t="shared" si="37"/>
        <v>#N/A</v>
      </c>
      <c r="M276" s="5" t="e">
        <f t="shared" si="39"/>
        <v>#N/A</v>
      </c>
      <c r="N276" s="5"/>
      <c r="O276" s="5"/>
      <c r="P276" s="5"/>
      <c r="Q276" s="5"/>
    </row>
    <row r="277" spans="1:17" x14ac:dyDescent="0.3">
      <c r="A277" s="5"/>
      <c r="B277" s="5">
        <v>1.4999999999999E-2</v>
      </c>
      <c r="C277" s="5">
        <f t="shared" si="30"/>
        <v>0.209999999999986</v>
      </c>
      <c r="D277" s="5">
        <f t="shared" si="31"/>
        <v>1.0441988950275547E-2</v>
      </c>
      <c r="E277" s="107">
        <f t="shared" si="32"/>
        <v>0.52209944751377735</v>
      </c>
      <c r="F277" s="5">
        <f t="shared" si="33"/>
        <v>10</v>
      </c>
      <c r="G277" s="5">
        <f t="shared" si="38"/>
        <v>151.90000000000015</v>
      </c>
      <c r="H277" s="5">
        <v>0.11500000000002</v>
      </c>
      <c r="I277" s="5">
        <f t="shared" si="34"/>
        <v>1.6100000000002801</v>
      </c>
      <c r="J277" s="5" t="e">
        <f t="shared" si="35"/>
        <v>#N/A</v>
      </c>
      <c r="K277" s="108" t="e">
        <f t="shared" si="36"/>
        <v>#N/A</v>
      </c>
      <c r="L277" s="108" t="e">
        <f t="shared" si="37"/>
        <v>#N/A</v>
      </c>
      <c r="M277" s="5" t="e">
        <f t="shared" si="39"/>
        <v>#N/A</v>
      </c>
      <c r="N277" s="5"/>
      <c r="O277" s="5"/>
      <c r="P277" s="5"/>
      <c r="Q277" s="5"/>
    </row>
    <row r="278" spans="1:17" x14ac:dyDescent="0.3">
      <c r="A278" s="5"/>
      <c r="B278" s="5">
        <v>9.9999999999990097E-3</v>
      </c>
      <c r="C278" s="5">
        <f t="shared" si="30"/>
        <v>0.13999999999998614</v>
      </c>
      <c r="D278" s="5">
        <f t="shared" si="31"/>
        <v>6.9613259668501399E-3</v>
      </c>
      <c r="E278" s="107">
        <f t="shared" si="32"/>
        <v>0.34806629834250696</v>
      </c>
      <c r="F278" s="5">
        <f t="shared" si="33"/>
        <v>10</v>
      </c>
      <c r="G278" s="5">
        <f t="shared" si="38"/>
        <v>152.60000000000016</v>
      </c>
      <c r="H278" s="5">
        <v>0.11000000000002</v>
      </c>
      <c r="I278" s="5">
        <f t="shared" si="34"/>
        <v>1.54000000000028</v>
      </c>
      <c r="J278" s="5" t="e">
        <f t="shared" si="35"/>
        <v>#N/A</v>
      </c>
      <c r="K278" s="108" t="e">
        <f t="shared" si="36"/>
        <v>#N/A</v>
      </c>
      <c r="L278" s="108" t="e">
        <f t="shared" si="37"/>
        <v>#N/A</v>
      </c>
      <c r="M278" s="5" t="e">
        <f t="shared" si="39"/>
        <v>#N/A</v>
      </c>
      <c r="N278" s="5"/>
      <c r="O278" s="5"/>
      <c r="P278" s="5"/>
      <c r="Q278" s="5"/>
    </row>
    <row r="279" spans="1:17" x14ac:dyDescent="0.3">
      <c r="A279" s="5"/>
      <c r="B279" s="5">
        <v>4.9999999999990096E-3</v>
      </c>
      <c r="C279" s="5">
        <f t="shared" si="30"/>
        <v>6.9999999999986129E-2</v>
      </c>
      <c r="D279" s="5">
        <f t="shared" si="31"/>
        <v>3.4806629834247247E-3</v>
      </c>
      <c r="E279" s="107">
        <f t="shared" si="32"/>
        <v>0.17403314917123622</v>
      </c>
      <c r="F279" s="5">
        <f t="shared" si="33"/>
        <v>10</v>
      </c>
      <c r="G279" s="5">
        <f t="shared" si="38"/>
        <v>153.30000000000015</v>
      </c>
      <c r="H279" s="5">
        <v>0.10500000000001999</v>
      </c>
      <c r="I279" s="5">
        <f t="shared" si="34"/>
        <v>1.47000000000028</v>
      </c>
      <c r="J279" s="5" t="e">
        <f t="shared" si="35"/>
        <v>#N/A</v>
      </c>
      <c r="K279" s="108" t="e">
        <f t="shared" si="36"/>
        <v>#N/A</v>
      </c>
      <c r="L279" s="108" t="e">
        <f t="shared" si="37"/>
        <v>#N/A</v>
      </c>
      <c r="M279" s="5" t="e">
        <f t="shared" si="39"/>
        <v>#N/A</v>
      </c>
      <c r="N279" s="5"/>
      <c r="O279" s="5"/>
      <c r="P279" s="5"/>
      <c r="Q279" s="5"/>
    </row>
    <row r="280" spans="1:17" x14ac:dyDescent="0.3">
      <c r="A280" s="5"/>
      <c r="B280" s="5"/>
      <c r="C280" s="5"/>
      <c r="D280" s="5"/>
      <c r="E280" s="5"/>
      <c r="F280" s="5"/>
      <c r="G280" s="5"/>
      <c r="H280" s="5">
        <v>0.10000000000002</v>
      </c>
      <c r="I280" s="5">
        <f t="shared" si="34"/>
        <v>1.4000000000002801</v>
      </c>
      <c r="J280" s="5" t="e">
        <f t="shared" si="35"/>
        <v>#N/A</v>
      </c>
      <c r="K280" s="108" t="e">
        <f t="shared" si="36"/>
        <v>#N/A</v>
      </c>
      <c r="L280" s="108" t="e">
        <f t="shared" si="37"/>
        <v>#N/A</v>
      </c>
      <c r="M280" s="5" t="e">
        <f t="shared" si="39"/>
        <v>#N/A</v>
      </c>
      <c r="N280" s="5"/>
      <c r="O280" s="5"/>
      <c r="P280" s="5"/>
      <c r="Q280" s="5"/>
    </row>
    <row r="281" spans="1:17" x14ac:dyDescent="0.3">
      <c r="A281" s="5"/>
      <c r="B281" s="5"/>
      <c r="C281" s="5"/>
      <c r="D281" s="5"/>
      <c r="E281" s="5"/>
      <c r="F281" s="5"/>
      <c r="G281" s="5"/>
      <c r="H281" s="5">
        <v>9.5000000000019999E-2</v>
      </c>
      <c r="I281" s="5">
        <f t="shared" si="34"/>
        <v>1.3300000000002801</v>
      </c>
      <c r="J281" s="5" t="e">
        <f t="shared" si="35"/>
        <v>#N/A</v>
      </c>
      <c r="K281" s="108" t="e">
        <f t="shared" si="36"/>
        <v>#N/A</v>
      </c>
      <c r="L281" s="108" t="e">
        <f t="shared" si="37"/>
        <v>#N/A</v>
      </c>
      <c r="M281" s="5" t="e">
        <f t="shared" si="39"/>
        <v>#N/A</v>
      </c>
      <c r="N281" s="5"/>
      <c r="O281" s="5"/>
      <c r="P281" s="5"/>
      <c r="Q281" s="5"/>
    </row>
    <row r="282" spans="1:17" x14ac:dyDescent="0.3">
      <c r="A282" s="5"/>
      <c r="B282" s="5"/>
      <c r="C282" s="5"/>
      <c r="D282" s="5"/>
      <c r="E282" s="5"/>
      <c r="F282" s="5"/>
      <c r="G282" s="5"/>
      <c r="H282" s="5">
        <v>9.0000000000020106E-2</v>
      </c>
      <c r="I282" s="5">
        <f t="shared" si="34"/>
        <v>1.2600000000002816</v>
      </c>
      <c r="J282" s="5" t="e">
        <f t="shared" si="35"/>
        <v>#N/A</v>
      </c>
      <c r="K282" s="108" t="e">
        <f t="shared" si="36"/>
        <v>#N/A</v>
      </c>
      <c r="L282" s="108" t="e">
        <f t="shared" si="37"/>
        <v>#N/A</v>
      </c>
      <c r="M282" s="5" t="e">
        <f t="shared" si="39"/>
        <v>#N/A</v>
      </c>
      <c r="N282" s="5"/>
      <c r="O282" s="5"/>
      <c r="P282" s="5"/>
      <c r="Q282" s="5"/>
    </row>
    <row r="283" spans="1:17" x14ac:dyDescent="0.3">
      <c r="A283" s="5"/>
      <c r="B283" s="5"/>
      <c r="C283" s="5"/>
      <c r="D283" s="5"/>
      <c r="E283" s="5"/>
      <c r="F283" s="5"/>
      <c r="G283" s="5"/>
      <c r="H283" s="5">
        <v>8.5000000000019907E-2</v>
      </c>
      <c r="I283" s="5">
        <f t="shared" si="34"/>
        <v>1.1900000000002786</v>
      </c>
      <c r="J283" s="5" t="e">
        <f t="shared" si="35"/>
        <v>#N/A</v>
      </c>
      <c r="K283" s="108" t="e">
        <f t="shared" si="36"/>
        <v>#N/A</v>
      </c>
      <c r="L283" s="108" t="e">
        <f t="shared" si="37"/>
        <v>#N/A</v>
      </c>
      <c r="M283" s="5" t="e">
        <f t="shared" si="39"/>
        <v>#N/A</v>
      </c>
      <c r="N283" s="5"/>
      <c r="O283" s="5"/>
      <c r="P283" s="5"/>
      <c r="Q283" s="5"/>
    </row>
    <row r="284" spans="1:17" x14ac:dyDescent="0.3">
      <c r="A284" s="5"/>
      <c r="B284" s="5"/>
      <c r="C284" s="5"/>
      <c r="D284" s="5"/>
      <c r="E284" s="5"/>
      <c r="F284" s="5"/>
      <c r="G284" s="5"/>
      <c r="H284" s="5">
        <v>8.0000000000020097E-2</v>
      </c>
      <c r="I284" s="5">
        <f t="shared" si="34"/>
        <v>1.1200000000002814</v>
      </c>
      <c r="J284" s="5" t="e">
        <f t="shared" si="35"/>
        <v>#N/A</v>
      </c>
      <c r="K284" s="108" t="e">
        <f t="shared" si="36"/>
        <v>#N/A</v>
      </c>
      <c r="L284" s="108" t="e">
        <f t="shared" si="37"/>
        <v>#N/A</v>
      </c>
      <c r="M284" s="5" t="e">
        <f t="shared" si="39"/>
        <v>#N/A</v>
      </c>
      <c r="N284" s="5"/>
      <c r="O284" s="5"/>
      <c r="P284" s="5"/>
      <c r="Q284" s="5"/>
    </row>
    <row r="285" spans="1:17" x14ac:dyDescent="0.3">
      <c r="A285" s="5"/>
      <c r="B285" s="5"/>
      <c r="C285" s="5"/>
      <c r="D285" s="5"/>
      <c r="E285" s="5"/>
      <c r="F285" s="5"/>
      <c r="G285" s="5"/>
      <c r="H285" s="5">
        <v>7.5000000000019898E-2</v>
      </c>
      <c r="I285" s="5">
        <f t="shared" si="34"/>
        <v>1.0500000000002785</v>
      </c>
      <c r="J285" s="5" t="e">
        <f t="shared" si="35"/>
        <v>#N/A</v>
      </c>
      <c r="K285" s="108" t="e">
        <f t="shared" si="36"/>
        <v>#N/A</v>
      </c>
      <c r="L285" s="108" t="e">
        <f t="shared" si="37"/>
        <v>#N/A</v>
      </c>
      <c r="M285" s="5" t="e">
        <f t="shared" si="39"/>
        <v>#N/A</v>
      </c>
      <c r="N285" s="5"/>
      <c r="O285" s="5"/>
      <c r="P285" s="5"/>
      <c r="Q285" s="5"/>
    </row>
    <row r="286" spans="1:17" x14ac:dyDescent="0.3">
      <c r="A286" s="5"/>
      <c r="B286" s="5"/>
      <c r="C286" s="5"/>
      <c r="D286" s="5"/>
      <c r="E286" s="5"/>
      <c r="F286" s="5"/>
      <c r="G286" s="5"/>
      <c r="H286" s="5">
        <v>7.0000000000020005E-2</v>
      </c>
      <c r="I286" s="5">
        <f t="shared" si="34"/>
        <v>0.98000000000028009</v>
      </c>
      <c r="J286" s="5" t="e">
        <f t="shared" si="35"/>
        <v>#N/A</v>
      </c>
      <c r="K286" s="108" t="e">
        <f t="shared" si="36"/>
        <v>#N/A</v>
      </c>
      <c r="L286" s="108" t="e">
        <f t="shared" si="37"/>
        <v>#N/A</v>
      </c>
      <c r="M286" s="5" t="e">
        <f t="shared" si="39"/>
        <v>#N/A</v>
      </c>
      <c r="N286" s="5"/>
      <c r="O286" s="5"/>
      <c r="P286" s="5"/>
      <c r="Q286" s="5"/>
    </row>
    <row r="287" spans="1:17" x14ac:dyDescent="0.3">
      <c r="A287" s="5"/>
      <c r="B287" s="5"/>
      <c r="C287" s="5"/>
      <c r="D287" s="5"/>
      <c r="E287" s="5"/>
      <c r="F287" s="5"/>
      <c r="G287" s="5"/>
      <c r="H287" s="5">
        <v>6.5000000000019903E-2</v>
      </c>
      <c r="I287" s="5">
        <f t="shared" si="34"/>
        <v>0.91000000000027859</v>
      </c>
      <c r="J287" s="5" t="e">
        <f t="shared" si="35"/>
        <v>#N/A</v>
      </c>
      <c r="K287" s="108" t="e">
        <f t="shared" si="36"/>
        <v>#N/A</v>
      </c>
      <c r="L287" s="108" t="e">
        <f t="shared" si="37"/>
        <v>#N/A</v>
      </c>
      <c r="M287" s="5" t="e">
        <f t="shared" si="39"/>
        <v>#N/A</v>
      </c>
      <c r="N287" s="5"/>
      <c r="O287" s="5"/>
      <c r="P287" s="5"/>
      <c r="Q287" s="5"/>
    </row>
    <row r="288" spans="1:17" x14ac:dyDescent="0.3">
      <c r="A288" s="5"/>
      <c r="B288" s="5"/>
      <c r="C288" s="5"/>
      <c r="D288" s="5"/>
      <c r="E288" s="5"/>
      <c r="F288" s="5"/>
      <c r="G288" s="5"/>
      <c r="H288" s="5">
        <v>6.0000000000020003E-2</v>
      </c>
      <c r="I288" s="5">
        <f t="shared" si="34"/>
        <v>0.84000000000028008</v>
      </c>
      <c r="J288" s="5" t="e">
        <f t="shared" si="35"/>
        <v>#N/A</v>
      </c>
      <c r="K288" s="108" t="e">
        <f t="shared" si="36"/>
        <v>#N/A</v>
      </c>
      <c r="L288" s="108" t="e">
        <f t="shared" si="37"/>
        <v>#N/A</v>
      </c>
      <c r="M288" s="5" t="e">
        <f t="shared" si="39"/>
        <v>#N/A</v>
      </c>
      <c r="N288" s="5"/>
      <c r="O288" s="5"/>
      <c r="P288" s="5"/>
      <c r="Q288" s="5"/>
    </row>
    <row r="289" spans="1:17" x14ac:dyDescent="0.3">
      <c r="A289" s="5"/>
      <c r="B289" s="5"/>
      <c r="C289" s="5"/>
      <c r="D289" s="5"/>
      <c r="E289" s="5"/>
      <c r="F289" s="5"/>
      <c r="G289" s="5"/>
      <c r="H289" s="5">
        <v>5.5000000000019901E-2</v>
      </c>
      <c r="I289" s="5">
        <f t="shared" si="34"/>
        <v>0.77000000000027857</v>
      </c>
      <c r="J289" s="5" t="e">
        <f t="shared" si="35"/>
        <v>#N/A</v>
      </c>
      <c r="K289" s="108" t="e">
        <f t="shared" si="36"/>
        <v>#N/A</v>
      </c>
      <c r="L289" s="108" t="e">
        <f t="shared" si="37"/>
        <v>#N/A</v>
      </c>
      <c r="M289" s="5" t="e">
        <f t="shared" si="39"/>
        <v>#N/A</v>
      </c>
      <c r="N289" s="5"/>
      <c r="O289" s="5"/>
      <c r="P289" s="5"/>
      <c r="Q289" s="5"/>
    </row>
    <row r="290" spans="1:17" x14ac:dyDescent="0.3">
      <c r="A290" s="5"/>
      <c r="B290" s="5"/>
      <c r="C290" s="5"/>
      <c r="D290" s="5"/>
      <c r="E290" s="5"/>
      <c r="F290" s="5"/>
      <c r="G290" s="5"/>
      <c r="H290" s="5">
        <v>5.0000000000020001E-2</v>
      </c>
      <c r="I290" s="5">
        <f t="shared" si="34"/>
        <v>0.70000000000027995</v>
      </c>
      <c r="J290" s="5" t="e">
        <f t="shared" si="35"/>
        <v>#N/A</v>
      </c>
      <c r="K290" s="108" t="e">
        <f t="shared" si="36"/>
        <v>#N/A</v>
      </c>
      <c r="L290" s="108" t="e">
        <f t="shared" si="37"/>
        <v>#N/A</v>
      </c>
      <c r="M290" s="5" t="e">
        <f t="shared" si="39"/>
        <v>#N/A</v>
      </c>
      <c r="N290" s="5"/>
      <c r="O290" s="5"/>
      <c r="P290" s="5"/>
      <c r="Q290" s="5"/>
    </row>
  </sheetData>
  <sheetProtection algorithmName="SHA-512" hashValue="nKF1tgYpMlSrtiqJ2FBHOV2tFGsw90bl4JuwLCi2Nb8wrNJud4RS06rE447dOqqGYE1AdNTUG8E9xU42lCUN4g==" saltValue="SzXAqZ330+GRNYj19ZerSw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61"/>
  <sheetViews>
    <sheetView workbookViewId="0">
      <selection activeCell="F22" sqref="F22"/>
    </sheetView>
  </sheetViews>
  <sheetFormatPr defaultRowHeight="12.45" x14ac:dyDescent="0.3"/>
  <cols>
    <col min="1" max="1" width="30.23046875" customWidth="1"/>
    <col min="6" max="6" width="56.15234375" customWidth="1"/>
  </cols>
  <sheetData>
    <row r="1" spans="1:6" x14ac:dyDescent="0.3">
      <c r="A1" s="109"/>
      <c r="B1" s="109"/>
      <c r="C1" s="109"/>
      <c r="D1" s="109"/>
      <c r="E1" s="109"/>
      <c r="F1" s="5"/>
    </row>
    <row r="2" spans="1:6" x14ac:dyDescent="0.3">
      <c r="A2" s="110" t="s">
        <v>31</v>
      </c>
      <c r="B2" s="110" t="s">
        <v>43</v>
      </c>
      <c r="C2" s="110" t="s">
        <v>44</v>
      </c>
      <c r="D2" s="110" t="s">
        <v>45</v>
      </c>
      <c r="E2" s="110" t="s">
        <v>47</v>
      </c>
      <c r="F2" s="5"/>
    </row>
    <row r="3" spans="1:6" x14ac:dyDescent="0.3">
      <c r="A3" s="109" t="s">
        <v>3</v>
      </c>
      <c r="B3" s="109">
        <v>0.99</v>
      </c>
      <c r="C3" s="109">
        <v>1</v>
      </c>
      <c r="D3" s="109">
        <v>1.01</v>
      </c>
      <c r="E3" s="109" t="s">
        <v>46</v>
      </c>
      <c r="F3" s="5"/>
    </row>
    <row r="4" spans="1:6" x14ac:dyDescent="0.3">
      <c r="A4" s="109" t="s">
        <v>4</v>
      </c>
      <c r="B4" s="109">
        <v>0.05</v>
      </c>
      <c r="C4" s="109">
        <v>0.06</v>
      </c>
      <c r="D4" s="109">
        <v>7.0000000000000007E-2</v>
      </c>
      <c r="E4" s="109" t="s">
        <v>46</v>
      </c>
      <c r="F4" s="5"/>
    </row>
    <row r="5" spans="1:6" x14ac:dyDescent="0.3">
      <c r="A5" s="109"/>
      <c r="B5" s="109"/>
      <c r="C5" s="109"/>
      <c r="D5" s="109"/>
      <c r="E5" s="109"/>
      <c r="F5" s="5"/>
    </row>
    <row r="6" spans="1:6" x14ac:dyDescent="0.3">
      <c r="A6" s="110" t="s">
        <v>32</v>
      </c>
      <c r="B6" s="109">
        <v>0.99</v>
      </c>
      <c r="C6" s="109">
        <v>1</v>
      </c>
      <c r="D6" s="109">
        <v>1.01</v>
      </c>
      <c r="E6" s="109" t="s">
        <v>46</v>
      </c>
      <c r="F6" s="5"/>
    </row>
    <row r="7" spans="1:6" x14ac:dyDescent="0.3">
      <c r="A7" s="109" t="s">
        <v>5</v>
      </c>
      <c r="B7" s="109">
        <v>0.02</v>
      </c>
      <c r="C7" s="109">
        <v>0.03</v>
      </c>
      <c r="D7" s="109">
        <v>0.04</v>
      </c>
      <c r="E7" s="109" t="s">
        <v>46</v>
      </c>
      <c r="F7" s="5"/>
    </row>
    <row r="8" spans="1:6" x14ac:dyDescent="0.3">
      <c r="A8" s="109" t="s">
        <v>6</v>
      </c>
      <c r="B8" s="109"/>
      <c r="C8" s="109"/>
      <c r="D8" s="109"/>
      <c r="E8" s="109"/>
      <c r="F8" s="5"/>
    </row>
    <row r="9" spans="1:6" x14ac:dyDescent="0.3">
      <c r="A9" s="109"/>
      <c r="B9" s="109"/>
      <c r="C9" s="109"/>
      <c r="D9" s="109"/>
      <c r="E9" s="109"/>
      <c r="F9" s="5"/>
    </row>
    <row r="10" spans="1:6" x14ac:dyDescent="0.3">
      <c r="A10" s="110" t="s">
        <v>33</v>
      </c>
      <c r="B10" s="109"/>
      <c r="C10" s="109"/>
      <c r="D10" s="109"/>
      <c r="E10" s="109"/>
      <c r="F10" s="5"/>
    </row>
    <row r="11" spans="1:6" x14ac:dyDescent="0.3">
      <c r="A11" s="109" t="s">
        <v>7</v>
      </c>
      <c r="B11" s="109"/>
      <c r="C11" s="109">
        <v>40</v>
      </c>
      <c r="D11" s="109">
        <v>80</v>
      </c>
      <c r="E11" s="109" t="s">
        <v>48</v>
      </c>
      <c r="F11" s="5"/>
    </row>
    <row r="12" spans="1:6" x14ac:dyDescent="0.3">
      <c r="A12" s="109"/>
      <c r="B12" s="109"/>
      <c r="C12" s="109"/>
      <c r="D12" s="109"/>
      <c r="E12" s="109"/>
      <c r="F12" s="5"/>
    </row>
    <row r="13" spans="1:6" x14ac:dyDescent="0.3">
      <c r="A13" s="110" t="s">
        <v>34</v>
      </c>
      <c r="B13" s="109"/>
      <c r="C13" s="109"/>
      <c r="D13" s="109"/>
      <c r="E13" s="109"/>
      <c r="F13" s="5"/>
    </row>
    <row r="14" spans="1:6" x14ac:dyDescent="0.3">
      <c r="A14" s="109" t="s">
        <v>0</v>
      </c>
      <c r="B14" s="109">
        <v>3.5459999999999998</v>
      </c>
      <c r="C14" s="109">
        <v>3.6</v>
      </c>
      <c r="D14" s="109">
        <v>3.6539999999999999</v>
      </c>
      <c r="E14" s="109" t="s">
        <v>46</v>
      </c>
      <c r="F14" s="5"/>
    </row>
    <row r="15" spans="1:6" x14ac:dyDescent="0.3">
      <c r="A15" s="109" t="s">
        <v>8</v>
      </c>
      <c r="B15" s="109"/>
      <c r="C15" s="109"/>
      <c r="D15" s="109">
        <v>3.4</v>
      </c>
      <c r="E15" s="109" t="s">
        <v>46</v>
      </c>
      <c r="F15" s="5"/>
    </row>
    <row r="16" spans="1:6" x14ac:dyDescent="0.3">
      <c r="A16" s="109" t="s">
        <v>9</v>
      </c>
      <c r="B16" s="109">
        <v>3</v>
      </c>
      <c r="C16" s="109"/>
      <c r="D16" s="109"/>
      <c r="E16" s="109" t="s">
        <v>46</v>
      </c>
      <c r="F16" s="5"/>
    </row>
    <row r="17" spans="1:6" x14ac:dyDescent="0.3">
      <c r="A17" s="109" t="s">
        <v>10</v>
      </c>
      <c r="B17" s="109"/>
      <c r="C17" s="109">
        <v>0.21</v>
      </c>
      <c r="D17" s="109"/>
      <c r="E17" s="109" t="s">
        <v>46</v>
      </c>
      <c r="F17" s="5"/>
    </row>
    <row r="18" spans="1:6" x14ac:dyDescent="0.3">
      <c r="A18" s="109"/>
      <c r="B18" s="109"/>
      <c r="C18" s="109"/>
      <c r="D18" s="109"/>
      <c r="E18" s="109"/>
      <c r="F18" s="5"/>
    </row>
    <row r="19" spans="1:6" x14ac:dyDescent="0.3">
      <c r="A19" s="110" t="s">
        <v>35</v>
      </c>
      <c r="B19" s="109"/>
      <c r="C19" s="109"/>
      <c r="D19" s="109"/>
      <c r="E19" s="109"/>
      <c r="F19" s="5"/>
    </row>
    <row r="20" spans="1:6" x14ac:dyDescent="0.3">
      <c r="A20" s="109" t="s">
        <v>11</v>
      </c>
      <c r="B20" s="109">
        <v>2.5499999999999998</v>
      </c>
      <c r="C20" s="109">
        <v>2.6</v>
      </c>
      <c r="D20" s="109">
        <v>2.65</v>
      </c>
      <c r="E20" s="109" t="s">
        <v>46</v>
      </c>
      <c r="F20" s="5"/>
    </row>
    <row r="21" spans="1:6" x14ac:dyDescent="0.3">
      <c r="A21" s="109" t="s">
        <v>12</v>
      </c>
      <c r="B21" s="109"/>
      <c r="C21" s="109">
        <v>2</v>
      </c>
      <c r="D21" s="109"/>
      <c r="E21" s="109" t="s">
        <v>46</v>
      </c>
      <c r="F21" s="5"/>
    </row>
    <row r="22" spans="1:6" x14ac:dyDescent="0.3">
      <c r="A22" s="109" t="s">
        <v>13</v>
      </c>
      <c r="B22" s="109"/>
      <c r="C22" s="109">
        <v>40</v>
      </c>
      <c r="D22" s="109"/>
      <c r="E22" s="109" t="s">
        <v>49</v>
      </c>
      <c r="F22" s="5"/>
    </row>
    <row r="23" spans="1:6" x14ac:dyDescent="0.3">
      <c r="A23" s="109"/>
      <c r="B23" s="109"/>
      <c r="C23" s="109"/>
      <c r="D23" s="109"/>
      <c r="E23" s="109"/>
      <c r="F23" s="5"/>
    </row>
    <row r="24" spans="1:6" x14ac:dyDescent="0.3">
      <c r="A24" s="110" t="s">
        <v>36</v>
      </c>
      <c r="B24" s="109"/>
      <c r="C24" s="109"/>
      <c r="D24" s="109"/>
      <c r="E24" s="109"/>
      <c r="F24" s="5"/>
    </row>
    <row r="25" spans="1:6" x14ac:dyDescent="0.3">
      <c r="A25" s="109" t="s">
        <v>14</v>
      </c>
      <c r="B25" s="109">
        <v>10</v>
      </c>
      <c r="C25" s="109">
        <v>12</v>
      </c>
      <c r="D25" s="109">
        <v>14</v>
      </c>
      <c r="E25" s="109" t="s">
        <v>46</v>
      </c>
      <c r="F25" s="5"/>
    </row>
    <row r="26" spans="1:6" x14ac:dyDescent="0.3">
      <c r="A26" s="109" t="s">
        <v>15</v>
      </c>
      <c r="B26" s="109">
        <v>7</v>
      </c>
      <c r="C26" s="109">
        <v>10</v>
      </c>
      <c r="D26" s="109">
        <v>13</v>
      </c>
      <c r="E26" s="109" t="s">
        <v>48</v>
      </c>
      <c r="F26" s="5"/>
    </row>
    <row r="27" spans="1:6" x14ac:dyDescent="0.3">
      <c r="A27" s="109"/>
      <c r="B27" s="109"/>
      <c r="C27" s="109"/>
      <c r="D27" s="109"/>
      <c r="E27" s="109"/>
      <c r="F27" s="5"/>
    </row>
    <row r="28" spans="1:6" x14ac:dyDescent="0.3">
      <c r="A28" s="110" t="s">
        <v>37</v>
      </c>
      <c r="B28" s="109"/>
      <c r="C28" s="109"/>
      <c r="D28" s="109"/>
      <c r="E28" s="109"/>
      <c r="F28" s="5"/>
    </row>
    <row r="29" spans="1:6" x14ac:dyDescent="0.3">
      <c r="A29" s="111" t="s">
        <v>50</v>
      </c>
      <c r="B29" s="109">
        <v>10</v>
      </c>
      <c r="C29" s="109">
        <v>12</v>
      </c>
      <c r="D29" s="109">
        <v>14</v>
      </c>
      <c r="E29" s="109" t="s">
        <v>46</v>
      </c>
      <c r="F29" s="5"/>
    </row>
    <row r="30" spans="1:6" x14ac:dyDescent="0.3">
      <c r="A30" s="109" t="s">
        <v>16</v>
      </c>
      <c r="B30" s="109">
        <v>20</v>
      </c>
      <c r="C30" s="109">
        <v>25</v>
      </c>
      <c r="D30" s="109">
        <v>30</v>
      </c>
      <c r="E30" s="109" t="s">
        <v>48</v>
      </c>
      <c r="F30" s="5"/>
    </row>
    <row r="31" spans="1:6" x14ac:dyDescent="0.3">
      <c r="A31" s="109" t="s">
        <v>17</v>
      </c>
      <c r="B31" s="109"/>
      <c r="C31" s="109"/>
      <c r="D31" s="109"/>
      <c r="E31" s="109"/>
      <c r="F31" s="5"/>
    </row>
    <row r="32" spans="1:6" x14ac:dyDescent="0.3">
      <c r="A32" s="109" t="s">
        <v>18</v>
      </c>
      <c r="B32" s="109">
        <v>-45</v>
      </c>
      <c r="C32" s="109">
        <v>-60</v>
      </c>
      <c r="D32" s="109">
        <v>-75</v>
      </c>
      <c r="E32" s="109" t="s">
        <v>48</v>
      </c>
      <c r="F32" s="5"/>
    </row>
    <row r="33" spans="1:6" x14ac:dyDescent="0.3">
      <c r="A33" s="109" t="s">
        <v>19</v>
      </c>
      <c r="B33" s="109">
        <v>-7</v>
      </c>
      <c r="C33" s="109">
        <v>-13</v>
      </c>
      <c r="D33" s="109">
        <v>-20</v>
      </c>
      <c r="E33" s="109" t="s">
        <v>51</v>
      </c>
      <c r="F33" s="5"/>
    </row>
    <row r="34" spans="1:6" x14ac:dyDescent="0.3">
      <c r="A34" s="109"/>
      <c r="B34" s="109"/>
      <c r="C34" s="109"/>
      <c r="D34" s="109"/>
      <c r="E34" s="109"/>
      <c r="F34" s="5"/>
    </row>
    <row r="35" spans="1:6" x14ac:dyDescent="0.3">
      <c r="A35" s="110" t="s">
        <v>38</v>
      </c>
      <c r="B35" s="109"/>
      <c r="C35" s="109"/>
      <c r="D35" s="109"/>
      <c r="E35" s="109"/>
      <c r="F35" s="5"/>
    </row>
    <row r="36" spans="1:6" x14ac:dyDescent="0.3">
      <c r="A36" s="109" t="s">
        <v>20</v>
      </c>
      <c r="B36" s="109">
        <v>4.7500000000000001E-2</v>
      </c>
      <c r="C36" s="109">
        <v>0.05</v>
      </c>
      <c r="D36" s="109">
        <v>5.2499999999999998E-2</v>
      </c>
      <c r="E36" s="109" t="s">
        <v>46</v>
      </c>
      <c r="F36" s="5"/>
    </row>
    <row r="37" spans="1:6" x14ac:dyDescent="0.3">
      <c r="A37" s="109" t="s">
        <v>1</v>
      </c>
      <c r="B37" s="109"/>
      <c r="C37" s="109">
        <v>6.25E-2</v>
      </c>
      <c r="D37" s="109"/>
      <c r="E37" s="109" t="s">
        <v>46</v>
      </c>
      <c r="F37" s="5" t="s">
        <v>52</v>
      </c>
    </row>
    <row r="38" spans="1:6" x14ac:dyDescent="0.3">
      <c r="A38" s="109"/>
      <c r="B38" s="109"/>
      <c r="C38" s="109">
        <v>0.05</v>
      </c>
      <c r="D38" s="109"/>
      <c r="E38" s="109" t="s">
        <v>46</v>
      </c>
      <c r="F38" s="5" t="s">
        <v>53</v>
      </c>
    </row>
    <row r="39" spans="1:6" x14ac:dyDescent="0.3">
      <c r="A39" s="109"/>
      <c r="B39" s="109"/>
      <c r="C39" s="109">
        <v>2.5000000000000001E-2</v>
      </c>
      <c r="D39" s="109"/>
      <c r="E39" s="109" t="s">
        <v>46</v>
      </c>
      <c r="F39" s="5" t="s">
        <v>54</v>
      </c>
    </row>
    <row r="40" spans="1:6" x14ac:dyDescent="0.3">
      <c r="A40" s="109"/>
      <c r="B40" s="109">
        <v>0.01</v>
      </c>
      <c r="C40" s="109">
        <v>1.2500000000000001E-2</v>
      </c>
      <c r="D40" s="109">
        <v>1.4999999999999999E-2</v>
      </c>
      <c r="E40" s="109" t="s">
        <v>46</v>
      </c>
      <c r="F40" s="5" t="s">
        <v>55</v>
      </c>
    </row>
    <row r="41" spans="1:6" x14ac:dyDescent="0.3">
      <c r="A41" s="109" t="s">
        <v>2</v>
      </c>
      <c r="B41" s="109">
        <v>7.4999999999999997E-3</v>
      </c>
      <c r="C41" s="109">
        <v>0.01</v>
      </c>
      <c r="D41" s="109">
        <v>1.255E-2</v>
      </c>
      <c r="E41" s="109" t="s">
        <v>46</v>
      </c>
      <c r="F41" s="5" t="s">
        <v>56</v>
      </c>
    </row>
    <row r="42" spans="1:6" x14ac:dyDescent="0.3">
      <c r="A42" s="109"/>
      <c r="B42" s="109">
        <v>2.2499999999999999E-2</v>
      </c>
      <c r="C42" s="109">
        <v>2.5000000000000001E-2</v>
      </c>
      <c r="D42" s="109">
        <v>2.75E-2</v>
      </c>
      <c r="E42" s="109" t="s">
        <v>46</v>
      </c>
      <c r="F42" s="5" t="s">
        <v>57</v>
      </c>
    </row>
    <row r="43" spans="1:6" x14ac:dyDescent="0.3">
      <c r="A43" s="109" t="s">
        <v>21</v>
      </c>
      <c r="B43" s="109">
        <v>5.0000000000000001E-4</v>
      </c>
      <c r="C43" s="109">
        <v>1E-3</v>
      </c>
      <c r="D43" s="109">
        <v>1.5E-3</v>
      </c>
      <c r="E43" s="109" t="s">
        <v>46</v>
      </c>
      <c r="F43" s="5"/>
    </row>
    <row r="44" spans="1:6" x14ac:dyDescent="0.3">
      <c r="A44" s="109"/>
      <c r="B44" s="109"/>
      <c r="C44" s="109"/>
      <c r="D44" s="109"/>
      <c r="E44" s="109"/>
      <c r="F44" s="5"/>
    </row>
    <row r="45" spans="1:6" x14ac:dyDescent="0.3">
      <c r="A45" s="110" t="s">
        <v>39</v>
      </c>
      <c r="B45" s="109"/>
      <c r="C45" s="109"/>
      <c r="D45" s="109"/>
      <c r="E45" s="109"/>
      <c r="F45" s="5"/>
    </row>
    <row r="46" spans="1:6" x14ac:dyDescent="0.3">
      <c r="A46" s="109" t="s">
        <v>22</v>
      </c>
      <c r="B46" s="109">
        <v>0.09</v>
      </c>
      <c r="C46" s="109">
        <v>0.1</v>
      </c>
      <c r="D46" s="109">
        <v>0.11</v>
      </c>
      <c r="E46" s="109" t="s">
        <v>46</v>
      </c>
      <c r="F46" s="5" t="s">
        <v>58</v>
      </c>
    </row>
    <row r="47" spans="1:6" x14ac:dyDescent="0.3">
      <c r="A47" s="109"/>
      <c r="B47" s="109">
        <v>0.02</v>
      </c>
      <c r="C47" s="109">
        <v>2.5000000000000001E-2</v>
      </c>
      <c r="D47" s="109">
        <v>0.03</v>
      </c>
      <c r="E47" s="109" t="s">
        <v>46</v>
      </c>
      <c r="F47" s="5" t="s">
        <v>59</v>
      </c>
    </row>
    <row r="48" spans="1:6" x14ac:dyDescent="0.3">
      <c r="A48" s="109"/>
      <c r="B48" s="109"/>
      <c r="C48" s="109"/>
      <c r="D48" s="109"/>
      <c r="E48" s="109"/>
      <c r="F48" s="5"/>
    </row>
    <row r="49" spans="1:6" x14ac:dyDescent="0.3">
      <c r="A49" s="110" t="s">
        <v>40</v>
      </c>
      <c r="B49" s="109"/>
      <c r="C49" s="109"/>
      <c r="D49" s="109"/>
      <c r="E49" s="109"/>
      <c r="F49" s="5"/>
    </row>
    <row r="50" spans="1:6" x14ac:dyDescent="0.3">
      <c r="A50" s="109" t="s">
        <v>23</v>
      </c>
      <c r="B50" s="109">
        <v>-18</v>
      </c>
      <c r="C50" s="109">
        <v>-20</v>
      </c>
      <c r="D50" s="109">
        <v>-22</v>
      </c>
      <c r="E50" s="109" t="s">
        <v>48</v>
      </c>
      <c r="F50" s="5"/>
    </row>
    <row r="51" spans="1:6" x14ac:dyDescent="0.3">
      <c r="A51" s="109" t="s">
        <v>24</v>
      </c>
      <c r="B51" s="109">
        <v>1.96</v>
      </c>
      <c r="C51" s="109">
        <v>2</v>
      </c>
      <c r="D51" s="109">
        <v>2.04</v>
      </c>
      <c r="E51" s="109" t="s">
        <v>46</v>
      </c>
      <c r="F51" s="5"/>
    </row>
    <row r="52" spans="1:6" x14ac:dyDescent="0.3">
      <c r="A52" s="109" t="s">
        <v>25</v>
      </c>
      <c r="B52" s="109">
        <v>0.18</v>
      </c>
      <c r="C52" s="109">
        <v>0.2</v>
      </c>
      <c r="D52" s="109">
        <v>0.22</v>
      </c>
      <c r="E52" s="109" t="s">
        <v>46</v>
      </c>
      <c r="F52" s="5"/>
    </row>
    <row r="53" spans="1:6" x14ac:dyDescent="0.3">
      <c r="A53" s="109"/>
      <c r="B53" s="109"/>
      <c r="C53" s="109"/>
      <c r="D53" s="109"/>
      <c r="E53" s="109"/>
      <c r="F53" s="5"/>
    </row>
    <row r="54" spans="1:6" x14ac:dyDescent="0.3">
      <c r="A54" s="110" t="s">
        <v>41</v>
      </c>
      <c r="B54" s="109"/>
      <c r="C54" s="109"/>
      <c r="D54" s="109"/>
      <c r="E54" s="109"/>
      <c r="F54" s="5"/>
    </row>
    <row r="55" spans="1:6" x14ac:dyDescent="0.3">
      <c r="A55" s="109" t="s">
        <v>26</v>
      </c>
      <c r="B55" s="109">
        <v>-18</v>
      </c>
      <c r="C55" s="109">
        <v>-20</v>
      </c>
      <c r="D55" s="109">
        <v>-22</v>
      </c>
      <c r="E55" s="109" t="s">
        <v>48</v>
      </c>
      <c r="F55" s="5"/>
    </row>
    <row r="56" spans="1:6" x14ac:dyDescent="0.3">
      <c r="A56" s="109" t="s">
        <v>27</v>
      </c>
      <c r="B56" s="109">
        <v>-0.8</v>
      </c>
      <c r="C56" s="109">
        <v>-1</v>
      </c>
      <c r="D56" s="109">
        <v>-1.2</v>
      </c>
      <c r="E56" s="109" t="s">
        <v>48</v>
      </c>
      <c r="F56" s="5"/>
    </row>
    <row r="57" spans="1:6" x14ac:dyDescent="0.3">
      <c r="A57" s="109" t="s">
        <v>28</v>
      </c>
      <c r="B57" s="109">
        <v>1.96</v>
      </c>
      <c r="C57" s="109">
        <v>2</v>
      </c>
      <c r="D57" s="109">
        <v>2.04</v>
      </c>
      <c r="E57" s="109" t="s">
        <v>46</v>
      </c>
      <c r="F57" s="5"/>
    </row>
    <row r="58" spans="1:6" x14ac:dyDescent="0.3">
      <c r="A58" s="109"/>
      <c r="B58" s="109"/>
      <c r="C58" s="109"/>
      <c r="D58" s="109"/>
      <c r="E58" s="109"/>
      <c r="F58" s="5"/>
    </row>
    <row r="59" spans="1:6" x14ac:dyDescent="0.3">
      <c r="A59" s="110" t="s">
        <v>42</v>
      </c>
      <c r="B59" s="109"/>
      <c r="C59" s="109"/>
      <c r="D59" s="109"/>
      <c r="E59" s="109"/>
      <c r="F59" s="5"/>
    </row>
    <row r="60" spans="1:6" x14ac:dyDescent="0.3">
      <c r="A60" s="109" t="s">
        <v>29</v>
      </c>
      <c r="B60" s="109">
        <v>0.99</v>
      </c>
      <c r="C60" s="109">
        <v>1</v>
      </c>
      <c r="D60" s="109">
        <v>1.01</v>
      </c>
      <c r="E60" s="109" t="s">
        <v>46</v>
      </c>
      <c r="F60" s="5"/>
    </row>
    <row r="61" spans="1:6" x14ac:dyDescent="0.3">
      <c r="A61" s="109" t="s">
        <v>30</v>
      </c>
      <c r="B61" s="109">
        <v>0.02</v>
      </c>
      <c r="C61" s="109">
        <v>0.03</v>
      </c>
      <c r="D61" s="109">
        <v>0.04</v>
      </c>
      <c r="E61" s="109" t="s">
        <v>46</v>
      </c>
      <c r="F61" s="5"/>
    </row>
  </sheetData>
  <sheetProtection algorithmName="SHA-512" hashValue="Fjza/ie8E6ZktcMEQgskuYzl5+H5QUhWOo4Vu8O5+U+awHmcm9+5M5LOXcJc646dao3bueJh7SDfUJdpfMj9SA==" saltValue="8ryp5zZnGLUk8bl68/9+8A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2"/>
  <sheetViews>
    <sheetView topLeftCell="A46" workbookViewId="0">
      <selection activeCell="F61" activeCellId="3" sqref="B61 B62 D61 F61"/>
    </sheetView>
  </sheetViews>
  <sheetFormatPr defaultRowHeight="12.45" x14ac:dyDescent="0.3"/>
  <cols>
    <col min="1" max="1" width="18" style="1" customWidth="1"/>
    <col min="3" max="3" width="18" style="1" customWidth="1"/>
    <col min="5" max="5" width="18" style="1" customWidth="1"/>
  </cols>
  <sheetData>
    <row r="1" spans="1:6" x14ac:dyDescent="0.3">
      <c r="A1" s="112" t="s">
        <v>60</v>
      </c>
      <c r="B1" s="5">
        <f>'Datasheet Parameters'!B3</f>
        <v>0.99</v>
      </c>
      <c r="C1" s="112" t="s">
        <v>134</v>
      </c>
      <c r="D1" s="5">
        <f>'Datasheet Parameters'!C3</f>
        <v>1</v>
      </c>
      <c r="E1" s="112" t="s">
        <v>61</v>
      </c>
      <c r="F1" s="5">
        <f>'Datasheet Parameters'!D3</f>
        <v>1.01</v>
      </c>
    </row>
    <row r="2" spans="1:6" x14ac:dyDescent="0.3">
      <c r="A2" s="112" t="s">
        <v>62</v>
      </c>
      <c r="B2" s="5">
        <f>'Datasheet Parameters'!B4</f>
        <v>0.05</v>
      </c>
      <c r="C2" s="112" t="s">
        <v>71</v>
      </c>
      <c r="D2" s="5">
        <f>'Datasheet Parameters'!C4</f>
        <v>0.06</v>
      </c>
      <c r="E2" s="112" t="s">
        <v>63</v>
      </c>
      <c r="F2" s="5">
        <f>'Datasheet Parameters'!D4</f>
        <v>7.0000000000000007E-2</v>
      </c>
    </row>
    <row r="3" spans="1:6" x14ac:dyDescent="0.3">
      <c r="A3" s="112"/>
      <c r="B3" s="5"/>
      <c r="C3" s="112"/>
      <c r="D3" s="5"/>
      <c r="E3" s="112"/>
      <c r="F3" s="5"/>
    </row>
    <row r="4" spans="1:6" x14ac:dyDescent="0.3">
      <c r="A4" s="112"/>
      <c r="B4" s="5"/>
      <c r="C4" s="112"/>
      <c r="D4" s="5"/>
      <c r="E4" s="112"/>
      <c r="F4" s="5"/>
    </row>
    <row r="5" spans="1:6" x14ac:dyDescent="0.3">
      <c r="A5" s="112" t="s">
        <v>64</v>
      </c>
      <c r="B5" s="5">
        <f>'Datasheet Parameters'!B6</f>
        <v>0.99</v>
      </c>
      <c r="C5" s="112" t="s">
        <v>72</v>
      </c>
      <c r="D5" s="5">
        <f>'Datasheet Parameters'!C6</f>
        <v>1</v>
      </c>
      <c r="E5" s="112" t="s">
        <v>66</v>
      </c>
      <c r="F5" s="5">
        <f>'Datasheet Parameters'!D6</f>
        <v>1.01</v>
      </c>
    </row>
    <row r="6" spans="1:6" x14ac:dyDescent="0.3">
      <c r="A6" s="112" t="s">
        <v>65</v>
      </c>
      <c r="B6" s="5">
        <f>'Datasheet Parameters'!B7</f>
        <v>0.02</v>
      </c>
      <c r="C6" s="112" t="s">
        <v>73</v>
      </c>
      <c r="D6" s="5">
        <f>'Datasheet Parameters'!C7</f>
        <v>0.03</v>
      </c>
      <c r="E6" s="112" t="s">
        <v>67</v>
      </c>
      <c r="F6" s="5">
        <f>'Datasheet Parameters'!D7</f>
        <v>0.04</v>
      </c>
    </row>
    <row r="7" spans="1:6" x14ac:dyDescent="0.3">
      <c r="A7" s="112"/>
      <c r="B7" s="5"/>
      <c r="C7" s="112"/>
      <c r="D7" s="5"/>
      <c r="E7" s="112"/>
      <c r="F7" s="5"/>
    </row>
    <row r="8" spans="1:6" x14ac:dyDescent="0.3">
      <c r="A8" s="112"/>
      <c r="B8" s="5"/>
      <c r="C8" s="112"/>
      <c r="D8" s="5"/>
      <c r="E8" s="112"/>
      <c r="F8" s="5"/>
    </row>
    <row r="9" spans="1:6" x14ac:dyDescent="0.3">
      <c r="A9" s="112" t="s">
        <v>68</v>
      </c>
      <c r="B9" s="5">
        <f>'Datasheet Parameters'!B11</f>
        <v>0</v>
      </c>
      <c r="C9" s="112" t="s">
        <v>69</v>
      </c>
      <c r="D9" s="5">
        <f>'Datasheet Parameters'!C11</f>
        <v>40</v>
      </c>
      <c r="E9" s="112" t="s">
        <v>70</v>
      </c>
      <c r="F9" s="5">
        <f>'Datasheet Parameters'!D11</f>
        <v>80</v>
      </c>
    </row>
    <row r="10" spans="1:6" x14ac:dyDescent="0.3">
      <c r="A10" s="112"/>
      <c r="B10" s="5"/>
      <c r="C10" s="112"/>
      <c r="D10" s="5"/>
      <c r="E10" s="112"/>
      <c r="F10" s="5"/>
    </row>
    <row r="11" spans="1:6" x14ac:dyDescent="0.3">
      <c r="A11" s="112"/>
      <c r="B11" s="5"/>
      <c r="C11" s="112"/>
      <c r="D11" s="5"/>
      <c r="E11" s="112"/>
      <c r="F11" s="5"/>
    </row>
    <row r="12" spans="1:6" x14ac:dyDescent="0.3">
      <c r="A12" s="112" t="s">
        <v>74</v>
      </c>
      <c r="B12" s="5">
        <f>'Datasheet Parameters'!B14</f>
        <v>3.5459999999999998</v>
      </c>
      <c r="C12" s="112" t="s">
        <v>75</v>
      </c>
      <c r="D12" s="5">
        <f>'Datasheet Parameters'!C14</f>
        <v>3.6</v>
      </c>
      <c r="E12" s="112" t="s">
        <v>76</v>
      </c>
      <c r="F12" s="5">
        <f>'Datasheet Parameters'!D14</f>
        <v>3.6539999999999999</v>
      </c>
    </row>
    <row r="13" spans="1:6" x14ac:dyDescent="0.3">
      <c r="A13" s="112"/>
      <c r="B13" s="5"/>
      <c r="C13" s="112"/>
      <c r="D13" s="5"/>
      <c r="E13" s="112" t="s">
        <v>8</v>
      </c>
      <c r="F13" s="5">
        <f>'Datasheet Parameters'!D15</f>
        <v>3.4</v>
      </c>
    </row>
    <row r="14" spans="1:6" x14ac:dyDescent="0.3">
      <c r="A14" s="112" t="s">
        <v>9</v>
      </c>
      <c r="B14" s="5">
        <f>'Datasheet Parameters'!B16</f>
        <v>3</v>
      </c>
      <c r="C14" s="112"/>
      <c r="D14" s="5"/>
      <c r="E14" s="112"/>
      <c r="F14" s="5"/>
    </row>
    <row r="15" spans="1:6" x14ac:dyDescent="0.3">
      <c r="A15" s="112"/>
      <c r="B15" s="5"/>
      <c r="C15" s="112" t="s">
        <v>10</v>
      </c>
      <c r="D15" s="5">
        <f>'Datasheet Parameters'!C17</f>
        <v>0.21</v>
      </c>
      <c r="E15" s="112"/>
      <c r="F15" s="5"/>
    </row>
    <row r="16" spans="1:6" x14ac:dyDescent="0.3">
      <c r="A16" s="112"/>
      <c r="B16" s="5"/>
      <c r="C16" s="112"/>
      <c r="D16" s="5"/>
      <c r="E16" s="112"/>
      <c r="F16" s="5"/>
    </row>
    <row r="17" spans="1:6" x14ac:dyDescent="0.3">
      <c r="A17" s="112"/>
      <c r="B17" s="5"/>
      <c r="C17" s="112"/>
      <c r="D17" s="5"/>
      <c r="E17" s="112"/>
      <c r="F17" s="5"/>
    </row>
    <row r="18" spans="1:6" x14ac:dyDescent="0.3">
      <c r="A18" s="112" t="s">
        <v>77</v>
      </c>
      <c r="B18" s="5">
        <f>'Datasheet Parameters'!B20</f>
        <v>2.5499999999999998</v>
      </c>
      <c r="C18" s="112" t="s">
        <v>78</v>
      </c>
      <c r="D18" s="5">
        <f>'Datasheet Parameters'!C20</f>
        <v>2.6</v>
      </c>
      <c r="E18" s="112" t="s">
        <v>79</v>
      </c>
      <c r="F18" s="5">
        <f>'Datasheet Parameters'!D20</f>
        <v>2.65</v>
      </c>
    </row>
    <row r="19" spans="1:6" x14ac:dyDescent="0.3">
      <c r="A19" s="112"/>
      <c r="B19" s="5"/>
      <c r="C19" s="112" t="s">
        <v>80</v>
      </c>
      <c r="D19" s="5">
        <f>'Datasheet Parameters'!C21</f>
        <v>2</v>
      </c>
      <c r="E19" s="112"/>
      <c r="F19" s="5"/>
    </row>
    <row r="20" spans="1:6" x14ac:dyDescent="0.3">
      <c r="A20" s="112" t="s">
        <v>82</v>
      </c>
      <c r="B20" s="5"/>
      <c r="C20" s="112" t="s">
        <v>81</v>
      </c>
      <c r="D20" s="5">
        <f>'Datasheet Parameters'!C22</f>
        <v>40</v>
      </c>
      <c r="E20" s="112" t="s">
        <v>83</v>
      </c>
      <c r="F20" s="5"/>
    </row>
    <row r="21" spans="1:6" x14ac:dyDescent="0.3">
      <c r="A21" s="112"/>
      <c r="B21" s="5"/>
      <c r="C21" s="112"/>
      <c r="D21" s="5"/>
      <c r="E21" s="112"/>
      <c r="F21" s="5"/>
    </row>
    <row r="22" spans="1:6" x14ac:dyDescent="0.3">
      <c r="A22" s="112"/>
      <c r="B22" s="5"/>
      <c r="C22" s="112"/>
      <c r="D22" s="5"/>
      <c r="E22" s="112"/>
      <c r="F22" s="5"/>
    </row>
    <row r="23" spans="1:6" x14ac:dyDescent="0.3">
      <c r="A23" s="112" t="s">
        <v>84</v>
      </c>
      <c r="B23" s="5">
        <f>'Datasheet Parameters'!B25</f>
        <v>10</v>
      </c>
      <c r="C23" s="112" t="s">
        <v>14</v>
      </c>
      <c r="D23" s="5">
        <f>'Datasheet Parameters'!C25</f>
        <v>12</v>
      </c>
      <c r="E23" s="112" t="s">
        <v>85</v>
      </c>
      <c r="F23" s="5">
        <f>'Datasheet Parameters'!D25</f>
        <v>14</v>
      </c>
    </row>
    <row r="24" spans="1:6" x14ac:dyDescent="0.3">
      <c r="A24" s="112" t="s">
        <v>86</v>
      </c>
      <c r="B24" s="5">
        <f>'Datasheet Parameters'!B26</f>
        <v>7</v>
      </c>
      <c r="C24" s="112" t="s">
        <v>87</v>
      </c>
      <c r="D24" s="5">
        <f>'Datasheet Parameters'!C26</f>
        <v>10</v>
      </c>
      <c r="E24" s="112" t="s">
        <v>88</v>
      </c>
      <c r="F24" s="5">
        <f>'Datasheet Parameters'!D26</f>
        <v>13</v>
      </c>
    </row>
    <row r="25" spans="1:6" x14ac:dyDescent="0.3">
      <c r="A25" s="112"/>
      <c r="B25" s="5"/>
      <c r="C25" s="112"/>
      <c r="D25" s="5"/>
      <c r="E25" s="112"/>
      <c r="F25" s="5"/>
    </row>
    <row r="26" spans="1:6" x14ac:dyDescent="0.3">
      <c r="A26" s="112"/>
      <c r="B26" s="5"/>
      <c r="C26" s="112"/>
      <c r="D26" s="5"/>
      <c r="E26" s="112"/>
      <c r="F26" s="5"/>
    </row>
    <row r="27" spans="1:6" x14ac:dyDescent="0.3">
      <c r="A27" s="112" t="s">
        <v>89</v>
      </c>
      <c r="B27" s="5">
        <f>'Datasheet Parameters'!B29</f>
        <v>10</v>
      </c>
      <c r="C27" s="112" t="s">
        <v>90</v>
      </c>
      <c r="D27" s="5">
        <f>'Datasheet Parameters'!C29</f>
        <v>12</v>
      </c>
      <c r="E27" s="112" t="s">
        <v>135</v>
      </c>
      <c r="F27" s="5">
        <f>'Datasheet Parameters'!D29</f>
        <v>14</v>
      </c>
    </row>
    <row r="28" spans="1:6" x14ac:dyDescent="0.3">
      <c r="A28" s="112" t="s">
        <v>91</v>
      </c>
      <c r="B28" s="5">
        <f>'Datasheet Parameters'!B30</f>
        <v>20</v>
      </c>
      <c r="C28" s="112" t="s">
        <v>92</v>
      </c>
      <c r="D28" s="5">
        <f>'Datasheet Parameters'!C30</f>
        <v>25</v>
      </c>
      <c r="E28" s="112" t="s">
        <v>93</v>
      </c>
      <c r="F28" s="5">
        <f>'Datasheet Parameters'!D30</f>
        <v>30</v>
      </c>
    </row>
    <row r="29" spans="1:6" x14ac:dyDescent="0.3">
      <c r="A29" s="112"/>
      <c r="B29" s="5"/>
      <c r="C29" s="112"/>
      <c r="D29" s="5"/>
      <c r="E29" s="112"/>
      <c r="F29" s="5"/>
    </row>
    <row r="30" spans="1:6" x14ac:dyDescent="0.3">
      <c r="A30" s="112" t="s">
        <v>136</v>
      </c>
      <c r="B30" s="5">
        <f>'Datasheet Parameters'!B32</f>
        <v>-45</v>
      </c>
      <c r="C30" s="112" t="s">
        <v>137</v>
      </c>
      <c r="D30" s="5">
        <f>'Datasheet Parameters'!C32</f>
        <v>-60</v>
      </c>
      <c r="E30" s="112" t="s">
        <v>138</v>
      </c>
      <c r="F30" s="5">
        <f>'Datasheet Parameters'!D32</f>
        <v>-75</v>
      </c>
    </row>
    <row r="31" spans="1:6" x14ac:dyDescent="0.3">
      <c r="A31" s="112" t="s">
        <v>94</v>
      </c>
      <c r="B31" s="5">
        <f>'Datasheet Parameters'!B33</f>
        <v>-7</v>
      </c>
      <c r="C31" s="112" t="s">
        <v>96</v>
      </c>
      <c r="D31" s="5">
        <f>'Datasheet Parameters'!C33</f>
        <v>-13</v>
      </c>
      <c r="E31" s="112" t="s">
        <v>95</v>
      </c>
      <c r="F31" s="5">
        <f>'Datasheet Parameters'!D33</f>
        <v>-20</v>
      </c>
    </row>
    <row r="32" spans="1:6" x14ac:dyDescent="0.3">
      <c r="A32" s="112"/>
      <c r="B32" s="5"/>
      <c r="C32" s="112"/>
      <c r="D32" s="5"/>
      <c r="E32" s="112"/>
      <c r="F32" s="5"/>
    </row>
    <row r="33" spans="1:6" x14ac:dyDescent="0.3">
      <c r="A33" s="112"/>
      <c r="B33" s="5"/>
      <c r="C33" s="112"/>
      <c r="D33" s="5"/>
      <c r="E33" s="112"/>
      <c r="F33" s="5"/>
    </row>
    <row r="34" spans="1:6" x14ac:dyDescent="0.3">
      <c r="A34" s="112" t="s">
        <v>97</v>
      </c>
      <c r="B34" s="5">
        <f>'Datasheet Parameters'!B36</f>
        <v>4.7500000000000001E-2</v>
      </c>
      <c r="C34" s="112" t="s">
        <v>20</v>
      </c>
      <c r="D34" s="5">
        <f>'Datasheet Parameters'!C36</f>
        <v>0.05</v>
      </c>
      <c r="E34" s="112" t="s">
        <v>98</v>
      </c>
      <c r="F34" s="5">
        <f>'Datasheet Parameters'!D36</f>
        <v>5.2499999999999998E-2</v>
      </c>
    </row>
    <row r="35" spans="1:6" x14ac:dyDescent="0.3">
      <c r="A35" s="112"/>
      <c r="B35" s="5">
        <f>'Datasheet Parameters'!B37</f>
        <v>0</v>
      </c>
      <c r="C35" s="112"/>
      <c r="D35" s="5">
        <f>'Datasheet Parameters'!C37</f>
        <v>6.25E-2</v>
      </c>
      <c r="E35" s="112"/>
      <c r="F35" s="5">
        <f>'Datasheet Parameters'!D37</f>
        <v>0</v>
      </c>
    </row>
    <row r="36" spans="1:6" x14ac:dyDescent="0.3">
      <c r="A36" s="112"/>
      <c r="B36" s="5">
        <f>'Datasheet Parameters'!B38</f>
        <v>0</v>
      </c>
      <c r="C36" s="112"/>
      <c r="D36" s="5">
        <f>'Datasheet Parameters'!C38</f>
        <v>0.05</v>
      </c>
      <c r="E36" s="112"/>
      <c r="F36" s="5">
        <f>'Datasheet Parameters'!D38</f>
        <v>0</v>
      </c>
    </row>
    <row r="37" spans="1:6" x14ac:dyDescent="0.3">
      <c r="A37" s="112"/>
      <c r="B37" s="5">
        <f>'Datasheet Parameters'!B39</f>
        <v>0</v>
      </c>
      <c r="C37" s="112"/>
      <c r="D37" s="5">
        <f>'Datasheet Parameters'!C39</f>
        <v>2.5000000000000001E-2</v>
      </c>
      <c r="E37" s="112"/>
      <c r="F37" s="5">
        <f>'Datasheet Parameters'!D39</f>
        <v>0</v>
      </c>
    </row>
    <row r="38" spans="1:6" x14ac:dyDescent="0.3">
      <c r="A38" s="112" t="s">
        <v>99</v>
      </c>
      <c r="B38" s="5">
        <f>'Datasheet Parameters'!B40</f>
        <v>0.01</v>
      </c>
      <c r="C38" s="112" t="s">
        <v>100</v>
      </c>
      <c r="D38" s="5">
        <f>'Datasheet Parameters'!C40</f>
        <v>1.2500000000000001E-2</v>
      </c>
      <c r="E38" s="112" t="s">
        <v>101</v>
      </c>
      <c r="F38" s="5">
        <f>'Datasheet Parameters'!D40</f>
        <v>1.4999999999999999E-2</v>
      </c>
    </row>
    <row r="39" spans="1:6" x14ac:dyDescent="0.3">
      <c r="A39" s="112" t="s">
        <v>102</v>
      </c>
      <c r="B39" s="5">
        <f>'Datasheet Parameters'!B41</f>
        <v>7.4999999999999997E-3</v>
      </c>
      <c r="C39" s="112" t="s">
        <v>103</v>
      </c>
      <c r="D39" s="5">
        <f>'Datasheet Parameters'!C41</f>
        <v>0.01</v>
      </c>
      <c r="E39" s="112" t="s">
        <v>104</v>
      </c>
      <c r="F39" s="5">
        <f>'Datasheet Parameters'!D41</f>
        <v>1.255E-2</v>
      </c>
    </row>
    <row r="40" spans="1:6" x14ac:dyDescent="0.3">
      <c r="A40" s="112"/>
      <c r="B40" s="5">
        <f>'Datasheet Parameters'!B42</f>
        <v>2.2499999999999999E-2</v>
      </c>
      <c r="C40" s="112"/>
      <c r="D40" s="5">
        <f>'Datasheet Parameters'!C42</f>
        <v>2.5000000000000001E-2</v>
      </c>
      <c r="E40" s="112"/>
      <c r="F40" s="5">
        <f>'Datasheet Parameters'!D42</f>
        <v>2.75E-2</v>
      </c>
    </row>
    <row r="41" spans="1:6" x14ac:dyDescent="0.3">
      <c r="A41" s="112" t="s">
        <v>105</v>
      </c>
      <c r="B41" s="5">
        <f>'Datasheet Parameters'!B43</f>
        <v>5.0000000000000001E-4</v>
      </c>
      <c r="C41" s="112" t="s">
        <v>21</v>
      </c>
      <c r="D41" s="5">
        <f>'Datasheet Parameters'!C43</f>
        <v>1E-3</v>
      </c>
      <c r="E41" s="112" t="s">
        <v>130</v>
      </c>
      <c r="F41" s="5">
        <f>'Datasheet Parameters'!D43</f>
        <v>1.5E-3</v>
      </c>
    </row>
    <row r="42" spans="1:6" x14ac:dyDescent="0.3">
      <c r="A42" s="112"/>
      <c r="B42" s="5"/>
      <c r="C42" s="112"/>
      <c r="D42" s="5"/>
      <c r="E42" s="112"/>
      <c r="F42" s="5"/>
    </row>
    <row r="43" spans="1:6" x14ac:dyDescent="0.3">
      <c r="A43" s="112"/>
      <c r="B43" s="5"/>
      <c r="C43" s="112"/>
      <c r="D43" s="5"/>
      <c r="E43" s="112"/>
      <c r="F43" s="5"/>
    </row>
    <row r="44" spans="1:6" x14ac:dyDescent="0.3">
      <c r="A44" s="112" t="s">
        <v>131</v>
      </c>
      <c r="B44" s="5">
        <f>'Datasheet Parameters'!B46</f>
        <v>0.09</v>
      </c>
      <c r="C44" s="112" t="s">
        <v>132</v>
      </c>
      <c r="D44" s="5">
        <f>'Datasheet Parameters'!C46</f>
        <v>0.1</v>
      </c>
      <c r="E44" s="112" t="s">
        <v>133</v>
      </c>
      <c r="F44" s="5">
        <f>'Datasheet Parameters'!D46</f>
        <v>0.11</v>
      </c>
    </row>
    <row r="45" spans="1:6" x14ac:dyDescent="0.3">
      <c r="A45" s="112"/>
      <c r="B45" s="5">
        <f>'Datasheet Parameters'!B47</f>
        <v>0.02</v>
      </c>
      <c r="C45" s="112"/>
      <c r="D45" s="5">
        <f>'Datasheet Parameters'!C47</f>
        <v>2.5000000000000001E-2</v>
      </c>
      <c r="E45" s="112"/>
      <c r="F45" s="5">
        <f>'Datasheet Parameters'!D47</f>
        <v>0.03</v>
      </c>
    </row>
    <row r="46" spans="1:6" x14ac:dyDescent="0.3">
      <c r="A46" s="112"/>
      <c r="B46" s="5"/>
      <c r="C46" s="112"/>
      <c r="D46" s="5"/>
      <c r="E46" s="112"/>
      <c r="F46" s="5"/>
    </row>
    <row r="47" spans="1:6" x14ac:dyDescent="0.3">
      <c r="A47" s="112"/>
      <c r="B47" s="5"/>
      <c r="C47" s="112"/>
      <c r="D47" s="5"/>
      <c r="E47" s="112"/>
      <c r="F47" s="5"/>
    </row>
    <row r="48" spans="1:6" x14ac:dyDescent="0.3">
      <c r="A48" s="112" t="s">
        <v>106</v>
      </c>
      <c r="B48" s="5">
        <f>'Datasheet Parameters'!B50</f>
        <v>-18</v>
      </c>
      <c r="C48" s="112" t="s">
        <v>107</v>
      </c>
      <c r="D48" s="5">
        <f>'Datasheet Parameters'!C50</f>
        <v>-20</v>
      </c>
      <c r="E48" s="112" t="s">
        <v>108</v>
      </c>
      <c r="F48" s="5">
        <f>'Datasheet Parameters'!D50</f>
        <v>-22</v>
      </c>
    </row>
    <row r="49" spans="1:6" x14ac:dyDescent="0.3">
      <c r="A49" s="112" t="s">
        <v>109</v>
      </c>
      <c r="B49" s="5">
        <f>'Datasheet Parameters'!B51</f>
        <v>1.96</v>
      </c>
      <c r="C49" s="112" t="s">
        <v>110</v>
      </c>
      <c r="D49" s="5">
        <f>'Datasheet Parameters'!C51</f>
        <v>2</v>
      </c>
      <c r="E49" s="112" t="s">
        <v>111</v>
      </c>
      <c r="F49" s="5">
        <f>'Datasheet Parameters'!D51</f>
        <v>2.04</v>
      </c>
    </row>
    <row r="50" spans="1:6" x14ac:dyDescent="0.3">
      <c r="A50" s="112" t="s">
        <v>112</v>
      </c>
      <c r="B50" s="5">
        <f>'Datasheet Parameters'!B52</f>
        <v>0.18</v>
      </c>
      <c r="C50" s="112" t="s">
        <v>113</v>
      </c>
      <c r="D50" s="5">
        <f>'Datasheet Parameters'!C52</f>
        <v>0.2</v>
      </c>
      <c r="E50" s="112" t="s">
        <v>114</v>
      </c>
      <c r="F50" s="5">
        <f>'Datasheet Parameters'!D52</f>
        <v>0.22</v>
      </c>
    </row>
    <row r="51" spans="1:6" x14ac:dyDescent="0.3">
      <c r="A51" s="112"/>
      <c r="B51" s="5"/>
      <c r="C51" s="112"/>
      <c r="D51" s="5"/>
      <c r="E51" s="112"/>
      <c r="F51" s="5"/>
    </row>
    <row r="52" spans="1:6" x14ac:dyDescent="0.3">
      <c r="A52" s="112"/>
      <c r="B52" s="5"/>
      <c r="C52" s="112"/>
      <c r="D52" s="5"/>
      <c r="E52" s="112"/>
      <c r="F52" s="5"/>
    </row>
    <row r="53" spans="1:6" x14ac:dyDescent="0.3">
      <c r="A53" s="112" t="s">
        <v>115</v>
      </c>
      <c r="B53" s="5">
        <f>'Datasheet Parameters'!B55</f>
        <v>-18</v>
      </c>
      <c r="C53" s="112" t="s">
        <v>116</v>
      </c>
      <c r="D53" s="5">
        <f>'Datasheet Parameters'!C55</f>
        <v>-20</v>
      </c>
      <c r="E53" s="112" t="s">
        <v>117</v>
      </c>
      <c r="F53" s="5">
        <f>'Datasheet Parameters'!D55</f>
        <v>-22</v>
      </c>
    </row>
    <row r="54" spans="1:6" x14ac:dyDescent="0.3">
      <c r="A54" s="112" t="s">
        <v>118</v>
      </c>
      <c r="B54" s="5">
        <f>'Datasheet Parameters'!B56</f>
        <v>-0.8</v>
      </c>
      <c r="C54" s="112" t="s">
        <v>119</v>
      </c>
      <c r="D54" s="5">
        <f>'Datasheet Parameters'!C56</f>
        <v>-1</v>
      </c>
      <c r="E54" s="112" t="s">
        <v>120</v>
      </c>
      <c r="F54" s="5">
        <f>'Datasheet Parameters'!D56</f>
        <v>-1.2</v>
      </c>
    </row>
    <row r="55" spans="1:6" x14ac:dyDescent="0.3">
      <c r="A55" s="112" t="s">
        <v>121</v>
      </c>
      <c r="B55" s="5">
        <f>'Datasheet Parameters'!B57</f>
        <v>1.96</v>
      </c>
      <c r="C55" s="112" t="s">
        <v>123</v>
      </c>
      <c r="D55" s="5">
        <f>'Datasheet Parameters'!C57</f>
        <v>2</v>
      </c>
      <c r="E55" s="112" t="s">
        <v>122</v>
      </c>
      <c r="F55" s="5">
        <f>'Datasheet Parameters'!D57</f>
        <v>2.04</v>
      </c>
    </row>
    <row r="56" spans="1:6" x14ac:dyDescent="0.3">
      <c r="A56" s="112"/>
      <c r="B56" s="5"/>
      <c r="C56" s="112"/>
      <c r="D56" s="5"/>
      <c r="E56" s="112"/>
      <c r="F56" s="5"/>
    </row>
    <row r="57" spans="1:6" x14ac:dyDescent="0.3">
      <c r="A57" s="112"/>
      <c r="B57" s="5"/>
      <c r="C57" s="112"/>
      <c r="D57" s="5"/>
      <c r="E57" s="112"/>
      <c r="F57" s="5"/>
    </row>
    <row r="58" spans="1:6" x14ac:dyDescent="0.3">
      <c r="A58" s="112" t="s">
        <v>124</v>
      </c>
      <c r="B58" s="5">
        <f>'Datasheet Parameters'!B60</f>
        <v>0.99</v>
      </c>
      <c r="C58" s="112" t="s">
        <v>125</v>
      </c>
      <c r="D58" s="5">
        <f>'Datasheet Parameters'!C60</f>
        <v>1</v>
      </c>
      <c r="E58" s="112" t="s">
        <v>126</v>
      </c>
      <c r="F58" s="5">
        <f>'Datasheet Parameters'!D60</f>
        <v>1.01</v>
      </c>
    </row>
    <row r="59" spans="1:6" x14ac:dyDescent="0.3">
      <c r="A59" s="112" t="s">
        <v>127</v>
      </c>
      <c r="B59" s="5">
        <f>'Datasheet Parameters'!B61</f>
        <v>0.02</v>
      </c>
      <c r="C59" s="112" t="s">
        <v>128</v>
      </c>
      <c r="D59" s="5">
        <f>'Datasheet Parameters'!C61</f>
        <v>0.03</v>
      </c>
      <c r="E59" s="112" t="s">
        <v>129</v>
      </c>
      <c r="F59" s="5">
        <f>'Datasheet Parameters'!D61</f>
        <v>0.04</v>
      </c>
    </row>
    <row r="60" spans="1:6" x14ac:dyDescent="0.3">
      <c r="A60" s="112"/>
      <c r="B60" s="5"/>
      <c r="C60" s="112"/>
      <c r="D60" s="5"/>
      <c r="E60" s="112"/>
      <c r="F60" s="5"/>
    </row>
    <row r="61" spans="1:6" x14ac:dyDescent="0.3">
      <c r="A61" s="112" t="s">
        <v>279</v>
      </c>
      <c r="B61" s="115">
        <v>0.14000000000000001</v>
      </c>
      <c r="C61" s="112" t="s">
        <v>280</v>
      </c>
      <c r="D61" s="116" t="s">
        <v>283</v>
      </c>
      <c r="E61" s="112" t="s">
        <v>281</v>
      </c>
      <c r="F61" s="115"/>
    </row>
    <row r="62" spans="1:6" x14ac:dyDescent="0.3">
      <c r="A62" s="112" t="s">
        <v>282</v>
      </c>
      <c r="B62" s="116" t="s">
        <v>284</v>
      </c>
      <c r="C62" s="112"/>
      <c r="D62" s="5"/>
      <c r="E62" s="112"/>
      <c r="F62" s="5"/>
    </row>
  </sheetData>
  <sheetProtection algorithmName="SHA-512" hashValue="3imc1RpxLzlCgdvATjhpkqpEs4moiVDIeUQ0HUIJefPL7ZHNZ5VWL/2cApDKX9mS8XipmftzL6Ij/qQL3qw6xA==" saltValue="CoNpEC83zSoqFwD1aY1LOQ==" spinCount="100000" sheet="1" objects="1" scenarios="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481"/>
  <sheetViews>
    <sheetView topLeftCell="A302" zoomScale="80" workbookViewId="0">
      <selection activeCell="C463" sqref="C463"/>
    </sheetView>
  </sheetViews>
  <sheetFormatPr defaultRowHeight="12.45" x14ac:dyDescent="0.3"/>
  <sheetData>
    <row r="1" spans="1:2" x14ac:dyDescent="0.3">
      <c r="A1" s="113">
        <v>100</v>
      </c>
      <c r="B1" s="52">
        <v>10000000</v>
      </c>
    </row>
    <row r="2" spans="1:2" x14ac:dyDescent="0.3">
      <c r="A2" s="113">
        <v>102</v>
      </c>
      <c r="B2" s="52">
        <v>9760000</v>
      </c>
    </row>
    <row r="3" spans="1:2" x14ac:dyDescent="0.3">
      <c r="A3" s="113">
        <v>105</v>
      </c>
      <c r="B3" s="52">
        <v>9529999.9999999981</v>
      </c>
    </row>
    <row r="4" spans="1:2" x14ac:dyDescent="0.3">
      <c r="A4" s="113">
        <v>107</v>
      </c>
      <c r="B4" s="52">
        <v>9310000</v>
      </c>
    </row>
    <row r="5" spans="1:2" x14ac:dyDescent="0.3">
      <c r="A5" s="113">
        <v>110</v>
      </c>
      <c r="B5" s="52">
        <v>9090000</v>
      </c>
    </row>
    <row r="6" spans="1:2" x14ac:dyDescent="0.3">
      <c r="A6" s="113">
        <v>113</v>
      </c>
      <c r="B6" s="52">
        <v>8869999.9999999981</v>
      </c>
    </row>
    <row r="7" spans="1:2" x14ac:dyDescent="0.3">
      <c r="A7" s="113">
        <v>115</v>
      </c>
      <c r="B7" s="52">
        <v>8660000</v>
      </c>
    </row>
    <row r="8" spans="1:2" x14ac:dyDescent="0.3">
      <c r="A8" s="113">
        <v>118</v>
      </c>
      <c r="B8" s="52">
        <v>8449999.9999999981</v>
      </c>
    </row>
    <row r="9" spans="1:2" x14ac:dyDescent="0.3">
      <c r="A9" s="113">
        <v>121</v>
      </c>
      <c r="B9" s="52">
        <v>8250000</v>
      </c>
    </row>
    <row r="10" spans="1:2" x14ac:dyDescent="0.3">
      <c r="A10" s="113">
        <v>124</v>
      </c>
      <c r="B10" s="52">
        <v>8060000</v>
      </c>
    </row>
    <row r="11" spans="1:2" x14ac:dyDescent="0.3">
      <c r="A11" s="113">
        <v>127</v>
      </c>
      <c r="B11" s="52">
        <v>7870000</v>
      </c>
    </row>
    <row r="12" spans="1:2" x14ac:dyDescent="0.3">
      <c r="A12" s="113">
        <v>130</v>
      </c>
      <c r="B12" s="52">
        <v>7680000</v>
      </c>
    </row>
    <row r="13" spans="1:2" x14ac:dyDescent="0.3">
      <c r="A13" s="113">
        <v>133</v>
      </c>
      <c r="B13" s="52">
        <v>7500000</v>
      </c>
    </row>
    <row r="14" spans="1:2" x14ac:dyDescent="0.3">
      <c r="A14" s="113">
        <v>137</v>
      </c>
      <c r="B14" s="52">
        <v>7320000</v>
      </c>
    </row>
    <row r="15" spans="1:2" x14ac:dyDescent="0.3">
      <c r="A15" s="113">
        <v>140</v>
      </c>
      <c r="B15" s="52">
        <v>7150000</v>
      </c>
    </row>
    <row r="16" spans="1:2" x14ac:dyDescent="0.3">
      <c r="A16" s="113">
        <v>143</v>
      </c>
      <c r="B16" s="52">
        <v>6980000</v>
      </c>
    </row>
    <row r="17" spans="1:2" x14ac:dyDescent="0.3">
      <c r="A17" s="113">
        <v>147</v>
      </c>
      <c r="B17" s="52">
        <v>6810000</v>
      </c>
    </row>
    <row r="18" spans="1:2" x14ac:dyDescent="0.3">
      <c r="A18" s="113">
        <v>150</v>
      </c>
      <c r="B18" s="52">
        <v>6650000</v>
      </c>
    </row>
    <row r="19" spans="1:2" x14ac:dyDescent="0.3">
      <c r="A19" s="113">
        <v>154</v>
      </c>
      <c r="B19" s="52">
        <v>6490000</v>
      </c>
    </row>
    <row r="20" spans="1:2" x14ac:dyDescent="0.3">
      <c r="A20" s="113">
        <v>158</v>
      </c>
      <c r="B20" s="52">
        <v>6340000</v>
      </c>
    </row>
    <row r="21" spans="1:2" x14ac:dyDescent="0.3">
      <c r="A21" s="113">
        <v>162</v>
      </c>
      <c r="B21" s="52">
        <v>6190000</v>
      </c>
    </row>
    <row r="22" spans="1:2" x14ac:dyDescent="0.3">
      <c r="A22" s="113">
        <v>165</v>
      </c>
      <c r="B22" s="52">
        <v>6040000</v>
      </c>
    </row>
    <row r="23" spans="1:2" x14ac:dyDescent="0.3">
      <c r="A23" s="113">
        <v>169</v>
      </c>
      <c r="B23" s="52">
        <v>5900000</v>
      </c>
    </row>
    <row r="24" spans="1:2" x14ac:dyDescent="0.3">
      <c r="A24" s="113">
        <v>174</v>
      </c>
      <c r="B24" s="52">
        <v>5760000</v>
      </c>
    </row>
    <row r="25" spans="1:2" x14ac:dyDescent="0.3">
      <c r="A25" s="113">
        <v>178</v>
      </c>
      <c r="B25" s="52">
        <v>5620000</v>
      </c>
    </row>
    <row r="26" spans="1:2" x14ac:dyDescent="0.3">
      <c r="A26" s="113">
        <v>182</v>
      </c>
      <c r="B26" s="52">
        <v>5490000</v>
      </c>
    </row>
    <row r="27" spans="1:2" x14ac:dyDescent="0.3">
      <c r="A27" s="113">
        <v>187</v>
      </c>
      <c r="B27" s="52">
        <v>5360000</v>
      </c>
    </row>
    <row r="28" spans="1:2" x14ac:dyDescent="0.3">
      <c r="A28" s="113">
        <v>191</v>
      </c>
      <c r="B28" s="52">
        <v>5230000</v>
      </c>
    </row>
    <row r="29" spans="1:2" x14ac:dyDescent="0.3">
      <c r="A29" s="113">
        <v>196</v>
      </c>
      <c r="B29" s="52">
        <v>5110000</v>
      </c>
    </row>
    <row r="30" spans="1:2" x14ac:dyDescent="0.3">
      <c r="A30" s="113">
        <v>200</v>
      </c>
      <c r="B30" s="52">
        <v>4990000</v>
      </c>
    </row>
    <row r="31" spans="1:2" x14ac:dyDescent="0.3">
      <c r="A31" s="113">
        <v>205</v>
      </c>
      <c r="B31" s="52">
        <v>4870000</v>
      </c>
    </row>
    <row r="32" spans="1:2" x14ac:dyDescent="0.3">
      <c r="A32" s="113">
        <v>210</v>
      </c>
      <c r="B32" s="52">
        <v>4750000</v>
      </c>
    </row>
    <row r="33" spans="1:2" x14ac:dyDescent="0.3">
      <c r="A33" s="113">
        <v>215</v>
      </c>
      <c r="B33" s="52">
        <v>4640000</v>
      </c>
    </row>
    <row r="34" spans="1:2" x14ac:dyDescent="0.3">
      <c r="A34" s="113">
        <v>221</v>
      </c>
      <c r="B34" s="52">
        <v>4530000</v>
      </c>
    </row>
    <row r="35" spans="1:2" x14ac:dyDescent="0.3">
      <c r="A35" s="113">
        <v>226</v>
      </c>
      <c r="B35" s="52">
        <v>4420000</v>
      </c>
    </row>
    <row r="36" spans="1:2" x14ac:dyDescent="0.3">
      <c r="A36" s="113">
        <v>232</v>
      </c>
      <c r="B36" s="52">
        <v>4320000</v>
      </c>
    </row>
    <row r="37" spans="1:2" x14ac:dyDescent="0.3">
      <c r="A37" s="113">
        <v>237</v>
      </c>
      <c r="B37" s="52">
        <v>4220000</v>
      </c>
    </row>
    <row r="38" spans="1:2" x14ac:dyDescent="0.3">
      <c r="A38" s="113">
        <v>243</v>
      </c>
      <c r="B38" s="52">
        <v>4120000</v>
      </c>
    </row>
    <row r="39" spans="1:2" x14ac:dyDescent="0.3">
      <c r="A39" s="113">
        <v>249</v>
      </c>
      <c r="B39" s="52">
        <v>4020000</v>
      </c>
    </row>
    <row r="40" spans="1:2" x14ac:dyDescent="0.3">
      <c r="A40" s="113">
        <v>255</v>
      </c>
      <c r="B40" s="52">
        <v>3920000</v>
      </c>
    </row>
    <row r="41" spans="1:2" x14ac:dyDescent="0.3">
      <c r="A41" s="113">
        <v>261</v>
      </c>
      <c r="B41" s="52">
        <v>3830000</v>
      </c>
    </row>
    <row r="42" spans="1:2" x14ac:dyDescent="0.3">
      <c r="A42" s="113">
        <v>267</v>
      </c>
      <c r="B42" s="52">
        <v>3740000</v>
      </c>
    </row>
    <row r="43" spans="1:2" x14ac:dyDescent="0.3">
      <c r="A43" s="113">
        <v>274</v>
      </c>
      <c r="B43" s="52">
        <v>3650000</v>
      </c>
    </row>
    <row r="44" spans="1:2" x14ac:dyDescent="0.3">
      <c r="A44" s="113">
        <v>280</v>
      </c>
      <c r="B44" s="52">
        <v>3570000</v>
      </c>
    </row>
    <row r="45" spans="1:2" x14ac:dyDescent="0.3">
      <c r="A45" s="113">
        <v>287</v>
      </c>
      <c r="B45" s="52">
        <v>3480000</v>
      </c>
    </row>
    <row r="46" spans="1:2" x14ac:dyDescent="0.3">
      <c r="A46" s="113">
        <v>294</v>
      </c>
      <c r="B46" s="52">
        <v>3400000</v>
      </c>
    </row>
    <row r="47" spans="1:2" x14ac:dyDescent="0.3">
      <c r="A47" s="113">
        <v>301</v>
      </c>
      <c r="B47" s="52">
        <v>3320000</v>
      </c>
    </row>
    <row r="48" spans="1:2" x14ac:dyDescent="0.3">
      <c r="A48" s="113">
        <v>309</v>
      </c>
      <c r="B48" s="52">
        <v>3240000</v>
      </c>
    </row>
    <row r="49" spans="1:2" x14ac:dyDescent="0.3">
      <c r="A49" s="113">
        <v>316</v>
      </c>
      <c r="B49" s="52">
        <v>3160000</v>
      </c>
    </row>
    <row r="50" spans="1:2" x14ac:dyDescent="0.3">
      <c r="A50" s="113">
        <v>324</v>
      </c>
      <c r="B50" s="52">
        <v>3090000</v>
      </c>
    </row>
    <row r="51" spans="1:2" x14ac:dyDescent="0.3">
      <c r="A51" s="113">
        <v>332</v>
      </c>
      <c r="B51" s="52">
        <v>3010000</v>
      </c>
    </row>
    <row r="52" spans="1:2" x14ac:dyDescent="0.3">
      <c r="A52" s="113">
        <v>340</v>
      </c>
      <c r="B52" s="52">
        <v>2940000</v>
      </c>
    </row>
    <row r="53" spans="1:2" x14ac:dyDescent="0.3">
      <c r="A53" s="113">
        <v>348</v>
      </c>
      <c r="B53" s="52">
        <v>2870000</v>
      </c>
    </row>
    <row r="54" spans="1:2" x14ac:dyDescent="0.3">
      <c r="A54" s="113">
        <v>357</v>
      </c>
      <c r="B54" s="52">
        <v>2800000</v>
      </c>
    </row>
    <row r="55" spans="1:2" x14ac:dyDescent="0.3">
      <c r="A55" s="113">
        <v>365</v>
      </c>
      <c r="B55" s="52">
        <v>2740000</v>
      </c>
    </row>
    <row r="56" spans="1:2" x14ac:dyDescent="0.3">
      <c r="A56" s="113">
        <v>374</v>
      </c>
      <c r="B56" s="52">
        <v>2670000</v>
      </c>
    </row>
    <row r="57" spans="1:2" x14ac:dyDescent="0.3">
      <c r="A57" s="113">
        <v>383</v>
      </c>
      <c r="B57" s="52">
        <v>2610000</v>
      </c>
    </row>
    <row r="58" spans="1:2" x14ac:dyDescent="0.3">
      <c r="A58" s="113">
        <v>392</v>
      </c>
      <c r="B58" s="52">
        <v>2550000</v>
      </c>
    </row>
    <row r="59" spans="1:2" x14ac:dyDescent="0.3">
      <c r="A59" s="113">
        <v>402</v>
      </c>
      <c r="B59" s="52">
        <v>2490000</v>
      </c>
    </row>
    <row r="60" spans="1:2" x14ac:dyDescent="0.3">
      <c r="A60" s="113">
        <v>412</v>
      </c>
      <c r="B60" s="52">
        <v>2430000</v>
      </c>
    </row>
    <row r="61" spans="1:2" x14ac:dyDescent="0.3">
      <c r="A61" s="113">
        <v>422</v>
      </c>
      <c r="B61" s="52">
        <v>2370000</v>
      </c>
    </row>
    <row r="62" spans="1:2" x14ac:dyDescent="0.3">
      <c r="A62" s="113">
        <v>432</v>
      </c>
      <c r="B62" s="52">
        <v>2320000</v>
      </c>
    </row>
    <row r="63" spans="1:2" x14ac:dyDescent="0.3">
      <c r="A63" s="113">
        <v>442</v>
      </c>
      <c r="B63" s="52">
        <v>2260000</v>
      </c>
    </row>
    <row r="64" spans="1:2" x14ac:dyDescent="0.3">
      <c r="A64" s="113">
        <v>453</v>
      </c>
      <c r="B64" s="52">
        <v>2210000</v>
      </c>
    </row>
    <row r="65" spans="1:2" x14ac:dyDescent="0.3">
      <c r="A65" s="113">
        <v>464</v>
      </c>
      <c r="B65" s="52">
        <v>2150000</v>
      </c>
    </row>
    <row r="66" spans="1:2" x14ac:dyDescent="0.3">
      <c r="A66" s="113">
        <v>475</v>
      </c>
      <c r="B66" s="52">
        <v>2100000</v>
      </c>
    </row>
    <row r="67" spans="1:2" x14ac:dyDescent="0.3">
      <c r="A67" s="113">
        <v>487</v>
      </c>
      <c r="B67" s="52">
        <v>2050000</v>
      </c>
    </row>
    <row r="68" spans="1:2" x14ac:dyDescent="0.3">
      <c r="A68" s="113">
        <v>499</v>
      </c>
      <c r="B68" s="52">
        <v>2000000</v>
      </c>
    </row>
    <row r="69" spans="1:2" x14ac:dyDescent="0.3">
      <c r="A69" s="113">
        <v>511</v>
      </c>
      <c r="B69" s="52">
        <v>1960000</v>
      </c>
    </row>
    <row r="70" spans="1:2" x14ac:dyDescent="0.3">
      <c r="A70" s="113">
        <v>523</v>
      </c>
      <c r="B70" s="52">
        <v>1910000</v>
      </c>
    </row>
    <row r="71" spans="1:2" x14ac:dyDescent="0.3">
      <c r="A71" s="113">
        <v>536</v>
      </c>
      <c r="B71" s="52">
        <v>1870000</v>
      </c>
    </row>
    <row r="72" spans="1:2" x14ac:dyDescent="0.3">
      <c r="A72" s="113">
        <v>549</v>
      </c>
      <c r="B72" s="52">
        <v>1820000</v>
      </c>
    </row>
    <row r="73" spans="1:2" x14ac:dyDescent="0.3">
      <c r="A73" s="113">
        <v>562</v>
      </c>
      <c r="B73" s="52">
        <v>1780000</v>
      </c>
    </row>
    <row r="74" spans="1:2" x14ac:dyDescent="0.3">
      <c r="A74" s="113">
        <v>576</v>
      </c>
      <c r="B74" s="52">
        <v>1740000</v>
      </c>
    </row>
    <row r="75" spans="1:2" x14ac:dyDescent="0.3">
      <c r="A75" s="113">
        <v>590</v>
      </c>
      <c r="B75" s="52">
        <v>1690000</v>
      </c>
    </row>
    <row r="76" spans="1:2" x14ac:dyDescent="0.3">
      <c r="A76" s="113">
        <v>604</v>
      </c>
      <c r="B76" s="52">
        <v>1650000</v>
      </c>
    </row>
    <row r="77" spans="1:2" x14ac:dyDescent="0.3">
      <c r="A77" s="113">
        <v>619</v>
      </c>
      <c r="B77" s="52">
        <v>1620000</v>
      </c>
    </row>
    <row r="78" spans="1:2" x14ac:dyDescent="0.3">
      <c r="A78" s="113">
        <v>634</v>
      </c>
      <c r="B78" s="52">
        <v>1580000</v>
      </c>
    </row>
    <row r="79" spans="1:2" x14ac:dyDescent="0.3">
      <c r="A79" s="113">
        <v>649</v>
      </c>
      <c r="B79" s="52">
        <v>1540000</v>
      </c>
    </row>
    <row r="80" spans="1:2" x14ac:dyDescent="0.3">
      <c r="A80" s="113">
        <v>665</v>
      </c>
      <c r="B80" s="52">
        <v>1500000</v>
      </c>
    </row>
    <row r="81" spans="1:2" x14ac:dyDescent="0.3">
      <c r="A81" s="113">
        <v>681</v>
      </c>
      <c r="B81" s="52">
        <v>1470000</v>
      </c>
    </row>
    <row r="82" spans="1:2" x14ac:dyDescent="0.3">
      <c r="A82" s="113">
        <v>698</v>
      </c>
      <c r="B82" s="52">
        <v>1430000</v>
      </c>
    </row>
    <row r="83" spans="1:2" x14ac:dyDescent="0.3">
      <c r="A83" s="113">
        <v>715</v>
      </c>
      <c r="B83" s="52">
        <v>1400000</v>
      </c>
    </row>
    <row r="84" spans="1:2" x14ac:dyDescent="0.3">
      <c r="A84" s="113">
        <v>732</v>
      </c>
      <c r="B84" s="52">
        <v>1370000</v>
      </c>
    </row>
    <row r="85" spans="1:2" x14ac:dyDescent="0.3">
      <c r="A85" s="113">
        <v>750</v>
      </c>
      <c r="B85" s="52">
        <v>1330000</v>
      </c>
    </row>
    <row r="86" spans="1:2" x14ac:dyDescent="0.3">
      <c r="A86" s="113">
        <v>768</v>
      </c>
      <c r="B86" s="52">
        <v>1300000</v>
      </c>
    </row>
    <row r="87" spans="1:2" x14ac:dyDescent="0.3">
      <c r="A87" s="113">
        <v>787</v>
      </c>
      <c r="B87" s="52">
        <v>1270000</v>
      </c>
    </row>
    <row r="88" spans="1:2" x14ac:dyDescent="0.3">
      <c r="A88" s="113">
        <v>806</v>
      </c>
      <c r="B88" s="52">
        <v>1240000</v>
      </c>
    </row>
    <row r="89" spans="1:2" x14ac:dyDescent="0.3">
      <c r="A89" s="113">
        <v>825</v>
      </c>
      <c r="B89" s="52">
        <v>1210000</v>
      </c>
    </row>
    <row r="90" spans="1:2" x14ac:dyDescent="0.3">
      <c r="A90" s="113">
        <v>845</v>
      </c>
      <c r="B90" s="52">
        <v>1180000</v>
      </c>
    </row>
    <row r="91" spans="1:2" x14ac:dyDescent="0.3">
      <c r="A91" s="113">
        <v>866</v>
      </c>
      <c r="B91" s="52">
        <v>1150000</v>
      </c>
    </row>
    <row r="92" spans="1:2" x14ac:dyDescent="0.3">
      <c r="A92" s="113">
        <v>887</v>
      </c>
      <c r="B92" s="52">
        <v>1130000</v>
      </c>
    </row>
    <row r="93" spans="1:2" x14ac:dyDescent="0.3">
      <c r="A93" s="113">
        <v>909</v>
      </c>
      <c r="B93" s="52">
        <v>1100000</v>
      </c>
    </row>
    <row r="94" spans="1:2" x14ac:dyDescent="0.3">
      <c r="A94" s="113">
        <v>931</v>
      </c>
      <c r="B94" s="52">
        <v>1070000</v>
      </c>
    </row>
    <row r="95" spans="1:2" x14ac:dyDescent="0.3">
      <c r="A95" s="113">
        <v>953</v>
      </c>
      <c r="B95" s="52">
        <v>1050000</v>
      </c>
    </row>
    <row r="96" spans="1:2" x14ac:dyDescent="0.3">
      <c r="A96" s="113">
        <v>976</v>
      </c>
      <c r="B96" s="52">
        <v>1020000</v>
      </c>
    </row>
    <row r="97" spans="1:2" x14ac:dyDescent="0.3">
      <c r="A97" s="5">
        <v>1000</v>
      </c>
      <c r="B97" s="52">
        <v>1000000</v>
      </c>
    </row>
    <row r="98" spans="1:2" x14ac:dyDescent="0.3">
      <c r="A98" s="5">
        <v>1020</v>
      </c>
      <c r="B98" s="114">
        <v>976000</v>
      </c>
    </row>
    <row r="99" spans="1:2" x14ac:dyDescent="0.3">
      <c r="A99" s="5">
        <v>1050</v>
      </c>
      <c r="B99" s="114">
        <v>953000</v>
      </c>
    </row>
    <row r="100" spans="1:2" x14ac:dyDescent="0.3">
      <c r="A100" s="5">
        <v>1070</v>
      </c>
      <c r="B100" s="114">
        <v>931000</v>
      </c>
    </row>
    <row r="101" spans="1:2" x14ac:dyDescent="0.3">
      <c r="A101" s="5">
        <v>1100</v>
      </c>
      <c r="B101" s="114">
        <v>909000</v>
      </c>
    </row>
    <row r="102" spans="1:2" x14ac:dyDescent="0.3">
      <c r="A102" s="5">
        <v>1130</v>
      </c>
      <c r="B102" s="114">
        <v>887000</v>
      </c>
    </row>
    <row r="103" spans="1:2" x14ac:dyDescent="0.3">
      <c r="A103" s="5">
        <v>1150</v>
      </c>
      <c r="B103" s="114">
        <v>866000</v>
      </c>
    </row>
    <row r="104" spans="1:2" x14ac:dyDescent="0.3">
      <c r="A104" s="5">
        <v>1180</v>
      </c>
      <c r="B104" s="114">
        <v>845000</v>
      </c>
    </row>
    <row r="105" spans="1:2" x14ac:dyDescent="0.3">
      <c r="A105" s="5">
        <v>1210</v>
      </c>
      <c r="B105" s="114">
        <v>825000</v>
      </c>
    </row>
    <row r="106" spans="1:2" x14ac:dyDescent="0.3">
      <c r="A106" s="5">
        <v>1240</v>
      </c>
      <c r="B106" s="114">
        <v>806000</v>
      </c>
    </row>
    <row r="107" spans="1:2" x14ac:dyDescent="0.3">
      <c r="A107" s="5">
        <v>1270</v>
      </c>
      <c r="B107" s="114">
        <v>787000</v>
      </c>
    </row>
    <row r="108" spans="1:2" x14ac:dyDescent="0.3">
      <c r="A108" s="5">
        <v>1300</v>
      </c>
      <c r="B108" s="114">
        <v>768000</v>
      </c>
    </row>
    <row r="109" spans="1:2" x14ac:dyDescent="0.3">
      <c r="A109" s="5">
        <v>1330</v>
      </c>
      <c r="B109" s="114">
        <v>750000</v>
      </c>
    </row>
    <row r="110" spans="1:2" x14ac:dyDescent="0.3">
      <c r="A110" s="5">
        <v>1370</v>
      </c>
      <c r="B110" s="114">
        <v>732000</v>
      </c>
    </row>
    <row r="111" spans="1:2" x14ac:dyDescent="0.3">
      <c r="A111" s="5">
        <v>1400</v>
      </c>
      <c r="B111" s="114">
        <v>715000</v>
      </c>
    </row>
    <row r="112" spans="1:2" x14ac:dyDescent="0.3">
      <c r="A112" s="5">
        <v>1430</v>
      </c>
      <c r="B112" s="114">
        <v>698000</v>
      </c>
    </row>
    <row r="113" spans="1:2" x14ac:dyDescent="0.3">
      <c r="A113" s="5">
        <v>1470</v>
      </c>
      <c r="B113" s="114">
        <v>681000</v>
      </c>
    </row>
    <row r="114" spans="1:2" x14ac:dyDescent="0.3">
      <c r="A114" s="5">
        <v>1500</v>
      </c>
      <c r="B114" s="114">
        <v>665000</v>
      </c>
    </row>
    <row r="115" spans="1:2" x14ac:dyDescent="0.3">
      <c r="A115" s="5">
        <v>1540</v>
      </c>
      <c r="B115" s="114">
        <v>649000</v>
      </c>
    </row>
    <row r="116" spans="1:2" x14ac:dyDescent="0.3">
      <c r="A116" s="5">
        <v>1580</v>
      </c>
      <c r="B116" s="114">
        <v>634000</v>
      </c>
    </row>
    <row r="117" spans="1:2" x14ac:dyDescent="0.3">
      <c r="A117" s="5">
        <v>1620</v>
      </c>
      <c r="B117" s="114">
        <v>619000</v>
      </c>
    </row>
    <row r="118" spans="1:2" x14ac:dyDescent="0.3">
      <c r="A118" s="5">
        <v>1650</v>
      </c>
      <c r="B118" s="114">
        <v>604000</v>
      </c>
    </row>
    <row r="119" spans="1:2" x14ac:dyDescent="0.3">
      <c r="A119" s="5">
        <v>1690</v>
      </c>
      <c r="B119" s="114">
        <v>590000</v>
      </c>
    </row>
    <row r="120" spans="1:2" x14ac:dyDescent="0.3">
      <c r="A120" s="5">
        <v>1740</v>
      </c>
      <c r="B120" s="114">
        <v>576000</v>
      </c>
    </row>
    <row r="121" spans="1:2" x14ac:dyDescent="0.3">
      <c r="A121" s="5">
        <v>1780</v>
      </c>
      <c r="B121" s="114">
        <v>562000</v>
      </c>
    </row>
    <row r="122" spans="1:2" x14ac:dyDescent="0.3">
      <c r="A122" s="5">
        <v>1820</v>
      </c>
      <c r="B122" s="114">
        <v>549000</v>
      </c>
    </row>
    <row r="123" spans="1:2" x14ac:dyDescent="0.3">
      <c r="A123" s="5">
        <v>1870</v>
      </c>
      <c r="B123" s="114">
        <v>536000</v>
      </c>
    </row>
    <row r="124" spans="1:2" x14ac:dyDescent="0.3">
      <c r="A124" s="5">
        <v>1910</v>
      </c>
      <c r="B124" s="114">
        <v>523000</v>
      </c>
    </row>
    <row r="125" spans="1:2" x14ac:dyDescent="0.3">
      <c r="A125" s="5">
        <v>1960</v>
      </c>
      <c r="B125" s="114">
        <v>511000</v>
      </c>
    </row>
    <row r="126" spans="1:2" x14ac:dyDescent="0.3">
      <c r="A126" s="5">
        <v>2000</v>
      </c>
      <c r="B126" s="114">
        <v>499000</v>
      </c>
    </row>
    <row r="127" spans="1:2" x14ac:dyDescent="0.3">
      <c r="A127" s="5">
        <v>2050</v>
      </c>
      <c r="B127" s="114">
        <v>487000</v>
      </c>
    </row>
    <row r="128" spans="1:2" x14ac:dyDescent="0.3">
      <c r="A128" s="5">
        <v>2100</v>
      </c>
      <c r="B128" s="114">
        <v>475000</v>
      </c>
    </row>
    <row r="129" spans="1:2" x14ac:dyDescent="0.3">
      <c r="A129" s="5">
        <v>2150</v>
      </c>
      <c r="B129" s="114">
        <v>464000</v>
      </c>
    </row>
    <row r="130" spans="1:2" x14ac:dyDescent="0.3">
      <c r="A130" s="5">
        <v>2210</v>
      </c>
      <c r="B130" s="114">
        <v>453000</v>
      </c>
    </row>
    <row r="131" spans="1:2" x14ac:dyDescent="0.3">
      <c r="A131" s="5">
        <v>2260</v>
      </c>
      <c r="B131" s="114">
        <v>442000</v>
      </c>
    </row>
    <row r="132" spans="1:2" x14ac:dyDescent="0.3">
      <c r="A132" s="5">
        <v>2320</v>
      </c>
      <c r="B132" s="114">
        <v>432000</v>
      </c>
    </row>
    <row r="133" spans="1:2" x14ac:dyDescent="0.3">
      <c r="A133" s="5">
        <v>2370</v>
      </c>
      <c r="B133" s="114">
        <v>422000</v>
      </c>
    </row>
    <row r="134" spans="1:2" x14ac:dyDescent="0.3">
      <c r="A134" s="5">
        <v>2430</v>
      </c>
      <c r="B134" s="114">
        <v>412000</v>
      </c>
    </row>
    <row r="135" spans="1:2" x14ac:dyDescent="0.3">
      <c r="A135" s="5">
        <v>2490</v>
      </c>
      <c r="B135" s="114">
        <v>402000</v>
      </c>
    </row>
    <row r="136" spans="1:2" x14ac:dyDescent="0.3">
      <c r="A136" s="5">
        <v>2550</v>
      </c>
      <c r="B136" s="114">
        <v>392000</v>
      </c>
    </row>
    <row r="137" spans="1:2" x14ac:dyDescent="0.3">
      <c r="A137" s="5">
        <v>2610</v>
      </c>
      <c r="B137" s="114">
        <v>383000</v>
      </c>
    </row>
    <row r="138" spans="1:2" x14ac:dyDescent="0.3">
      <c r="A138" s="5">
        <v>2670</v>
      </c>
      <c r="B138" s="114">
        <v>374000</v>
      </c>
    </row>
    <row r="139" spans="1:2" x14ac:dyDescent="0.3">
      <c r="A139" s="5">
        <v>2740</v>
      </c>
      <c r="B139" s="114">
        <v>365000</v>
      </c>
    </row>
    <row r="140" spans="1:2" x14ac:dyDescent="0.3">
      <c r="A140" s="5">
        <v>2800</v>
      </c>
      <c r="B140" s="114">
        <v>357000</v>
      </c>
    </row>
    <row r="141" spans="1:2" x14ac:dyDescent="0.3">
      <c r="A141" s="5">
        <v>2870</v>
      </c>
      <c r="B141" s="114">
        <v>348000</v>
      </c>
    </row>
    <row r="142" spans="1:2" x14ac:dyDescent="0.3">
      <c r="A142" s="5">
        <v>2940</v>
      </c>
      <c r="B142" s="114">
        <v>340000</v>
      </c>
    </row>
    <row r="143" spans="1:2" x14ac:dyDescent="0.3">
      <c r="A143" s="5">
        <v>3010</v>
      </c>
      <c r="B143" s="114">
        <v>332000</v>
      </c>
    </row>
    <row r="144" spans="1:2" x14ac:dyDescent="0.3">
      <c r="A144" s="5">
        <v>3090</v>
      </c>
      <c r="B144" s="114">
        <v>324000</v>
      </c>
    </row>
    <row r="145" spans="1:2" x14ac:dyDescent="0.3">
      <c r="A145" s="5">
        <v>3160</v>
      </c>
      <c r="B145" s="114">
        <v>316000</v>
      </c>
    </row>
    <row r="146" spans="1:2" x14ac:dyDescent="0.3">
      <c r="A146" s="5">
        <v>3240</v>
      </c>
      <c r="B146" s="114">
        <v>309000</v>
      </c>
    </row>
    <row r="147" spans="1:2" x14ac:dyDescent="0.3">
      <c r="A147" s="5">
        <v>3320</v>
      </c>
      <c r="B147" s="114">
        <v>301000</v>
      </c>
    </row>
    <row r="148" spans="1:2" x14ac:dyDescent="0.3">
      <c r="A148" s="5">
        <v>3400</v>
      </c>
      <c r="B148" s="114">
        <v>294000</v>
      </c>
    </row>
    <row r="149" spans="1:2" x14ac:dyDescent="0.3">
      <c r="A149" s="5">
        <v>3480</v>
      </c>
      <c r="B149" s="114">
        <v>287000</v>
      </c>
    </row>
    <row r="150" spans="1:2" x14ac:dyDescent="0.3">
      <c r="A150" s="5">
        <v>3570</v>
      </c>
      <c r="B150" s="114">
        <v>280000</v>
      </c>
    </row>
    <row r="151" spans="1:2" x14ac:dyDescent="0.3">
      <c r="A151" s="5">
        <v>3650</v>
      </c>
      <c r="B151" s="114">
        <v>274000</v>
      </c>
    </row>
    <row r="152" spans="1:2" x14ac:dyDescent="0.3">
      <c r="A152" s="5">
        <v>3740</v>
      </c>
      <c r="B152" s="114">
        <v>267000</v>
      </c>
    </row>
    <row r="153" spans="1:2" x14ac:dyDescent="0.3">
      <c r="A153" s="5">
        <v>3830</v>
      </c>
      <c r="B153" s="114">
        <v>261000</v>
      </c>
    </row>
    <row r="154" spans="1:2" x14ac:dyDescent="0.3">
      <c r="A154" s="5">
        <v>3920</v>
      </c>
      <c r="B154" s="114">
        <v>255000</v>
      </c>
    </row>
    <row r="155" spans="1:2" x14ac:dyDescent="0.3">
      <c r="A155" s="5">
        <v>4020</v>
      </c>
      <c r="B155" s="114">
        <v>249000</v>
      </c>
    </row>
    <row r="156" spans="1:2" x14ac:dyDescent="0.3">
      <c r="A156" s="5">
        <v>4120</v>
      </c>
      <c r="B156" s="114">
        <v>243000</v>
      </c>
    </row>
    <row r="157" spans="1:2" x14ac:dyDescent="0.3">
      <c r="A157" s="5">
        <v>4220</v>
      </c>
      <c r="B157" s="114">
        <v>237000</v>
      </c>
    </row>
    <row r="158" spans="1:2" x14ac:dyDescent="0.3">
      <c r="A158" s="5">
        <v>4320</v>
      </c>
      <c r="B158" s="114">
        <v>232000</v>
      </c>
    </row>
    <row r="159" spans="1:2" x14ac:dyDescent="0.3">
      <c r="A159" s="5">
        <v>4420</v>
      </c>
      <c r="B159" s="114">
        <v>226000</v>
      </c>
    </row>
    <row r="160" spans="1:2" x14ac:dyDescent="0.3">
      <c r="A160" s="5">
        <v>4530</v>
      </c>
      <c r="B160" s="114">
        <v>221000</v>
      </c>
    </row>
    <row r="161" spans="1:2" x14ac:dyDescent="0.3">
      <c r="A161" s="5">
        <v>4640</v>
      </c>
      <c r="B161" s="114">
        <v>215000</v>
      </c>
    </row>
    <row r="162" spans="1:2" x14ac:dyDescent="0.3">
      <c r="A162" s="5">
        <v>4750</v>
      </c>
      <c r="B162" s="114">
        <v>210000</v>
      </c>
    </row>
    <row r="163" spans="1:2" x14ac:dyDescent="0.3">
      <c r="A163" s="5">
        <v>4870</v>
      </c>
      <c r="B163" s="114">
        <v>205000</v>
      </c>
    </row>
    <row r="164" spans="1:2" x14ac:dyDescent="0.3">
      <c r="A164" s="5">
        <v>4990</v>
      </c>
      <c r="B164" s="114">
        <v>200000</v>
      </c>
    </row>
    <row r="165" spans="1:2" x14ac:dyDescent="0.3">
      <c r="A165" s="5">
        <v>5110</v>
      </c>
      <c r="B165" s="114">
        <v>196000</v>
      </c>
    </row>
    <row r="166" spans="1:2" x14ac:dyDescent="0.3">
      <c r="A166" s="5">
        <v>5230</v>
      </c>
      <c r="B166" s="114">
        <v>191000</v>
      </c>
    </row>
    <row r="167" spans="1:2" x14ac:dyDescent="0.3">
      <c r="A167" s="5">
        <v>5360</v>
      </c>
      <c r="B167" s="114">
        <v>187000</v>
      </c>
    </row>
    <row r="168" spans="1:2" x14ac:dyDescent="0.3">
      <c r="A168" s="5">
        <v>5490</v>
      </c>
      <c r="B168" s="114">
        <v>182000</v>
      </c>
    </row>
    <row r="169" spans="1:2" x14ac:dyDescent="0.3">
      <c r="A169" s="5">
        <v>5620</v>
      </c>
      <c r="B169" s="114">
        <v>178000</v>
      </c>
    </row>
    <row r="170" spans="1:2" x14ac:dyDescent="0.3">
      <c r="A170" s="5">
        <v>5760</v>
      </c>
      <c r="B170" s="114">
        <v>174000</v>
      </c>
    </row>
    <row r="171" spans="1:2" x14ac:dyDescent="0.3">
      <c r="A171" s="5">
        <v>5900</v>
      </c>
      <c r="B171" s="114">
        <v>169000</v>
      </c>
    </row>
    <row r="172" spans="1:2" x14ac:dyDescent="0.3">
      <c r="A172" s="5">
        <v>6040</v>
      </c>
      <c r="B172" s="114">
        <v>165000</v>
      </c>
    </row>
    <row r="173" spans="1:2" x14ac:dyDescent="0.3">
      <c r="A173" s="5">
        <v>6190</v>
      </c>
      <c r="B173" s="114">
        <v>162000</v>
      </c>
    </row>
    <row r="174" spans="1:2" x14ac:dyDescent="0.3">
      <c r="A174" s="5">
        <v>6340</v>
      </c>
      <c r="B174" s="114">
        <v>158000</v>
      </c>
    </row>
    <row r="175" spans="1:2" x14ac:dyDescent="0.3">
      <c r="A175" s="5">
        <v>6490</v>
      </c>
      <c r="B175" s="114">
        <v>154000</v>
      </c>
    </row>
    <row r="176" spans="1:2" x14ac:dyDescent="0.3">
      <c r="A176" s="5">
        <v>6650</v>
      </c>
      <c r="B176" s="114">
        <v>150000</v>
      </c>
    </row>
    <row r="177" spans="1:2" x14ac:dyDescent="0.3">
      <c r="A177" s="5">
        <v>6810</v>
      </c>
      <c r="B177" s="114">
        <v>147000</v>
      </c>
    </row>
    <row r="178" spans="1:2" x14ac:dyDescent="0.3">
      <c r="A178" s="5">
        <v>6980</v>
      </c>
      <c r="B178" s="114">
        <v>143000</v>
      </c>
    </row>
    <row r="179" spans="1:2" x14ac:dyDescent="0.3">
      <c r="A179" s="5">
        <v>7150</v>
      </c>
      <c r="B179" s="114">
        <v>140000</v>
      </c>
    </row>
    <row r="180" spans="1:2" x14ac:dyDescent="0.3">
      <c r="A180" s="5">
        <v>7320</v>
      </c>
      <c r="B180" s="114">
        <v>137000</v>
      </c>
    </row>
    <row r="181" spans="1:2" x14ac:dyDescent="0.3">
      <c r="A181" s="5">
        <v>7500</v>
      </c>
      <c r="B181" s="114">
        <v>133000</v>
      </c>
    </row>
    <row r="182" spans="1:2" x14ac:dyDescent="0.3">
      <c r="A182" s="5">
        <v>7680</v>
      </c>
      <c r="B182" s="114">
        <v>130000</v>
      </c>
    </row>
    <row r="183" spans="1:2" x14ac:dyDescent="0.3">
      <c r="A183" s="5">
        <v>7870</v>
      </c>
      <c r="B183" s="114">
        <v>127000</v>
      </c>
    </row>
    <row r="184" spans="1:2" x14ac:dyDescent="0.3">
      <c r="A184" s="5">
        <v>8060</v>
      </c>
      <c r="B184" s="114">
        <v>124000</v>
      </c>
    </row>
    <row r="185" spans="1:2" x14ac:dyDescent="0.3">
      <c r="A185" s="5">
        <v>8250</v>
      </c>
      <c r="B185" s="114">
        <v>121000</v>
      </c>
    </row>
    <row r="186" spans="1:2" x14ac:dyDescent="0.3">
      <c r="A186" s="5">
        <v>8450</v>
      </c>
      <c r="B186" s="114">
        <v>118000</v>
      </c>
    </row>
    <row r="187" spans="1:2" x14ac:dyDescent="0.3">
      <c r="A187" s="5">
        <v>8660</v>
      </c>
      <c r="B187" s="114">
        <v>115000</v>
      </c>
    </row>
    <row r="188" spans="1:2" x14ac:dyDescent="0.3">
      <c r="A188" s="5">
        <v>8870</v>
      </c>
      <c r="B188" s="114">
        <v>113000</v>
      </c>
    </row>
    <row r="189" spans="1:2" x14ac:dyDescent="0.3">
      <c r="A189" s="5">
        <v>9090</v>
      </c>
      <c r="B189" s="114">
        <v>110000</v>
      </c>
    </row>
    <row r="190" spans="1:2" x14ac:dyDescent="0.3">
      <c r="A190" s="5">
        <v>9310</v>
      </c>
      <c r="B190" s="114">
        <v>107000</v>
      </c>
    </row>
    <row r="191" spans="1:2" x14ac:dyDescent="0.3">
      <c r="A191" s="5">
        <v>9530</v>
      </c>
      <c r="B191" s="114">
        <v>105000</v>
      </c>
    </row>
    <row r="192" spans="1:2" x14ac:dyDescent="0.3">
      <c r="A192" s="5">
        <v>9760</v>
      </c>
      <c r="B192" s="114">
        <v>102000</v>
      </c>
    </row>
    <row r="193" spans="1:2" x14ac:dyDescent="0.3">
      <c r="A193" s="109">
        <v>10000</v>
      </c>
      <c r="B193" s="114">
        <v>100000</v>
      </c>
    </row>
    <row r="194" spans="1:2" x14ac:dyDescent="0.3">
      <c r="A194" s="109">
        <v>10200</v>
      </c>
      <c r="B194" s="109">
        <v>97600</v>
      </c>
    </row>
    <row r="195" spans="1:2" x14ac:dyDescent="0.3">
      <c r="A195" s="109">
        <v>10500</v>
      </c>
      <c r="B195" s="109">
        <v>95300</v>
      </c>
    </row>
    <row r="196" spans="1:2" x14ac:dyDescent="0.3">
      <c r="A196" s="109">
        <v>10700</v>
      </c>
      <c r="B196" s="109">
        <v>93100</v>
      </c>
    </row>
    <row r="197" spans="1:2" x14ac:dyDescent="0.3">
      <c r="A197" s="109">
        <v>11000</v>
      </c>
      <c r="B197" s="109">
        <v>90900</v>
      </c>
    </row>
    <row r="198" spans="1:2" x14ac:dyDescent="0.3">
      <c r="A198" s="109">
        <v>11300</v>
      </c>
      <c r="B198" s="109">
        <v>88700</v>
      </c>
    </row>
    <row r="199" spans="1:2" x14ac:dyDescent="0.3">
      <c r="A199" s="109">
        <v>11500</v>
      </c>
      <c r="B199" s="109">
        <v>86600</v>
      </c>
    </row>
    <row r="200" spans="1:2" x14ac:dyDescent="0.3">
      <c r="A200" s="109">
        <v>11800</v>
      </c>
      <c r="B200" s="109">
        <v>84500</v>
      </c>
    </row>
    <row r="201" spans="1:2" x14ac:dyDescent="0.3">
      <c r="A201" s="109">
        <v>12100</v>
      </c>
      <c r="B201" s="109">
        <v>82500</v>
      </c>
    </row>
    <row r="202" spans="1:2" x14ac:dyDescent="0.3">
      <c r="A202" s="109">
        <v>12400</v>
      </c>
      <c r="B202" s="109">
        <v>80600</v>
      </c>
    </row>
    <row r="203" spans="1:2" x14ac:dyDescent="0.3">
      <c r="A203" s="109">
        <v>12700</v>
      </c>
      <c r="B203" s="109">
        <v>78700</v>
      </c>
    </row>
    <row r="204" spans="1:2" x14ac:dyDescent="0.3">
      <c r="A204" s="109">
        <v>13000</v>
      </c>
      <c r="B204" s="109">
        <v>76800</v>
      </c>
    </row>
    <row r="205" spans="1:2" x14ac:dyDescent="0.3">
      <c r="A205" s="109">
        <v>13300</v>
      </c>
      <c r="B205" s="109">
        <v>75000</v>
      </c>
    </row>
    <row r="206" spans="1:2" x14ac:dyDescent="0.3">
      <c r="A206" s="109">
        <v>13700</v>
      </c>
      <c r="B206" s="109">
        <v>73200</v>
      </c>
    </row>
    <row r="207" spans="1:2" x14ac:dyDescent="0.3">
      <c r="A207" s="109">
        <v>14000</v>
      </c>
      <c r="B207" s="109">
        <v>71500</v>
      </c>
    </row>
    <row r="208" spans="1:2" x14ac:dyDescent="0.3">
      <c r="A208" s="109">
        <v>14300</v>
      </c>
      <c r="B208" s="109">
        <v>69800</v>
      </c>
    </row>
    <row r="209" spans="1:2" x14ac:dyDescent="0.3">
      <c r="A209" s="109">
        <v>14700</v>
      </c>
      <c r="B209" s="109">
        <v>68100</v>
      </c>
    </row>
    <row r="210" spans="1:2" x14ac:dyDescent="0.3">
      <c r="A210" s="109">
        <v>15000</v>
      </c>
      <c r="B210" s="109">
        <v>66500</v>
      </c>
    </row>
    <row r="211" spans="1:2" x14ac:dyDescent="0.3">
      <c r="A211" s="109">
        <v>15400</v>
      </c>
      <c r="B211" s="109">
        <v>64900</v>
      </c>
    </row>
    <row r="212" spans="1:2" x14ac:dyDescent="0.3">
      <c r="A212" s="109">
        <v>15800</v>
      </c>
      <c r="B212" s="109">
        <v>63400</v>
      </c>
    </row>
    <row r="213" spans="1:2" x14ac:dyDescent="0.3">
      <c r="A213" s="109">
        <v>16200</v>
      </c>
      <c r="B213" s="109">
        <v>61900</v>
      </c>
    </row>
    <row r="214" spans="1:2" x14ac:dyDescent="0.3">
      <c r="A214" s="109">
        <v>16500</v>
      </c>
      <c r="B214" s="109">
        <v>60400</v>
      </c>
    </row>
    <row r="215" spans="1:2" x14ac:dyDescent="0.3">
      <c r="A215" s="109">
        <v>16900</v>
      </c>
      <c r="B215" s="109">
        <v>59000</v>
      </c>
    </row>
    <row r="216" spans="1:2" x14ac:dyDescent="0.3">
      <c r="A216" s="109">
        <v>17400</v>
      </c>
      <c r="B216" s="109">
        <v>57600</v>
      </c>
    </row>
    <row r="217" spans="1:2" x14ac:dyDescent="0.3">
      <c r="A217" s="109">
        <v>17800</v>
      </c>
      <c r="B217" s="109">
        <v>56200</v>
      </c>
    </row>
    <row r="218" spans="1:2" x14ac:dyDescent="0.3">
      <c r="A218" s="109">
        <v>18200</v>
      </c>
      <c r="B218" s="109">
        <v>54900</v>
      </c>
    </row>
    <row r="219" spans="1:2" x14ac:dyDescent="0.3">
      <c r="A219" s="109">
        <v>18700</v>
      </c>
      <c r="B219" s="109">
        <v>53600</v>
      </c>
    </row>
    <row r="220" spans="1:2" x14ac:dyDescent="0.3">
      <c r="A220" s="109">
        <v>19100</v>
      </c>
      <c r="B220" s="109">
        <v>52300</v>
      </c>
    </row>
    <row r="221" spans="1:2" x14ac:dyDescent="0.3">
      <c r="A221" s="109">
        <v>19600</v>
      </c>
      <c r="B221" s="109">
        <v>51100</v>
      </c>
    </row>
    <row r="222" spans="1:2" x14ac:dyDescent="0.3">
      <c r="A222" s="109">
        <v>20000</v>
      </c>
      <c r="B222" s="109">
        <v>49900</v>
      </c>
    </row>
    <row r="223" spans="1:2" x14ac:dyDescent="0.3">
      <c r="A223" s="109">
        <v>20500</v>
      </c>
      <c r="B223" s="109">
        <v>48700</v>
      </c>
    </row>
    <row r="224" spans="1:2" x14ac:dyDescent="0.3">
      <c r="A224" s="109">
        <v>21000</v>
      </c>
      <c r="B224" s="109">
        <v>47500</v>
      </c>
    </row>
    <row r="225" spans="1:2" x14ac:dyDescent="0.3">
      <c r="A225" s="109">
        <v>21500</v>
      </c>
      <c r="B225" s="109">
        <v>46400</v>
      </c>
    </row>
    <row r="226" spans="1:2" x14ac:dyDescent="0.3">
      <c r="A226" s="109">
        <v>22100</v>
      </c>
      <c r="B226" s="109">
        <v>45300</v>
      </c>
    </row>
    <row r="227" spans="1:2" x14ac:dyDescent="0.3">
      <c r="A227" s="109">
        <v>22600</v>
      </c>
      <c r="B227" s="109">
        <v>44200</v>
      </c>
    </row>
    <row r="228" spans="1:2" x14ac:dyDescent="0.3">
      <c r="A228" s="109">
        <v>23200</v>
      </c>
      <c r="B228" s="109">
        <v>43200</v>
      </c>
    </row>
    <row r="229" spans="1:2" x14ac:dyDescent="0.3">
      <c r="A229" s="109">
        <v>23700</v>
      </c>
      <c r="B229" s="109">
        <v>42200</v>
      </c>
    </row>
    <row r="230" spans="1:2" x14ac:dyDescent="0.3">
      <c r="A230" s="109">
        <v>24300</v>
      </c>
      <c r="B230" s="109">
        <v>41200</v>
      </c>
    </row>
    <row r="231" spans="1:2" x14ac:dyDescent="0.3">
      <c r="A231" s="109">
        <v>24900</v>
      </c>
      <c r="B231" s="109">
        <v>40200</v>
      </c>
    </row>
    <row r="232" spans="1:2" x14ac:dyDescent="0.3">
      <c r="A232" s="109">
        <v>25500</v>
      </c>
      <c r="B232" s="109">
        <v>39200</v>
      </c>
    </row>
    <row r="233" spans="1:2" x14ac:dyDescent="0.3">
      <c r="A233" s="109">
        <v>26100</v>
      </c>
      <c r="B233" s="109">
        <v>38300</v>
      </c>
    </row>
    <row r="234" spans="1:2" x14ac:dyDescent="0.3">
      <c r="A234" s="109">
        <v>26700</v>
      </c>
      <c r="B234" s="109">
        <v>37400</v>
      </c>
    </row>
    <row r="235" spans="1:2" x14ac:dyDescent="0.3">
      <c r="A235" s="109">
        <v>27400</v>
      </c>
      <c r="B235" s="109">
        <v>36500</v>
      </c>
    </row>
    <row r="236" spans="1:2" x14ac:dyDescent="0.3">
      <c r="A236" s="109">
        <v>28000</v>
      </c>
      <c r="B236" s="109">
        <v>35700</v>
      </c>
    </row>
    <row r="237" spans="1:2" x14ac:dyDescent="0.3">
      <c r="A237" s="109">
        <v>28700</v>
      </c>
      <c r="B237" s="109">
        <v>34800</v>
      </c>
    </row>
    <row r="238" spans="1:2" x14ac:dyDescent="0.3">
      <c r="A238" s="109">
        <v>29400</v>
      </c>
      <c r="B238" s="109">
        <v>34000</v>
      </c>
    </row>
    <row r="239" spans="1:2" x14ac:dyDescent="0.3">
      <c r="A239" s="109">
        <v>30100</v>
      </c>
      <c r="B239" s="109">
        <v>33200</v>
      </c>
    </row>
    <row r="240" spans="1:2" x14ac:dyDescent="0.3">
      <c r="A240" s="109">
        <v>30900</v>
      </c>
      <c r="B240" s="109">
        <v>32400</v>
      </c>
    </row>
    <row r="241" spans="1:2" x14ac:dyDescent="0.3">
      <c r="A241" s="109">
        <v>31600</v>
      </c>
      <c r="B241" s="109">
        <v>31600</v>
      </c>
    </row>
    <row r="242" spans="1:2" x14ac:dyDescent="0.3">
      <c r="A242" s="109">
        <v>32400</v>
      </c>
      <c r="B242" s="109">
        <v>30900</v>
      </c>
    </row>
    <row r="243" spans="1:2" x14ac:dyDescent="0.3">
      <c r="A243" s="109">
        <v>33200</v>
      </c>
      <c r="B243" s="109">
        <v>30100</v>
      </c>
    </row>
    <row r="244" spans="1:2" x14ac:dyDescent="0.3">
      <c r="A244" s="109">
        <v>34000</v>
      </c>
      <c r="B244" s="109">
        <v>29400</v>
      </c>
    </row>
    <row r="245" spans="1:2" x14ac:dyDescent="0.3">
      <c r="A245" s="109">
        <v>34800</v>
      </c>
      <c r="B245" s="109">
        <v>28700</v>
      </c>
    </row>
    <row r="246" spans="1:2" x14ac:dyDescent="0.3">
      <c r="A246" s="109">
        <v>35700</v>
      </c>
      <c r="B246" s="109">
        <v>28000</v>
      </c>
    </row>
    <row r="247" spans="1:2" x14ac:dyDescent="0.3">
      <c r="A247" s="109">
        <v>36500</v>
      </c>
      <c r="B247" s="109">
        <v>27400</v>
      </c>
    </row>
    <row r="248" spans="1:2" x14ac:dyDescent="0.3">
      <c r="A248" s="109">
        <v>37400</v>
      </c>
      <c r="B248" s="109">
        <v>26700</v>
      </c>
    </row>
    <row r="249" spans="1:2" x14ac:dyDescent="0.3">
      <c r="A249" s="109">
        <v>38300</v>
      </c>
      <c r="B249" s="109">
        <v>26100</v>
      </c>
    </row>
    <row r="250" spans="1:2" x14ac:dyDescent="0.3">
      <c r="A250" s="109">
        <v>39200</v>
      </c>
      <c r="B250" s="109">
        <v>25500</v>
      </c>
    </row>
    <row r="251" spans="1:2" x14ac:dyDescent="0.3">
      <c r="A251" s="109">
        <v>40200</v>
      </c>
      <c r="B251" s="109">
        <v>24900</v>
      </c>
    </row>
    <row r="252" spans="1:2" x14ac:dyDescent="0.3">
      <c r="A252" s="109">
        <v>41200</v>
      </c>
      <c r="B252" s="109">
        <v>24300</v>
      </c>
    </row>
    <row r="253" spans="1:2" x14ac:dyDescent="0.3">
      <c r="A253" s="109">
        <v>42200</v>
      </c>
      <c r="B253" s="109">
        <v>23700</v>
      </c>
    </row>
    <row r="254" spans="1:2" x14ac:dyDescent="0.3">
      <c r="A254" s="109">
        <v>43200</v>
      </c>
      <c r="B254" s="109">
        <v>23200</v>
      </c>
    </row>
    <row r="255" spans="1:2" x14ac:dyDescent="0.3">
      <c r="A255" s="109">
        <v>44200</v>
      </c>
      <c r="B255" s="109">
        <v>22600</v>
      </c>
    </row>
    <row r="256" spans="1:2" x14ac:dyDescent="0.3">
      <c r="A256" s="109">
        <v>45300</v>
      </c>
      <c r="B256" s="109">
        <v>22100</v>
      </c>
    </row>
    <row r="257" spans="1:2" x14ac:dyDescent="0.3">
      <c r="A257" s="109">
        <v>46400</v>
      </c>
      <c r="B257" s="109">
        <v>21500</v>
      </c>
    </row>
    <row r="258" spans="1:2" x14ac:dyDescent="0.3">
      <c r="A258" s="109">
        <v>47500</v>
      </c>
      <c r="B258" s="109">
        <v>21000</v>
      </c>
    </row>
    <row r="259" spans="1:2" x14ac:dyDescent="0.3">
      <c r="A259" s="109">
        <v>48700</v>
      </c>
      <c r="B259" s="109">
        <v>20500</v>
      </c>
    </row>
    <row r="260" spans="1:2" x14ac:dyDescent="0.3">
      <c r="A260" s="109">
        <v>49900</v>
      </c>
      <c r="B260" s="109">
        <v>20000</v>
      </c>
    </row>
    <row r="261" spans="1:2" x14ac:dyDescent="0.3">
      <c r="A261" s="109">
        <v>51100</v>
      </c>
      <c r="B261" s="109">
        <v>19600</v>
      </c>
    </row>
    <row r="262" spans="1:2" x14ac:dyDescent="0.3">
      <c r="A262" s="109">
        <v>52300</v>
      </c>
      <c r="B262" s="109">
        <v>19100</v>
      </c>
    </row>
    <row r="263" spans="1:2" x14ac:dyDescent="0.3">
      <c r="A263" s="109">
        <v>53600</v>
      </c>
      <c r="B263" s="109">
        <v>18700</v>
      </c>
    </row>
    <row r="264" spans="1:2" x14ac:dyDescent="0.3">
      <c r="A264" s="109">
        <v>54900</v>
      </c>
      <c r="B264" s="109">
        <v>18200</v>
      </c>
    </row>
    <row r="265" spans="1:2" x14ac:dyDescent="0.3">
      <c r="A265" s="109">
        <v>56200</v>
      </c>
      <c r="B265" s="109">
        <v>17800</v>
      </c>
    </row>
    <row r="266" spans="1:2" x14ac:dyDescent="0.3">
      <c r="A266" s="109">
        <v>57600</v>
      </c>
      <c r="B266" s="109">
        <v>17400</v>
      </c>
    </row>
    <row r="267" spans="1:2" x14ac:dyDescent="0.3">
      <c r="A267" s="109">
        <v>59000</v>
      </c>
      <c r="B267" s="109">
        <v>16900</v>
      </c>
    </row>
    <row r="268" spans="1:2" x14ac:dyDescent="0.3">
      <c r="A268" s="109">
        <v>60400</v>
      </c>
      <c r="B268" s="109">
        <v>16500</v>
      </c>
    </row>
    <row r="269" spans="1:2" x14ac:dyDescent="0.3">
      <c r="A269" s="109">
        <v>61900</v>
      </c>
      <c r="B269" s="109">
        <v>16200</v>
      </c>
    </row>
    <row r="270" spans="1:2" x14ac:dyDescent="0.3">
      <c r="A270" s="109">
        <v>63400</v>
      </c>
      <c r="B270" s="109">
        <v>15800</v>
      </c>
    </row>
    <row r="271" spans="1:2" x14ac:dyDescent="0.3">
      <c r="A271" s="109">
        <v>64900</v>
      </c>
      <c r="B271" s="109">
        <v>15400</v>
      </c>
    </row>
    <row r="272" spans="1:2" x14ac:dyDescent="0.3">
      <c r="A272" s="109">
        <v>66500</v>
      </c>
      <c r="B272" s="109">
        <v>15000</v>
      </c>
    </row>
    <row r="273" spans="1:2" x14ac:dyDescent="0.3">
      <c r="A273" s="109">
        <v>68100</v>
      </c>
      <c r="B273" s="109">
        <v>14700</v>
      </c>
    </row>
    <row r="274" spans="1:2" x14ac:dyDescent="0.3">
      <c r="A274" s="109">
        <v>69800</v>
      </c>
      <c r="B274" s="109">
        <v>14300</v>
      </c>
    </row>
    <row r="275" spans="1:2" x14ac:dyDescent="0.3">
      <c r="A275" s="109">
        <v>71500</v>
      </c>
      <c r="B275" s="109">
        <v>14000</v>
      </c>
    </row>
    <row r="276" spans="1:2" x14ac:dyDescent="0.3">
      <c r="A276" s="109">
        <v>73200</v>
      </c>
      <c r="B276" s="109">
        <v>13700</v>
      </c>
    </row>
    <row r="277" spans="1:2" x14ac:dyDescent="0.3">
      <c r="A277" s="109">
        <v>75000</v>
      </c>
      <c r="B277" s="109">
        <v>13300</v>
      </c>
    </row>
    <row r="278" spans="1:2" x14ac:dyDescent="0.3">
      <c r="A278" s="109">
        <v>76800</v>
      </c>
      <c r="B278" s="109">
        <v>13000</v>
      </c>
    </row>
    <row r="279" spans="1:2" x14ac:dyDescent="0.3">
      <c r="A279" s="109">
        <v>78700</v>
      </c>
      <c r="B279" s="109">
        <v>12700</v>
      </c>
    </row>
    <row r="280" spans="1:2" x14ac:dyDescent="0.3">
      <c r="A280" s="109">
        <v>80600</v>
      </c>
      <c r="B280" s="109">
        <v>12400</v>
      </c>
    </row>
    <row r="281" spans="1:2" x14ac:dyDescent="0.3">
      <c r="A281" s="109">
        <v>82500</v>
      </c>
      <c r="B281" s="109">
        <v>12100</v>
      </c>
    </row>
    <row r="282" spans="1:2" x14ac:dyDescent="0.3">
      <c r="A282" s="109">
        <v>84500</v>
      </c>
      <c r="B282" s="109">
        <v>11800</v>
      </c>
    </row>
    <row r="283" spans="1:2" x14ac:dyDescent="0.3">
      <c r="A283" s="109">
        <v>86600</v>
      </c>
      <c r="B283" s="109">
        <v>11500</v>
      </c>
    </row>
    <row r="284" spans="1:2" x14ac:dyDescent="0.3">
      <c r="A284" s="109">
        <v>88700</v>
      </c>
      <c r="B284" s="109">
        <v>11300</v>
      </c>
    </row>
    <row r="285" spans="1:2" x14ac:dyDescent="0.3">
      <c r="A285" s="109">
        <v>90900</v>
      </c>
      <c r="B285" s="109">
        <v>11000</v>
      </c>
    </row>
    <row r="286" spans="1:2" x14ac:dyDescent="0.3">
      <c r="A286" s="109">
        <v>93100</v>
      </c>
      <c r="B286" s="109">
        <v>10700</v>
      </c>
    </row>
    <row r="287" spans="1:2" x14ac:dyDescent="0.3">
      <c r="A287" s="109">
        <v>95300</v>
      </c>
      <c r="B287" s="109">
        <v>10500</v>
      </c>
    </row>
    <row r="288" spans="1:2" x14ac:dyDescent="0.3">
      <c r="A288" s="109">
        <v>97600</v>
      </c>
      <c r="B288" s="109">
        <v>10200</v>
      </c>
    </row>
    <row r="289" spans="1:2" x14ac:dyDescent="0.3">
      <c r="A289" s="114">
        <v>100000</v>
      </c>
      <c r="B289" s="109">
        <v>10000</v>
      </c>
    </row>
    <row r="290" spans="1:2" x14ac:dyDescent="0.3">
      <c r="A290" s="114">
        <v>102000</v>
      </c>
      <c r="B290" s="113">
        <v>9760</v>
      </c>
    </row>
    <row r="291" spans="1:2" x14ac:dyDescent="0.3">
      <c r="A291" s="114">
        <v>105000</v>
      </c>
      <c r="B291" s="113">
        <v>9530</v>
      </c>
    </row>
    <row r="292" spans="1:2" x14ac:dyDescent="0.3">
      <c r="A292" s="114">
        <v>107000</v>
      </c>
      <c r="B292" s="113">
        <v>9310</v>
      </c>
    </row>
    <row r="293" spans="1:2" x14ac:dyDescent="0.3">
      <c r="A293" s="114">
        <v>110000</v>
      </c>
      <c r="B293" s="113">
        <v>9090</v>
      </c>
    </row>
    <row r="294" spans="1:2" x14ac:dyDescent="0.3">
      <c r="A294" s="114">
        <v>113000</v>
      </c>
      <c r="B294" s="113">
        <v>8870</v>
      </c>
    </row>
    <row r="295" spans="1:2" x14ac:dyDescent="0.3">
      <c r="A295" s="114">
        <v>115000</v>
      </c>
      <c r="B295" s="113">
        <v>8660</v>
      </c>
    </row>
    <row r="296" spans="1:2" x14ac:dyDescent="0.3">
      <c r="A296" s="114">
        <v>118000</v>
      </c>
      <c r="B296" s="113">
        <v>8450</v>
      </c>
    </row>
    <row r="297" spans="1:2" x14ac:dyDescent="0.3">
      <c r="A297" s="114">
        <v>121000</v>
      </c>
      <c r="B297" s="113">
        <v>8250</v>
      </c>
    </row>
    <row r="298" spans="1:2" x14ac:dyDescent="0.3">
      <c r="A298" s="114">
        <v>124000</v>
      </c>
      <c r="B298" s="113">
        <v>8060</v>
      </c>
    </row>
    <row r="299" spans="1:2" x14ac:dyDescent="0.3">
      <c r="A299" s="114">
        <v>127000</v>
      </c>
      <c r="B299" s="113">
        <v>7870</v>
      </c>
    </row>
    <row r="300" spans="1:2" x14ac:dyDescent="0.3">
      <c r="A300" s="114">
        <v>130000</v>
      </c>
      <c r="B300" s="113">
        <v>7680</v>
      </c>
    </row>
    <row r="301" spans="1:2" x14ac:dyDescent="0.3">
      <c r="A301" s="114">
        <v>133000</v>
      </c>
      <c r="B301" s="113">
        <v>7500</v>
      </c>
    </row>
    <row r="302" spans="1:2" x14ac:dyDescent="0.3">
      <c r="A302" s="114">
        <v>137000</v>
      </c>
      <c r="B302" s="113">
        <v>7320</v>
      </c>
    </row>
    <row r="303" spans="1:2" x14ac:dyDescent="0.3">
      <c r="A303" s="114">
        <v>140000</v>
      </c>
      <c r="B303" s="113">
        <v>7150</v>
      </c>
    </row>
    <row r="304" spans="1:2" x14ac:dyDescent="0.3">
      <c r="A304" s="114">
        <v>143000</v>
      </c>
      <c r="B304" s="113">
        <v>6980</v>
      </c>
    </row>
    <row r="305" spans="1:2" x14ac:dyDescent="0.3">
      <c r="A305" s="114">
        <v>147000</v>
      </c>
      <c r="B305" s="113">
        <v>6810</v>
      </c>
    </row>
    <row r="306" spans="1:2" x14ac:dyDescent="0.3">
      <c r="A306" s="114">
        <v>150000</v>
      </c>
      <c r="B306" s="113">
        <v>6650</v>
      </c>
    </row>
    <row r="307" spans="1:2" x14ac:dyDescent="0.3">
      <c r="A307" s="114">
        <v>154000</v>
      </c>
      <c r="B307" s="113">
        <v>6490</v>
      </c>
    </row>
    <row r="308" spans="1:2" x14ac:dyDescent="0.3">
      <c r="A308" s="114">
        <v>158000</v>
      </c>
      <c r="B308" s="113">
        <v>6340</v>
      </c>
    </row>
    <row r="309" spans="1:2" x14ac:dyDescent="0.3">
      <c r="A309" s="114">
        <v>162000</v>
      </c>
      <c r="B309" s="113">
        <v>6190</v>
      </c>
    </row>
    <row r="310" spans="1:2" x14ac:dyDescent="0.3">
      <c r="A310" s="114">
        <v>165000</v>
      </c>
      <c r="B310" s="113">
        <v>6040</v>
      </c>
    </row>
    <row r="311" spans="1:2" x14ac:dyDescent="0.3">
      <c r="A311" s="114">
        <v>169000</v>
      </c>
      <c r="B311" s="113">
        <v>5900</v>
      </c>
    </row>
    <row r="312" spans="1:2" x14ac:dyDescent="0.3">
      <c r="A312" s="114">
        <v>174000</v>
      </c>
      <c r="B312" s="113">
        <v>5760</v>
      </c>
    </row>
    <row r="313" spans="1:2" x14ac:dyDescent="0.3">
      <c r="A313" s="114">
        <v>178000</v>
      </c>
      <c r="B313" s="113">
        <v>5620</v>
      </c>
    </row>
    <row r="314" spans="1:2" x14ac:dyDescent="0.3">
      <c r="A314" s="114">
        <v>182000</v>
      </c>
      <c r="B314" s="113">
        <v>5490</v>
      </c>
    </row>
    <row r="315" spans="1:2" x14ac:dyDescent="0.3">
      <c r="A315" s="114">
        <v>187000</v>
      </c>
      <c r="B315" s="113">
        <v>5360</v>
      </c>
    </row>
    <row r="316" spans="1:2" x14ac:dyDescent="0.3">
      <c r="A316" s="114">
        <v>191000</v>
      </c>
      <c r="B316" s="113">
        <v>5230</v>
      </c>
    </row>
    <row r="317" spans="1:2" x14ac:dyDescent="0.3">
      <c r="A317" s="114">
        <v>196000</v>
      </c>
      <c r="B317" s="113">
        <v>5110</v>
      </c>
    </row>
    <row r="318" spans="1:2" x14ac:dyDescent="0.3">
      <c r="A318" s="114">
        <v>200000</v>
      </c>
      <c r="B318" s="113">
        <v>4990</v>
      </c>
    </row>
    <row r="319" spans="1:2" x14ac:dyDescent="0.3">
      <c r="A319" s="114">
        <v>205000</v>
      </c>
      <c r="B319" s="113">
        <v>4870</v>
      </c>
    </row>
    <row r="320" spans="1:2" x14ac:dyDescent="0.3">
      <c r="A320" s="114">
        <v>210000</v>
      </c>
      <c r="B320" s="113">
        <v>4750</v>
      </c>
    </row>
    <row r="321" spans="1:2" x14ac:dyDescent="0.3">
      <c r="A321" s="114">
        <v>215000</v>
      </c>
      <c r="B321" s="113">
        <v>4640</v>
      </c>
    </row>
    <row r="322" spans="1:2" x14ac:dyDescent="0.3">
      <c r="A322" s="114">
        <v>221000</v>
      </c>
      <c r="B322" s="113">
        <v>4530</v>
      </c>
    </row>
    <row r="323" spans="1:2" x14ac:dyDescent="0.3">
      <c r="A323" s="114">
        <v>226000</v>
      </c>
      <c r="B323" s="113">
        <v>4420</v>
      </c>
    </row>
    <row r="324" spans="1:2" x14ac:dyDescent="0.3">
      <c r="A324" s="114">
        <v>232000</v>
      </c>
      <c r="B324" s="113">
        <v>4320</v>
      </c>
    </row>
    <row r="325" spans="1:2" x14ac:dyDescent="0.3">
      <c r="A325" s="114">
        <v>237000</v>
      </c>
      <c r="B325" s="113">
        <v>4220</v>
      </c>
    </row>
    <row r="326" spans="1:2" x14ac:dyDescent="0.3">
      <c r="A326" s="114">
        <v>243000</v>
      </c>
      <c r="B326" s="113">
        <v>4120</v>
      </c>
    </row>
    <row r="327" spans="1:2" x14ac:dyDescent="0.3">
      <c r="A327" s="114">
        <v>249000</v>
      </c>
      <c r="B327" s="113">
        <v>4020</v>
      </c>
    </row>
    <row r="328" spans="1:2" x14ac:dyDescent="0.3">
      <c r="A328" s="114">
        <v>255000</v>
      </c>
      <c r="B328" s="113">
        <v>3920</v>
      </c>
    </row>
    <row r="329" spans="1:2" x14ac:dyDescent="0.3">
      <c r="A329" s="114">
        <v>261000</v>
      </c>
      <c r="B329" s="113">
        <v>3830</v>
      </c>
    </row>
    <row r="330" spans="1:2" x14ac:dyDescent="0.3">
      <c r="A330" s="114">
        <v>267000</v>
      </c>
      <c r="B330" s="113">
        <v>3740</v>
      </c>
    </row>
    <row r="331" spans="1:2" x14ac:dyDescent="0.3">
      <c r="A331" s="114">
        <v>274000</v>
      </c>
      <c r="B331" s="113">
        <v>3650</v>
      </c>
    </row>
    <row r="332" spans="1:2" x14ac:dyDescent="0.3">
      <c r="A332" s="114">
        <v>280000</v>
      </c>
      <c r="B332" s="113">
        <v>3570</v>
      </c>
    </row>
    <row r="333" spans="1:2" x14ac:dyDescent="0.3">
      <c r="A333" s="114">
        <v>287000</v>
      </c>
      <c r="B333" s="113">
        <v>3480</v>
      </c>
    </row>
    <row r="334" spans="1:2" x14ac:dyDescent="0.3">
      <c r="A334" s="114">
        <v>294000</v>
      </c>
      <c r="B334" s="113">
        <v>3400</v>
      </c>
    </row>
    <row r="335" spans="1:2" x14ac:dyDescent="0.3">
      <c r="A335" s="114">
        <v>301000</v>
      </c>
      <c r="B335" s="113">
        <v>3320</v>
      </c>
    </row>
    <row r="336" spans="1:2" x14ac:dyDescent="0.3">
      <c r="A336" s="114">
        <v>309000</v>
      </c>
      <c r="B336" s="113">
        <v>3240</v>
      </c>
    </row>
    <row r="337" spans="1:2" x14ac:dyDescent="0.3">
      <c r="A337" s="114">
        <v>316000</v>
      </c>
      <c r="B337" s="113">
        <v>3160</v>
      </c>
    </row>
    <row r="338" spans="1:2" x14ac:dyDescent="0.3">
      <c r="A338" s="114">
        <v>324000</v>
      </c>
      <c r="B338" s="113">
        <v>3090</v>
      </c>
    </row>
    <row r="339" spans="1:2" x14ac:dyDescent="0.3">
      <c r="A339" s="114">
        <v>332000</v>
      </c>
      <c r="B339" s="113">
        <v>3010</v>
      </c>
    </row>
    <row r="340" spans="1:2" x14ac:dyDescent="0.3">
      <c r="A340" s="114">
        <v>340000</v>
      </c>
      <c r="B340" s="113">
        <v>2940</v>
      </c>
    </row>
    <row r="341" spans="1:2" x14ac:dyDescent="0.3">
      <c r="A341" s="114">
        <v>348000</v>
      </c>
      <c r="B341" s="113">
        <v>2870</v>
      </c>
    </row>
    <row r="342" spans="1:2" x14ac:dyDescent="0.3">
      <c r="A342" s="114">
        <v>357000</v>
      </c>
      <c r="B342" s="113">
        <v>2800</v>
      </c>
    </row>
    <row r="343" spans="1:2" x14ac:dyDescent="0.3">
      <c r="A343" s="114">
        <v>365000</v>
      </c>
      <c r="B343" s="113">
        <v>2740</v>
      </c>
    </row>
    <row r="344" spans="1:2" x14ac:dyDescent="0.3">
      <c r="A344" s="114">
        <v>374000</v>
      </c>
      <c r="B344" s="113">
        <v>2670</v>
      </c>
    </row>
    <row r="345" spans="1:2" x14ac:dyDescent="0.3">
      <c r="A345" s="114">
        <v>383000</v>
      </c>
      <c r="B345" s="113">
        <v>2610</v>
      </c>
    </row>
    <row r="346" spans="1:2" x14ac:dyDescent="0.3">
      <c r="A346" s="114">
        <v>392000</v>
      </c>
      <c r="B346" s="113">
        <v>2550</v>
      </c>
    </row>
    <row r="347" spans="1:2" x14ac:dyDescent="0.3">
      <c r="A347" s="114">
        <v>402000</v>
      </c>
      <c r="B347" s="113">
        <v>2490</v>
      </c>
    </row>
    <row r="348" spans="1:2" x14ac:dyDescent="0.3">
      <c r="A348" s="114">
        <v>412000</v>
      </c>
      <c r="B348" s="113">
        <v>2430</v>
      </c>
    </row>
    <row r="349" spans="1:2" x14ac:dyDescent="0.3">
      <c r="A349" s="114">
        <v>422000</v>
      </c>
      <c r="B349" s="113">
        <v>2370</v>
      </c>
    </row>
    <row r="350" spans="1:2" x14ac:dyDescent="0.3">
      <c r="A350" s="114">
        <v>432000</v>
      </c>
      <c r="B350" s="113">
        <v>2320</v>
      </c>
    </row>
    <row r="351" spans="1:2" x14ac:dyDescent="0.3">
      <c r="A351" s="114">
        <v>442000</v>
      </c>
      <c r="B351" s="113">
        <v>2260</v>
      </c>
    </row>
    <row r="352" spans="1:2" x14ac:dyDescent="0.3">
      <c r="A352" s="114">
        <v>453000</v>
      </c>
      <c r="B352" s="113">
        <v>2210</v>
      </c>
    </row>
    <row r="353" spans="1:2" x14ac:dyDescent="0.3">
      <c r="A353" s="114">
        <v>464000</v>
      </c>
      <c r="B353" s="113">
        <v>2150</v>
      </c>
    </row>
    <row r="354" spans="1:2" x14ac:dyDescent="0.3">
      <c r="A354" s="114">
        <v>475000</v>
      </c>
      <c r="B354" s="113">
        <v>2100</v>
      </c>
    </row>
    <row r="355" spans="1:2" x14ac:dyDescent="0.3">
      <c r="A355" s="114">
        <v>487000</v>
      </c>
      <c r="B355" s="113">
        <v>2050</v>
      </c>
    </row>
    <row r="356" spans="1:2" x14ac:dyDescent="0.3">
      <c r="A356" s="114">
        <v>499000</v>
      </c>
      <c r="B356" s="113">
        <v>2000</v>
      </c>
    </row>
    <row r="357" spans="1:2" x14ac:dyDescent="0.3">
      <c r="A357" s="114">
        <v>511000</v>
      </c>
      <c r="B357" s="113">
        <v>1960</v>
      </c>
    </row>
    <row r="358" spans="1:2" x14ac:dyDescent="0.3">
      <c r="A358" s="114">
        <v>523000</v>
      </c>
      <c r="B358" s="113">
        <v>1910</v>
      </c>
    </row>
    <row r="359" spans="1:2" x14ac:dyDescent="0.3">
      <c r="A359" s="114">
        <v>536000</v>
      </c>
      <c r="B359" s="113">
        <v>1870</v>
      </c>
    </row>
    <row r="360" spans="1:2" x14ac:dyDescent="0.3">
      <c r="A360" s="114">
        <v>549000</v>
      </c>
      <c r="B360" s="113">
        <v>1820</v>
      </c>
    </row>
    <row r="361" spans="1:2" x14ac:dyDescent="0.3">
      <c r="A361" s="114">
        <v>562000</v>
      </c>
      <c r="B361" s="113">
        <v>1780</v>
      </c>
    </row>
    <row r="362" spans="1:2" x14ac:dyDescent="0.3">
      <c r="A362" s="114">
        <v>576000</v>
      </c>
      <c r="B362" s="113">
        <v>1740</v>
      </c>
    </row>
    <row r="363" spans="1:2" x14ac:dyDescent="0.3">
      <c r="A363" s="114">
        <v>590000</v>
      </c>
      <c r="B363" s="113">
        <v>1690</v>
      </c>
    </row>
    <row r="364" spans="1:2" x14ac:dyDescent="0.3">
      <c r="A364" s="114">
        <v>604000</v>
      </c>
      <c r="B364" s="113">
        <v>1650</v>
      </c>
    </row>
    <row r="365" spans="1:2" x14ac:dyDescent="0.3">
      <c r="A365" s="114">
        <v>619000</v>
      </c>
      <c r="B365" s="113">
        <v>1620</v>
      </c>
    </row>
    <row r="366" spans="1:2" x14ac:dyDescent="0.3">
      <c r="A366" s="114">
        <v>634000</v>
      </c>
      <c r="B366" s="113">
        <v>1580</v>
      </c>
    </row>
    <row r="367" spans="1:2" x14ac:dyDescent="0.3">
      <c r="A367" s="114">
        <v>649000</v>
      </c>
      <c r="B367" s="113">
        <v>1540</v>
      </c>
    </row>
    <row r="368" spans="1:2" x14ac:dyDescent="0.3">
      <c r="A368" s="114">
        <v>665000</v>
      </c>
      <c r="B368" s="113">
        <v>1500</v>
      </c>
    </row>
    <row r="369" spans="1:2" x14ac:dyDescent="0.3">
      <c r="A369" s="114">
        <v>681000</v>
      </c>
      <c r="B369" s="113">
        <v>1470</v>
      </c>
    </row>
    <row r="370" spans="1:2" x14ac:dyDescent="0.3">
      <c r="A370" s="114">
        <v>698000</v>
      </c>
      <c r="B370" s="113">
        <v>1430</v>
      </c>
    </row>
    <row r="371" spans="1:2" x14ac:dyDescent="0.3">
      <c r="A371" s="114">
        <v>715000</v>
      </c>
      <c r="B371" s="113">
        <v>1400</v>
      </c>
    </row>
    <row r="372" spans="1:2" x14ac:dyDescent="0.3">
      <c r="A372" s="114">
        <v>732000</v>
      </c>
      <c r="B372" s="113">
        <v>1370</v>
      </c>
    </row>
    <row r="373" spans="1:2" x14ac:dyDescent="0.3">
      <c r="A373" s="114">
        <v>750000</v>
      </c>
      <c r="B373" s="113">
        <v>1330</v>
      </c>
    </row>
    <row r="374" spans="1:2" x14ac:dyDescent="0.3">
      <c r="A374" s="114">
        <v>768000</v>
      </c>
      <c r="B374" s="113">
        <v>1300</v>
      </c>
    </row>
    <row r="375" spans="1:2" x14ac:dyDescent="0.3">
      <c r="A375" s="114">
        <v>787000</v>
      </c>
      <c r="B375" s="113">
        <v>1270</v>
      </c>
    </row>
    <row r="376" spans="1:2" x14ac:dyDescent="0.3">
      <c r="A376" s="114">
        <v>806000</v>
      </c>
      <c r="B376" s="113">
        <v>1240</v>
      </c>
    </row>
    <row r="377" spans="1:2" x14ac:dyDescent="0.3">
      <c r="A377" s="114">
        <v>825000</v>
      </c>
      <c r="B377" s="113">
        <v>1210</v>
      </c>
    </row>
    <row r="378" spans="1:2" x14ac:dyDescent="0.3">
      <c r="A378" s="114">
        <v>845000</v>
      </c>
      <c r="B378" s="113">
        <v>1180</v>
      </c>
    </row>
    <row r="379" spans="1:2" x14ac:dyDescent="0.3">
      <c r="A379" s="114">
        <v>866000</v>
      </c>
      <c r="B379" s="113">
        <v>1150</v>
      </c>
    </row>
    <row r="380" spans="1:2" x14ac:dyDescent="0.3">
      <c r="A380" s="114">
        <v>887000</v>
      </c>
      <c r="B380" s="113">
        <v>1130</v>
      </c>
    </row>
    <row r="381" spans="1:2" x14ac:dyDescent="0.3">
      <c r="A381" s="114">
        <v>909000</v>
      </c>
      <c r="B381" s="113">
        <v>1100</v>
      </c>
    </row>
    <row r="382" spans="1:2" x14ac:dyDescent="0.3">
      <c r="A382" s="114">
        <v>931000</v>
      </c>
      <c r="B382" s="113">
        <v>1070</v>
      </c>
    </row>
    <row r="383" spans="1:2" x14ac:dyDescent="0.3">
      <c r="A383" s="114">
        <v>953000</v>
      </c>
      <c r="B383" s="113">
        <v>1050</v>
      </c>
    </row>
    <row r="384" spans="1:2" x14ac:dyDescent="0.3">
      <c r="A384" s="114">
        <v>976000</v>
      </c>
      <c r="B384" s="113">
        <v>1020</v>
      </c>
    </row>
    <row r="385" spans="1:2" x14ac:dyDescent="0.3">
      <c r="A385" s="52">
        <v>1000000</v>
      </c>
      <c r="B385" s="113">
        <v>1000</v>
      </c>
    </row>
    <row r="386" spans="1:2" x14ac:dyDescent="0.3">
      <c r="A386" s="52">
        <v>1020000</v>
      </c>
      <c r="B386" s="5">
        <v>976</v>
      </c>
    </row>
    <row r="387" spans="1:2" x14ac:dyDescent="0.3">
      <c r="A387" s="52">
        <v>1050000</v>
      </c>
      <c r="B387" s="5">
        <v>953</v>
      </c>
    </row>
    <row r="388" spans="1:2" x14ac:dyDescent="0.3">
      <c r="A388" s="52">
        <v>1070000</v>
      </c>
      <c r="B388" s="5">
        <v>931</v>
      </c>
    </row>
    <row r="389" spans="1:2" x14ac:dyDescent="0.3">
      <c r="A389" s="52">
        <v>1100000</v>
      </c>
      <c r="B389" s="5">
        <v>909</v>
      </c>
    </row>
    <row r="390" spans="1:2" x14ac:dyDescent="0.3">
      <c r="A390" s="52">
        <v>1130000</v>
      </c>
      <c r="B390" s="5">
        <v>887</v>
      </c>
    </row>
    <row r="391" spans="1:2" x14ac:dyDescent="0.3">
      <c r="A391" s="52">
        <v>1150000</v>
      </c>
      <c r="B391" s="5">
        <v>866</v>
      </c>
    </row>
    <row r="392" spans="1:2" x14ac:dyDescent="0.3">
      <c r="A392" s="52">
        <v>1180000</v>
      </c>
      <c r="B392" s="5">
        <v>845</v>
      </c>
    </row>
    <row r="393" spans="1:2" x14ac:dyDescent="0.3">
      <c r="A393" s="52">
        <v>1210000</v>
      </c>
      <c r="B393" s="5">
        <v>825</v>
      </c>
    </row>
    <row r="394" spans="1:2" x14ac:dyDescent="0.3">
      <c r="A394" s="52">
        <v>1240000</v>
      </c>
      <c r="B394" s="5">
        <v>806</v>
      </c>
    </row>
    <row r="395" spans="1:2" x14ac:dyDescent="0.3">
      <c r="A395" s="52">
        <v>1270000</v>
      </c>
      <c r="B395" s="5">
        <v>787</v>
      </c>
    </row>
    <row r="396" spans="1:2" x14ac:dyDescent="0.3">
      <c r="A396" s="52">
        <v>1300000</v>
      </c>
      <c r="B396" s="5">
        <v>768</v>
      </c>
    </row>
    <row r="397" spans="1:2" x14ac:dyDescent="0.3">
      <c r="A397" s="52">
        <v>1330000</v>
      </c>
      <c r="B397" s="5">
        <v>750</v>
      </c>
    </row>
    <row r="398" spans="1:2" x14ac:dyDescent="0.3">
      <c r="A398" s="52">
        <v>1370000</v>
      </c>
      <c r="B398" s="5">
        <v>732</v>
      </c>
    </row>
    <row r="399" spans="1:2" x14ac:dyDescent="0.3">
      <c r="A399" s="52">
        <v>1400000</v>
      </c>
      <c r="B399" s="5">
        <v>715</v>
      </c>
    </row>
    <row r="400" spans="1:2" x14ac:dyDescent="0.3">
      <c r="A400" s="52">
        <v>1430000</v>
      </c>
      <c r="B400" s="5">
        <v>698</v>
      </c>
    </row>
    <row r="401" spans="1:2" x14ac:dyDescent="0.3">
      <c r="A401" s="52">
        <v>1470000</v>
      </c>
      <c r="B401" s="5">
        <v>681</v>
      </c>
    </row>
    <row r="402" spans="1:2" x14ac:dyDescent="0.3">
      <c r="A402" s="52">
        <v>1500000</v>
      </c>
      <c r="B402" s="5">
        <v>665</v>
      </c>
    </row>
    <row r="403" spans="1:2" x14ac:dyDescent="0.3">
      <c r="A403" s="52">
        <v>1540000</v>
      </c>
      <c r="B403" s="5">
        <v>649</v>
      </c>
    </row>
    <row r="404" spans="1:2" x14ac:dyDescent="0.3">
      <c r="A404" s="52">
        <v>1580000</v>
      </c>
      <c r="B404" s="5">
        <v>634</v>
      </c>
    </row>
    <row r="405" spans="1:2" x14ac:dyDescent="0.3">
      <c r="A405" s="52">
        <v>1620000</v>
      </c>
      <c r="B405" s="5">
        <v>619</v>
      </c>
    </row>
    <row r="406" spans="1:2" x14ac:dyDescent="0.3">
      <c r="A406" s="52">
        <v>1650000</v>
      </c>
      <c r="B406" s="5">
        <v>604</v>
      </c>
    </row>
    <row r="407" spans="1:2" x14ac:dyDescent="0.3">
      <c r="A407" s="52">
        <v>1690000</v>
      </c>
      <c r="B407" s="5">
        <v>590</v>
      </c>
    </row>
    <row r="408" spans="1:2" x14ac:dyDescent="0.3">
      <c r="A408" s="52">
        <v>1740000</v>
      </c>
      <c r="B408" s="5">
        <v>576</v>
      </c>
    </row>
    <row r="409" spans="1:2" x14ac:dyDescent="0.3">
      <c r="A409" s="52">
        <v>1780000</v>
      </c>
      <c r="B409" s="5">
        <v>562</v>
      </c>
    </row>
    <row r="410" spans="1:2" x14ac:dyDescent="0.3">
      <c r="A410" s="52">
        <v>1820000</v>
      </c>
      <c r="B410" s="5">
        <v>549</v>
      </c>
    </row>
    <row r="411" spans="1:2" x14ac:dyDescent="0.3">
      <c r="A411" s="52">
        <v>1870000</v>
      </c>
      <c r="B411" s="5">
        <v>536</v>
      </c>
    </row>
    <row r="412" spans="1:2" x14ac:dyDescent="0.3">
      <c r="A412" s="52">
        <v>1910000</v>
      </c>
      <c r="B412" s="5">
        <v>523</v>
      </c>
    </row>
    <row r="413" spans="1:2" x14ac:dyDescent="0.3">
      <c r="A413" s="52">
        <v>1960000</v>
      </c>
      <c r="B413" s="5">
        <v>511</v>
      </c>
    </row>
    <row r="414" spans="1:2" x14ac:dyDescent="0.3">
      <c r="A414" s="52">
        <v>2000000</v>
      </c>
      <c r="B414" s="5">
        <v>499</v>
      </c>
    </row>
    <row r="415" spans="1:2" x14ac:dyDescent="0.3">
      <c r="A415" s="52">
        <v>2050000</v>
      </c>
      <c r="B415" s="5">
        <v>487</v>
      </c>
    </row>
    <row r="416" spans="1:2" x14ac:dyDescent="0.3">
      <c r="A416" s="52">
        <v>2100000</v>
      </c>
      <c r="B416" s="5">
        <v>475</v>
      </c>
    </row>
    <row r="417" spans="1:2" x14ac:dyDescent="0.3">
      <c r="A417" s="52">
        <v>2150000</v>
      </c>
      <c r="B417" s="5">
        <v>464</v>
      </c>
    </row>
    <row r="418" spans="1:2" x14ac:dyDescent="0.3">
      <c r="A418" s="52">
        <v>2210000</v>
      </c>
      <c r="B418" s="5">
        <v>453</v>
      </c>
    </row>
    <row r="419" spans="1:2" x14ac:dyDescent="0.3">
      <c r="A419" s="52">
        <v>2260000</v>
      </c>
      <c r="B419" s="5">
        <v>442</v>
      </c>
    </row>
    <row r="420" spans="1:2" x14ac:dyDescent="0.3">
      <c r="A420" s="52">
        <v>2320000</v>
      </c>
      <c r="B420" s="5">
        <v>432</v>
      </c>
    </row>
    <row r="421" spans="1:2" x14ac:dyDescent="0.3">
      <c r="A421" s="52">
        <v>2370000</v>
      </c>
      <c r="B421" s="5">
        <v>422</v>
      </c>
    </row>
    <row r="422" spans="1:2" x14ac:dyDescent="0.3">
      <c r="A422" s="52">
        <v>2430000</v>
      </c>
      <c r="B422" s="5">
        <v>412</v>
      </c>
    </row>
    <row r="423" spans="1:2" x14ac:dyDescent="0.3">
      <c r="A423" s="52">
        <v>2490000</v>
      </c>
      <c r="B423" s="5">
        <v>402</v>
      </c>
    </row>
    <row r="424" spans="1:2" x14ac:dyDescent="0.3">
      <c r="A424" s="52">
        <v>2550000</v>
      </c>
      <c r="B424" s="5">
        <v>392</v>
      </c>
    </row>
    <row r="425" spans="1:2" x14ac:dyDescent="0.3">
      <c r="A425" s="52">
        <v>2610000</v>
      </c>
      <c r="B425" s="5">
        <v>383</v>
      </c>
    </row>
    <row r="426" spans="1:2" x14ac:dyDescent="0.3">
      <c r="A426" s="52">
        <v>2670000</v>
      </c>
      <c r="B426" s="5">
        <v>374</v>
      </c>
    </row>
    <row r="427" spans="1:2" x14ac:dyDescent="0.3">
      <c r="A427" s="52">
        <v>2740000</v>
      </c>
      <c r="B427" s="5">
        <v>365</v>
      </c>
    </row>
    <row r="428" spans="1:2" x14ac:dyDescent="0.3">
      <c r="A428" s="52">
        <v>2800000</v>
      </c>
      <c r="B428" s="5">
        <v>357</v>
      </c>
    </row>
    <row r="429" spans="1:2" x14ac:dyDescent="0.3">
      <c r="A429" s="52">
        <v>2870000</v>
      </c>
      <c r="B429" s="5">
        <v>348</v>
      </c>
    </row>
    <row r="430" spans="1:2" x14ac:dyDescent="0.3">
      <c r="A430" s="52">
        <v>2940000</v>
      </c>
      <c r="B430" s="5">
        <v>340</v>
      </c>
    </row>
    <row r="431" spans="1:2" x14ac:dyDescent="0.3">
      <c r="A431" s="52">
        <v>3010000</v>
      </c>
      <c r="B431" s="5">
        <v>332</v>
      </c>
    </row>
    <row r="432" spans="1:2" x14ac:dyDescent="0.3">
      <c r="A432" s="52">
        <v>3090000</v>
      </c>
      <c r="B432" s="5">
        <v>324</v>
      </c>
    </row>
    <row r="433" spans="1:2" x14ac:dyDescent="0.3">
      <c r="A433" s="52">
        <v>3160000</v>
      </c>
      <c r="B433" s="5">
        <v>316</v>
      </c>
    </row>
    <row r="434" spans="1:2" x14ac:dyDescent="0.3">
      <c r="A434" s="52">
        <v>3240000</v>
      </c>
      <c r="B434" s="5">
        <v>309</v>
      </c>
    </row>
    <row r="435" spans="1:2" x14ac:dyDescent="0.3">
      <c r="A435" s="52">
        <v>3320000</v>
      </c>
      <c r="B435" s="5">
        <v>301</v>
      </c>
    </row>
    <row r="436" spans="1:2" x14ac:dyDescent="0.3">
      <c r="A436" s="52">
        <v>3400000</v>
      </c>
      <c r="B436" s="5">
        <v>294</v>
      </c>
    </row>
    <row r="437" spans="1:2" x14ac:dyDescent="0.3">
      <c r="A437" s="52">
        <v>3480000</v>
      </c>
      <c r="B437" s="5">
        <v>287</v>
      </c>
    </row>
    <row r="438" spans="1:2" x14ac:dyDescent="0.3">
      <c r="A438" s="52">
        <v>3570000</v>
      </c>
      <c r="B438" s="5">
        <v>280</v>
      </c>
    </row>
    <row r="439" spans="1:2" x14ac:dyDescent="0.3">
      <c r="A439" s="52">
        <v>3650000</v>
      </c>
      <c r="B439" s="5">
        <v>274</v>
      </c>
    </row>
    <row r="440" spans="1:2" x14ac:dyDescent="0.3">
      <c r="A440" s="52">
        <v>3740000</v>
      </c>
      <c r="B440" s="5">
        <v>267</v>
      </c>
    </row>
    <row r="441" spans="1:2" x14ac:dyDescent="0.3">
      <c r="A441" s="52">
        <v>3830000</v>
      </c>
      <c r="B441" s="5">
        <v>261</v>
      </c>
    </row>
    <row r="442" spans="1:2" x14ac:dyDescent="0.3">
      <c r="A442" s="52">
        <v>3920000</v>
      </c>
      <c r="B442" s="5">
        <v>255</v>
      </c>
    </row>
    <row r="443" spans="1:2" x14ac:dyDescent="0.3">
      <c r="A443" s="52">
        <v>4020000</v>
      </c>
      <c r="B443" s="5">
        <v>249</v>
      </c>
    </row>
    <row r="444" spans="1:2" x14ac:dyDescent="0.3">
      <c r="A444" s="52">
        <v>4120000</v>
      </c>
      <c r="B444" s="5">
        <v>243</v>
      </c>
    </row>
    <row r="445" spans="1:2" x14ac:dyDescent="0.3">
      <c r="A445" s="52">
        <v>4220000</v>
      </c>
      <c r="B445" s="5">
        <v>237</v>
      </c>
    </row>
    <row r="446" spans="1:2" x14ac:dyDescent="0.3">
      <c r="A446" s="52">
        <v>4320000</v>
      </c>
      <c r="B446" s="5">
        <v>232</v>
      </c>
    </row>
    <row r="447" spans="1:2" x14ac:dyDescent="0.3">
      <c r="A447" s="52">
        <v>4420000</v>
      </c>
      <c r="B447" s="5">
        <v>226</v>
      </c>
    </row>
    <row r="448" spans="1:2" x14ac:dyDescent="0.3">
      <c r="A448" s="52">
        <v>4530000</v>
      </c>
      <c r="B448" s="5">
        <v>221</v>
      </c>
    </row>
    <row r="449" spans="1:2" x14ac:dyDescent="0.3">
      <c r="A449" s="52">
        <v>4640000</v>
      </c>
      <c r="B449" s="5">
        <v>215</v>
      </c>
    </row>
    <row r="450" spans="1:2" x14ac:dyDescent="0.3">
      <c r="A450" s="52">
        <v>4750000</v>
      </c>
      <c r="B450" s="5">
        <v>210</v>
      </c>
    </row>
    <row r="451" spans="1:2" x14ac:dyDescent="0.3">
      <c r="A451" s="52">
        <v>4870000</v>
      </c>
      <c r="B451" s="5">
        <v>205</v>
      </c>
    </row>
    <row r="452" spans="1:2" x14ac:dyDescent="0.3">
      <c r="A452" s="52">
        <v>4990000</v>
      </c>
      <c r="B452" s="5">
        <v>200</v>
      </c>
    </row>
    <row r="453" spans="1:2" x14ac:dyDescent="0.3">
      <c r="A453" s="52">
        <v>5110000</v>
      </c>
      <c r="B453" s="5">
        <v>196</v>
      </c>
    </row>
    <row r="454" spans="1:2" x14ac:dyDescent="0.3">
      <c r="A454" s="52">
        <v>5230000</v>
      </c>
      <c r="B454" s="5">
        <v>191</v>
      </c>
    </row>
    <row r="455" spans="1:2" x14ac:dyDescent="0.3">
      <c r="A455" s="52">
        <v>5360000</v>
      </c>
      <c r="B455" s="5">
        <v>187</v>
      </c>
    </row>
    <row r="456" spans="1:2" x14ac:dyDescent="0.3">
      <c r="A456" s="52">
        <v>5490000</v>
      </c>
      <c r="B456" s="5">
        <v>182</v>
      </c>
    </row>
    <row r="457" spans="1:2" x14ac:dyDescent="0.3">
      <c r="A457" s="52">
        <v>5620000</v>
      </c>
      <c r="B457" s="5">
        <v>178</v>
      </c>
    </row>
    <row r="458" spans="1:2" x14ac:dyDescent="0.3">
      <c r="A458" s="52">
        <v>5760000</v>
      </c>
      <c r="B458" s="5">
        <v>174</v>
      </c>
    </row>
    <row r="459" spans="1:2" x14ac:dyDescent="0.3">
      <c r="A459" s="52">
        <v>5900000</v>
      </c>
      <c r="B459" s="5">
        <v>169</v>
      </c>
    </row>
    <row r="460" spans="1:2" x14ac:dyDescent="0.3">
      <c r="A460" s="52">
        <v>6040000</v>
      </c>
      <c r="B460" s="5">
        <v>165</v>
      </c>
    </row>
    <row r="461" spans="1:2" x14ac:dyDescent="0.3">
      <c r="A461" s="52">
        <v>6190000</v>
      </c>
      <c r="B461" s="5">
        <v>162</v>
      </c>
    </row>
    <row r="462" spans="1:2" x14ac:dyDescent="0.3">
      <c r="A462" s="52">
        <v>6340000</v>
      </c>
      <c r="B462" s="5">
        <v>158</v>
      </c>
    </row>
    <row r="463" spans="1:2" x14ac:dyDescent="0.3">
      <c r="A463" s="52">
        <v>6490000</v>
      </c>
      <c r="B463" s="5">
        <v>154</v>
      </c>
    </row>
    <row r="464" spans="1:2" x14ac:dyDescent="0.3">
      <c r="A464" s="52">
        <v>6650000</v>
      </c>
      <c r="B464" s="5">
        <v>150</v>
      </c>
    </row>
    <row r="465" spans="1:2" x14ac:dyDescent="0.3">
      <c r="A465" s="52">
        <v>6810000</v>
      </c>
      <c r="B465" s="5">
        <v>147</v>
      </c>
    </row>
    <row r="466" spans="1:2" x14ac:dyDescent="0.3">
      <c r="A466" s="52">
        <v>6980000</v>
      </c>
      <c r="B466" s="5">
        <v>143</v>
      </c>
    </row>
    <row r="467" spans="1:2" x14ac:dyDescent="0.3">
      <c r="A467" s="52">
        <v>7150000</v>
      </c>
      <c r="B467" s="5">
        <v>140</v>
      </c>
    </row>
    <row r="468" spans="1:2" x14ac:dyDescent="0.3">
      <c r="A468" s="52">
        <v>7320000</v>
      </c>
      <c r="B468" s="5">
        <v>137</v>
      </c>
    </row>
    <row r="469" spans="1:2" x14ac:dyDescent="0.3">
      <c r="A469" s="52">
        <v>7500000</v>
      </c>
      <c r="B469" s="5">
        <v>133</v>
      </c>
    </row>
    <row r="470" spans="1:2" x14ac:dyDescent="0.3">
      <c r="A470" s="52">
        <v>7680000</v>
      </c>
      <c r="B470" s="5">
        <v>130</v>
      </c>
    </row>
    <row r="471" spans="1:2" x14ac:dyDescent="0.3">
      <c r="A471" s="52">
        <v>7870000</v>
      </c>
      <c r="B471" s="5">
        <v>127</v>
      </c>
    </row>
    <row r="472" spans="1:2" x14ac:dyDescent="0.3">
      <c r="A472" s="52">
        <v>8060000</v>
      </c>
      <c r="B472" s="5">
        <v>124</v>
      </c>
    </row>
    <row r="473" spans="1:2" x14ac:dyDescent="0.3">
      <c r="A473" s="52">
        <v>8250000</v>
      </c>
      <c r="B473" s="5">
        <v>121</v>
      </c>
    </row>
    <row r="474" spans="1:2" x14ac:dyDescent="0.3">
      <c r="A474" s="52">
        <v>8449999.9999999981</v>
      </c>
      <c r="B474" s="5">
        <v>118</v>
      </c>
    </row>
    <row r="475" spans="1:2" x14ac:dyDescent="0.3">
      <c r="A475" s="52">
        <v>8660000</v>
      </c>
      <c r="B475" s="5">
        <v>115</v>
      </c>
    </row>
    <row r="476" spans="1:2" x14ac:dyDescent="0.3">
      <c r="A476" s="52">
        <v>8869999.9999999981</v>
      </c>
      <c r="B476" s="5">
        <v>113</v>
      </c>
    </row>
    <row r="477" spans="1:2" x14ac:dyDescent="0.3">
      <c r="A477" s="52">
        <v>9090000</v>
      </c>
      <c r="B477" s="5">
        <v>110</v>
      </c>
    </row>
    <row r="478" spans="1:2" x14ac:dyDescent="0.3">
      <c r="A478" s="52">
        <v>9310000</v>
      </c>
      <c r="B478" s="5">
        <v>107</v>
      </c>
    </row>
    <row r="479" spans="1:2" x14ac:dyDescent="0.3">
      <c r="A479" s="52">
        <v>9529999.9999999981</v>
      </c>
      <c r="B479" s="5">
        <v>105</v>
      </c>
    </row>
    <row r="480" spans="1:2" x14ac:dyDescent="0.3">
      <c r="A480" s="52">
        <v>9760000</v>
      </c>
      <c r="B480" s="5">
        <v>102</v>
      </c>
    </row>
    <row r="481" spans="1:2" x14ac:dyDescent="0.3">
      <c r="A481" s="52">
        <v>10000000</v>
      </c>
      <c r="B481" s="5">
        <v>100</v>
      </c>
    </row>
  </sheetData>
  <sheetProtection algorithmName="SHA-512" hashValue="D7cFlODVr4Ol9UXzkX/Ks5JE2CzdRkOOG9Ka8KpMblwRgVuS+4p0UTuFfazT2yqOf/9Ip+PKCPCxkbG5O4Kpzw==" saltValue="pjf8nTeggoSUKm6TbxdUoA==" spinCount="100000" sheet="1" objects="1" scenarios="1"/>
  <phoneticPr fontId="3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642"/>
  <sheetViews>
    <sheetView workbookViewId="0">
      <selection activeCell="A995" sqref="A995:N1642"/>
    </sheetView>
  </sheetViews>
  <sheetFormatPr defaultRowHeight="12.45" x14ac:dyDescent="0.3"/>
  <cols>
    <col min="1" max="1" width="11.84375" customWidth="1"/>
    <col min="7" max="7" width="12.15234375" customWidth="1"/>
    <col min="13" max="13" width="12.4609375" bestFit="1" customWidth="1"/>
  </cols>
  <sheetData>
    <row r="1" spans="1:14" x14ac:dyDescent="0.3">
      <c r="A1" s="5" t="str">
        <f>'Design Calculations'!B59</f>
        <v>Vout Factor</v>
      </c>
      <c r="B1" s="5" t="str">
        <f>'Design Calculations'!C59</f>
        <v>Vout</v>
      </c>
      <c r="C1" s="5" t="str">
        <f>'Design Calculations'!D59</f>
        <v>VFLB</v>
      </c>
      <c r="D1" s="5" t="str">
        <f>'Design Calculations'!E59</f>
        <v>OC</v>
      </c>
      <c r="E1" s="5" t="str">
        <f>'Design Calculations'!F59</f>
        <v>FLB OC</v>
      </c>
      <c r="F1" s="5" t="str">
        <f>'Design Calculations'!G59</f>
        <v>Power</v>
      </c>
      <c r="G1" s="5" t="str">
        <f>'Design Calculations'!H59</f>
        <v>Vout Factor</v>
      </c>
      <c r="H1" s="5" t="str">
        <f>'Design Calculations'!I59</f>
        <v>Vout</v>
      </c>
      <c r="I1" s="5" t="str">
        <f>'Design Calculations'!J59</f>
        <v>VFLB</v>
      </c>
      <c r="J1" s="5" t="str">
        <f>'Design Calculations'!K59</f>
        <v>OC</v>
      </c>
      <c r="K1" s="5" t="str">
        <f>'Design Calculations'!L59</f>
        <v>FLB OC</v>
      </c>
      <c r="L1" s="5"/>
      <c r="M1" s="5"/>
      <c r="N1" s="5"/>
    </row>
    <row r="2" spans="1:14" x14ac:dyDescent="0.3">
      <c r="A2" s="5">
        <f>'Design Calculations'!B280</f>
        <v>0</v>
      </c>
      <c r="B2" s="5">
        <f>'Design Calculations'!C280</f>
        <v>0</v>
      </c>
      <c r="C2" s="5">
        <f>'Design Calculations'!D280</f>
        <v>0</v>
      </c>
      <c r="D2" s="5">
        <f>'Design Calculations'!E280</f>
        <v>0</v>
      </c>
      <c r="E2" s="5">
        <f>'Design Calculations'!F280</f>
        <v>0</v>
      </c>
      <c r="F2" s="5">
        <f>'Design Calculations'!G280</f>
        <v>0</v>
      </c>
      <c r="G2" s="5">
        <f>'Design Calculations'!H280</f>
        <v>0.10000000000002</v>
      </c>
      <c r="H2" s="5">
        <f>'Design Calculations'!I280</f>
        <v>1.4000000000002801</v>
      </c>
      <c r="I2" s="5" t="e">
        <f>'Design Calculations'!J280</f>
        <v>#N/A</v>
      </c>
      <c r="J2" s="5" t="e">
        <f>'Design Calculations'!K280</f>
        <v>#N/A</v>
      </c>
      <c r="K2" s="5" t="e">
        <f>'Design Calculations'!L280</f>
        <v>#N/A</v>
      </c>
      <c r="L2" s="5"/>
      <c r="M2" s="5"/>
      <c r="N2" s="5"/>
    </row>
    <row r="3" spans="1:14" x14ac:dyDescent="0.3">
      <c r="A3" s="5">
        <f>'Design Calculations'!B281</f>
        <v>0</v>
      </c>
      <c r="B3" s="5">
        <f>'Design Calculations'!C281</f>
        <v>0</v>
      </c>
      <c r="C3" s="5">
        <f>'Design Calculations'!D281</f>
        <v>0</v>
      </c>
      <c r="D3" s="5">
        <f>'Design Calculations'!E281</f>
        <v>0</v>
      </c>
      <c r="E3" s="5">
        <f>'Design Calculations'!F281</f>
        <v>0</v>
      </c>
      <c r="F3" s="5">
        <f>'Design Calculations'!G281</f>
        <v>0</v>
      </c>
      <c r="G3" s="5">
        <f>'Design Calculations'!H281</f>
        <v>9.5000000000019999E-2</v>
      </c>
      <c r="H3" s="5">
        <f>'Design Calculations'!I281</f>
        <v>1.3300000000002801</v>
      </c>
      <c r="I3" s="5" t="e">
        <f>'Design Calculations'!J281</f>
        <v>#N/A</v>
      </c>
      <c r="J3" s="5" t="e">
        <f>'Design Calculations'!K281</f>
        <v>#N/A</v>
      </c>
      <c r="K3" s="5" t="e">
        <f>'Design Calculations'!L281</f>
        <v>#N/A</v>
      </c>
      <c r="L3" s="5"/>
      <c r="M3" s="5"/>
      <c r="N3" s="5"/>
    </row>
    <row r="4" spans="1:14" x14ac:dyDescent="0.3">
      <c r="A4" s="5">
        <f>'Design Calculations'!B282</f>
        <v>0</v>
      </c>
      <c r="B4" s="5">
        <f>'Design Calculations'!C282</f>
        <v>0</v>
      </c>
      <c r="C4" s="5">
        <f>'Design Calculations'!D282</f>
        <v>0</v>
      </c>
      <c r="D4" s="5">
        <f>'Design Calculations'!E282</f>
        <v>0</v>
      </c>
      <c r="E4" s="5">
        <f>'Design Calculations'!F282</f>
        <v>0</v>
      </c>
      <c r="F4" s="5">
        <f>'Design Calculations'!G282</f>
        <v>0</v>
      </c>
      <c r="G4" s="5">
        <f>'Design Calculations'!H282</f>
        <v>9.0000000000020106E-2</v>
      </c>
      <c r="H4" s="5">
        <f>'Design Calculations'!I282</f>
        <v>1.2600000000002816</v>
      </c>
      <c r="I4" s="5" t="e">
        <f>'Design Calculations'!J282</f>
        <v>#N/A</v>
      </c>
      <c r="J4" s="5" t="e">
        <f>'Design Calculations'!K282</f>
        <v>#N/A</v>
      </c>
      <c r="K4" s="5" t="e">
        <f>'Design Calculations'!L282</f>
        <v>#N/A</v>
      </c>
      <c r="L4" s="5"/>
      <c r="M4" s="5"/>
      <c r="N4" s="5"/>
    </row>
    <row r="5" spans="1:14" x14ac:dyDescent="0.3">
      <c r="A5" s="5">
        <f>'Design Calculations'!B283</f>
        <v>0</v>
      </c>
      <c r="B5" s="5">
        <f>'Design Calculations'!C283</f>
        <v>0</v>
      </c>
      <c r="C5" s="5">
        <f>'Design Calculations'!D283</f>
        <v>0</v>
      </c>
      <c r="D5" s="5">
        <f>'Design Calculations'!E283</f>
        <v>0</v>
      </c>
      <c r="E5" s="5">
        <f>'Design Calculations'!F283</f>
        <v>0</v>
      </c>
      <c r="F5" s="5">
        <f>'Design Calculations'!G283</f>
        <v>0</v>
      </c>
      <c r="G5" s="5">
        <f>'Design Calculations'!H283</f>
        <v>8.5000000000019907E-2</v>
      </c>
      <c r="H5" s="5">
        <f>'Design Calculations'!I283</f>
        <v>1.1900000000002786</v>
      </c>
      <c r="I5" s="5" t="e">
        <f>'Design Calculations'!J283</f>
        <v>#N/A</v>
      </c>
      <c r="J5" s="5" t="e">
        <f>'Design Calculations'!K283</f>
        <v>#N/A</v>
      </c>
      <c r="K5" s="5" t="e">
        <f>'Design Calculations'!L283</f>
        <v>#N/A</v>
      </c>
      <c r="L5" s="5"/>
      <c r="M5" s="5"/>
      <c r="N5" s="5"/>
    </row>
    <row r="6" spans="1:14" x14ac:dyDescent="0.3">
      <c r="A6" s="5">
        <f>'Design Calculations'!B284</f>
        <v>0</v>
      </c>
      <c r="B6" s="5">
        <f>'Design Calculations'!C284</f>
        <v>0</v>
      </c>
      <c r="C6" s="5">
        <f>'Design Calculations'!D284</f>
        <v>0</v>
      </c>
      <c r="D6" s="5">
        <f>'Design Calculations'!E284</f>
        <v>0</v>
      </c>
      <c r="E6" s="5">
        <f>'Design Calculations'!F284</f>
        <v>0</v>
      </c>
      <c r="F6" s="5">
        <f>'Design Calculations'!G284</f>
        <v>0</v>
      </c>
      <c r="G6" s="5">
        <f>'Design Calculations'!H284</f>
        <v>8.0000000000020097E-2</v>
      </c>
      <c r="H6" s="5">
        <f>'Design Calculations'!I284</f>
        <v>1.1200000000002814</v>
      </c>
      <c r="I6" s="5" t="e">
        <f>'Design Calculations'!J284</f>
        <v>#N/A</v>
      </c>
      <c r="J6" s="5" t="e">
        <f>'Design Calculations'!K284</f>
        <v>#N/A</v>
      </c>
      <c r="K6" s="5" t="e">
        <f>'Design Calculations'!L284</f>
        <v>#N/A</v>
      </c>
      <c r="L6" s="5"/>
      <c r="M6" s="5"/>
      <c r="N6" s="5"/>
    </row>
    <row r="7" spans="1:14" x14ac:dyDescent="0.3">
      <c r="A7" s="5">
        <f>'Design Calculations'!B285</f>
        <v>0</v>
      </c>
      <c r="B7" s="5">
        <f>'Design Calculations'!C285</f>
        <v>0</v>
      </c>
      <c r="C7" s="5">
        <f>'Design Calculations'!D285</f>
        <v>0</v>
      </c>
      <c r="D7" s="5">
        <f>'Design Calculations'!E285</f>
        <v>0</v>
      </c>
      <c r="E7" s="5">
        <f>'Design Calculations'!F285</f>
        <v>0</v>
      </c>
      <c r="F7" s="5">
        <f>'Design Calculations'!G285</f>
        <v>0</v>
      </c>
      <c r="G7" s="5">
        <f>'Design Calculations'!H285</f>
        <v>7.5000000000019898E-2</v>
      </c>
      <c r="H7" s="5">
        <f>'Design Calculations'!I285</f>
        <v>1.0500000000002785</v>
      </c>
      <c r="I7" s="5" t="e">
        <f>'Design Calculations'!J285</f>
        <v>#N/A</v>
      </c>
      <c r="J7" s="5" t="e">
        <f>'Design Calculations'!K285</f>
        <v>#N/A</v>
      </c>
      <c r="K7" s="5" t="e">
        <f>'Design Calculations'!L285</f>
        <v>#N/A</v>
      </c>
      <c r="L7" s="5"/>
      <c r="M7" s="5"/>
      <c r="N7" s="5"/>
    </row>
    <row r="8" spans="1:14" x14ac:dyDescent="0.3">
      <c r="A8" s="5">
        <f>'Design Calculations'!B286</f>
        <v>0</v>
      </c>
      <c r="B8" s="5">
        <f>'Design Calculations'!C286</f>
        <v>0</v>
      </c>
      <c r="C8" s="5">
        <f>'Design Calculations'!D286</f>
        <v>0</v>
      </c>
      <c r="D8" s="5">
        <f>'Design Calculations'!E286</f>
        <v>0</v>
      </c>
      <c r="E8" s="5">
        <f>'Design Calculations'!F286</f>
        <v>0</v>
      </c>
      <c r="F8" s="5">
        <f>'Design Calculations'!G286</f>
        <v>0</v>
      </c>
      <c r="G8" s="5">
        <f>'Design Calculations'!H286</f>
        <v>7.0000000000020005E-2</v>
      </c>
      <c r="H8" s="5">
        <f>'Design Calculations'!I286</f>
        <v>0.98000000000028009</v>
      </c>
      <c r="I8" s="5" t="e">
        <f>'Design Calculations'!J286</f>
        <v>#N/A</v>
      </c>
      <c r="J8" s="5" t="e">
        <f>'Design Calculations'!K286</f>
        <v>#N/A</v>
      </c>
      <c r="K8" s="5" t="e">
        <f>'Design Calculations'!L286</f>
        <v>#N/A</v>
      </c>
      <c r="L8" s="5"/>
      <c r="M8" s="5"/>
      <c r="N8" s="5"/>
    </row>
    <row r="9" spans="1:14" x14ac:dyDescent="0.3">
      <c r="A9" s="5">
        <f>'Design Calculations'!B287</f>
        <v>0</v>
      </c>
      <c r="B9" s="5">
        <f>'Design Calculations'!C287</f>
        <v>0</v>
      </c>
      <c r="C9" s="5">
        <f>'Design Calculations'!D287</f>
        <v>0</v>
      </c>
      <c r="D9" s="5">
        <f>'Design Calculations'!E287</f>
        <v>0</v>
      </c>
      <c r="E9" s="5">
        <f>'Design Calculations'!F287</f>
        <v>0</v>
      </c>
      <c r="F9" s="5">
        <f>'Design Calculations'!G287</f>
        <v>0</v>
      </c>
      <c r="G9" s="5">
        <f>'Design Calculations'!H287</f>
        <v>6.5000000000019903E-2</v>
      </c>
      <c r="H9" s="5">
        <f>'Design Calculations'!I287</f>
        <v>0.91000000000027859</v>
      </c>
      <c r="I9" s="5" t="e">
        <f>'Design Calculations'!J287</f>
        <v>#N/A</v>
      </c>
      <c r="J9" s="5" t="e">
        <f>'Design Calculations'!K287</f>
        <v>#N/A</v>
      </c>
      <c r="K9" s="5" t="e">
        <f>'Design Calculations'!L287</f>
        <v>#N/A</v>
      </c>
      <c r="L9" s="5"/>
      <c r="M9" s="5"/>
      <c r="N9" s="5"/>
    </row>
    <row r="10" spans="1:14" x14ac:dyDescent="0.3">
      <c r="A10" s="5">
        <f>'Design Calculations'!B288</f>
        <v>0</v>
      </c>
      <c r="B10" s="5">
        <f>'Design Calculations'!C288</f>
        <v>0</v>
      </c>
      <c r="C10" s="5">
        <f>'Design Calculations'!D288</f>
        <v>0</v>
      </c>
      <c r="D10" s="5">
        <f>'Design Calculations'!E288</f>
        <v>0</v>
      </c>
      <c r="E10" s="5">
        <f>'Design Calculations'!F288</f>
        <v>0</v>
      </c>
      <c r="F10" s="5">
        <f>'Design Calculations'!G288</f>
        <v>0</v>
      </c>
      <c r="G10" s="5">
        <f>'Design Calculations'!H288</f>
        <v>6.0000000000020003E-2</v>
      </c>
      <c r="H10" s="5">
        <f>'Design Calculations'!I288</f>
        <v>0.84000000000028008</v>
      </c>
      <c r="I10" s="5" t="e">
        <f>'Design Calculations'!J288</f>
        <v>#N/A</v>
      </c>
      <c r="J10" s="5" t="e">
        <f>'Design Calculations'!K288</f>
        <v>#N/A</v>
      </c>
      <c r="K10" s="5" t="e">
        <f>'Design Calculations'!L288</f>
        <v>#N/A</v>
      </c>
      <c r="L10" s="5"/>
      <c r="M10" s="5"/>
      <c r="N10" s="5"/>
    </row>
    <row r="11" spans="1:14" x14ac:dyDescent="0.3">
      <c r="A11" s="5">
        <f>'Design Calculations'!B289</f>
        <v>0</v>
      </c>
      <c r="B11" s="5">
        <f>'Design Calculations'!C289</f>
        <v>0</v>
      </c>
      <c r="C11" s="5">
        <f>'Design Calculations'!D289</f>
        <v>0</v>
      </c>
      <c r="D11" s="5">
        <f>'Design Calculations'!E289</f>
        <v>0</v>
      </c>
      <c r="E11" s="5">
        <f>'Design Calculations'!F289</f>
        <v>0</v>
      </c>
      <c r="F11" s="5">
        <f>'Design Calculations'!G289</f>
        <v>0</v>
      </c>
      <c r="G11" s="5">
        <f>'Design Calculations'!H289</f>
        <v>5.5000000000019901E-2</v>
      </c>
      <c r="H11" s="5">
        <f>'Design Calculations'!I289</f>
        <v>0.77000000000027857</v>
      </c>
      <c r="I11" s="5" t="e">
        <f>'Design Calculations'!J289</f>
        <v>#N/A</v>
      </c>
      <c r="J11" s="5" t="e">
        <f>'Design Calculations'!K289</f>
        <v>#N/A</v>
      </c>
      <c r="K11" s="5" t="e">
        <f>'Design Calculations'!L289</f>
        <v>#N/A</v>
      </c>
      <c r="L11" s="5"/>
      <c r="M11" s="5" t="s">
        <v>228</v>
      </c>
      <c r="N11" s="5" t="s">
        <v>196</v>
      </c>
    </row>
    <row r="12" spans="1:14" x14ac:dyDescent="0.3">
      <c r="A12" s="5">
        <f>'Design Calculations'!B290</f>
        <v>0</v>
      </c>
      <c r="B12" s="5">
        <f>'Design Calculations'!C290</f>
        <v>0</v>
      </c>
      <c r="C12" s="5">
        <f>'Design Calculations'!D290</f>
        <v>0</v>
      </c>
      <c r="D12" s="5">
        <f>'Design Calculations'!E290</f>
        <v>0</v>
      </c>
      <c r="E12" s="5">
        <f>'Design Calculations'!F290</f>
        <v>0</v>
      </c>
      <c r="F12" s="5">
        <f>'Design Calculations'!G290</f>
        <v>0</v>
      </c>
      <c r="G12" s="5">
        <f>'Design Calculations'!H290</f>
        <v>5.0000000000020001E-2</v>
      </c>
      <c r="H12" s="5">
        <f>'Design Calculations'!I290</f>
        <v>0.70000000000027995</v>
      </c>
      <c r="I12" s="5" t="e">
        <f>'Design Calculations'!J290</f>
        <v>#N/A</v>
      </c>
      <c r="J12" s="5" t="e">
        <f>'Design Calculations'!K290</f>
        <v>#N/A</v>
      </c>
      <c r="K12" s="5" t="e">
        <f>'Design Calculations'!L290</f>
        <v>#N/A</v>
      </c>
      <c r="L12" s="5"/>
      <c r="M12" s="5">
        <f>0.000001*('Design Worksheet_BAT'!B$88)*(B13-B12)/(0.5*(E12+E13))</f>
        <v>1.3999999999997225E-6</v>
      </c>
      <c r="N12" s="5">
        <f t="shared" ref="N12:N75" si="0">B12</f>
        <v>0</v>
      </c>
    </row>
    <row r="13" spans="1:14" x14ac:dyDescent="0.3">
      <c r="A13" s="5">
        <f>'Design Calculations'!B279</f>
        <v>4.9999999999990096E-3</v>
      </c>
      <c r="B13" s="5">
        <f>'Design Calculations'!C279</f>
        <v>6.9999999999986129E-2</v>
      </c>
      <c r="C13" s="5">
        <f>'Design Calculations'!D279</f>
        <v>3.4806629834247247E-3</v>
      </c>
      <c r="D13" s="5">
        <f>'Design Calculations'!E279</f>
        <v>0.17403314917123622</v>
      </c>
      <c r="E13" s="5">
        <f>'Design Calculations'!F279</f>
        <v>10</v>
      </c>
      <c r="F13" s="5">
        <f>'Design Calculations'!G279</f>
        <v>153.30000000000015</v>
      </c>
      <c r="G13" s="5">
        <f>'Design Calculations'!H279</f>
        <v>0.10500000000001999</v>
      </c>
      <c r="H13" s="5">
        <f>'Design Calculations'!I279</f>
        <v>1.47000000000028</v>
      </c>
      <c r="I13" s="5" t="e">
        <f>'Design Calculations'!J279</f>
        <v>#N/A</v>
      </c>
      <c r="J13" s="5" t="e">
        <f>'Design Calculations'!K279</f>
        <v>#N/A</v>
      </c>
      <c r="K13" s="5" t="e">
        <f>'Design Calculations'!L279</f>
        <v>#N/A</v>
      </c>
      <c r="L13" s="5"/>
      <c r="M13" s="5">
        <f>0.000001*('Design Worksheet_BAT'!B$88)*(B14-B13)/(0.5*(E13+E14))+M12</f>
        <v>2.0999999999997224E-6</v>
      </c>
      <c r="N13" s="5">
        <f t="shared" si="0"/>
        <v>6.9999999999986129E-2</v>
      </c>
    </row>
    <row r="14" spans="1:14" x14ac:dyDescent="0.3">
      <c r="A14" s="5">
        <f>'Design Calculations'!B278</f>
        <v>9.9999999999990097E-3</v>
      </c>
      <c r="B14" s="5">
        <f>'Design Calculations'!C278</f>
        <v>0.13999999999998614</v>
      </c>
      <c r="C14" s="5">
        <f>'Design Calculations'!D278</f>
        <v>6.9613259668501399E-3</v>
      </c>
      <c r="D14" s="5">
        <f>'Design Calculations'!E278</f>
        <v>0.34806629834250696</v>
      </c>
      <c r="E14" s="5">
        <f>'Design Calculations'!F278</f>
        <v>10</v>
      </c>
      <c r="F14" s="5">
        <f>'Design Calculations'!G278</f>
        <v>152.60000000000016</v>
      </c>
      <c r="G14" s="5">
        <f>'Design Calculations'!H278</f>
        <v>0.11000000000002</v>
      </c>
      <c r="H14" s="5">
        <f>'Design Calculations'!I278</f>
        <v>1.54000000000028</v>
      </c>
      <c r="I14" s="5" t="e">
        <f>'Design Calculations'!J278</f>
        <v>#N/A</v>
      </c>
      <c r="J14" s="5" t="e">
        <f>'Design Calculations'!K278</f>
        <v>#N/A</v>
      </c>
      <c r="K14" s="5" t="e">
        <f>'Design Calculations'!L278</f>
        <v>#N/A</v>
      </c>
      <c r="L14" s="5"/>
      <c r="M14" s="5">
        <f>0.000001*('Design Worksheet_BAT'!B$88)*(B15-B14)/(0.5*(E14+E15))+M13</f>
        <v>2.7999999999997208E-6</v>
      </c>
      <c r="N14" s="5">
        <f t="shared" si="0"/>
        <v>0.13999999999998614</v>
      </c>
    </row>
    <row r="15" spans="1:14" x14ac:dyDescent="0.3">
      <c r="A15" s="5">
        <f>'Design Calculations'!B277</f>
        <v>1.4999999999999E-2</v>
      </c>
      <c r="B15" s="5">
        <f>'Design Calculations'!C277</f>
        <v>0.209999999999986</v>
      </c>
      <c r="C15" s="5">
        <f>'Design Calculations'!D277</f>
        <v>1.0441988950275547E-2</v>
      </c>
      <c r="D15" s="5">
        <f>'Design Calculations'!E277</f>
        <v>0.52209944751377735</v>
      </c>
      <c r="E15" s="5">
        <f>'Design Calculations'!F277</f>
        <v>10</v>
      </c>
      <c r="F15" s="5">
        <f>'Design Calculations'!G277</f>
        <v>151.90000000000015</v>
      </c>
      <c r="G15" s="5">
        <f>'Design Calculations'!H277</f>
        <v>0.11500000000002</v>
      </c>
      <c r="H15" s="5">
        <f>'Design Calculations'!I277</f>
        <v>1.6100000000002801</v>
      </c>
      <c r="I15" s="5" t="e">
        <f>'Design Calculations'!J277</f>
        <v>#N/A</v>
      </c>
      <c r="J15" s="5" t="e">
        <f>'Design Calculations'!K277</f>
        <v>#N/A</v>
      </c>
      <c r="K15" s="5" t="e">
        <f>'Design Calculations'!L277</f>
        <v>#N/A</v>
      </c>
      <c r="L15" s="5"/>
      <c r="M15" s="5">
        <f>0.000001*('Design Worksheet_BAT'!B$88)*(B16-B15)/(0.5*(E15+E16))+M14</f>
        <v>3.4999999999997209E-6</v>
      </c>
      <c r="N15" s="5">
        <f t="shared" si="0"/>
        <v>0.209999999999986</v>
      </c>
    </row>
    <row r="16" spans="1:14" x14ac:dyDescent="0.3">
      <c r="A16" s="5">
        <f>'Design Calculations'!B276</f>
        <v>1.9999999999999001E-2</v>
      </c>
      <c r="B16" s="5">
        <f>'Design Calculations'!C276</f>
        <v>0.27999999999998604</v>
      </c>
      <c r="C16" s="5">
        <f>'Design Calculations'!D276</f>
        <v>1.3922651933700963E-2</v>
      </c>
      <c r="D16" s="5">
        <f>'Design Calculations'!E276</f>
        <v>0.69613259668504812</v>
      </c>
      <c r="E16" s="5">
        <f>'Design Calculations'!F276</f>
        <v>10</v>
      </c>
      <c r="F16" s="5">
        <f>'Design Calculations'!G276</f>
        <v>151.20000000000016</v>
      </c>
      <c r="G16" s="5">
        <f>'Design Calculations'!H276</f>
        <v>0.12000000000001999</v>
      </c>
      <c r="H16" s="5">
        <f>'Design Calculations'!I276</f>
        <v>1.6800000000002799</v>
      </c>
      <c r="I16" s="5" t="e">
        <f>'Design Calculations'!J276</f>
        <v>#N/A</v>
      </c>
      <c r="J16" s="5" t="e">
        <f>'Design Calculations'!K276</f>
        <v>#N/A</v>
      </c>
      <c r="K16" s="5" t="e">
        <f>'Design Calculations'!L276</f>
        <v>#N/A</v>
      </c>
      <c r="L16" s="5"/>
      <c r="M16" s="5">
        <f>0.000001*('Design Worksheet_BAT'!B$88)*(B17-B16)/(0.5*(E16+E17))+M15</f>
        <v>4.1999999999997201E-6</v>
      </c>
      <c r="N16" s="5">
        <f t="shared" si="0"/>
        <v>0.27999999999998604</v>
      </c>
    </row>
    <row r="17" spans="1:14" x14ac:dyDescent="0.3">
      <c r="A17" s="5">
        <f>'Design Calculations'!B275</f>
        <v>2.4999999999998999E-2</v>
      </c>
      <c r="B17" s="5">
        <f>'Design Calculations'!C275</f>
        <v>0.34999999999998599</v>
      </c>
      <c r="C17" s="5">
        <f>'Design Calculations'!D275</f>
        <v>1.7403314917126374E-2</v>
      </c>
      <c r="D17" s="5">
        <f>'Design Calculations'!E275</f>
        <v>0.87016574585631867</v>
      </c>
      <c r="E17" s="5">
        <f>'Design Calculations'!F275</f>
        <v>10</v>
      </c>
      <c r="F17" s="5">
        <f>'Design Calculations'!G275</f>
        <v>150.50000000000017</v>
      </c>
      <c r="G17" s="5">
        <f>'Design Calculations'!H275</f>
        <v>0.12500000000002001</v>
      </c>
      <c r="H17" s="5">
        <f>'Design Calculations'!I275</f>
        <v>1.7500000000002802</v>
      </c>
      <c r="I17" s="5" t="e">
        <f>'Design Calculations'!J275</f>
        <v>#N/A</v>
      </c>
      <c r="J17" s="5" t="e">
        <f>'Design Calculations'!K275</f>
        <v>#N/A</v>
      </c>
      <c r="K17" s="5" t="e">
        <f>'Design Calculations'!L275</f>
        <v>#N/A</v>
      </c>
      <c r="L17" s="5"/>
      <c r="M17" s="5">
        <f>0.000001*('Design Worksheet_BAT'!B$88)*(B18-B17)/(0.5*(E17+E18))+M16</f>
        <v>4.8999999999997202E-6</v>
      </c>
      <c r="N17" s="5">
        <f t="shared" si="0"/>
        <v>0.34999999999998599</v>
      </c>
    </row>
    <row r="18" spans="1:14" x14ac:dyDescent="0.3">
      <c r="A18" s="5">
        <f>'Design Calculations'!B274</f>
        <v>2.9999999999999E-2</v>
      </c>
      <c r="B18" s="5">
        <f>'Design Calculations'!C274</f>
        <v>0.419999999999986</v>
      </c>
      <c r="C18" s="5">
        <f>'Design Calculations'!D274</f>
        <v>2.0883977900551787E-2</v>
      </c>
      <c r="D18" s="5">
        <f>'Design Calculations'!E274</f>
        <v>1.0441988950275893</v>
      </c>
      <c r="E18" s="5">
        <f>'Design Calculations'!F274</f>
        <v>10</v>
      </c>
      <c r="F18" s="5">
        <f>'Design Calculations'!G274</f>
        <v>149.80000000000015</v>
      </c>
      <c r="G18" s="5">
        <f>'Design Calculations'!H274</f>
        <v>0.13000000000001999</v>
      </c>
      <c r="H18" s="5">
        <f>'Design Calculations'!I274</f>
        <v>1.8200000000002798</v>
      </c>
      <c r="I18" s="5" t="e">
        <f>'Design Calculations'!J274</f>
        <v>#N/A</v>
      </c>
      <c r="J18" s="5" t="e">
        <f>'Design Calculations'!K274</f>
        <v>#N/A</v>
      </c>
      <c r="K18" s="5" t="e">
        <f>'Design Calculations'!L274</f>
        <v>#N/A</v>
      </c>
      <c r="L18" s="5"/>
      <c r="M18" s="5">
        <f>0.000001*('Design Worksheet_BAT'!B$88)*(B19-B18)/(0.5*(E18+E19))+M17</f>
        <v>5.5999999999997194E-6</v>
      </c>
      <c r="N18" s="5">
        <f t="shared" si="0"/>
        <v>0.419999999999986</v>
      </c>
    </row>
    <row r="19" spans="1:14" x14ac:dyDescent="0.3">
      <c r="A19" s="5">
        <f>'Design Calculations'!B273</f>
        <v>3.4999999999998997E-2</v>
      </c>
      <c r="B19" s="5">
        <f>'Design Calculations'!C273</f>
        <v>0.48999999999998595</v>
      </c>
      <c r="C19" s="5">
        <f>'Design Calculations'!D273</f>
        <v>2.4364640883977204E-2</v>
      </c>
      <c r="D19" s="5">
        <f>'Design Calculations'!E273</f>
        <v>1.2182320441988601</v>
      </c>
      <c r="E19" s="5">
        <f>'Design Calculations'!F273</f>
        <v>10</v>
      </c>
      <c r="F19" s="5">
        <f>'Design Calculations'!G273</f>
        <v>149.10000000000016</v>
      </c>
      <c r="G19" s="5">
        <f>'Design Calculations'!H273</f>
        <v>0.13500000000001999</v>
      </c>
      <c r="H19" s="5">
        <f>'Design Calculations'!I273</f>
        <v>1.8900000000002799</v>
      </c>
      <c r="I19" s="5" t="e">
        <f>'Design Calculations'!J273</f>
        <v>#N/A</v>
      </c>
      <c r="J19" s="5" t="e">
        <f>'Design Calculations'!K273</f>
        <v>#N/A</v>
      </c>
      <c r="K19" s="5" t="e">
        <f>'Design Calculations'!L273</f>
        <v>#N/A</v>
      </c>
      <c r="L19" s="5"/>
      <c r="M19" s="5">
        <f>0.000001*('Design Worksheet_BAT'!B$88)*(B20-B19)/(0.5*(E19+E20))+M18</f>
        <v>6.2999999999997203E-6</v>
      </c>
      <c r="N19" s="5">
        <f t="shared" si="0"/>
        <v>0.48999999999998595</v>
      </c>
    </row>
    <row r="20" spans="1:14" x14ac:dyDescent="0.3">
      <c r="A20" s="5">
        <f>'Design Calculations'!B272</f>
        <v>3.9999999999999002E-2</v>
      </c>
      <c r="B20" s="5">
        <f>'Design Calculations'!C272</f>
        <v>0.55999999999998606</v>
      </c>
      <c r="C20" s="5">
        <f>'Design Calculations'!D272</f>
        <v>2.784530386740262E-2</v>
      </c>
      <c r="D20" s="5">
        <f>'Design Calculations'!E272</f>
        <v>1.3922651933701311</v>
      </c>
      <c r="E20" s="5">
        <f>'Design Calculations'!F272</f>
        <v>10</v>
      </c>
      <c r="F20" s="5">
        <f>'Design Calculations'!G272</f>
        <v>148.40000000000015</v>
      </c>
      <c r="G20" s="5">
        <f>'Design Calculations'!H272</f>
        <v>0.14000000000002</v>
      </c>
      <c r="H20" s="5">
        <f>'Design Calculations'!I272</f>
        <v>1.96000000000028</v>
      </c>
      <c r="I20" s="5" t="e">
        <f>'Design Calculations'!J272</f>
        <v>#N/A</v>
      </c>
      <c r="J20" s="5" t="e">
        <f>'Design Calculations'!K272</f>
        <v>#N/A</v>
      </c>
      <c r="K20" s="5" t="e">
        <f>'Design Calculations'!L272</f>
        <v>#N/A</v>
      </c>
      <c r="L20" s="5"/>
      <c r="M20" s="5">
        <f>0.000001*('Design Worksheet_BAT'!B$88)*(B21-B20)/(0.5*(E20+E21))+M19</f>
        <v>6.9999999999997195E-6</v>
      </c>
      <c r="N20" s="5">
        <f t="shared" si="0"/>
        <v>0.55999999999998606</v>
      </c>
    </row>
    <row r="21" spans="1:14" x14ac:dyDescent="0.3">
      <c r="A21" s="5">
        <f>'Design Calculations'!B271</f>
        <v>4.4999999999998999E-2</v>
      </c>
      <c r="B21" s="5">
        <f>'Design Calculations'!C271</f>
        <v>0.62999999999998602</v>
      </c>
      <c r="C21" s="5">
        <f>'Design Calculations'!D271</f>
        <v>3.1325966850828037E-2</v>
      </c>
      <c r="D21" s="5">
        <f>'Design Calculations'!E271</f>
        <v>1.5662983425414017</v>
      </c>
      <c r="E21" s="5">
        <f>'Design Calculations'!F271</f>
        <v>10</v>
      </c>
      <c r="F21" s="5">
        <f>'Design Calculations'!G271</f>
        <v>147.70000000000016</v>
      </c>
      <c r="G21" s="5">
        <f>'Design Calculations'!H271</f>
        <v>0.14500000000002</v>
      </c>
      <c r="H21" s="5">
        <f>'Design Calculations'!I271</f>
        <v>2.03000000000028</v>
      </c>
      <c r="I21" s="5" t="e">
        <f>'Design Calculations'!J271</f>
        <v>#N/A</v>
      </c>
      <c r="J21" s="5" t="e">
        <f>'Design Calculations'!K271</f>
        <v>#N/A</v>
      </c>
      <c r="K21" s="5" t="e">
        <f>'Design Calculations'!L271</f>
        <v>#N/A</v>
      </c>
      <c r="L21" s="5"/>
      <c r="M21" s="5">
        <f>0.000001*('Design Worksheet_BAT'!B$88)*(B22-B21)/(0.5*(E21+E22))+M20</f>
        <v>7.6999999999997196E-6</v>
      </c>
      <c r="N21" s="5">
        <f t="shared" si="0"/>
        <v>0.62999999999998602</v>
      </c>
    </row>
    <row r="22" spans="1:14" x14ac:dyDescent="0.3">
      <c r="A22" s="5">
        <f>'Design Calculations'!B270</f>
        <v>4.9999999999998997E-2</v>
      </c>
      <c r="B22" s="5">
        <f>'Design Calculations'!C270</f>
        <v>0.69999999999998597</v>
      </c>
      <c r="C22" s="5">
        <f>'Design Calculations'!D270</f>
        <v>3.4806629834253443E-2</v>
      </c>
      <c r="D22" s="5">
        <f>'Design Calculations'!E270</f>
        <v>1.7403314917126722</v>
      </c>
      <c r="E22" s="5">
        <f>'Design Calculations'!F270</f>
        <v>10</v>
      </c>
      <c r="F22" s="5">
        <f>'Design Calculations'!G270</f>
        <v>147.00000000000017</v>
      </c>
      <c r="G22" s="5">
        <f>'Design Calculations'!H270</f>
        <v>0.15000000000002001</v>
      </c>
      <c r="H22" s="5">
        <f>'Design Calculations'!I270</f>
        <v>2.1000000000002803</v>
      </c>
      <c r="I22" s="5" t="e">
        <f>'Design Calculations'!J270</f>
        <v>#N/A</v>
      </c>
      <c r="J22" s="5" t="e">
        <f>'Design Calculations'!K270</f>
        <v>#N/A</v>
      </c>
      <c r="K22" s="5" t="e">
        <f>'Design Calculations'!L270</f>
        <v>#N/A</v>
      </c>
      <c r="L22" s="5"/>
      <c r="M22" s="5">
        <f>0.000001*('Design Worksheet_BAT'!B$88)*(B23-B22)/(0.5*(E22+E23))+M21</f>
        <v>8.3999999999997197E-6</v>
      </c>
      <c r="N22" s="5">
        <f t="shared" si="0"/>
        <v>0.69999999999998597</v>
      </c>
    </row>
    <row r="23" spans="1:14" x14ac:dyDescent="0.3">
      <c r="A23" s="5">
        <f>'Design Calculations'!B269</f>
        <v>5.4999999999999001E-2</v>
      </c>
      <c r="B23" s="5">
        <f>'Design Calculations'!C269</f>
        <v>0.76999999999998603</v>
      </c>
      <c r="C23" s="5">
        <f>'Design Calculations'!D269</f>
        <v>3.8287292817678863E-2</v>
      </c>
      <c r="D23" s="5">
        <f>'Design Calculations'!E269</f>
        <v>1.9143646408839432</v>
      </c>
      <c r="E23" s="5">
        <f>'Design Calculations'!F269</f>
        <v>10</v>
      </c>
      <c r="F23" s="5">
        <f>'Design Calculations'!G269</f>
        <v>146.30000000000018</v>
      </c>
      <c r="G23" s="5">
        <f>'Design Calculations'!H269</f>
        <v>0.15500000000002001</v>
      </c>
      <c r="H23" s="5">
        <f>'Design Calculations'!I269</f>
        <v>2.1700000000002801</v>
      </c>
      <c r="I23" s="5" t="e">
        <f>'Design Calculations'!J269</f>
        <v>#N/A</v>
      </c>
      <c r="J23" s="5" t="e">
        <f>'Design Calculations'!K269</f>
        <v>#N/A</v>
      </c>
      <c r="K23" s="5" t="e">
        <f>'Design Calculations'!L269</f>
        <v>#N/A</v>
      </c>
      <c r="L23" s="5"/>
      <c r="M23" s="5">
        <f>0.000001*('Design Worksheet_BAT'!B$88)*(B24-B23)/(0.5*(E23+E24))+M22</f>
        <v>9.0999999999997333E-6</v>
      </c>
      <c r="N23" s="5">
        <f t="shared" si="0"/>
        <v>0.76999999999998603</v>
      </c>
    </row>
    <row r="24" spans="1:14" x14ac:dyDescent="0.3">
      <c r="A24" s="5">
        <f>'Design Calculations'!B268</f>
        <v>5.9999999999999103E-2</v>
      </c>
      <c r="B24" s="5">
        <f>'Design Calculations'!C268</f>
        <v>0.83999999999998742</v>
      </c>
      <c r="C24" s="5">
        <f>'Design Calculations'!D268</f>
        <v>4.1767955801104345E-2</v>
      </c>
      <c r="D24" s="5">
        <f>'Design Calculations'!E268</f>
        <v>2.0883977900552173</v>
      </c>
      <c r="E24" s="5">
        <f>'Design Calculations'!F268</f>
        <v>10</v>
      </c>
      <c r="F24" s="5">
        <f>'Design Calculations'!G268</f>
        <v>145.60000000000014</v>
      </c>
      <c r="G24" s="5">
        <f>'Design Calculations'!H268</f>
        <v>0.16000000000001999</v>
      </c>
      <c r="H24" s="5">
        <f>'Design Calculations'!I268</f>
        <v>2.24000000000028</v>
      </c>
      <c r="I24" s="5" t="e">
        <f>'Design Calculations'!J268</f>
        <v>#N/A</v>
      </c>
      <c r="J24" s="5" t="e">
        <f>'Design Calculations'!K268</f>
        <v>#N/A</v>
      </c>
      <c r="K24" s="5" t="e">
        <f>'Design Calculations'!L268</f>
        <v>#N/A</v>
      </c>
      <c r="L24" s="5"/>
      <c r="M24" s="5">
        <f>0.000001*('Design Worksheet_BAT'!B$88)*(B25-B24)/(0.5*(E24+E25))+M23</f>
        <v>9.7999999999997063E-6</v>
      </c>
      <c r="N24" s="5">
        <f t="shared" si="0"/>
        <v>0.83999999999998742</v>
      </c>
    </row>
    <row r="25" spans="1:14" x14ac:dyDescent="0.3">
      <c r="A25" s="5">
        <f>'Design Calculations'!B267</f>
        <v>6.4999999999998906E-2</v>
      </c>
      <c r="B25" s="5">
        <f>'Design Calculations'!C267</f>
        <v>0.90999999999998471</v>
      </c>
      <c r="C25" s="5">
        <f>'Design Calculations'!D267</f>
        <v>4.5248618784529626E-2</v>
      </c>
      <c r="D25" s="5">
        <f>'Design Calculations'!E267</f>
        <v>2.2624309392264816</v>
      </c>
      <c r="E25" s="5">
        <f>'Design Calculations'!F267</f>
        <v>10</v>
      </c>
      <c r="F25" s="5">
        <f>'Design Calculations'!G267</f>
        <v>144.90000000000018</v>
      </c>
      <c r="G25" s="5">
        <f>'Design Calculations'!H267</f>
        <v>0.16500000000001999</v>
      </c>
      <c r="H25" s="5">
        <f>'Design Calculations'!I267</f>
        <v>2.3100000000002798</v>
      </c>
      <c r="I25" s="5" t="e">
        <f>'Design Calculations'!J267</f>
        <v>#N/A</v>
      </c>
      <c r="J25" s="5" t="e">
        <f>'Design Calculations'!K267</f>
        <v>#N/A</v>
      </c>
      <c r="K25" s="5" t="e">
        <f>'Design Calculations'!L267</f>
        <v>#N/A</v>
      </c>
      <c r="L25" s="5"/>
      <c r="M25" s="5">
        <f>0.000001*('Design Worksheet_BAT'!B$88)*(B26-B25)/(0.5*(E25+E26))+M24</f>
        <v>1.0499999999999718E-5</v>
      </c>
      <c r="N25" s="5">
        <f t="shared" si="0"/>
        <v>0.90999999999998471</v>
      </c>
    </row>
    <row r="26" spans="1:14" x14ac:dyDescent="0.3">
      <c r="A26" s="5">
        <f>'Design Calculations'!B266</f>
        <v>6.9999999999998994E-2</v>
      </c>
      <c r="B26" s="5">
        <f>'Design Calculations'!C266</f>
        <v>0.97999999999998588</v>
      </c>
      <c r="C26" s="5">
        <f>'Design Calculations'!D266</f>
        <v>4.8729281767955102E-2</v>
      </c>
      <c r="D26" s="5">
        <f>'Design Calculations'!E266</f>
        <v>2.4364640883977549</v>
      </c>
      <c r="E26" s="5">
        <f>'Design Calculations'!F266</f>
        <v>10</v>
      </c>
      <c r="F26" s="5">
        <f>'Design Calculations'!G266</f>
        <v>144.20000000000016</v>
      </c>
      <c r="G26" s="5">
        <f>'Design Calculations'!H266</f>
        <v>0.17000000000002</v>
      </c>
      <c r="H26" s="5">
        <f>'Design Calculations'!I266</f>
        <v>2.3800000000002801</v>
      </c>
      <c r="I26" s="5" t="e">
        <f>'Design Calculations'!J266</f>
        <v>#N/A</v>
      </c>
      <c r="J26" s="5" t="e">
        <f>'Design Calculations'!K266</f>
        <v>#N/A</v>
      </c>
      <c r="K26" s="5" t="e">
        <f>'Design Calculations'!L266</f>
        <v>#N/A</v>
      </c>
      <c r="L26" s="5"/>
      <c r="M26" s="5">
        <f>0.000001*('Design Worksheet_BAT'!B$88)*(B27-B26)/(0.5*(E26+E27))+M25</f>
        <v>1.119999999999972E-5</v>
      </c>
      <c r="N26" s="5">
        <f t="shared" si="0"/>
        <v>0.97999999999998588</v>
      </c>
    </row>
    <row r="27" spans="1:14" x14ac:dyDescent="0.3">
      <c r="A27" s="5">
        <f>'Design Calculations'!B265</f>
        <v>7.4999999999998998E-2</v>
      </c>
      <c r="B27" s="5">
        <f>'Design Calculations'!C265</f>
        <v>1.0499999999999861</v>
      </c>
      <c r="C27" s="5">
        <f>'Design Calculations'!D265</f>
        <v>5.2209944751380528E-2</v>
      </c>
      <c r="D27" s="5">
        <f>'Design Calculations'!E265</f>
        <v>2.6104972375690263</v>
      </c>
      <c r="E27" s="5">
        <f>'Design Calculations'!F265</f>
        <v>10</v>
      </c>
      <c r="F27" s="5">
        <f>'Design Calculations'!G265</f>
        <v>143.50000000000017</v>
      </c>
      <c r="G27" s="5">
        <f>'Design Calculations'!H265</f>
        <v>0.17500000000002</v>
      </c>
      <c r="H27" s="5">
        <f>'Design Calculations'!I265</f>
        <v>2.45000000000028</v>
      </c>
      <c r="I27" s="5" t="e">
        <f>'Design Calculations'!J265</f>
        <v>#N/A</v>
      </c>
      <c r="J27" s="5" t="e">
        <f>'Design Calculations'!K265</f>
        <v>#N/A</v>
      </c>
      <c r="K27" s="5" t="e">
        <f>'Design Calculations'!L265</f>
        <v>#N/A</v>
      </c>
      <c r="L27" s="5"/>
      <c r="M27" s="5">
        <f>0.000001*('Design Worksheet_BAT'!B$88)*(B28-B27)/(0.5*(E27+E28))+M26</f>
        <v>1.189999999999972E-5</v>
      </c>
      <c r="N27" s="5">
        <f t="shared" si="0"/>
        <v>1.0499999999999861</v>
      </c>
    </row>
    <row r="28" spans="1:14" x14ac:dyDescent="0.3">
      <c r="A28" s="5">
        <f>'Design Calculations'!B264</f>
        <v>7.9999999999999002E-2</v>
      </c>
      <c r="B28" s="5">
        <f>'Design Calculations'!C264</f>
        <v>1.1199999999999861</v>
      </c>
      <c r="C28" s="5">
        <f>'Design Calculations'!D264</f>
        <v>5.5690607734805941E-2</v>
      </c>
      <c r="D28" s="5">
        <f>'Design Calculations'!E264</f>
        <v>2.7845303867402968</v>
      </c>
      <c r="E28" s="5">
        <f>'Design Calculations'!F264</f>
        <v>10</v>
      </c>
      <c r="F28" s="5">
        <f>'Design Calculations'!G264</f>
        <v>142.80000000000015</v>
      </c>
      <c r="G28" s="5">
        <f>'Design Calculations'!H264</f>
        <v>0.18000000000002001</v>
      </c>
      <c r="H28" s="5">
        <f>'Design Calculations'!I264</f>
        <v>2.5200000000002802</v>
      </c>
      <c r="I28" s="5" t="e">
        <f>'Design Calculations'!J264</f>
        <v>#N/A</v>
      </c>
      <c r="J28" s="5" t="e">
        <f>'Design Calculations'!K264</f>
        <v>#N/A</v>
      </c>
      <c r="K28" s="5" t="e">
        <f>'Design Calculations'!L264</f>
        <v>#N/A</v>
      </c>
      <c r="L28" s="5"/>
      <c r="M28" s="5">
        <f>0.000001*('Design Worksheet_BAT'!B$88)*(B29-B28)/(0.5*(E28+E29))+M27</f>
        <v>1.259999999999972E-5</v>
      </c>
      <c r="N28" s="5">
        <f t="shared" si="0"/>
        <v>1.1199999999999861</v>
      </c>
    </row>
    <row r="29" spans="1:14" x14ac:dyDescent="0.3">
      <c r="A29" s="5">
        <f>'Design Calculations'!B263</f>
        <v>8.4999999999999007E-2</v>
      </c>
      <c r="B29" s="5">
        <f>'Design Calculations'!C263</f>
        <v>1.1899999999999862</v>
      </c>
      <c r="C29" s="5">
        <f>'Design Calculations'!D263</f>
        <v>5.9171270718231354E-2</v>
      </c>
      <c r="D29" s="5">
        <f>'Design Calculations'!E263</f>
        <v>2.9585635359115678</v>
      </c>
      <c r="E29" s="5">
        <f>'Design Calculations'!F263</f>
        <v>10</v>
      </c>
      <c r="F29" s="5">
        <f>'Design Calculations'!G263</f>
        <v>142.10000000000014</v>
      </c>
      <c r="G29" s="5">
        <f>'Design Calculations'!H263</f>
        <v>0.18500000000002001</v>
      </c>
      <c r="H29" s="5">
        <f>'Design Calculations'!I263</f>
        <v>2.5900000000002801</v>
      </c>
      <c r="I29" s="5" t="e">
        <f>'Design Calculations'!J263</f>
        <v>#N/A</v>
      </c>
      <c r="J29" s="5" t="e">
        <f>'Design Calculations'!K263</f>
        <v>#N/A</v>
      </c>
      <c r="K29" s="5" t="e">
        <f>'Design Calculations'!L263</f>
        <v>#N/A</v>
      </c>
      <c r="L29" s="5"/>
      <c r="M29" s="5">
        <f>0.000001*('Design Worksheet_BAT'!B$88)*(B30-B29)/(0.5*(E29+E30))+M28</f>
        <v>1.3299999999999719E-5</v>
      </c>
      <c r="N29" s="5">
        <f t="shared" si="0"/>
        <v>1.1899999999999862</v>
      </c>
    </row>
    <row r="30" spans="1:14" x14ac:dyDescent="0.3">
      <c r="A30" s="5">
        <f>'Design Calculations'!B262</f>
        <v>8.9999999999998997E-2</v>
      </c>
      <c r="B30" s="5">
        <f>'Design Calculations'!C262</f>
        <v>1.259999999999986</v>
      </c>
      <c r="C30" s="5">
        <f>'Design Calculations'!D262</f>
        <v>6.2651933701656753E-2</v>
      </c>
      <c r="D30" s="5">
        <f>'Design Calculations'!E262</f>
        <v>3.132596685082838</v>
      </c>
      <c r="E30" s="5">
        <f>'Design Calculations'!F262</f>
        <v>10</v>
      </c>
      <c r="F30" s="5">
        <f>'Design Calculations'!G262</f>
        <v>141.40000000000018</v>
      </c>
      <c r="G30" s="5">
        <f>'Design Calculations'!H262</f>
        <v>0.19000000000001999</v>
      </c>
      <c r="H30" s="5">
        <f>'Design Calculations'!I262</f>
        <v>2.6600000000002799</v>
      </c>
      <c r="I30" s="5" t="e">
        <f>'Design Calculations'!J262</f>
        <v>#N/A</v>
      </c>
      <c r="J30" s="5" t="e">
        <f>'Design Calculations'!K262</f>
        <v>#N/A</v>
      </c>
      <c r="K30" s="5" t="e">
        <f>'Design Calculations'!L262</f>
        <v>#N/A</v>
      </c>
      <c r="L30" s="5"/>
      <c r="M30" s="5">
        <f>0.000001*('Design Worksheet_BAT'!B$88)*(B31-B30)/(0.5*(E30+E31))+M29</f>
        <v>1.3999999999999719E-5</v>
      </c>
      <c r="N30" s="5">
        <f t="shared" si="0"/>
        <v>1.259999999999986</v>
      </c>
    </row>
    <row r="31" spans="1:14" x14ac:dyDescent="0.3">
      <c r="A31" s="5">
        <f>'Design Calculations'!B261</f>
        <v>9.4999999999999002E-2</v>
      </c>
      <c r="B31" s="5">
        <f>'Design Calculations'!C261</f>
        <v>1.3299999999999861</v>
      </c>
      <c r="C31" s="5">
        <f>'Design Calculations'!D261</f>
        <v>6.6132596685082187E-2</v>
      </c>
      <c r="D31" s="5">
        <f>'Design Calculations'!E261</f>
        <v>3.3066298342541094</v>
      </c>
      <c r="E31" s="5">
        <f>'Design Calculations'!F261</f>
        <v>10</v>
      </c>
      <c r="F31" s="5">
        <f>'Design Calculations'!G261</f>
        <v>140.70000000000016</v>
      </c>
      <c r="G31" s="5">
        <f>'Design Calculations'!H261</f>
        <v>0.19500000000001999</v>
      </c>
      <c r="H31" s="5">
        <f>'Design Calculations'!I261</f>
        <v>2.7300000000002798</v>
      </c>
      <c r="I31" s="5" t="e">
        <f>'Design Calculations'!J261</f>
        <v>#N/A</v>
      </c>
      <c r="J31" s="5" t="e">
        <f>'Design Calculations'!K261</f>
        <v>#N/A</v>
      </c>
      <c r="K31" s="5" t="e">
        <f>'Design Calculations'!L261</f>
        <v>#N/A</v>
      </c>
      <c r="L31" s="5"/>
      <c r="M31" s="5">
        <f>0.000001*('Design Worksheet_BAT'!B$88)*(B32-B31)/(0.5*(E31+E32))+M30</f>
        <v>1.4699999999999719E-5</v>
      </c>
      <c r="N31" s="5">
        <f t="shared" si="0"/>
        <v>1.3299999999999861</v>
      </c>
    </row>
    <row r="32" spans="1:14" x14ac:dyDescent="0.3">
      <c r="A32" s="5">
        <f>'Design Calculations'!B260</f>
        <v>9.9999999999999006E-2</v>
      </c>
      <c r="B32" s="5">
        <f>'Design Calculations'!C260</f>
        <v>1.3999999999999861</v>
      </c>
      <c r="C32" s="5">
        <f>'Design Calculations'!D260</f>
        <v>6.9613259668507593E-2</v>
      </c>
      <c r="D32" s="5">
        <f>'Design Calculations'!E260</f>
        <v>3.4806629834253799</v>
      </c>
      <c r="E32" s="5">
        <f>'Design Calculations'!F260</f>
        <v>10</v>
      </c>
      <c r="F32" s="5">
        <f>'Design Calculations'!G260</f>
        <v>140.00000000000017</v>
      </c>
      <c r="G32" s="5">
        <f>'Design Calculations'!H260</f>
        <v>0.20000000000002099</v>
      </c>
      <c r="H32" s="5">
        <f>'Design Calculations'!I260</f>
        <v>2.8000000000002938</v>
      </c>
      <c r="I32" s="5" t="e">
        <f>'Design Calculations'!J260</f>
        <v>#N/A</v>
      </c>
      <c r="J32" s="5" t="e">
        <f>'Design Calculations'!K260</f>
        <v>#N/A</v>
      </c>
      <c r="K32" s="5" t="e">
        <f>'Design Calculations'!L260</f>
        <v>#N/A</v>
      </c>
      <c r="L32" s="5"/>
      <c r="M32" s="5">
        <f>0.000001*('Design Worksheet_BAT'!B$88)*(B33-B32)/(0.5*(E32+E33))+M31</f>
        <v>1.5399999999999717E-5</v>
      </c>
      <c r="N32" s="5">
        <f t="shared" si="0"/>
        <v>1.3999999999999861</v>
      </c>
    </row>
    <row r="33" spans="1:14" x14ac:dyDescent="0.3">
      <c r="A33" s="5">
        <f>'Design Calculations'!B259</f>
        <v>0.104999999999999</v>
      </c>
      <c r="B33" s="5">
        <f>'Design Calculations'!C259</f>
        <v>1.469999999999986</v>
      </c>
      <c r="C33" s="5">
        <f>'Design Calculations'!D259</f>
        <v>7.3093922651932999E-2</v>
      </c>
      <c r="D33" s="5">
        <f>'Design Calculations'!E259</f>
        <v>3.65469613259665</v>
      </c>
      <c r="E33" s="5">
        <f>'Design Calculations'!F259</f>
        <v>10</v>
      </c>
      <c r="F33" s="5">
        <f>'Design Calculations'!G259</f>
        <v>139.30000000000015</v>
      </c>
      <c r="G33" s="5">
        <f>'Design Calculations'!H259</f>
        <v>0.205000000000021</v>
      </c>
      <c r="H33" s="5">
        <f>'Design Calculations'!I259</f>
        <v>2.8700000000002941</v>
      </c>
      <c r="I33" s="5" t="e">
        <f>'Design Calculations'!J259</f>
        <v>#N/A</v>
      </c>
      <c r="J33" s="5" t="e">
        <f>'Design Calculations'!K259</f>
        <v>#N/A</v>
      </c>
      <c r="K33" s="5" t="e">
        <f>'Design Calculations'!L259</f>
        <v>#N/A</v>
      </c>
      <c r="L33" s="5"/>
      <c r="M33" s="5">
        <f>0.000001*('Design Worksheet_BAT'!B$88)*(B34-B33)/(0.5*(E33+E34))+M32</f>
        <v>1.6099999999999717E-5</v>
      </c>
      <c r="N33" s="5">
        <f t="shared" si="0"/>
        <v>1.469999999999986</v>
      </c>
    </row>
    <row r="34" spans="1:14" x14ac:dyDescent="0.3">
      <c r="A34" s="5">
        <f>'Design Calculations'!B258</f>
        <v>0.109999999999999</v>
      </c>
      <c r="B34" s="5">
        <f>'Design Calculations'!C258</f>
        <v>1.539999999999986</v>
      </c>
      <c r="C34" s="5">
        <f>'Design Calculations'!D258</f>
        <v>7.6574585635358433E-2</v>
      </c>
      <c r="D34" s="5">
        <f>'Design Calculations'!E258</f>
        <v>3.8287292817679215</v>
      </c>
      <c r="E34" s="5">
        <f>'Design Calculations'!F258</f>
        <v>10</v>
      </c>
      <c r="F34" s="5">
        <f>'Design Calculations'!G258</f>
        <v>138.60000000000016</v>
      </c>
      <c r="G34" s="5">
        <f>'Design Calculations'!H258</f>
        <v>0.210000000000021</v>
      </c>
      <c r="H34" s="5">
        <f>'Design Calculations'!I258</f>
        <v>2.9400000000002939</v>
      </c>
      <c r="I34" s="5" t="e">
        <f>'Design Calculations'!J258</f>
        <v>#N/A</v>
      </c>
      <c r="J34" s="5" t="e">
        <f>'Design Calculations'!K258</f>
        <v>#N/A</v>
      </c>
      <c r="K34" s="5" t="e">
        <f>'Design Calculations'!L258</f>
        <v>#N/A</v>
      </c>
      <c r="L34" s="5"/>
      <c r="M34" s="5">
        <f>0.000001*('Design Worksheet_BAT'!B$88)*(B35-B34)/(0.5*(E34+E35))+M33</f>
        <v>1.6799999999999717E-5</v>
      </c>
      <c r="N34" s="5">
        <f t="shared" si="0"/>
        <v>1.539999999999986</v>
      </c>
    </row>
    <row r="35" spans="1:14" x14ac:dyDescent="0.3">
      <c r="A35" s="5">
        <f>'Design Calculations'!B257</f>
        <v>0.11499999999999901</v>
      </c>
      <c r="B35" s="5">
        <f>'Design Calculations'!C257</f>
        <v>1.6099999999999861</v>
      </c>
      <c r="C35" s="5">
        <f>'Design Calculations'!D257</f>
        <v>8.0055248618783839E-2</v>
      </c>
      <c r="D35" s="5">
        <f>'Design Calculations'!E257</f>
        <v>4.0027624309391925</v>
      </c>
      <c r="E35" s="5">
        <f>'Design Calculations'!F257</f>
        <v>10</v>
      </c>
      <c r="F35" s="5">
        <f>'Design Calculations'!G257</f>
        <v>137.90000000000018</v>
      </c>
      <c r="G35" s="5">
        <f>'Design Calculations'!H257</f>
        <v>0.21500000000002101</v>
      </c>
      <c r="H35" s="5">
        <f>'Design Calculations'!I257</f>
        <v>3.0100000000002942</v>
      </c>
      <c r="I35" s="5" t="e">
        <f>'Design Calculations'!J257</f>
        <v>#N/A</v>
      </c>
      <c r="J35" s="5" t="e">
        <f>'Design Calculations'!K257</f>
        <v>#N/A</v>
      </c>
      <c r="K35" s="5" t="e">
        <f>'Design Calculations'!L257</f>
        <v>#N/A</v>
      </c>
      <c r="L35" s="5"/>
      <c r="M35" s="5">
        <f>0.000001*('Design Worksheet_BAT'!B$88)*(B36-B35)/(0.5*(E35+E36))+M34</f>
        <v>1.7499999999999714E-5</v>
      </c>
      <c r="N35" s="5">
        <f t="shared" si="0"/>
        <v>1.6099999999999861</v>
      </c>
    </row>
    <row r="36" spans="1:14" x14ac:dyDescent="0.3">
      <c r="A36" s="5">
        <f>'Design Calculations'!B256</f>
        <v>0.119999999999999</v>
      </c>
      <c r="B36" s="5">
        <f>'Design Calculations'!C256</f>
        <v>1.6799999999999859</v>
      </c>
      <c r="C36" s="5">
        <f>'Design Calculations'!D256</f>
        <v>8.3535911602209245E-2</v>
      </c>
      <c r="D36" s="5">
        <f>'Design Calculations'!E256</f>
        <v>4.1767955801104621</v>
      </c>
      <c r="E36" s="5">
        <f>'Design Calculations'!F256</f>
        <v>10</v>
      </c>
      <c r="F36" s="5">
        <f>'Design Calculations'!G256</f>
        <v>137.20000000000016</v>
      </c>
      <c r="G36" s="5">
        <f>'Design Calculations'!H256</f>
        <v>0.22000000000002101</v>
      </c>
      <c r="H36" s="5">
        <f>'Design Calculations'!I256</f>
        <v>3.0800000000002941</v>
      </c>
      <c r="I36" s="5" t="e">
        <f>'Design Calculations'!J256</f>
        <v>#N/A</v>
      </c>
      <c r="J36" s="5" t="e">
        <f>'Design Calculations'!K256</f>
        <v>#N/A</v>
      </c>
      <c r="K36" s="5" t="e">
        <f>'Design Calculations'!L256</f>
        <v>#N/A</v>
      </c>
      <c r="L36" s="5"/>
      <c r="M36" s="5">
        <f>0.000001*('Design Worksheet_BAT'!B$88)*(B37-B36)/(0.5*(E36+E37))+M35</f>
        <v>1.8199999999999714E-5</v>
      </c>
      <c r="N36" s="5">
        <f t="shared" si="0"/>
        <v>1.6799999999999859</v>
      </c>
    </row>
    <row r="37" spans="1:14" x14ac:dyDescent="0.3">
      <c r="A37" s="5">
        <f>'Design Calculations'!B255</f>
        <v>0.124999999999999</v>
      </c>
      <c r="B37" s="5">
        <f>'Design Calculations'!C255</f>
        <v>1.749999999999986</v>
      </c>
      <c r="C37" s="5">
        <f>'Design Calculations'!D255</f>
        <v>8.7016574585634665E-2</v>
      </c>
      <c r="D37" s="5">
        <f>'Design Calculations'!E255</f>
        <v>4.3508287292817327</v>
      </c>
      <c r="E37" s="5">
        <f>'Design Calculations'!F255</f>
        <v>10</v>
      </c>
      <c r="F37" s="5">
        <f>'Design Calculations'!G255</f>
        <v>136.50000000000017</v>
      </c>
      <c r="G37" s="5">
        <f>'Design Calculations'!H255</f>
        <v>0.22500000000002099</v>
      </c>
      <c r="H37" s="5">
        <f>'Design Calculations'!I255</f>
        <v>3.1500000000002939</v>
      </c>
      <c r="I37" s="5" t="e">
        <f>'Design Calculations'!J255</f>
        <v>#N/A</v>
      </c>
      <c r="J37" s="5" t="e">
        <f>'Design Calculations'!K255</f>
        <v>#N/A</v>
      </c>
      <c r="K37" s="5" t="e">
        <f>'Design Calculations'!L255</f>
        <v>#N/A</v>
      </c>
      <c r="L37" s="5"/>
      <c r="M37" s="5">
        <f>0.000001*('Design Worksheet_BAT'!B$88)*(B38-B37)/(0.5*(E37+E38))+M36</f>
        <v>1.8899999999999714E-5</v>
      </c>
      <c r="N37" s="5">
        <f t="shared" si="0"/>
        <v>1.749999999999986</v>
      </c>
    </row>
    <row r="38" spans="1:14" x14ac:dyDescent="0.3">
      <c r="A38" s="5">
        <f>'Design Calculations'!B254</f>
        <v>0.12999999999999901</v>
      </c>
      <c r="B38" s="5">
        <f>'Design Calculations'!C254</f>
        <v>1.8199999999999861</v>
      </c>
      <c r="C38" s="5">
        <f>'Design Calculations'!D254</f>
        <v>9.0497237569060085E-2</v>
      </c>
      <c r="D38" s="5">
        <f>'Design Calculations'!E254</f>
        <v>4.5248618784530041</v>
      </c>
      <c r="E38" s="5">
        <f>'Design Calculations'!F254</f>
        <v>10</v>
      </c>
      <c r="F38" s="5">
        <f>'Design Calculations'!G254</f>
        <v>135.80000000000015</v>
      </c>
      <c r="G38" s="5">
        <f>'Design Calculations'!H254</f>
        <v>0.23000000000002099</v>
      </c>
      <c r="H38" s="5">
        <f>'Design Calculations'!I254</f>
        <v>3.2200000000002937</v>
      </c>
      <c r="I38" s="5" t="e">
        <f>'Design Calculations'!J254</f>
        <v>#N/A</v>
      </c>
      <c r="J38" s="5" t="e">
        <f>'Design Calculations'!K254</f>
        <v>#N/A</v>
      </c>
      <c r="K38" s="5" t="e">
        <f>'Design Calculations'!L254</f>
        <v>#N/A</v>
      </c>
      <c r="L38" s="5"/>
      <c r="M38" s="5">
        <f>0.000001*('Design Worksheet_BAT'!B$88)*(B39-B38)/(0.5*(E38+E39))+M37</f>
        <v>1.9599999999999714E-5</v>
      </c>
      <c r="N38" s="5">
        <f t="shared" si="0"/>
        <v>1.8199999999999861</v>
      </c>
    </row>
    <row r="39" spans="1:14" x14ac:dyDescent="0.3">
      <c r="A39" s="5">
        <f>'Design Calculations'!B253</f>
        <v>0.13499999999999901</v>
      </c>
      <c r="B39" s="5">
        <f>'Design Calculations'!C253</f>
        <v>1.8899999999999861</v>
      </c>
      <c r="C39" s="5">
        <f>'Design Calculations'!D253</f>
        <v>9.3977900552485505E-2</v>
      </c>
      <c r="D39" s="5">
        <f>'Design Calculations'!E253</f>
        <v>4.6988950276242747</v>
      </c>
      <c r="E39" s="5">
        <f>'Design Calculations'!F253</f>
        <v>10</v>
      </c>
      <c r="F39" s="5">
        <f>'Design Calculations'!G253</f>
        <v>135.10000000000016</v>
      </c>
      <c r="G39" s="5">
        <f>'Design Calculations'!H253</f>
        <v>0.235000000000021</v>
      </c>
      <c r="H39" s="5">
        <f>'Design Calculations'!I253</f>
        <v>3.290000000000294</v>
      </c>
      <c r="I39" s="5" t="e">
        <f>'Design Calculations'!J253</f>
        <v>#N/A</v>
      </c>
      <c r="J39" s="5" t="e">
        <f>'Design Calculations'!K253</f>
        <v>#N/A</v>
      </c>
      <c r="K39" s="5" t="e">
        <f>'Design Calculations'!L253</f>
        <v>#N/A</v>
      </c>
      <c r="L39" s="5"/>
      <c r="M39" s="5">
        <f>0.000001*('Design Worksheet_BAT'!B$88)*(B40-B39)/(0.5*(E39+E40))+M38</f>
        <v>2.0299999999999711E-5</v>
      </c>
      <c r="N39" s="5">
        <f t="shared" si="0"/>
        <v>1.8899999999999861</v>
      </c>
    </row>
    <row r="40" spans="1:14" x14ac:dyDescent="0.3">
      <c r="A40" s="5">
        <f>'Design Calculations'!B252</f>
        <v>0.13999999999999899</v>
      </c>
      <c r="B40" s="5">
        <f>'Design Calculations'!C252</f>
        <v>1.9599999999999858</v>
      </c>
      <c r="C40" s="5">
        <f>'Design Calculations'!D252</f>
        <v>9.7458563535910897E-2</v>
      </c>
      <c r="D40" s="5">
        <f>'Design Calculations'!E252</f>
        <v>4.8729281767955444</v>
      </c>
      <c r="E40" s="5">
        <f>'Design Calculations'!F252</f>
        <v>10</v>
      </c>
      <c r="F40" s="5">
        <f>'Design Calculations'!G252</f>
        <v>134.40000000000015</v>
      </c>
      <c r="G40" s="5">
        <f>'Design Calculations'!H252</f>
        <v>0.24000000000002</v>
      </c>
      <c r="H40" s="5">
        <f>'Design Calculations'!I252</f>
        <v>3.3600000000002801</v>
      </c>
      <c r="I40" s="5" t="e">
        <f>'Design Calculations'!J252</f>
        <v>#N/A</v>
      </c>
      <c r="J40" s="5" t="e">
        <f>'Design Calculations'!K252</f>
        <v>#N/A</v>
      </c>
      <c r="K40" s="5" t="e">
        <f>'Design Calculations'!L252</f>
        <v>#N/A</v>
      </c>
      <c r="L40" s="5"/>
      <c r="M40" s="5">
        <f>0.000001*('Design Worksheet_BAT'!B$88)*(B41-B40)/(0.5*(E40+E41))+M39</f>
        <v>2.0999999999999714E-5</v>
      </c>
      <c r="N40" s="5">
        <f t="shared" si="0"/>
        <v>1.9599999999999858</v>
      </c>
    </row>
    <row r="41" spans="1:14" x14ac:dyDescent="0.3">
      <c r="A41" s="5">
        <f>'Design Calculations'!B251</f>
        <v>0.14499999999999899</v>
      </c>
      <c r="B41" s="5">
        <f>'Design Calculations'!C251</f>
        <v>2.029999999999986</v>
      </c>
      <c r="C41" s="5">
        <f>'Design Calculations'!D251</f>
        <v>0.10093922651933633</v>
      </c>
      <c r="D41" s="5">
        <f>'Design Calculations'!E251</f>
        <v>5.0469613259668167</v>
      </c>
      <c r="E41" s="5">
        <f>'Design Calculations'!F251</f>
        <v>10</v>
      </c>
      <c r="F41" s="5">
        <f>'Design Calculations'!G251</f>
        <v>133.70000000000016</v>
      </c>
      <c r="G41" s="5">
        <f>'Design Calculations'!H251</f>
        <v>0.24500000000002001</v>
      </c>
      <c r="H41" s="5">
        <f>'Design Calculations'!I251</f>
        <v>3.4300000000002799</v>
      </c>
      <c r="I41" s="5" t="e">
        <f>'Design Calculations'!J251</f>
        <v>#N/A</v>
      </c>
      <c r="J41" s="5" t="e">
        <f>'Design Calculations'!K251</f>
        <v>#N/A</v>
      </c>
      <c r="K41" s="5" t="e">
        <f>'Design Calculations'!L251</f>
        <v>#N/A</v>
      </c>
      <c r="L41" s="5"/>
      <c r="M41" s="5">
        <f>0.000001*('Design Worksheet_BAT'!B$88)*(B42-B41)/(0.5*(E41+E42))+M40</f>
        <v>2.1699999999999714E-5</v>
      </c>
      <c r="N41" s="5">
        <f t="shared" si="0"/>
        <v>2.029999999999986</v>
      </c>
    </row>
    <row r="42" spans="1:14" x14ac:dyDescent="0.3">
      <c r="A42" s="5">
        <f>'Design Calculations'!B250</f>
        <v>0.149999999999999</v>
      </c>
      <c r="B42" s="5">
        <f>'Design Calculations'!C250</f>
        <v>2.0999999999999859</v>
      </c>
      <c r="C42" s="5">
        <f>'Design Calculations'!D250</f>
        <v>0.10441988950276172</v>
      </c>
      <c r="D42" s="5">
        <f>'Design Calculations'!E250</f>
        <v>5.2209944751380863</v>
      </c>
      <c r="E42" s="5">
        <f>'Design Calculations'!F250</f>
        <v>10</v>
      </c>
      <c r="F42" s="5">
        <f>'Design Calculations'!G250</f>
        <v>133.00000000000017</v>
      </c>
      <c r="G42" s="5">
        <f>'Design Calculations'!H250</f>
        <v>0.25000000000001998</v>
      </c>
      <c r="H42" s="5">
        <f>'Design Calculations'!I250</f>
        <v>3.5000000000002798</v>
      </c>
      <c r="I42" s="5" t="e">
        <f>'Design Calculations'!J250</f>
        <v>#N/A</v>
      </c>
      <c r="J42" s="5" t="e">
        <f>'Design Calculations'!K250</f>
        <v>#N/A</v>
      </c>
      <c r="K42" s="5" t="e">
        <f>'Design Calculations'!L250</f>
        <v>#N/A</v>
      </c>
      <c r="L42" s="5"/>
      <c r="M42" s="5">
        <f>0.000001*('Design Worksheet_BAT'!B$88)*(B43-B42)/(0.5*(E42+E43))+M41</f>
        <v>2.2399999999999718E-5</v>
      </c>
      <c r="N42" s="5">
        <f t="shared" si="0"/>
        <v>2.0999999999999859</v>
      </c>
    </row>
    <row r="43" spans="1:14" x14ac:dyDescent="0.3">
      <c r="A43" s="5">
        <f>'Design Calculations'!B249</f>
        <v>0.154999999999999</v>
      </c>
      <c r="B43" s="5">
        <f>'Design Calculations'!C249</f>
        <v>2.1699999999999862</v>
      </c>
      <c r="C43" s="5">
        <f>'Design Calculations'!D249</f>
        <v>0.10790055248618716</v>
      </c>
      <c r="D43" s="5">
        <f>'Design Calculations'!E249</f>
        <v>5.3950276243093578</v>
      </c>
      <c r="E43" s="5">
        <f>'Design Calculations'!F249</f>
        <v>10</v>
      </c>
      <c r="F43" s="5">
        <f>'Design Calculations'!G249</f>
        <v>132.30000000000015</v>
      </c>
      <c r="G43" s="5">
        <f>'Design Calculations'!H249</f>
        <v>0.25500000000001999</v>
      </c>
      <c r="H43" s="5">
        <f>'Design Calculations'!I249</f>
        <v>3.5700000000002801</v>
      </c>
      <c r="I43" s="5" t="e">
        <f>'Design Calculations'!J249</f>
        <v>#N/A</v>
      </c>
      <c r="J43" s="5" t="e">
        <f>'Design Calculations'!K249</f>
        <v>#N/A</v>
      </c>
      <c r="K43" s="5" t="e">
        <f>'Design Calculations'!L249</f>
        <v>#N/A</v>
      </c>
      <c r="L43" s="5"/>
      <c r="M43" s="5">
        <f>0.000001*('Design Worksheet_BAT'!B$88)*(B44-B43)/(0.5*(E43+E44))+M42</f>
        <v>2.3099999999999714E-5</v>
      </c>
      <c r="N43" s="5">
        <f t="shared" si="0"/>
        <v>2.1699999999999862</v>
      </c>
    </row>
    <row r="44" spans="1:14" x14ac:dyDescent="0.3">
      <c r="A44" s="5">
        <f>'Design Calculations'!B248</f>
        <v>0.159999999999999</v>
      </c>
      <c r="B44" s="5">
        <f>'Design Calculations'!C248</f>
        <v>2.239999999999986</v>
      </c>
      <c r="C44" s="5">
        <f>'Design Calculations'!D248</f>
        <v>0.11138121546961258</v>
      </c>
      <c r="D44" s="5">
        <f>'Design Calculations'!E248</f>
        <v>5.5690607734806283</v>
      </c>
      <c r="E44" s="5">
        <f>'Design Calculations'!F248</f>
        <v>10</v>
      </c>
      <c r="F44" s="5">
        <f>'Design Calculations'!G248</f>
        <v>131.60000000000016</v>
      </c>
      <c r="G44" s="5">
        <f>'Design Calculations'!H248</f>
        <v>0.26000000000001999</v>
      </c>
      <c r="H44" s="5">
        <f>'Design Calculations'!I248</f>
        <v>3.6400000000002799</v>
      </c>
      <c r="I44" s="5" t="e">
        <f>'Design Calculations'!J248</f>
        <v>#N/A</v>
      </c>
      <c r="J44" s="5" t="e">
        <f>'Design Calculations'!K248</f>
        <v>#N/A</v>
      </c>
      <c r="K44" s="5" t="e">
        <f>'Design Calculations'!L248</f>
        <v>#N/A</v>
      </c>
      <c r="L44" s="5"/>
      <c r="M44" s="5">
        <f>0.000001*('Design Worksheet_BAT'!B$88)*(B45-B44)/(0.5*(E44+E45))+M43</f>
        <v>2.3799999999999718E-5</v>
      </c>
      <c r="N44" s="5">
        <f t="shared" si="0"/>
        <v>2.239999999999986</v>
      </c>
    </row>
    <row r="45" spans="1:14" x14ac:dyDescent="0.3">
      <c r="A45" s="5">
        <f>'Design Calculations'!B247</f>
        <v>0.16499999999999901</v>
      </c>
      <c r="B45" s="5">
        <f>'Design Calculations'!C247</f>
        <v>2.3099999999999863</v>
      </c>
      <c r="C45" s="5">
        <f>'Design Calculations'!D247</f>
        <v>0.11486187845303798</v>
      </c>
      <c r="D45" s="5">
        <f>'Design Calculations'!E247</f>
        <v>5.7430939226518989</v>
      </c>
      <c r="E45" s="5">
        <f>'Design Calculations'!F247</f>
        <v>10</v>
      </c>
      <c r="F45" s="5">
        <f>'Design Calculations'!G247</f>
        <v>130.90000000000015</v>
      </c>
      <c r="G45" s="5">
        <f>'Design Calculations'!H247</f>
        <v>0.26500000000002</v>
      </c>
      <c r="H45" s="5">
        <f>'Design Calculations'!I247</f>
        <v>3.7100000000002797</v>
      </c>
      <c r="I45" s="5" t="e">
        <f>'Design Calculations'!J247</f>
        <v>#N/A</v>
      </c>
      <c r="J45" s="5" t="e">
        <f>'Design Calculations'!K247</f>
        <v>#N/A</v>
      </c>
      <c r="K45" s="5" t="e">
        <f>'Design Calculations'!L247</f>
        <v>#N/A</v>
      </c>
      <c r="L45" s="5"/>
      <c r="M45" s="5">
        <f>0.000001*('Design Worksheet_BAT'!B$88)*(B46-B45)/(0.5*(E45+E46))+M44</f>
        <v>2.4499999999999715E-5</v>
      </c>
      <c r="N45" s="5">
        <f t="shared" si="0"/>
        <v>2.3099999999999863</v>
      </c>
    </row>
    <row r="46" spans="1:14" x14ac:dyDescent="0.3">
      <c r="A46" s="5">
        <f>'Design Calculations'!B246</f>
        <v>0.16999999999999901</v>
      </c>
      <c r="B46" s="5">
        <f>'Design Calculations'!C246</f>
        <v>2.3799999999999861</v>
      </c>
      <c r="C46" s="5">
        <f>'Design Calculations'!D246</f>
        <v>0.1183425414364634</v>
      </c>
      <c r="D46" s="5">
        <f>'Design Calculations'!E246</f>
        <v>5.9171270718231703</v>
      </c>
      <c r="E46" s="5">
        <f>'Design Calculations'!F246</f>
        <v>10</v>
      </c>
      <c r="F46" s="5">
        <f>'Design Calculations'!G246</f>
        <v>130.20000000000016</v>
      </c>
      <c r="G46" s="5">
        <f>'Design Calculations'!H246</f>
        <v>0.27000000000002</v>
      </c>
      <c r="H46" s="5">
        <f>'Design Calculations'!I246</f>
        <v>3.78000000000028</v>
      </c>
      <c r="I46" s="5" t="e">
        <f>'Design Calculations'!J246</f>
        <v>#N/A</v>
      </c>
      <c r="J46" s="5" t="e">
        <f>'Design Calculations'!K246</f>
        <v>#N/A</v>
      </c>
      <c r="K46" s="5" t="e">
        <f>'Design Calculations'!L246</f>
        <v>#N/A</v>
      </c>
      <c r="L46" s="5"/>
      <c r="M46" s="5">
        <f>0.000001*('Design Worksheet_BAT'!B$88)*(B47-B46)/(0.5*(E46+E47))+M45</f>
        <v>2.5199999999999711E-5</v>
      </c>
      <c r="N46" s="5">
        <f t="shared" si="0"/>
        <v>2.3799999999999861</v>
      </c>
    </row>
    <row r="47" spans="1:14" x14ac:dyDescent="0.3">
      <c r="A47" s="5">
        <f>'Design Calculations'!B245</f>
        <v>0.17499999999999899</v>
      </c>
      <c r="B47" s="5">
        <f>'Design Calculations'!C245</f>
        <v>2.449999999999986</v>
      </c>
      <c r="C47" s="5">
        <f>'Design Calculations'!D245</f>
        <v>0.12182320441988881</v>
      </c>
      <c r="D47" s="5">
        <f>'Design Calculations'!E245</f>
        <v>6.0911602209944409</v>
      </c>
      <c r="E47" s="5">
        <f>'Design Calculations'!F245</f>
        <v>10</v>
      </c>
      <c r="F47" s="5">
        <f>'Design Calculations'!G245</f>
        <v>129.50000000000017</v>
      </c>
      <c r="G47" s="5">
        <f>'Design Calculations'!H245</f>
        <v>0.27500000000002001</v>
      </c>
      <c r="H47" s="5">
        <f>'Design Calculations'!I245</f>
        <v>3.8500000000002803</v>
      </c>
      <c r="I47" s="5" t="e">
        <f>'Design Calculations'!J245</f>
        <v>#N/A</v>
      </c>
      <c r="J47" s="5" t="e">
        <f>'Design Calculations'!K245</f>
        <v>#N/A</v>
      </c>
      <c r="K47" s="5" t="e">
        <f>'Design Calculations'!L245</f>
        <v>#N/A</v>
      </c>
      <c r="L47" s="5"/>
      <c r="M47" s="5">
        <f>0.000001*('Design Worksheet_BAT'!B$88)*(B48-B47)/(0.5*(E47+E48))+M46</f>
        <v>2.5899999999999708E-5</v>
      </c>
      <c r="N47" s="5">
        <f t="shared" si="0"/>
        <v>2.449999999999986</v>
      </c>
    </row>
    <row r="48" spans="1:14" x14ac:dyDescent="0.3">
      <c r="A48" s="5">
        <f>'Design Calculations'!B244</f>
        <v>0.17999999999999899</v>
      </c>
      <c r="B48" s="5">
        <f>'Design Calculations'!C244</f>
        <v>2.5199999999999858</v>
      </c>
      <c r="C48" s="5">
        <f>'Design Calculations'!D244</f>
        <v>0.1253038674033142</v>
      </c>
      <c r="D48" s="5">
        <f>'Design Calculations'!E244</f>
        <v>6.2651933701657105</v>
      </c>
      <c r="E48" s="5">
        <f>'Design Calculations'!F244</f>
        <v>10</v>
      </c>
      <c r="F48" s="5">
        <f>'Design Calculations'!G244</f>
        <v>128.80000000000018</v>
      </c>
      <c r="G48" s="5">
        <f>'Design Calculations'!H244</f>
        <v>0.28000000000002001</v>
      </c>
      <c r="H48" s="5">
        <f>'Design Calculations'!I244</f>
        <v>3.9200000000002801</v>
      </c>
      <c r="I48" s="5" t="e">
        <f>'Design Calculations'!J244</f>
        <v>#N/A</v>
      </c>
      <c r="J48" s="5" t="e">
        <f>'Design Calculations'!K244</f>
        <v>#N/A</v>
      </c>
      <c r="K48" s="5" t="e">
        <f>'Design Calculations'!L244</f>
        <v>#N/A</v>
      </c>
      <c r="L48" s="5"/>
      <c r="M48" s="5">
        <f>0.000001*('Design Worksheet_BAT'!B$88)*(B49-B48)/(0.5*(E48+E49))+M47</f>
        <v>2.6599999999999711E-5</v>
      </c>
      <c r="N48" s="5">
        <f t="shared" si="0"/>
        <v>2.5199999999999858</v>
      </c>
    </row>
    <row r="49" spans="1:14" x14ac:dyDescent="0.3">
      <c r="A49" s="5">
        <f>'Design Calculations'!B243</f>
        <v>0.184999999999999</v>
      </c>
      <c r="B49" s="5">
        <f>'Design Calculations'!C243</f>
        <v>2.5899999999999861</v>
      </c>
      <c r="C49" s="5">
        <f>'Design Calculations'!D243</f>
        <v>0.12878453038673965</v>
      </c>
      <c r="D49" s="5">
        <f>'Design Calculations'!E243</f>
        <v>6.439226519336982</v>
      </c>
      <c r="E49" s="5">
        <f>'Design Calculations'!F243</f>
        <v>10</v>
      </c>
      <c r="F49" s="5">
        <f>'Design Calculations'!G243</f>
        <v>128.10000000000016</v>
      </c>
      <c r="G49" s="5">
        <f>'Design Calculations'!H243</f>
        <v>0.28500000000002002</v>
      </c>
      <c r="H49" s="5">
        <f>'Design Calculations'!I243</f>
        <v>3.99000000000028</v>
      </c>
      <c r="I49" s="5" t="e">
        <f>'Design Calculations'!J243</f>
        <v>#N/A</v>
      </c>
      <c r="J49" s="5" t="e">
        <f>'Design Calculations'!K243</f>
        <v>#N/A</v>
      </c>
      <c r="K49" s="5" t="e">
        <f>'Design Calculations'!L243</f>
        <v>#N/A</v>
      </c>
      <c r="L49" s="5"/>
      <c r="M49" s="5">
        <f>0.000001*('Design Worksheet_BAT'!B$88)*(B50-B49)/(0.5*(E49+E50))+M48</f>
        <v>2.7299999999999708E-5</v>
      </c>
      <c r="N49" s="5">
        <f t="shared" si="0"/>
        <v>2.5899999999999861</v>
      </c>
    </row>
    <row r="50" spans="1:14" x14ac:dyDescent="0.3">
      <c r="A50" s="5">
        <f>'Design Calculations'!B242</f>
        <v>0.189999999999999</v>
      </c>
      <c r="B50" s="5">
        <f>'Design Calculations'!C242</f>
        <v>2.6599999999999859</v>
      </c>
      <c r="C50" s="5">
        <f>'Design Calculations'!D242</f>
        <v>0.13226519337016507</v>
      </c>
      <c r="D50" s="5">
        <f>'Design Calculations'!E242</f>
        <v>6.6132596685082525</v>
      </c>
      <c r="E50" s="5">
        <f>'Design Calculations'!F242</f>
        <v>10</v>
      </c>
      <c r="F50" s="5">
        <f>'Design Calculations'!G242</f>
        <v>127.40000000000016</v>
      </c>
      <c r="G50" s="5">
        <f>'Design Calculations'!H242</f>
        <v>0.29000000000001902</v>
      </c>
      <c r="H50" s="5">
        <f>'Design Calculations'!I242</f>
        <v>4.0600000000002661</v>
      </c>
      <c r="I50" s="5" t="e">
        <f>'Design Calculations'!J242</f>
        <v>#N/A</v>
      </c>
      <c r="J50" s="5" t="e">
        <f>'Design Calculations'!K242</f>
        <v>#N/A</v>
      </c>
      <c r="K50" s="5" t="e">
        <f>'Design Calculations'!L242</f>
        <v>#N/A</v>
      </c>
      <c r="L50" s="5"/>
      <c r="M50" s="5">
        <f>0.000001*('Design Worksheet_BAT'!B$88)*(B51-B50)/(0.5*(E50+E51))+M49</f>
        <v>2.7999999999999712E-5</v>
      </c>
      <c r="N50" s="5">
        <f t="shared" si="0"/>
        <v>2.6599999999999859</v>
      </c>
    </row>
    <row r="51" spans="1:14" x14ac:dyDescent="0.3">
      <c r="A51" s="5">
        <f>'Design Calculations'!B241</f>
        <v>0.19499999999999901</v>
      </c>
      <c r="B51" s="5">
        <f>'Design Calculations'!C241</f>
        <v>2.7299999999999862</v>
      </c>
      <c r="C51" s="5">
        <f>'Design Calculations'!D241</f>
        <v>0.13574585635359046</v>
      </c>
      <c r="D51" s="5">
        <f>'Design Calculations'!E241</f>
        <v>6.787292817679524</v>
      </c>
      <c r="E51" s="5">
        <f>'Design Calculations'!F241</f>
        <v>10</v>
      </c>
      <c r="F51" s="5">
        <f>'Design Calculations'!G241</f>
        <v>126.70000000000016</v>
      </c>
      <c r="G51" s="5">
        <f>'Design Calculations'!H241</f>
        <v>0.29500000000001902</v>
      </c>
      <c r="H51" s="5">
        <f>'Design Calculations'!I241</f>
        <v>4.1300000000002663</v>
      </c>
      <c r="I51" s="5" t="e">
        <f>'Design Calculations'!J241</f>
        <v>#N/A</v>
      </c>
      <c r="J51" s="5" t="e">
        <f>'Design Calculations'!K241</f>
        <v>#N/A</v>
      </c>
      <c r="K51" s="5" t="e">
        <f>'Design Calculations'!L241</f>
        <v>#N/A</v>
      </c>
      <c r="L51" s="5"/>
      <c r="M51" s="5">
        <f>0.000001*('Design Worksheet_BAT'!B$88)*(B52-B51)/(0.5*(E51+E52))+M50</f>
        <v>2.8699999999999708E-5</v>
      </c>
      <c r="N51" s="5">
        <f t="shared" si="0"/>
        <v>2.7299999999999862</v>
      </c>
    </row>
    <row r="52" spans="1:14" x14ac:dyDescent="0.3">
      <c r="A52" s="5">
        <f>'Design Calculations'!B240</f>
        <v>0.19999999999999901</v>
      </c>
      <c r="B52" s="5">
        <f>'Design Calculations'!C240</f>
        <v>2.7999999999999861</v>
      </c>
      <c r="C52" s="5">
        <f>'Design Calculations'!D240</f>
        <v>0.13922651933701588</v>
      </c>
      <c r="D52" s="5">
        <f>'Design Calculations'!E240</f>
        <v>6.9613259668507945</v>
      </c>
      <c r="E52" s="5">
        <f>'Design Calculations'!F240</f>
        <v>10</v>
      </c>
      <c r="F52" s="5">
        <f>'Design Calculations'!G240</f>
        <v>126.00000000000016</v>
      </c>
      <c r="G52" s="5">
        <f>'Design Calculations'!H240</f>
        <v>0.30000000000001897</v>
      </c>
      <c r="H52" s="5">
        <f>'Design Calculations'!I240</f>
        <v>4.2000000000002657</v>
      </c>
      <c r="I52" s="5" t="e">
        <f>'Design Calculations'!J240</f>
        <v>#N/A</v>
      </c>
      <c r="J52" s="5" t="e">
        <f>'Design Calculations'!K240</f>
        <v>#N/A</v>
      </c>
      <c r="K52" s="5" t="e">
        <f>'Design Calculations'!L240</f>
        <v>#N/A</v>
      </c>
      <c r="L52" s="5"/>
      <c r="M52" s="5">
        <f>0.000001*('Design Worksheet_BAT'!B$88)*(B53-B52)/(0.5*(E52+E53))+M51</f>
        <v>2.9399999999999705E-5</v>
      </c>
      <c r="N52" s="5">
        <f t="shared" si="0"/>
        <v>2.7999999999999861</v>
      </c>
    </row>
    <row r="53" spans="1:14" x14ac:dyDescent="0.3">
      <c r="A53" s="5">
        <f>'Design Calculations'!B239</f>
        <v>0.20499999999999899</v>
      </c>
      <c r="B53" s="5">
        <f>'Design Calculations'!C239</f>
        <v>2.8699999999999859</v>
      </c>
      <c r="C53" s="5">
        <f>'Design Calculations'!D239</f>
        <v>0.14270718232044127</v>
      </c>
      <c r="D53" s="5">
        <f>'Design Calculations'!E239</f>
        <v>7.1353591160220642</v>
      </c>
      <c r="E53" s="5">
        <f>'Design Calculations'!F239</f>
        <v>10</v>
      </c>
      <c r="F53" s="5">
        <f>'Design Calculations'!G239</f>
        <v>125.30000000000015</v>
      </c>
      <c r="G53" s="5">
        <f>'Design Calculations'!H239</f>
        <v>0.30500000000001898</v>
      </c>
      <c r="H53" s="5">
        <f>'Design Calculations'!I239</f>
        <v>4.270000000000266</v>
      </c>
      <c r="I53" s="5" t="e">
        <f>'Design Calculations'!J239</f>
        <v>#N/A</v>
      </c>
      <c r="J53" s="5" t="e">
        <f>'Design Calculations'!K239</f>
        <v>#N/A</v>
      </c>
      <c r="K53" s="5" t="e">
        <f>'Design Calculations'!L239</f>
        <v>#N/A</v>
      </c>
      <c r="L53" s="5"/>
      <c r="M53" s="5">
        <f>0.000001*('Design Worksheet_BAT'!B$88)*(B54-B53)/(0.5*(E53+E54))+M52</f>
        <v>3.0099999999999702E-5</v>
      </c>
      <c r="N53" s="5">
        <f t="shared" si="0"/>
        <v>2.8699999999999859</v>
      </c>
    </row>
    <row r="54" spans="1:14" x14ac:dyDescent="0.3">
      <c r="A54" s="5">
        <f>'Design Calculations'!B238</f>
        <v>0.20999999999999899</v>
      </c>
      <c r="B54" s="5">
        <f>'Design Calculations'!C238</f>
        <v>2.9399999999999857</v>
      </c>
      <c r="C54" s="5">
        <f>'Design Calculations'!D238</f>
        <v>0.14618784530386669</v>
      </c>
      <c r="D54" s="5">
        <f>'Design Calculations'!E238</f>
        <v>7.3093922651933347</v>
      </c>
      <c r="E54" s="5">
        <f>'Design Calculations'!F238</f>
        <v>10</v>
      </c>
      <c r="F54" s="5">
        <f>'Design Calculations'!G238</f>
        <v>124.60000000000016</v>
      </c>
      <c r="G54" s="5">
        <f>'Design Calculations'!H238</f>
        <v>0.31000000000001898</v>
      </c>
      <c r="H54" s="5">
        <f>'Design Calculations'!I238</f>
        <v>4.3400000000002654</v>
      </c>
      <c r="I54" s="5" t="e">
        <f>'Design Calculations'!J238</f>
        <v>#N/A</v>
      </c>
      <c r="J54" s="5" t="e">
        <f>'Design Calculations'!K238</f>
        <v>#N/A</v>
      </c>
      <c r="K54" s="5" t="e">
        <f>'Design Calculations'!L238</f>
        <v>#N/A</v>
      </c>
      <c r="L54" s="5"/>
      <c r="M54" s="5">
        <f>0.000001*('Design Worksheet_BAT'!B$88)*(B55-B54)/(0.5*(E54+E55))+M53</f>
        <v>3.0799999999999705E-5</v>
      </c>
      <c r="N54" s="5">
        <f t="shared" si="0"/>
        <v>2.9399999999999857</v>
      </c>
    </row>
    <row r="55" spans="1:14" x14ac:dyDescent="0.3">
      <c r="A55" s="5">
        <f>'Design Calculations'!B237</f>
        <v>0.214999999999999</v>
      </c>
      <c r="B55" s="5">
        <f>'Design Calculations'!C237</f>
        <v>3.009999999999986</v>
      </c>
      <c r="C55" s="5">
        <f>'Design Calculations'!D237</f>
        <v>0.14966850828729214</v>
      </c>
      <c r="D55" s="5">
        <f>'Design Calculations'!E237</f>
        <v>7.4834254143646062</v>
      </c>
      <c r="E55" s="5">
        <f>'Design Calculations'!F237</f>
        <v>10</v>
      </c>
      <c r="F55" s="5">
        <f>'Design Calculations'!G237</f>
        <v>123.90000000000016</v>
      </c>
      <c r="G55" s="5">
        <f>'Design Calculations'!H237</f>
        <v>0.31500000000001899</v>
      </c>
      <c r="H55" s="5">
        <f>'Design Calculations'!I237</f>
        <v>4.4100000000002657</v>
      </c>
      <c r="I55" s="5" t="e">
        <f>'Design Calculations'!J237</f>
        <v>#N/A</v>
      </c>
      <c r="J55" s="5" t="e">
        <f>'Design Calculations'!K237</f>
        <v>#N/A</v>
      </c>
      <c r="K55" s="5" t="e">
        <f>'Design Calculations'!L237</f>
        <v>#N/A</v>
      </c>
      <c r="L55" s="5"/>
      <c r="M55" s="5">
        <f>0.000001*('Design Worksheet_BAT'!B$88)*(B56-B55)/(0.5*(E55+E56))+M54</f>
        <v>3.1499999999999702E-5</v>
      </c>
      <c r="N55" s="5">
        <f t="shared" si="0"/>
        <v>3.009999999999986</v>
      </c>
    </row>
    <row r="56" spans="1:14" x14ac:dyDescent="0.3">
      <c r="A56" s="5">
        <f>'Design Calculations'!B236</f>
        <v>0.219999999999999</v>
      </c>
      <c r="B56" s="5">
        <f>'Design Calculations'!C236</f>
        <v>3.0799999999999859</v>
      </c>
      <c r="C56" s="5">
        <f>'Design Calculations'!D236</f>
        <v>0.15314917127071753</v>
      </c>
      <c r="D56" s="5">
        <f>'Design Calculations'!E236</f>
        <v>7.6574585635358758</v>
      </c>
      <c r="E56" s="5">
        <f>'Design Calculations'!F236</f>
        <v>10</v>
      </c>
      <c r="F56" s="5">
        <f>'Design Calculations'!G236</f>
        <v>123.20000000000016</v>
      </c>
      <c r="G56" s="5">
        <f>'Design Calculations'!H236</f>
        <v>0.32000000000001899</v>
      </c>
      <c r="H56" s="5">
        <f>'Design Calculations'!I236</f>
        <v>4.480000000000266</v>
      </c>
      <c r="I56" s="5" t="e">
        <f>'Design Calculations'!J236</f>
        <v>#N/A</v>
      </c>
      <c r="J56" s="5" t="e">
        <f>'Design Calculations'!K236</f>
        <v>#N/A</v>
      </c>
      <c r="K56" s="5" t="e">
        <f>'Design Calculations'!L236</f>
        <v>#N/A</v>
      </c>
      <c r="L56" s="5"/>
      <c r="M56" s="5">
        <f>0.000001*('Design Worksheet_BAT'!B$88)*(B57-B56)/(0.5*(E56+E57))+M55</f>
        <v>3.2199999999999705E-5</v>
      </c>
      <c r="N56" s="5">
        <f t="shared" si="0"/>
        <v>3.0799999999999859</v>
      </c>
    </row>
    <row r="57" spans="1:14" x14ac:dyDescent="0.3">
      <c r="A57" s="5">
        <f>'Design Calculations'!B235</f>
        <v>0.22499999999999901</v>
      </c>
      <c r="B57" s="5">
        <f>'Design Calculations'!C235</f>
        <v>3.1499999999999861</v>
      </c>
      <c r="C57" s="5">
        <f>'Design Calculations'!D235</f>
        <v>0.15662983425414295</v>
      </c>
      <c r="D57" s="5">
        <f>'Design Calculations'!E235</f>
        <v>7.8314917127071482</v>
      </c>
      <c r="E57" s="5">
        <f>'Design Calculations'!F235</f>
        <v>10</v>
      </c>
      <c r="F57" s="5">
        <f>'Design Calculations'!G235</f>
        <v>122.50000000000016</v>
      </c>
      <c r="G57" s="5">
        <f>'Design Calculations'!H235</f>
        <v>0.325000000000019</v>
      </c>
      <c r="H57" s="5">
        <f>'Design Calculations'!I235</f>
        <v>4.5500000000002663</v>
      </c>
      <c r="I57" s="5" t="e">
        <f>'Design Calculations'!J235</f>
        <v>#N/A</v>
      </c>
      <c r="J57" s="5" t="e">
        <f>'Design Calculations'!K235</f>
        <v>#N/A</v>
      </c>
      <c r="K57" s="5" t="e">
        <f>'Design Calculations'!L235</f>
        <v>#N/A</v>
      </c>
      <c r="L57" s="5"/>
      <c r="M57" s="5">
        <f>0.000001*('Design Worksheet_BAT'!B$88)*(B58-B57)/(0.5*(E57+E58))+M56</f>
        <v>3.2899999999999702E-5</v>
      </c>
      <c r="N57" s="5">
        <f t="shared" si="0"/>
        <v>3.1499999999999861</v>
      </c>
    </row>
    <row r="58" spans="1:14" x14ac:dyDescent="0.3">
      <c r="A58" s="5">
        <f>'Design Calculations'!B234</f>
        <v>0.22999999999999901</v>
      </c>
      <c r="B58" s="5">
        <f>'Design Calculations'!C234</f>
        <v>3.219999999999986</v>
      </c>
      <c r="C58" s="5">
        <f>'Design Calculations'!D234</f>
        <v>0.16011049723756837</v>
      </c>
      <c r="D58" s="5">
        <f>'Design Calculations'!E234</f>
        <v>8.0055248618784187</v>
      </c>
      <c r="E58" s="5">
        <f>'Design Calculations'!F234</f>
        <v>10</v>
      </c>
      <c r="F58" s="5">
        <f>'Design Calculations'!G234</f>
        <v>121.80000000000015</v>
      </c>
      <c r="G58" s="5">
        <f>'Design Calculations'!H234</f>
        <v>0.330000000000019</v>
      </c>
      <c r="H58" s="5">
        <f>'Design Calculations'!I234</f>
        <v>4.6200000000002657</v>
      </c>
      <c r="I58" s="5" t="e">
        <f>'Design Calculations'!J234</f>
        <v>#N/A</v>
      </c>
      <c r="J58" s="5" t="e">
        <f>'Design Calculations'!K234</f>
        <v>#N/A</v>
      </c>
      <c r="K58" s="5" t="e">
        <f>'Design Calculations'!L234</f>
        <v>#N/A</v>
      </c>
      <c r="L58" s="5"/>
      <c r="M58" s="5">
        <f>0.000001*('Design Worksheet_BAT'!B$88)*(B59-B58)/(0.5*(E58+E59))+M57</f>
        <v>3.3599999999999699E-5</v>
      </c>
      <c r="N58" s="5">
        <f t="shared" si="0"/>
        <v>3.219999999999986</v>
      </c>
    </row>
    <row r="59" spans="1:14" x14ac:dyDescent="0.3">
      <c r="A59" s="5">
        <f>'Design Calculations'!B233</f>
        <v>0.23499999999999899</v>
      </c>
      <c r="B59" s="5">
        <f>'Design Calculations'!C233</f>
        <v>3.2899999999999858</v>
      </c>
      <c r="C59" s="5">
        <f>'Design Calculations'!D233</f>
        <v>0.16359116022099376</v>
      </c>
      <c r="D59" s="5">
        <f>'Design Calculations'!E233</f>
        <v>8.1795580110496875</v>
      </c>
      <c r="E59" s="5">
        <f>'Design Calculations'!F233</f>
        <v>10</v>
      </c>
      <c r="F59" s="5">
        <f>'Design Calculations'!G233</f>
        <v>121.10000000000016</v>
      </c>
      <c r="G59" s="5">
        <f>'Design Calculations'!H233</f>
        <v>0.33500000000001801</v>
      </c>
      <c r="H59" s="5">
        <f>'Design Calculations'!I233</f>
        <v>4.6900000000002517</v>
      </c>
      <c r="I59" s="5" t="e">
        <f>'Design Calculations'!J233</f>
        <v>#N/A</v>
      </c>
      <c r="J59" s="5" t="e">
        <f>'Design Calculations'!K233</f>
        <v>#N/A</v>
      </c>
      <c r="K59" s="5" t="e">
        <f>'Design Calculations'!L233</f>
        <v>#N/A</v>
      </c>
      <c r="L59" s="5"/>
      <c r="M59" s="5">
        <f>0.000001*('Design Worksheet_BAT'!B$88)*(B60-B59)/(0.5*(E59+E60))+M58</f>
        <v>3.4299999999999702E-5</v>
      </c>
      <c r="N59" s="5">
        <f t="shared" si="0"/>
        <v>3.2899999999999858</v>
      </c>
    </row>
    <row r="60" spans="1:14" x14ac:dyDescent="0.3">
      <c r="A60" s="5">
        <f>'Design Calculations'!B232</f>
        <v>0.23999999999999899</v>
      </c>
      <c r="B60" s="5">
        <f>'Design Calculations'!C232</f>
        <v>3.3599999999999861</v>
      </c>
      <c r="C60" s="5">
        <f>'Design Calculations'!D232</f>
        <v>0.16707182320441921</v>
      </c>
      <c r="D60" s="5">
        <f>'Design Calculations'!E232</f>
        <v>8.3535911602209598</v>
      </c>
      <c r="E60" s="5">
        <f>'Design Calculations'!F232</f>
        <v>10</v>
      </c>
      <c r="F60" s="5">
        <f>'Design Calculations'!G232</f>
        <v>120.40000000000018</v>
      </c>
      <c r="G60" s="5">
        <f>'Design Calculations'!H232</f>
        <v>0.34000000000001801</v>
      </c>
      <c r="H60" s="5">
        <f>'Design Calculations'!I232</f>
        <v>4.760000000000252</v>
      </c>
      <c r="I60" s="5" t="e">
        <f>'Design Calculations'!J232</f>
        <v>#N/A</v>
      </c>
      <c r="J60" s="5" t="e">
        <f>'Design Calculations'!K232</f>
        <v>#N/A</v>
      </c>
      <c r="K60" s="5" t="e">
        <f>'Design Calculations'!L232</f>
        <v>#N/A</v>
      </c>
      <c r="L60" s="5"/>
      <c r="M60" s="5">
        <f>0.000001*('Design Worksheet_BAT'!B$88)*(B61-B60)/(0.5*(E60+E61))+M59</f>
        <v>3.4999999999999699E-5</v>
      </c>
      <c r="N60" s="5">
        <f t="shared" si="0"/>
        <v>3.3599999999999861</v>
      </c>
    </row>
    <row r="61" spans="1:14" x14ac:dyDescent="0.3">
      <c r="A61" s="5">
        <f>'Design Calculations'!B231</f>
        <v>0.244999999999999</v>
      </c>
      <c r="B61" s="5">
        <f>'Design Calculations'!C231</f>
        <v>3.4299999999999859</v>
      </c>
      <c r="C61" s="5">
        <f>'Design Calculations'!D231</f>
        <v>0.1705524861878446</v>
      </c>
      <c r="D61" s="5">
        <f>'Design Calculations'!E231</f>
        <v>8.5276243093922304</v>
      </c>
      <c r="E61" s="5">
        <f>'Design Calculations'!F231</f>
        <v>10</v>
      </c>
      <c r="F61" s="5">
        <f>'Design Calculations'!G231</f>
        <v>119.70000000000016</v>
      </c>
      <c r="G61" s="5">
        <f>'Design Calculations'!H231</f>
        <v>0.34500000000001801</v>
      </c>
      <c r="H61" s="5">
        <f>'Design Calculations'!I231</f>
        <v>4.8300000000002523</v>
      </c>
      <c r="I61" s="5" t="e">
        <f>'Design Calculations'!J231</f>
        <v>#N/A</v>
      </c>
      <c r="J61" s="5" t="e">
        <f>'Design Calculations'!K231</f>
        <v>#N/A</v>
      </c>
      <c r="K61" s="5" t="e">
        <f>'Design Calculations'!L231</f>
        <v>#N/A</v>
      </c>
      <c r="L61" s="5"/>
      <c r="M61" s="5">
        <f>0.000001*('Design Worksheet_BAT'!B$88)*(B62-B61)/(0.5*(E61+E62))+M60</f>
        <v>3.5699999999999695E-5</v>
      </c>
      <c r="N61" s="5">
        <f t="shared" si="0"/>
        <v>3.4299999999999859</v>
      </c>
    </row>
    <row r="62" spans="1:14" x14ac:dyDescent="0.3">
      <c r="A62" s="5">
        <f>'Design Calculations'!B230</f>
        <v>0.249999999999999</v>
      </c>
      <c r="B62" s="5">
        <f>'Design Calculations'!C230</f>
        <v>3.4999999999999858</v>
      </c>
      <c r="C62" s="5">
        <f>'Design Calculations'!D230</f>
        <v>0.17403314917127</v>
      </c>
      <c r="D62" s="5">
        <f>'Design Calculations'!E230</f>
        <v>8.7016574585635009</v>
      </c>
      <c r="E62" s="5">
        <f>'Design Calculations'!F230</f>
        <v>10</v>
      </c>
      <c r="F62" s="5">
        <f>'Design Calculations'!G230</f>
        <v>119.00000000000017</v>
      </c>
      <c r="G62" s="5">
        <f>'Design Calculations'!H230</f>
        <v>0.35000000000001802</v>
      </c>
      <c r="H62" s="5">
        <f>'Design Calculations'!I230</f>
        <v>4.9000000000002526</v>
      </c>
      <c r="I62" s="5" t="e">
        <f>'Design Calculations'!J230</f>
        <v>#N/A</v>
      </c>
      <c r="J62" s="5" t="e">
        <f>'Design Calculations'!K230</f>
        <v>#N/A</v>
      </c>
      <c r="K62" s="5" t="e">
        <f>'Design Calculations'!L230</f>
        <v>#N/A</v>
      </c>
      <c r="L62" s="5"/>
      <c r="M62" s="5">
        <f>0.000001*('Design Worksheet_BAT'!B$88)*(B63-B62)/(0.5*(E62+E63))+M61</f>
        <v>3.6399999999999699E-5</v>
      </c>
      <c r="N62" s="5">
        <f t="shared" si="0"/>
        <v>3.4999999999999858</v>
      </c>
    </row>
    <row r="63" spans="1:14" x14ac:dyDescent="0.3">
      <c r="A63" s="5">
        <f>'Design Calculations'!B229</f>
        <v>0.25499999999999901</v>
      </c>
      <c r="B63" s="5">
        <f>'Design Calculations'!C229</f>
        <v>3.5699999999999861</v>
      </c>
      <c r="C63" s="5">
        <f>'Design Calculations'!D229</f>
        <v>0.17751381215469544</v>
      </c>
      <c r="D63" s="5">
        <f>'Design Calculations'!E229</f>
        <v>8.8756906077347715</v>
      </c>
      <c r="E63" s="5">
        <f>'Design Calculations'!F229</f>
        <v>10</v>
      </c>
      <c r="F63" s="5">
        <f>'Design Calculations'!G229</f>
        <v>118.30000000000015</v>
      </c>
      <c r="G63" s="5">
        <f>'Design Calculations'!H229</f>
        <v>0.35500000000001802</v>
      </c>
      <c r="H63" s="5">
        <f>'Design Calculations'!I229</f>
        <v>4.970000000000252</v>
      </c>
      <c r="I63" s="5" t="e">
        <f>'Design Calculations'!J229</f>
        <v>#N/A</v>
      </c>
      <c r="J63" s="5" t="e">
        <f>'Design Calculations'!K229</f>
        <v>#N/A</v>
      </c>
      <c r="K63" s="5" t="e">
        <f>'Design Calculations'!L229</f>
        <v>#N/A</v>
      </c>
      <c r="L63" s="5"/>
      <c r="M63" s="5">
        <f>0.000001*('Design Worksheet_BAT'!B$88)*(B64-B63)/(0.5*(E63+E64))+M62</f>
        <v>3.7099999999999702E-5</v>
      </c>
      <c r="N63" s="5">
        <f t="shared" si="0"/>
        <v>3.5699999999999861</v>
      </c>
    </row>
    <row r="64" spans="1:14" x14ac:dyDescent="0.3">
      <c r="A64" s="5">
        <f>'Design Calculations'!B228</f>
        <v>0.25999999999999901</v>
      </c>
      <c r="B64" s="5">
        <f>'Design Calculations'!C228</f>
        <v>3.6399999999999864</v>
      </c>
      <c r="C64" s="5">
        <f>'Design Calculations'!D228</f>
        <v>0.18099447513812086</v>
      </c>
      <c r="D64" s="5">
        <f>'Design Calculations'!E228</f>
        <v>9.049723756906042</v>
      </c>
      <c r="E64" s="5">
        <f>'Design Calculations'!F228</f>
        <v>10</v>
      </c>
      <c r="F64" s="5">
        <f>'Design Calculations'!G228</f>
        <v>117.60000000000016</v>
      </c>
      <c r="G64" s="5">
        <f>'Design Calculations'!H228</f>
        <v>0.36000000000001797</v>
      </c>
      <c r="H64" s="5">
        <f>'Design Calculations'!I228</f>
        <v>5.0400000000002514</v>
      </c>
      <c r="I64" s="5" t="e">
        <f>'Design Calculations'!J228</f>
        <v>#N/A</v>
      </c>
      <c r="J64" s="5" t="e">
        <f>'Design Calculations'!K228</f>
        <v>#N/A</v>
      </c>
      <c r="K64" s="5" t="e">
        <f>'Design Calculations'!L228</f>
        <v>#N/A</v>
      </c>
      <c r="L64" s="5"/>
      <c r="M64" s="5">
        <f>0.000001*('Design Worksheet_BAT'!B$88)*(B65-B64)/(0.5*(E64+E65))+M63</f>
        <v>3.7799999999999699E-5</v>
      </c>
      <c r="N64" s="5">
        <f t="shared" si="0"/>
        <v>3.6399999999999864</v>
      </c>
    </row>
    <row r="65" spans="1:14" x14ac:dyDescent="0.3">
      <c r="A65" s="5">
        <f>'Design Calculations'!B227</f>
        <v>0.26499999999999901</v>
      </c>
      <c r="B65" s="5">
        <f>'Design Calculations'!C227</f>
        <v>3.7099999999999862</v>
      </c>
      <c r="C65" s="5">
        <f>'Design Calculations'!D227</f>
        <v>0.18447513812154628</v>
      </c>
      <c r="D65" s="5">
        <f>'Design Calculations'!E227</f>
        <v>9.2237569060773144</v>
      </c>
      <c r="E65" s="5">
        <f>'Design Calculations'!F227</f>
        <v>10</v>
      </c>
      <c r="F65" s="5">
        <f>'Design Calculations'!G227</f>
        <v>116.90000000000015</v>
      </c>
      <c r="G65" s="5">
        <f>'Design Calculations'!H227</f>
        <v>0.36500000000001798</v>
      </c>
      <c r="H65" s="5">
        <f>'Design Calculations'!I227</f>
        <v>5.1100000000002517</v>
      </c>
      <c r="I65" s="5" t="e">
        <f>'Design Calculations'!J227</f>
        <v>#N/A</v>
      </c>
      <c r="J65" s="5" t="e">
        <f>'Design Calculations'!K227</f>
        <v>#N/A</v>
      </c>
      <c r="K65" s="5" t="e">
        <f>'Design Calculations'!L227</f>
        <v>#N/A</v>
      </c>
      <c r="L65" s="5"/>
      <c r="M65" s="5">
        <f>0.000001*('Design Worksheet_BAT'!B$88)*(B66-B65)/(0.5*(E65+E66))+M64</f>
        <v>3.8499999999999696E-5</v>
      </c>
      <c r="N65" s="5">
        <f t="shared" si="0"/>
        <v>3.7099999999999862</v>
      </c>
    </row>
    <row r="66" spans="1:14" x14ac:dyDescent="0.3">
      <c r="A66" s="5">
        <f>'Design Calculations'!B226</f>
        <v>0.26999999999999902</v>
      </c>
      <c r="B66" s="5">
        <f>'Design Calculations'!C226</f>
        <v>3.779999999999986</v>
      </c>
      <c r="C66" s="5">
        <f>'Design Calculations'!D226</f>
        <v>0.18795580110497168</v>
      </c>
      <c r="D66" s="5">
        <f>'Design Calculations'!E226</f>
        <v>9.3977900552485849</v>
      </c>
      <c r="E66" s="5">
        <f>'Design Calculations'!F226</f>
        <v>10</v>
      </c>
      <c r="F66" s="5">
        <f>'Design Calculations'!G226</f>
        <v>116.20000000000016</v>
      </c>
      <c r="G66" s="5">
        <f>'Design Calculations'!H226</f>
        <v>0.37000000000001798</v>
      </c>
      <c r="H66" s="5">
        <f>'Design Calculations'!I226</f>
        <v>5.180000000000252</v>
      </c>
      <c r="I66" s="5" t="e">
        <f>'Design Calculations'!J226</f>
        <v>#N/A</v>
      </c>
      <c r="J66" s="5" t="e">
        <f>'Design Calculations'!K226</f>
        <v>#N/A</v>
      </c>
      <c r="K66" s="5" t="e">
        <f>'Design Calculations'!L226</f>
        <v>#N/A</v>
      </c>
      <c r="L66" s="5"/>
      <c r="M66" s="5">
        <f>0.000001*('Design Worksheet_BAT'!B$88)*(B67-B66)/(0.5*(E66+E67))+M65</f>
        <v>3.9199999999999699E-5</v>
      </c>
      <c r="N66" s="5">
        <f t="shared" si="0"/>
        <v>3.779999999999986</v>
      </c>
    </row>
    <row r="67" spans="1:14" x14ac:dyDescent="0.3">
      <c r="A67" s="5">
        <f>'Design Calculations'!B225</f>
        <v>0.27499999999999902</v>
      </c>
      <c r="B67" s="5">
        <f>'Design Calculations'!C225</f>
        <v>3.8499999999999863</v>
      </c>
      <c r="C67" s="5">
        <f>'Design Calculations'!D225</f>
        <v>0.1914364640883971</v>
      </c>
      <c r="D67" s="5">
        <f>'Design Calculations'!E225</f>
        <v>9.5718232044198555</v>
      </c>
      <c r="E67" s="5">
        <f>'Design Calculations'!F225</f>
        <v>10</v>
      </c>
      <c r="F67" s="5">
        <f>'Design Calculations'!G225</f>
        <v>115.50000000000014</v>
      </c>
      <c r="G67" s="5">
        <f>'Design Calculations'!H225</f>
        <v>0.37500000000001799</v>
      </c>
      <c r="H67" s="5">
        <f>'Design Calculations'!I225</f>
        <v>5.2500000000002522</v>
      </c>
      <c r="I67" s="5" t="e">
        <f>'Design Calculations'!J225</f>
        <v>#N/A</v>
      </c>
      <c r="J67" s="5" t="e">
        <f>'Design Calculations'!K225</f>
        <v>#N/A</v>
      </c>
      <c r="K67" s="5" t="e">
        <f>'Design Calculations'!L225</f>
        <v>#N/A</v>
      </c>
      <c r="L67" s="5"/>
      <c r="M67" s="5">
        <f>0.000001*('Design Worksheet_BAT'!B$88)*(B68-B67)/(0.5*(E67+E68))+M66</f>
        <v>3.9899999999999703E-5</v>
      </c>
      <c r="N67" s="5">
        <f t="shared" si="0"/>
        <v>3.8499999999999863</v>
      </c>
    </row>
    <row r="68" spans="1:14" x14ac:dyDescent="0.3">
      <c r="A68" s="5">
        <f>'Design Calculations'!B224</f>
        <v>0.27999999999999903</v>
      </c>
      <c r="B68" s="5">
        <f>'Design Calculations'!C224</f>
        <v>3.9199999999999866</v>
      </c>
      <c r="C68" s="5">
        <f>'Design Calculations'!D224</f>
        <v>0.19491712707182254</v>
      </c>
      <c r="D68" s="5">
        <f>'Design Calculations'!E224</f>
        <v>9.7458563535911278</v>
      </c>
      <c r="E68" s="5">
        <f>'Design Calculations'!F224</f>
        <v>10</v>
      </c>
      <c r="F68" s="5">
        <f>'Design Calculations'!G224</f>
        <v>114.80000000000015</v>
      </c>
      <c r="G68" s="5">
        <f>'Design Calculations'!H224</f>
        <v>0.38000000000001699</v>
      </c>
      <c r="H68" s="5">
        <f>'Design Calculations'!I224</f>
        <v>5.3200000000002383</v>
      </c>
      <c r="I68" s="5" t="e">
        <f>'Design Calculations'!J224</f>
        <v>#N/A</v>
      </c>
      <c r="J68" s="5" t="e">
        <f>'Design Calculations'!K224</f>
        <v>#N/A</v>
      </c>
      <c r="K68" s="5" t="e">
        <f>'Design Calculations'!L224</f>
        <v>#N/A</v>
      </c>
      <c r="L68" s="5"/>
      <c r="M68" s="5">
        <f>0.000001*('Design Worksheet_BAT'!B$88)*(B69-B68)/(0.5*(E68+E69))+M67</f>
        <v>4.0599999999999693E-5</v>
      </c>
      <c r="N68" s="5">
        <f t="shared" si="0"/>
        <v>3.9199999999999866</v>
      </c>
    </row>
    <row r="69" spans="1:14" x14ac:dyDescent="0.3">
      <c r="A69" s="5">
        <f>'Design Calculations'!B223</f>
        <v>0.28499999999999898</v>
      </c>
      <c r="B69" s="5">
        <f>'Design Calculations'!C223</f>
        <v>3.9899999999999856</v>
      </c>
      <c r="C69" s="5">
        <f>'Design Calculations'!D223</f>
        <v>0.19839779005524791</v>
      </c>
      <c r="D69" s="5">
        <f>'Design Calculations'!E223</f>
        <v>9.9198895027623948</v>
      </c>
      <c r="E69" s="5">
        <f>'Design Calculations'!F223</f>
        <v>10</v>
      </c>
      <c r="F69" s="5">
        <f>'Design Calculations'!G223</f>
        <v>114.10000000000016</v>
      </c>
      <c r="G69" s="5">
        <f>'Design Calculations'!H223</f>
        <v>0.385000000000017</v>
      </c>
      <c r="H69" s="5">
        <f>'Design Calculations'!I223</f>
        <v>5.3900000000002377</v>
      </c>
      <c r="I69" s="5" t="e">
        <f>'Design Calculations'!J223</f>
        <v>#N/A</v>
      </c>
      <c r="J69" s="5" t="e">
        <f>'Design Calculations'!K223</f>
        <v>#N/A</v>
      </c>
      <c r="K69" s="5" t="e">
        <f>'Design Calculations'!L223</f>
        <v>#N/A</v>
      </c>
      <c r="L69" s="5"/>
      <c r="M69" s="5">
        <f>0.000001*('Design Worksheet_BAT'!B$88)*(B70-B69)/(0.5*(E69+E70))+M68</f>
        <v>4.1296728072586987E-5</v>
      </c>
      <c r="N69" s="5">
        <f t="shared" si="0"/>
        <v>3.9899999999999856</v>
      </c>
    </row>
    <row r="70" spans="1:14" x14ac:dyDescent="0.3">
      <c r="A70" s="5">
        <f>'Design Calculations'!B222</f>
        <v>0.28999999999999898</v>
      </c>
      <c r="B70" s="5">
        <f>'Design Calculations'!C222</f>
        <v>4.0599999999999854</v>
      </c>
      <c r="C70" s="5">
        <f>'Design Calculations'!D222</f>
        <v>0.2018784530386733</v>
      </c>
      <c r="D70" s="5">
        <f>'Design Calculations'!E222</f>
        <v>10.093922651933665</v>
      </c>
      <c r="E70" s="5">
        <f>'Design Calculations'!F222</f>
        <v>10.093922651933665</v>
      </c>
      <c r="F70" s="5">
        <f>'Design Calculations'!G222</f>
        <v>114.46508287292794</v>
      </c>
      <c r="G70" s="5">
        <f>'Design Calculations'!H222</f>
        <v>0.390000000000017</v>
      </c>
      <c r="H70" s="5">
        <f>'Design Calculations'!I222</f>
        <v>5.460000000000238</v>
      </c>
      <c r="I70" s="5" t="e">
        <f>'Design Calculations'!J222</f>
        <v>#N/A</v>
      </c>
      <c r="J70" s="5" t="e">
        <f>'Design Calculations'!K222</f>
        <v>#N/A</v>
      </c>
      <c r="K70" s="5" t="e">
        <f>'Design Calculations'!L222</f>
        <v>#N/A</v>
      </c>
      <c r="L70" s="5"/>
      <c r="M70" s="5">
        <f>0.000001*('Design Worksheet_BAT'!B$88)*(B71-B70)/(0.5*(E70+E71))+M69</f>
        <v>4.1984287426813012E-5</v>
      </c>
      <c r="N70" s="5">
        <f t="shared" si="0"/>
        <v>4.0599999999999854</v>
      </c>
    </row>
    <row r="71" spans="1:14" x14ac:dyDescent="0.3">
      <c r="A71" s="5">
        <f>'Design Calculations'!B221</f>
        <v>0.29499999999999899</v>
      </c>
      <c r="B71" s="5">
        <f>'Design Calculations'!C221</f>
        <v>4.1299999999999857</v>
      </c>
      <c r="C71" s="5">
        <f>'Design Calculations'!D221</f>
        <v>0.20535911602209875</v>
      </c>
      <c r="D71" s="5">
        <f>'Design Calculations'!E221</f>
        <v>10.267955801104936</v>
      </c>
      <c r="E71" s="5">
        <f>'Design Calculations'!F221</f>
        <v>10.267955801104936</v>
      </c>
      <c r="F71" s="5">
        <f>'Design Calculations'!G221</f>
        <v>115.7198618784528</v>
      </c>
      <c r="G71" s="5">
        <f>'Design Calculations'!H221</f>
        <v>0.395000000000017</v>
      </c>
      <c r="H71" s="5">
        <f>'Design Calculations'!I221</f>
        <v>5.5300000000002383</v>
      </c>
      <c r="I71" s="5" t="e">
        <f>'Design Calculations'!J221</f>
        <v>#N/A</v>
      </c>
      <c r="J71" s="5" t="e">
        <f>'Design Calculations'!K221</f>
        <v>#N/A</v>
      </c>
      <c r="K71" s="5" t="e">
        <f>'Design Calculations'!L221</f>
        <v>#N/A</v>
      </c>
      <c r="L71" s="5"/>
      <c r="M71" s="5">
        <f>0.000001*('Design Worksheet_BAT'!B$88)*(B72-B71)/(0.5*(E71+E72))+M70</f>
        <v>4.2660291161640284E-5</v>
      </c>
      <c r="N71" s="5">
        <f t="shared" si="0"/>
        <v>4.1299999999999857</v>
      </c>
    </row>
    <row r="72" spans="1:14" x14ac:dyDescent="0.3">
      <c r="A72" s="5">
        <f>'Design Calculations'!B220</f>
        <v>0.29999999999999899</v>
      </c>
      <c r="B72" s="5">
        <f>'Design Calculations'!C220</f>
        <v>4.199999999999986</v>
      </c>
      <c r="C72" s="5">
        <f>'Design Calculations'!D220</f>
        <v>0.20883977900552417</v>
      </c>
      <c r="D72" s="5">
        <f>'Design Calculations'!E220</f>
        <v>10.441988950276208</v>
      </c>
      <c r="E72" s="5">
        <f>'Design Calculations'!F220</f>
        <v>10.441988950276208</v>
      </c>
      <c r="F72" s="5">
        <f>'Design Calculations'!G220</f>
        <v>116.95027624309371</v>
      </c>
      <c r="G72" s="5">
        <f>'Design Calculations'!H220</f>
        <v>0.40000000000001701</v>
      </c>
      <c r="H72" s="5">
        <f>'Design Calculations'!I220</f>
        <v>5.6000000000002377</v>
      </c>
      <c r="I72" s="5" t="e">
        <f>'Design Calculations'!J220</f>
        <v>#N/A</v>
      </c>
      <c r="J72" s="5" t="e">
        <f>'Design Calculations'!K220</f>
        <v>#N/A</v>
      </c>
      <c r="K72" s="5" t="e">
        <f>'Design Calculations'!L220</f>
        <v>#N/A</v>
      </c>
      <c r="L72" s="5"/>
      <c r="M72" s="5">
        <f>0.000001*('Design Worksheet_BAT'!B$88)*(B73-B72)/(0.5*(E72+E73))+M71</f>
        <v>4.3325121281015866E-5</v>
      </c>
      <c r="N72" s="5">
        <f t="shared" si="0"/>
        <v>4.199999999999986</v>
      </c>
    </row>
    <row r="73" spans="1:14" x14ac:dyDescent="0.3">
      <c r="A73" s="5">
        <f>'Design Calculations'!B219</f>
        <v>0.30499999999999899</v>
      </c>
      <c r="B73" s="5">
        <f>'Design Calculations'!C219</f>
        <v>4.2699999999999863</v>
      </c>
      <c r="C73" s="5">
        <f>'Design Calculations'!D219</f>
        <v>0.21232044198894959</v>
      </c>
      <c r="D73" s="5">
        <f>'Design Calculations'!E219</f>
        <v>10.616022099447479</v>
      </c>
      <c r="E73" s="5">
        <f>'Design Calculations'!F219</f>
        <v>10.616022099447479</v>
      </c>
      <c r="F73" s="5">
        <f>'Design Calculations'!G219</f>
        <v>118.15632596685062</v>
      </c>
      <c r="G73" s="5">
        <f>'Design Calculations'!H219</f>
        <v>0.40500000000001701</v>
      </c>
      <c r="H73" s="5">
        <f>'Design Calculations'!I219</f>
        <v>5.670000000000238</v>
      </c>
      <c r="I73" s="5" t="e">
        <f>'Design Calculations'!J219</f>
        <v>#N/A</v>
      </c>
      <c r="J73" s="5" t="e">
        <f>'Design Calculations'!K219</f>
        <v>#N/A</v>
      </c>
      <c r="K73" s="5" t="e">
        <f>'Design Calculations'!L219</f>
        <v>#N/A</v>
      </c>
      <c r="L73" s="5"/>
      <c r="M73" s="5">
        <f>0.000001*('Design Worksheet_BAT'!B$88)*(B74-B73)/(0.5*(E73+E74))+M72</f>
        <v>4.397914115454793E-5</v>
      </c>
      <c r="N73" s="5">
        <f t="shared" si="0"/>
        <v>4.2699999999999863</v>
      </c>
    </row>
    <row r="74" spans="1:14" x14ac:dyDescent="0.3">
      <c r="A74" s="5">
        <f>'Design Calculations'!B218</f>
        <v>0.309999999999999</v>
      </c>
      <c r="B74" s="5">
        <f>'Design Calculations'!C218</f>
        <v>4.3399999999999856</v>
      </c>
      <c r="C74" s="5">
        <f>'Design Calculations'!D218</f>
        <v>0.21580110497237495</v>
      </c>
      <c r="D74" s="5">
        <f>'Design Calculations'!E218</f>
        <v>10.790055248618748</v>
      </c>
      <c r="E74" s="5">
        <f>'Design Calculations'!F218</f>
        <v>10.790055248618748</v>
      </c>
      <c r="F74" s="5">
        <f>'Design Calculations'!G218</f>
        <v>119.33801104972352</v>
      </c>
      <c r="G74" s="5">
        <f>'Design Calculations'!H218</f>
        <v>0.41000000000001702</v>
      </c>
      <c r="H74" s="5">
        <f>'Design Calculations'!I218</f>
        <v>5.7400000000002382</v>
      </c>
      <c r="I74" s="5" t="e">
        <f>'Design Calculations'!J218</f>
        <v>#N/A</v>
      </c>
      <c r="J74" s="5" t="e">
        <f>'Design Calculations'!K218</f>
        <v>#N/A</v>
      </c>
      <c r="K74" s="5" t="e">
        <f>'Design Calculations'!L218</f>
        <v>#N/A</v>
      </c>
      <c r="L74" s="5"/>
      <c r="M74" s="5">
        <f>0.000001*('Design Worksheet_BAT'!B$88)*(B75-B74)/(0.5*(E74+E75))+M73</f>
        <v>4.4622696710103489E-5</v>
      </c>
      <c r="N74" s="5">
        <f t="shared" si="0"/>
        <v>4.3399999999999856</v>
      </c>
    </row>
    <row r="75" spans="1:14" x14ac:dyDescent="0.3">
      <c r="A75" s="5">
        <f>'Design Calculations'!B217</f>
        <v>0.314999999999999</v>
      </c>
      <c r="B75" s="5">
        <f>'Design Calculations'!C217</f>
        <v>4.4099999999999859</v>
      </c>
      <c r="C75" s="5">
        <f>'Design Calculations'!D217</f>
        <v>0.21928176795580043</v>
      </c>
      <c r="D75" s="5">
        <f>'Design Calculations'!E217</f>
        <v>10.964088397790022</v>
      </c>
      <c r="E75" s="5">
        <f>'Design Calculations'!F217</f>
        <v>10.964088397790022</v>
      </c>
      <c r="F75" s="5">
        <f>'Design Calculations'!G217</f>
        <v>120.49533149171252</v>
      </c>
      <c r="G75" s="5">
        <f>'Design Calculations'!H217</f>
        <v>0.41500000000001702</v>
      </c>
      <c r="H75" s="5">
        <f>'Design Calculations'!I217</f>
        <v>5.8100000000002385</v>
      </c>
      <c r="I75" s="5" t="e">
        <f>'Design Calculations'!J217</f>
        <v>#N/A</v>
      </c>
      <c r="J75" s="5" t="e">
        <f>'Design Calculations'!K217</f>
        <v>#N/A</v>
      </c>
      <c r="K75" s="5" t="e">
        <f>'Design Calculations'!L217</f>
        <v>#N/A</v>
      </c>
      <c r="L75" s="5"/>
      <c r="M75" s="5">
        <f>0.000001*('Design Worksheet_BAT'!B$88)*(B76-B75)/(0.5*(E75+E76))+M74</f>
        <v>4.5256117532500695E-5</v>
      </c>
      <c r="N75" s="5">
        <f t="shared" si="0"/>
        <v>4.4099999999999859</v>
      </c>
    </row>
    <row r="76" spans="1:14" x14ac:dyDescent="0.3">
      <c r="A76" s="5">
        <f>'Design Calculations'!B216</f>
        <v>0.31999999999999901</v>
      </c>
      <c r="B76" s="5">
        <f>'Design Calculations'!C216</f>
        <v>4.4799999999999862</v>
      </c>
      <c r="C76" s="5">
        <f>'Design Calculations'!D216</f>
        <v>0.22276243093922582</v>
      </c>
      <c r="D76" s="5">
        <f>'Design Calculations'!E216</f>
        <v>11.138121546961292</v>
      </c>
      <c r="E76" s="5">
        <f>'Design Calculations'!F216</f>
        <v>11.138121546961292</v>
      </c>
      <c r="F76" s="5">
        <f>'Design Calculations'!G216</f>
        <v>121.62828729281749</v>
      </c>
      <c r="G76" s="5">
        <f>'Design Calculations'!H216</f>
        <v>0.42000000000001703</v>
      </c>
      <c r="H76" s="5">
        <f>'Design Calculations'!I216</f>
        <v>5.8800000000002388</v>
      </c>
      <c r="I76" s="5" t="e">
        <f>'Design Calculations'!J216</f>
        <v>#N/A</v>
      </c>
      <c r="J76" s="5" t="e">
        <f>'Design Calculations'!K216</f>
        <v>#N/A</v>
      </c>
      <c r="K76" s="5" t="e">
        <f>'Design Calculations'!L216</f>
        <v>#N/A</v>
      </c>
      <c r="L76" s="5"/>
      <c r="M76" s="5">
        <f>0.000001*('Design Worksheet_BAT'!B$88)*(B77-B76)/(0.5*(E76+E77))+M75</f>
        <v>4.5879717877031277E-5</v>
      </c>
      <c r="N76" s="5">
        <f t="shared" ref="N76:N139" si="1">B76</f>
        <v>4.4799999999999862</v>
      </c>
    </row>
    <row r="77" spans="1:14" x14ac:dyDescent="0.3">
      <c r="A77" s="5">
        <f>'Design Calculations'!B215</f>
        <v>0.32499999999999901</v>
      </c>
      <c r="B77" s="5">
        <f>'Design Calculations'!C215</f>
        <v>4.5499999999999865</v>
      </c>
      <c r="C77" s="5">
        <f>'Design Calculations'!D215</f>
        <v>0.22624309392265124</v>
      </c>
      <c r="D77" s="5">
        <f>'Design Calculations'!E215</f>
        <v>11.312154696132563</v>
      </c>
      <c r="E77" s="5">
        <f>'Design Calculations'!F215</f>
        <v>11.312154696132563</v>
      </c>
      <c r="F77" s="5">
        <f>'Design Calculations'!G215</f>
        <v>122.73687845303849</v>
      </c>
      <c r="G77" s="5">
        <f>'Design Calculations'!H215</f>
        <v>0.42500000000001698</v>
      </c>
      <c r="H77" s="5">
        <f>'Design Calculations'!I215</f>
        <v>5.9500000000002373</v>
      </c>
      <c r="I77" s="5" t="e">
        <f>'Design Calculations'!J215</f>
        <v>#N/A</v>
      </c>
      <c r="J77" s="5" t="e">
        <f>'Design Calculations'!K215</f>
        <v>#N/A</v>
      </c>
      <c r="K77" s="5" t="e">
        <f>'Design Calculations'!L215</f>
        <v>#N/A</v>
      </c>
      <c r="L77" s="5"/>
      <c r="M77" s="5">
        <f>0.000001*('Design Worksheet_BAT'!B$88)*(B78-B77)/(0.5*(E77+E78))+M76</f>
        <v>4.6493797605614819E-5</v>
      </c>
      <c r="N77" s="5">
        <f t="shared" si="1"/>
        <v>4.5499999999999865</v>
      </c>
    </row>
    <row r="78" spans="1:14" x14ac:dyDescent="0.3">
      <c r="A78" s="5">
        <f>'Design Calculations'!B214</f>
        <v>0.32999999999999902</v>
      </c>
      <c r="B78" s="5">
        <f>'Design Calculations'!C214</f>
        <v>4.6199999999999859</v>
      </c>
      <c r="C78" s="5">
        <f>'Design Calculations'!D214</f>
        <v>0.22972375690607666</v>
      </c>
      <c r="D78" s="5">
        <f>'Design Calculations'!E214</f>
        <v>11.486187845303833</v>
      </c>
      <c r="E78" s="5">
        <f>'Design Calculations'!F214</f>
        <v>11.486187845303833</v>
      </c>
      <c r="F78" s="5">
        <f>'Design Calculations'!G214</f>
        <v>123.82110497237549</v>
      </c>
      <c r="G78" s="5">
        <f>'Design Calculations'!H214</f>
        <v>0.43000000000001598</v>
      </c>
      <c r="H78" s="5">
        <f>'Design Calculations'!I214</f>
        <v>6.0200000000002234</v>
      </c>
      <c r="I78" s="5" t="e">
        <f>'Design Calculations'!J214</f>
        <v>#N/A</v>
      </c>
      <c r="J78" s="5" t="e">
        <f>'Design Calculations'!K214</f>
        <v>#N/A</v>
      </c>
      <c r="K78" s="5" t="e">
        <f>'Design Calculations'!L214</f>
        <v>#N/A</v>
      </c>
      <c r="L78" s="5"/>
      <c r="M78" s="5">
        <f>0.000001*('Design Worksheet_BAT'!B$88)*(B79-B78)/(0.5*(E78+E79))+M77</f>
        <v>4.7098643052565531E-5</v>
      </c>
      <c r="N78" s="5">
        <f t="shared" si="1"/>
        <v>4.6199999999999859</v>
      </c>
    </row>
    <row r="79" spans="1:14" x14ac:dyDescent="0.3">
      <c r="A79" s="5">
        <f>'Design Calculations'!B213</f>
        <v>0.33499999999999902</v>
      </c>
      <c r="B79" s="5">
        <f>'Design Calculations'!C213</f>
        <v>4.6899999999999862</v>
      </c>
      <c r="C79" s="5">
        <f>'Design Calculations'!D213</f>
        <v>0.23320441988950208</v>
      </c>
      <c r="D79" s="5">
        <f>'Design Calculations'!E213</f>
        <v>11.660220994475104</v>
      </c>
      <c r="E79" s="5">
        <f>'Design Calculations'!F213</f>
        <v>11.660220994475104</v>
      </c>
      <c r="F79" s="5">
        <f>'Design Calculations'!G213</f>
        <v>124.88096685082854</v>
      </c>
      <c r="G79" s="5">
        <f>'Design Calculations'!H213</f>
        <v>0.43500000000001598</v>
      </c>
      <c r="H79" s="5">
        <f>'Design Calculations'!I213</f>
        <v>6.0900000000002237</v>
      </c>
      <c r="I79" s="5" t="e">
        <f>'Design Calculations'!J213</f>
        <v>#N/A</v>
      </c>
      <c r="J79" s="5" t="e">
        <f>'Design Calculations'!K213</f>
        <v>#N/A</v>
      </c>
      <c r="K79" s="5" t="e">
        <f>'Design Calculations'!L213</f>
        <v>#N/A</v>
      </c>
      <c r="L79" s="5"/>
      <c r="M79" s="5">
        <f>0.000001*('Design Worksheet_BAT'!B$88)*(B80-B79)/(0.5*(E79+E80))+M78</f>
        <v>4.7694527826228086E-5</v>
      </c>
      <c r="N79" s="5">
        <f t="shared" si="1"/>
        <v>4.6899999999999862</v>
      </c>
    </row>
    <row r="80" spans="1:14" x14ac:dyDescent="0.3">
      <c r="A80" s="5">
        <f>'Design Calculations'!B212</f>
        <v>0.33999999999999903</v>
      </c>
      <c r="B80" s="5">
        <f>'Design Calculations'!C212</f>
        <v>4.7599999999999865</v>
      </c>
      <c r="C80" s="5">
        <f>'Design Calculations'!D212</f>
        <v>0.2366850828729275</v>
      </c>
      <c r="D80" s="5">
        <f>'Design Calculations'!E212</f>
        <v>11.834254143646374</v>
      </c>
      <c r="E80" s="5">
        <f>'Design Calculations'!F212</f>
        <v>11.834254143646374</v>
      </c>
      <c r="F80" s="5">
        <f>'Design Calculations'!G212</f>
        <v>125.9164640883976</v>
      </c>
      <c r="G80" s="5">
        <f>'Design Calculations'!H212</f>
        <v>0.44000000000001599</v>
      </c>
      <c r="H80" s="5">
        <f>'Design Calculations'!I212</f>
        <v>6.160000000000224</v>
      </c>
      <c r="I80" s="5" t="e">
        <f>'Design Calculations'!J212</f>
        <v>#N/A</v>
      </c>
      <c r="J80" s="5" t="e">
        <f>'Design Calculations'!K212</f>
        <v>#N/A</v>
      </c>
      <c r="K80" s="5" t="e">
        <f>'Design Calculations'!L212</f>
        <v>#N/A</v>
      </c>
      <c r="L80" s="5"/>
      <c r="M80" s="5">
        <f>0.000001*('Design Worksheet_BAT'!B$88)*(B81-B80)/(0.5*(E80+E81))+M79</f>
        <v>4.8281713552099942E-5</v>
      </c>
      <c r="N80" s="5">
        <f t="shared" si="1"/>
        <v>4.7599999999999865</v>
      </c>
    </row>
    <row r="81" spans="1:14" x14ac:dyDescent="0.3">
      <c r="A81" s="5">
        <f>'Design Calculations'!B211</f>
        <v>0.34499999999999897</v>
      </c>
      <c r="B81" s="5">
        <f>'Design Calculations'!C211</f>
        <v>4.8299999999999859</v>
      </c>
      <c r="C81" s="5">
        <f>'Design Calculations'!D211</f>
        <v>0.24016574585635289</v>
      </c>
      <c r="D81" s="5">
        <f>'Design Calculations'!E211</f>
        <v>12.008287292817645</v>
      </c>
      <c r="E81" s="5">
        <f>'Design Calculations'!F211</f>
        <v>12.008287292817645</v>
      </c>
      <c r="F81" s="5">
        <f>'Design Calculations'!G211</f>
        <v>126.9275966850827</v>
      </c>
      <c r="G81" s="5">
        <f>'Design Calculations'!H211</f>
        <v>0.44500000000001599</v>
      </c>
      <c r="H81" s="5">
        <f>'Design Calculations'!I211</f>
        <v>6.2300000000002242</v>
      </c>
      <c r="I81" s="5" t="e">
        <f>'Design Calculations'!J211</f>
        <v>#N/A</v>
      </c>
      <c r="J81" s="5" t="e">
        <f>'Design Calculations'!K211</f>
        <v>#N/A</v>
      </c>
      <c r="K81" s="5" t="e">
        <f>'Design Calculations'!L211</f>
        <v>#N/A</v>
      </c>
      <c r="L81" s="5"/>
      <c r="M81" s="5">
        <f>0.000001*('Design Worksheet_BAT'!B$88)*(B82-B81)/(0.5*(E81+E82))+M80</f>
        <v>4.886045056249163E-5</v>
      </c>
      <c r="N81" s="5">
        <f t="shared" si="1"/>
        <v>4.8299999999999859</v>
      </c>
    </row>
    <row r="82" spans="1:14" x14ac:dyDescent="0.3">
      <c r="A82" s="5">
        <f>'Design Calculations'!B210</f>
        <v>0.34999999999999898</v>
      </c>
      <c r="B82" s="5">
        <f>'Design Calculations'!C210</f>
        <v>4.8999999999999861</v>
      </c>
      <c r="C82" s="5">
        <f>'Design Calculations'!D210</f>
        <v>0.24364640883977831</v>
      </c>
      <c r="D82" s="5">
        <f>'Design Calculations'!E210</f>
        <v>12.182320441988916</v>
      </c>
      <c r="E82" s="5">
        <f>'Design Calculations'!F210</f>
        <v>12.182320441988916</v>
      </c>
      <c r="F82" s="5">
        <f>'Design Calculations'!G210</f>
        <v>127.9143646408838</v>
      </c>
      <c r="G82" s="5">
        <f>'Design Calculations'!H210</f>
        <v>0.450000000000016</v>
      </c>
      <c r="H82" s="5">
        <f>'Design Calculations'!I210</f>
        <v>6.3000000000002236</v>
      </c>
      <c r="I82" s="5" t="e">
        <f>'Design Calculations'!J210</f>
        <v>#N/A</v>
      </c>
      <c r="J82" s="5" t="e">
        <f>'Design Calculations'!K210</f>
        <v>#N/A</v>
      </c>
      <c r="K82" s="5" t="e">
        <f>'Design Calculations'!L210</f>
        <v>#N/A</v>
      </c>
      <c r="L82" s="5"/>
      <c r="M82" s="5">
        <f>0.000001*('Design Worksheet_BAT'!B$88)*(B83-B82)/(0.5*(E82+E83))+M81</f>
        <v>4.9430978537274918E-5</v>
      </c>
      <c r="N82" s="5">
        <f t="shared" si="1"/>
        <v>4.8999999999999861</v>
      </c>
    </row>
    <row r="83" spans="1:14" x14ac:dyDescent="0.3">
      <c r="A83" s="5">
        <f>'Design Calculations'!B209</f>
        <v>0.35499999999999898</v>
      </c>
      <c r="B83" s="5">
        <f>'Design Calculations'!C209</f>
        <v>4.9699999999999855</v>
      </c>
      <c r="C83" s="5">
        <f>'Design Calculations'!D209</f>
        <v>0.24712707182320368</v>
      </c>
      <c r="D83" s="5">
        <f>'Design Calculations'!E209</f>
        <v>12.356353591160184</v>
      </c>
      <c r="E83" s="5">
        <f>'Design Calculations'!F209</f>
        <v>12.356353591160184</v>
      </c>
      <c r="F83" s="5">
        <f>'Design Calculations'!G209</f>
        <v>128.87676795580094</v>
      </c>
      <c r="G83" s="5">
        <f>'Design Calculations'!H209</f>
        <v>0.455000000000016</v>
      </c>
      <c r="H83" s="5">
        <f>'Design Calculations'!I209</f>
        <v>6.3700000000002239</v>
      </c>
      <c r="I83" s="5" t="e">
        <f>'Design Calculations'!J209</f>
        <v>#N/A</v>
      </c>
      <c r="J83" s="5" t="e">
        <f>'Design Calculations'!K209</f>
        <v>#N/A</v>
      </c>
      <c r="K83" s="5" t="e">
        <f>'Design Calculations'!L209</f>
        <v>#N/A</v>
      </c>
      <c r="L83" s="5"/>
      <c r="M83" s="5">
        <f>0.000001*('Design Worksheet_BAT'!B$88)*(B84-B83)/(0.5*(E83+E84))+M82</f>
        <v>4.9993527099823486E-5</v>
      </c>
      <c r="N83" s="5">
        <f t="shared" si="1"/>
        <v>4.9699999999999855</v>
      </c>
    </row>
    <row r="84" spans="1:14" x14ac:dyDescent="0.3">
      <c r="A84" s="5">
        <f>'Design Calculations'!B208</f>
        <v>0.35999999999999899</v>
      </c>
      <c r="B84" s="5">
        <f>'Design Calculations'!C208</f>
        <v>5.0399999999999858</v>
      </c>
      <c r="C84" s="5">
        <f>'Design Calculations'!D208</f>
        <v>0.25060773480662912</v>
      </c>
      <c r="D84" s="5">
        <f>'Design Calculations'!E208</f>
        <v>12.530386740331457</v>
      </c>
      <c r="E84" s="5">
        <f>'Design Calculations'!F208</f>
        <v>12.530386740331457</v>
      </c>
      <c r="F84" s="5">
        <f>'Design Calculations'!G208</f>
        <v>129.8148066298341</v>
      </c>
      <c r="G84" s="5">
        <f>'Design Calculations'!H208</f>
        <v>0.46000000000001601</v>
      </c>
      <c r="H84" s="5">
        <f>'Design Calculations'!I208</f>
        <v>6.4400000000002242</v>
      </c>
      <c r="I84" s="5" t="e">
        <f>'Design Calculations'!J208</f>
        <v>#N/A</v>
      </c>
      <c r="J84" s="5" t="e">
        <f>'Design Calculations'!K208</f>
        <v>#N/A</v>
      </c>
      <c r="K84" s="5" t="e">
        <f>'Design Calculations'!L208</f>
        <v>#N/A</v>
      </c>
      <c r="L84" s="5"/>
      <c r="M84" s="5">
        <f>0.000001*('Design Worksheet_BAT'!B$88)*(B85-B84)/(0.5*(E84+E85))+M83</f>
        <v>5.0548316371854141E-5</v>
      </c>
      <c r="N84" s="5">
        <f t="shared" si="1"/>
        <v>5.0399999999999858</v>
      </c>
    </row>
    <row r="85" spans="1:14" x14ac:dyDescent="0.3">
      <c r="A85" s="5">
        <f>'Design Calculations'!B207</f>
        <v>0.36499999999999899</v>
      </c>
      <c r="B85" s="5">
        <f>'Design Calculations'!C207</f>
        <v>5.1099999999999861</v>
      </c>
      <c r="C85" s="5">
        <f>'Design Calculations'!D207</f>
        <v>0.25408839779005454</v>
      </c>
      <c r="D85" s="5">
        <f>'Design Calculations'!E207</f>
        <v>12.704419889502727</v>
      </c>
      <c r="E85" s="5">
        <f>'Design Calculations'!F207</f>
        <v>12.704419889502727</v>
      </c>
      <c r="F85" s="5">
        <f>'Design Calculations'!G207</f>
        <v>130.72848066298329</v>
      </c>
      <c r="G85" s="5">
        <f>'Design Calculations'!H207</f>
        <v>0.46500000000001601</v>
      </c>
      <c r="H85" s="5">
        <f>'Design Calculations'!I207</f>
        <v>6.5100000000002245</v>
      </c>
      <c r="I85" s="5" t="e">
        <f>'Design Calculations'!J207</f>
        <v>#N/A</v>
      </c>
      <c r="J85" s="5" t="e">
        <f>'Design Calculations'!K207</f>
        <v>#N/A</v>
      </c>
      <c r="K85" s="5" t="e">
        <f>'Design Calculations'!L207</f>
        <v>#N/A</v>
      </c>
      <c r="L85" s="5"/>
      <c r="M85" s="5">
        <f>0.000001*('Design Worksheet_BAT'!B$88)*(B86-B85)/(0.5*(E85+E86))+M84</f>
        <v>5.1095557490523829E-5</v>
      </c>
      <c r="N85" s="5">
        <f t="shared" si="1"/>
        <v>5.1099999999999861</v>
      </c>
    </row>
    <row r="86" spans="1:14" x14ac:dyDescent="0.3">
      <c r="A86" s="5">
        <f>'Design Calculations'!B206</f>
        <v>0.369999999999999</v>
      </c>
      <c r="B86" s="5">
        <f>'Design Calculations'!C206</f>
        <v>5.1799999999999855</v>
      </c>
      <c r="C86" s="5">
        <f>'Design Calculations'!D206</f>
        <v>0.25756906077347991</v>
      </c>
      <c r="D86" s="5">
        <f>'Design Calculations'!E206</f>
        <v>12.878453038673996</v>
      </c>
      <c r="E86" s="5">
        <f>'Design Calculations'!F206</f>
        <v>12.878453038673996</v>
      </c>
      <c r="F86" s="5">
        <f>'Design Calculations'!G206</f>
        <v>131.61779005524846</v>
      </c>
      <c r="G86" s="5">
        <f>'Design Calculations'!H206</f>
        <v>0.47000000000001602</v>
      </c>
      <c r="H86" s="5">
        <f>'Design Calculations'!I206</f>
        <v>6.5800000000002239</v>
      </c>
      <c r="I86" s="5" t="e">
        <f>'Design Calculations'!J206</f>
        <v>#N/A</v>
      </c>
      <c r="J86" s="5" t="e">
        <f>'Design Calculations'!K206</f>
        <v>#N/A</v>
      </c>
      <c r="K86" s="5" t="e">
        <f>'Design Calculations'!L206</f>
        <v>#N/A</v>
      </c>
      <c r="L86" s="5"/>
      <c r="M86" s="5">
        <f>0.000001*('Design Worksheet_BAT'!B$88)*(B87-B86)/(0.5*(E86+E87))+M85</f>
        <v>5.163545309082212E-5</v>
      </c>
      <c r="N86" s="5">
        <f t="shared" si="1"/>
        <v>5.1799999999999855</v>
      </c>
    </row>
    <row r="87" spans="1:14" x14ac:dyDescent="0.3">
      <c r="A87" s="5">
        <f>'Design Calculations'!B205</f>
        <v>0.374999999999999</v>
      </c>
      <c r="B87" s="5">
        <f>'Design Calculations'!C205</f>
        <v>5.2499999999999858</v>
      </c>
      <c r="C87" s="5">
        <f>'Design Calculations'!D205</f>
        <v>0.26104972375690538</v>
      </c>
      <c r="D87" s="5">
        <f>'Design Calculations'!E205</f>
        <v>13.05248618784527</v>
      </c>
      <c r="E87" s="5">
        <f>'Design Calculations'!F205</f>
        <v>13.05248618784527</v>
      </c>
      <c r="F87" s="5">
        <f>'Design Calculations'!G205</f>
        <v>132.48273480662971</v>
      </c>
      <c r="G87" s="5">
        <f>'Design Calculations'!H205</f>
        <v>0.47500000000001502</v>
      </c>
      <c r="H87" s="5">
        <f>'Design Calculations'!I205</f>
        <v>6.65000000000021</v>
      </c>
      <c r="I87" s="5" t="e">
        <f>'Design Calculations'!J205</f>
        <v>#N/A</v>
      </c>
      <c r="J87" s="5" t="e">
        <f>'Design Calculations'!K205</f>
        <v>#N/A</v>
      </c>
      <c r="K87" s="5" t="e">
        <f>'Design Calculations'!L205</f>
        <v>#N/A</v>
      </c>
      <c r="L87" s="5"/>
      <c r="M87" s="5">
        <f>0.000001*('Design Worksheet_BAT'!B$88)*(B88-B87)/(0.5*(E87+E88))+M86</f>
        <v>5.2168197756017121E-5</v>
      </c>
      <c r="N87" s="5">
        <f t="shared" si="1"/>
        <v>5.2499999999999858</v>
      </c>
    </row>
    <row r="88" spans="1:14" x14ac:dyDescent="0.3">
      <c r="A88" s="5">
        <f>'Design Calculations'!B204</f>
        <v>0.37999999999999901</v>
      </c>
      <c r="B88" s="5">
        <f>'Design Calculations'!C204</f>
        <v>5.3199999999999861</v>
      </c>
      <c r="C88" s="5">
        <f>'Design Calculations'!D204</f>
        <v>0.2645303867403308</v>
      </c>
      <c r="D88" s="5">
        <f>'Design Calculations'!E204</f>
        <v>13.226519337016541</v>
      </c>
      <c r="E88" s="5">
        <f>'Design Calculations'!F204</f>
        <v>13.226519337016541</v>
      </c>
      <c r="F88" s="5">
        <f>'Design Calculations'!G204</f>
        <v>133.32331491712694</v>
      </c>
      <c r="G88" s="5">
        <f>'Design Calculations'!H204</f>
        <v>0.48000000000001503</v>
      </c>
      <c r="H88" s="5">
        <f>'Design Calculations'!I204</f>
        <v>6.7200000000002102</v>
      </c>
      <c r="I88" s="5" t="e">
        <f>'Design Calculations'!J204</f>
        <v>#N/A</v>
      </c>
      <c r="J88" s="5" t="e">
        <f>'Design Calculations'!K204</f>
        <v>#N/A</v>
      </c>
      <c r="K88" s="5" t="e">
        <f>'Design Calculations'!L204</f>
        <v>#N/A</v>
      </c>
      <c r="L88" s="5"/>
      <c r="M88" s="5">
        <f>0.000001*('Design Worksheet_BAT'!B$88)*(B89-B88)/(0.5*(E88+E89))+M87</f>
        <v>5.2693978438660549E-5</v>
      </c>
      <c r="N88" s="5">
        <f t="shared" si="1"/>
        <v>5.3199999999999861</v>
      </c>
    </row>
    <row r="89" spans="1:14" x14ac:dyDescent="0.3">
      <c r="A89" s="5">
        <f>'Design Calculations'!B203</f>
        <v>0.38499999999999901</v>
      </c>
      <c r="B89" s="5">
        <f>'Design Calculations'!C203</f>
        <v>5.3899999999999864</v>
      </c>
      <c r="C89" s="5">
        <f>'Design Calculations'!D203</f>
        <v>0.26801104972375622</v>
      </c>
      <c r="D89" s="5">
        <f>'Design Calculations'!E203</f>
        <v>13.400552486187811</v>
      </c>
      <c r="E89" s="5">
        <f>'Design Calculations'!F203</f>
        <v>13.400552486187811</v>
      </c>
      <c r="F89" s="5">
        <f>'Design Calculations'!G203</f>
        <v>134.1395303867402</v>
      </c>
      <c r="G89" s="5">
        <f>'Design Calculations'!H203</f>
        <v>0.48500000000001497</v>
      </c>
      <c r="H89" s="5">
        <f>'Design Calculations'!I203</f>
        <v>6.7900000000002096</v>
      </c>
      <c r="I89" s="5" t="e">
        <f>'Design Calculations'!J203</f>
        <v>#N/A</v>
      </c>
      <c r="J89" s="5" t="e">
        <f>'Design Calculations'!K203</f>
        <v>#N/A</v>
      </c>
      <c r="K89" s="5" t="e">
        <f>'Design Calculations'!L203</f>
        <v>#N/A</v>
      </c>
      <c r="L89" s="5"/>
      <c r="M89" s="5">
        <f>0.000001*('Design Worksheet_BAT'!B$88)*(B90-B89)/(0.5*(E89+E90))+M88</f>
        <v>5.3212974854431159E-5</v>
      </c>
      <c r="N89" s="5">
        <f t="shared" si="1"/>
        <v>5.3899999999999864</v>
      </c>
    </row>
    <row r="90" spans="1:14" x14ac:dyDescent="0.3">
      <c r="A90" s="5">
        <f>'Design Calculations'!B202</f>
        <v>0.38999999999999901</v>
      </c>
      <c r="B90" s="5">
        <f>'Design Calculations'!C202</f>
        <v>5.4599999999999866</v>
      </c>
      <c r="C90" s="5">
        <f>'Design Calculations'!D202</f>
        <v>0.2714917127071817</v>
      </c>
      <c r="D90" s="5">
        <f>'Design Calculations'!E202</f>
        <v>13.574585635359083</v>
      </c>
      <c r="E90" s="5">
        <f>'Design Calculations'!F202</f>
        <v>13.574585635359083</v>
      </c>
      <c r="F90" s="5">
        <f>'Design Calculations'!G202</f>
        <v>134.93138121546949</v>
      </c>
      <c r="G90" s="5">
        <f>'Design Calculations'!H202</f>
        <v>0.49000000000001498</v>
      </c>
      <c r="H90" s="5">
        <f>'Design Calculations'!I202</f>
        <v>6.8600000000002099</v>
      </c>
      <c r="I90" s="5" t="e">
        <f>'Design Calculations'!J202</f>
        <v>#N/A</v>
      </c>
      <c r="J90" s="5" t="e">
        <f>'Design Calculations'!K202</f>
        <v>#N/A</v>
      </c>
      <c r="K90" s="5" t="e">
        <f>'Design Calculations'!L202</f>
        <v>#N/A</v>
      </c>
      <c r="L90" s="5"/>
      <c r="M90" s="5">
        <f>0.000001*('Design Worksheet_BAT'!B$88)*(B91-B90)/(0.5*(E90+E91))+M89</f>
        <v>5.3725359850892585E-5</v>
      </c>
      <c r="N90" s="5">
        <f t="shared" si="1"/>
        <v>5.4599999999999866</v>
      </c>
    </row>
    <row r="91" spans="1:14" x14ac:dyDescent="0.3">
      <c r="A91" s="5">
        <f>'Design Calculations'!B201</f>
        <v>0.39499999999999902</v>
      </c>
      <c r="B91" s="5">
        <f>'Design Calculations'!C201</f>
        <v>5.529999999999986</v>
      </c>
      <c r="C91" s="5">
        <f>'Design Calculations'!D201</f>
        <v>0.27497237569060706</v>
      </c>
      <c r="D91" s="5">
        <f>'Design Calculations'!E201</f>
        <v>13.748618784530352</v>
      </c>
      <c r="E91" s="5">
        <f>'Design Calculations'!F201</f>
        <v>13.748618784530352</v>
      </c>
      <c r="F91" s="5">
        <f>'Design Calculations'!G201</f>
        <v>135.69886740331478</v>
      </c>
      <c r="G91" s="5">
        <f>'Design Calculations'!H201</f>
        <v>0.49500000000001498</v>
      </c>
      <c r="H91" s="5">
        <f>'Design Calculations'!I201</f>
        <v>6.9300000000002093</v>
      </c>
      <c r="I91" s="5" t="e">
        <f>'Design Calculations'!J201</f>
        <v>#N/A</v>
      </c>
      <c r="J91" s="5" t="e">
        <f>'Design Calculations'!K201</f>
        <v>#N/A</v>
      </c>
      <c r="K91" s="5" t="e">
        <f>'Design Calculations'!L201</f>
        <v>#N/A</v>
      </c>
      <c r="L91" s="5"/>
      <c r="M91" s="5">
        <f>0.000001*('Design Worksheet_BAT'!B$88)*(B92-B91)/(0.5*(E91+E92))+M90</f>
        <v>5.4231299753058905E-5</v>
      </c>
      <c r="N91" s="5">
        <f t="shared" si="1"/>
        <v>5.529999999999986</v>
      </c>
    </row>
    <row r="92" spans="1:14" x14ac:dyDescent="0.3">
      <c r="A92" s="5">
        <f>'Design Calculations'!B200</f>
        <v>0.39999999999999902</v>
      </c>
      <c r="B92" s="5">
        <f>'Design Calculations'!C200</f>
        <v>5.5999999999999863</v>
      </c>
      <c r="C92" s="5">
        <f>'Design Calculations'!D200</f>
        <v>0.27845303867403248</v>
      </c>
      <c r="D92" s="5">
        <f>'Design Calculations'!E200</f>
        <v>13.922651933701623</v>
      </c>
      <c r="E92" s="5">
        <f>'Design Calculations'!F200</f>
        <v>13.922651933701623</v>
      </c>
      <c r="F92" s="5">
        <f>'Design Calculations'!G200</f>
        <v>136.44198895027611</v>
      </c>
      <c r="G92" s="5">
        <f>'Design Calculations'!H200</f>
        <v>0.50000000000001499</v>
      </c>
      <c r="H92" s="5">
        <f>'Design Calculations'!I200</f>
        <v>7.0000000000002096</v>
      </c>
      <c r="I92" s="5" t="e">
        <f>'Design Calculations'!J200</f>
        <v>#N/A</v>
      </c>
      <c r="J92" s="5" t="e">
        <f>'Design Calculations'!K200</f>
        <v>#N/A</v>
      </c>
      <c r="K92" s="5" t="e">
        <f>'Design Calculations'!L200</f>
        <v>#N/A</v>
      </c>
      <c r="L92" s="5"/>
      <c r="M92" s="5">
        <f>0.000001*('Design Worksheet_BAT'!B$88)*(B93-B92)/(0.5*(E92+E93))+M91</f>
        <v>5.4730954687496449E-5</v>
      </c>
      <c r="N92" s="5">
        <f t="shared" si="1"/>
        <v>5.5999999999999863</v>
      </c>
    </row>
    <row r="93" spans="1:14" x14ac:dyDescent="0.3">
      <c r="A93" s="5">
        <f>'Design Calculations'!B199</f>
        <v>0.40499999999999903</v>
      </c>
      <c r="B93" s="5">
        <f>'Design Calculations'!C199</f>
        <v>5.6699999999999866</v>
      </c>
      <c r="C93" s="5">
        <f>'Design Calculations'!D199</f>
        <v>0.2819337016574579</v>
      </c>
      <c r="D93" s="5">
        <f>'Design Calculations'!E199</f>
        <v>14.096685082872897</v>
      </c>
      <c r="E93" s="5">
        <f>'Design Calculations'!F199</f>
        <v>14.096685082872897</v>
      </c>
      <c r="F93" s="5">
        <f>'Design Calculations'!G199</f>
        <v>137.16074585635349</v>
      </c>
      <c r="G93" s="5">
        <f>'Design Calculations'!H199</f>
        <v>0.50500000000001499</v>
      </c>
      <c r="H93" s="5">
        <f>'Design Calculations'!I199</f>
        <v>7.0700000000002099</v>
      </c>
      <c r="I93" s="5" t="e">
        <f>'Design Calculations'!J199</f>
        <v>#N/A</v>
      </c>
      <c r="J93" s="5" t="e">
        <f>'Design Calculations'!K199</f>
        <v>#N/A</v>
      </c>
      <c r="K93" s="5" t="e">
        <f>'Design Calculations'!L199</f>
        <v>#N/A</v>
      </c>
      <c r="L93" s="5"/>
      <c r="M93" s="5">
        <f>0.000001*('Design Worksheet_BAT'!B$88)*(B94-B93)/(0.5*(E93+E94))+M92</f>
        <v>5.5224478886542114E-5</v>
      </c>
      <c r="N93" s="5">
        <f t="shared" si="1"/>
        <v>5.6699999999999866</v>
      </c>
    </row>
    <row r="94" spans="1:14" x14ac:dyDescent="0.3">
      <c r="A94" s="5">
        <f>'Design Calculations'!B198</f>
        <v>0.40999999999999898</v>
      </c>
      <c r="B94" s="5">
        <f>'Design Calculations'!C198</f>
        <v>5.739999999999986</v>
      </c>
      <c r="C94" s="5">
        <f>'Design Calculations'!D198</f>
        <v>0.28541436464088327</v>
      </c>
      <c r="D94" s="5">
        <f>'Design Calculations'!E198</f>
        <v>14.270718232044164</v>
      </c>
      <c r="E94" s="5">
        <f>'Design Calculations'!F198</f>
        <v>14.270718232044164</v>
      </c>
      <c r="F94" s="5">
        <f>'Design Calculations'!G198</f>
        <v>137.85513812154684</v>
      </c>
      <c r="G94" s="5">
        <f>'Design Calculations'!H198</f>
        <v>0.510000000000015</v>
      </c>
      <c r="H94" s="5">
        <f>'Design Calculations'!I198</f>
        <v>7.1400000000002102</v>
      </c>
      <c r="I94" s="5" t="e">
        <f>'Design Calculations'!J198</f>
        <v>#N/A</v>
      </c>
      <c r="J94" s="5" t="e">
        <f>'Design Calculations'!K198</f>
        <v>#N/A</v>
      </c>
      <c r="K94" s="5" t="e">
        <f>'Design Calculations'!L198</f>
        <v>#N/A</v>
      </c>
      <c r="L94" s="5"/>
      <c r="M94" s="5">
        <f>0.000001*('Design Worksheet_BAT'!B$88)*(B95-B94)/(0.5*(E94+E95))+M93</f>
        <v>5.5712020974084196E-5</v>
      </c>
      <c r="N94" s="5">
        <f t="shared" si="1"/>
        <v>5.739999999999986</v>
      </c>
    </row>
    <row r="95" spans="1:14" x14ac:dyDescent="0.3">
      <c r="A95" s="5">
        <f>'Design Calculations'!B197</f>
        <v>0.41499999999999898</v>
      </c>
      <c r="B95" s="5">
        <f>'Design Calculations'!C197</f>
        <v>5.8099999999999854</v>
      </c>
      <c r="C95" s="5">
        <f>'Design Calculations'!D197</f>
        <v>0.28889502762430863</v>
      </c>
      <c r="D95" s="5">
        <f>'Design Calculations'!E197</f>
        <v>14.444751381215433</v>
      </c>
      <c r="E95" s="5">
        <f>'Design Calculations'!F197</f>
        <v>14.444751381215433</v>
      </c>
      <c r="F95" s="5">
        <f>'Design Calculations'!G197</f>
        <v>138.52516574585624</v>
      </c>
      <c r="G95" s="5">
        <f>'Design Calculations'!H197</f>
        <v>0.515000000000015</v>
      </c>
      <c r="H95" s="5">
        <f>'Design Calculations'!I197</f>
        <v>7.2100000000002105</v>
      </c>
      <c r="I95" s="5" t="e">
        <f>'Design Calculations'!J197</f>
        <v>#N/A</v>
      </c>
      <c r="J95" s="5" t="e">
        <f>'Design Calculations'!K197</f>
        <v>#N/A</v>
      </c>
      <c r="K95" s="5" t="e">
        <f>'Design Calculations'!L197</f>
        <v>#N/A</v>
      </c>
      <c r="L95" s="5"/>
      <c r="M95" s="5">
        <f>0.000001*('Design Worksheet_BAT'!B$88)*(B96-B95)/(0.5*(E95+E96))+M94</f>
        <v>5.6193724234230573E-5</v>
      </c>
      <c r="N95" s="5">
        <f t="shared" si="1"/>
        <v>5.8099999999999854</v>
      </c>
    </row>
    <row r="96" spans="1:14" x14ac:dyDescent="0.3">
      <c r="A96" s="5">
        <f>'Design Calculations'!B196</f>
        <v>0.41999999999999899</v>
      </c>
      <c r="B96" s="5">
        <f>'Design Calculations'!C196</f>
        <v>5.8799999999999857</v>
      </c>
      <c r="C96" s="5">
        <f>'Design Calculations'!D196</f>
        <v>0.29237569060773411</v>
      </c>
      <c r="D96" s="5">
        <f>'Design Calculations'!E196</f>
        <v>14.618784530386705</v>
      </c>
      <c r="E96" s="5">
        <f>'Design Calculations'!F196</f>
        <v>14.618784530386705</v>
      </c>
      <c r="F96" s="5">
        <f>'Design Calculations'!G196</f>
        <v>139.17082872928168</v>
      </c>
      <c r="G96" s="5">
        <f>'Design Calculations'!H196</f>
        <v>0.52000000000001401</v>
      </c>
      <c r="H96" s="5">
        <f>'Design Calculations'!I196</f>
        <v>7.2800000000001965</v>
      </c>
      <c r="I96" s="5" t="e">
        <f>'Design Calculations'!J196</f>
        <v>#N/A</v>
      </c>
      <c r="J96" s="5" t="e">
        <f>'Design Calculations'!K196</f>
        <v>#N/A</v>
      </c>
      <c r="K96" s="5" t="e">
        <f>'Design Calculations'!L196</f>
        <v>#N/A</v>
      </c>
      <c r="L96" s="5"/>
      <c r="M96" s="5">
        <f>0.000001*('Design Worksheet_BAT'!B$88)*(B97-B96)/(0.5*(E96+E97))+M95</f>
        <v>5.6669726864079358E-5</v>
      </c>
      <c r="N96" s="5">
        <f t="shared" si="1"/>
        <v>5.8799999999999857</v>
      </c>
    </row>
    <row r="97" spans="1:14" x14ac:dyDescent="0.3">
      <c r="A97" s="5">
        <f>'Design Calculations'!B195</f>
        <v>0.42499999999999899</v>
      </c>
      <c r="B97" s="5">
        <f>'Design Calculations'!C195</f>
        <v>5.949999999999986</v>
      </c>
      <c r="C97" s="5">
        <f>'Design Calculations'!D195</f>
        <v>0.29585635359115953</v>
      </c>
      <c r="D97" s="5">
        <f>'Design Calculations'!E195</f>
        <v>14.792817679557977</v>
      </c>
      <c r="E97" s="5">
        <f>'Design Calculations'!F195</f>
        <v>14.792817679557977</v>
      </c>
      <c r="F97" s="5">
        <f>'Design Calculations'!G195</f>
        <v>139.79212707182313</v>
      </c>
      <c r="G97" s="5">
        <f>'Design Calculations'!H195</f>
        <v>0.52500000000001401</v>
      </c>
      <c r="H97" s="5">
        <f>'Design Calculations'!I195</f>
        <v>7.3500000000001959</v>
      </c>
      <c r="I97" s="5" t="e">
        <f>'Design Calculations'!J195</f>
        <v>#N/A</v>
      </c>
      <c r="J97" s="5" t="e">
        <f>'Design Calculations'!K195</f>
        <v>#N/A</v>
      </c>
      <c r="K97" s="5" t="e">
        <f>'Design Calculations'!L195</f>
        <v>#N/A</v>
      </c>
      <c r="L97" s="5"/>
      <c r="M97" s="5">
        <f>0.000001*('Design Worksheet_BAT'!B$88)*(B98-B97)/(0.5*(E97+E98))+M96</f>
        <v>5.7140162211707694E-5</v>
      </c>
      <c r="N97" s="5">
        <f t="shared" si="1"/>
        <v>5.949999999999986</v>
      </c>
    </row>
    <row r="98" spans="1:14" x14ac:dyDescent="0.3">
      <c r="A98" s="5">
        <f>'Design Calculations'!B194</f>
        <v>0.42999999999999899</v>
      </c>
      <c r="B98" s="5">
        <f>'Design Calculations'!C194</f>
        <v>6.0199999999999863</v>
      </c>
      <c r="C98" s="5">
        <f>'Design Calculations'!D194</f>
        <v>0.29933701657458495</v>
      </c>
      <c r="D98" s="5">
        <f>'Design Calculations'!E194</f>
        <v>14.966850828729248</v>
      </c>
      <c r="E98" s="5">
        <f>'Design Calculations'!F194</f>
        <v>14.966850828729248</v>
      </c>
      <c r="F98" s="5">
        <f>'Design Calculations'!G194</f>
        <v>140.38906077348059</v>
      </c>
      <c r="G98" s="5">
        <f>'Design Calculations'!H194</f>
        <v>0.53000000000001402</v>
      </c>
      <c r="H98" s="5">
        <f>'Design Calculations'!I194</f>
        <v>7.4200000000001962</v>
      </c>
      <c r="I98" s="5" t="e">
        <f>'Design Calculations'!J194</f>
        <v>#N/A</v>
      </c>
      <c r="J98" s="5" t="e">
        <f>'Design Calculations'!K194</f>
        <v>#N/A</v>
      </c>
      <c r="K98" s="5" t="e">
        <f>'Design Calculations'!L194</f>
        <v>#N/A</v>
      </c>
      <c r="L98" s="5"/>
      <c r="M98" s="5">
        <f>0.000001*('Design Worksheet_BAT'!B$88)*(B99-B98)/(0.5*(E98+E99))+M97</f>
        <v>5.7605159000403902E-5</v>
      </c>
      <c r="N98" s="5">
        <f t="shared" si="1"/>
        <v>6.0199999999999863</v>
      </c>
    </row>
    <row r="99" spans="1:14" x14ac:dyDescent="0.3">
      <c r="A99" s="5">
        <f>'Design Calculations'!B193</f>
        <v>0.434999999999999</v>
      </c>
      <c r="B99" s="5">
        <f>'Design Calculations'!C193</f>
        <v>6.0899999999999856</v>
      </c>
      <c r="C99" s="5">
        <f>'Design Calculations'!D193</f>
        <v>0.30281767955801031</v>
      </c>
      <c r="D99" s="5">
        <f>'Design Calculations'!E193</f>
        <v>15.140883977900515</v>
      </c>
      <c r="E99" s="5">
        <f>'Design Calculations'!F193</f>
        <v>15.140883977900515</v>
      </c>
      <c r="F99" s="5">
        <f>'Design Calculations'!G193</f>
        <v>140.96162983425404</v>
      </c>
      <c r="G99" s="5">
        <f>'Design Calculations'!H193</f>
        <v>0.53500000000001402</v>
      </c>
      <c r="H99" s="5">
        <f>'Design Calculations'!I193</f>
        <v>7.4900000000001965</v>
      </c>
      <c r="I99" s="5" t="e">
        <f>'Design Calculations'!J193</f>
        <v>#N/A</v>
      </c>
      <c r="J99" s="5" t="e">
        <f>'Design Calculations'!K193</f>
        <v>#N/A</v>
      </c>
      <c r="K99" s="5" t="e">
        <f>'Design Calculations'!L193</f>
        <v>#N/A</v>
      </c>
      <c r="L99" s="5"/>
      <c r="M99" s="5">
        <f>0.000001*('Design Worksheet_BAT'!B$88)*(B100-B99)/(0.5*(E99+E100))+M98</f>
        <v>5.8064841540086536E-5</v>
      </c>
      <c r="N99" s="5">
        <f t="shared" si="1"/>
        <v>6.0899999999999856</v>
      </c>
    </row>
    <row r="100" spans="1:14" x14ac:dyDescent="0.3">
      <c r="A100" s="5">
        <f>'Design Calculations'!B192</f>
        <v>0.44</v>
      </c>
      <c r="B100" s="5">
        <f>'Design Calculations'!C192</f>
        <v>6.16</v>
      </c>
      <c r="C100" s="5">
        <f>'Design Calculations'!D192</f>
        <v>0.30629834254143645</v>
      </c>
      <c r="D100" s="5">
        <f>'Design Calculations'!E192</f>
        <v>15.314917127071823</v>
      </c>
      <c r="E100" s="5">
        <f>'Design Calculations'!F192</f>
        <v>15.314917127071823</v>
      </c>
      <c r="F100" s="5">
        <f>'Design Calculations'!G192</f>
        <v>141.50983425414367</v>
      </c>
      <c r="G100" s="5">
        <f>'Design Calculations'!H192</f>
        <v>0.54000000000001402</v>
      </c>
      <c r="H100" s="5">
        <f>'Design Calculations'!I192</f>
        <v>7.5600000000001959</v>
      </c>
      <c r="I100" s="5" t="e">
        <f>'Design Calculations'!J192</f>
        <v>#N/A</v>
      </c>
      <c r="J100" s="5" t="e">
        <f>'Design Calculations'!K192</f>
        <v>#N/A</v>
      </c>
      <c r="K100" s="5" t="e">
        <f>'Design Calculations'!L192</f>
        <v>#N/A</v>
      </c>
      <c r="L100" s="5"/>
      <c r="M100" s="5">
        <f>0.000001*('Design Worksheet_BAT'!B$88)*(B101-B100)/(0.5*(E100+E101))+M99</f>
        <v>5.8519329926778314E-5</v>
      </c>
      <c r="N100" s="5">
        <f t="shared" si="1"/>
        <v>6.16</v>
      </c>
    </row>
    <row r="101" spans="1:14" x14ac:dyDescent="0.3">
      <c r="A101" s="5">
        <f>'Design Calculations'!B191</f>
        <v>0.44500000000000001</v>
      </c>
      <c r="B101" s="5">
        <f>'Design Calculations'!C191</f>
        <v>6.23</v>
      </c>
      <c r="C101" s="5">
        <f>'Design Calculations'!D191</f>
        <v>0.30977900552486187</v>
      </c>
      <c r="D101" s="5">
        <f>'Design Calculations'!E191</f>
        <v>15.488950276243093</v>
      </c>
      <c r="E101" s="5">
        <f>'Design Calculations'!F191</f>
        <v>15.488950276243093</v>
      </c>
      <c r="F101" s="5">
        <f>'Design Calculations'!G191</f>
        <v>142.0336740331492</v>
      </c>
      <c r="G101" s="5">
        <f>'Design Calculations'!H191</f>
        <v>0.54500000000001403</v>
      </c>
      <c r="H101" s="5">
        <f>'Design Calculations'!I191</f>
        <v>7.6300000000001962</v>
      </c>
      <c r="I101" s="5" t="e">
        <f>'Design Calculations'!J191</f>
        <v>#N/A</v>
      </c>
      <c r="J101" s="5" t="e">
        <f>'Design Calculations'!K191</f>
        <v>#N/A</v>
      </c>
      <c r="K101" s="5" t="e">
        <f>'Design Calculations'!L191</f>
        <v>#N/A</v>
      </c>
      <c r="L101" s="5"/>
      <c r="M101" s="5">
        <f>0.000001*('Design Worksheet_BAT'!B$88)*(B102-B101)/(0.5*(E101+E102))+M100</f>
        <v>5.8968740230937217E-5</v>
      </c>
      <c r="N101" s="5">
        <f t="shared" si="1"/>
        <v>6.23</v>
      </c>
    </row>
    <row r="102" spans="1:14" x14ac:dyDescent="0.3">
      <c r="A102" s="5">
        <f>'Design Calculations'!B190</f>
        <v>0.45</v>
      </c>
      <c r="B102" s="5">
        <f>'Design Calculations'!C190</f>
        <v>6.3</v>
      </c>
      <c r="C102" s="5">
        <f>'Design Calculations'!D190</f>
        <v>0.31325966850828729</v>
      </c>
      <c r="D102" s="5">
        <f>'Design Calculations'!E190</f>
        <v>15.662983425414364</v>
      </c>
      <c r="E102" s="5">
        <f>'Design Calculations'!F190</f>
        <v>15.662983425414364</v>
      </c>
      <c r="F102" s="5">
        <f>'Design Calculations'!G190</f>
        <v>142.53314917127074</v>
      </c>
      <c r="G102" s="5">
        <f>'Design Calculations'!H190</f>
        <v>0.55000000000001403</v>
      </c>
      <c r="H102" s="5">
        <f>'Design Calculations'!I190</f>
        <v>7.7000000000001965</v>
      </c>
      <c r="I102" s="5" t="e">
        <f>'Design Calculations'!J190</f>
        <v>#N/A</v>
      </c>
      <c r="J102" s="5" t="e">
        <f>'Design Calculations'!K190</f>
        <v>#N/A</v>
      </c>
      <c r="K102" s="5" t="e">
        <f>'Design Calculations'!L190</f>
        <v>#N/A</v>
      </c>
      <c r="L102" s="5"/>
      <c r="M102" s="5">
        <f>0.000001*('Design Worksheet_BAT'!B$88)*(B103-B102)/(0.5*(E102+E103))+M101</f>
        <v>5.9413184675381665E-5</v>
      </c>
      <c r="N102" s="5">
        <f t="shared" si="1"/>
        <v>6.3</v>
      </c>
    </row>
    <row r="103" spans="1:14" x14ac:dyDescent="0.3">
      <c r="A103" s="5">
        <f>'Design Calculations'!B189</f>
        <v>0.45500000000000002</v>
      </c>
      <c r="B103" s="5">
        <f>'Design Calculations'!C189</f>
        <v>6.37</v>
      </c>
      <c r="C103" s="5">
        <f>'Design Calculations'!D189</f>
        <v>0.31674033149171271</v>
      </c>
      <c r="D103" s="5">
        <f>'Design Calculations'!E189</f>
        <v>15.837016574585636</v>
      </c>
      <c r="E103" s="5">
        <f>'Design Calculations'!F189</f>
        <v>15.837016574585636</v>
      </c>
      <c r="F103" s="5">
        <f>'Design Calculations'!G189</f>
        <v>143.00825966850832</v>
      </c>
      <c r="G103" s="5">
        <f>'Design Calculations'!H189</f>
        <v>0.55500000000001404</v>
      </c>
      <c r="H103" s="5">
        <f>'Design Calculations'!I189</f>
        <v>7.7700000000001967</v>
      </c>
      <c r="I103" s="5" t="e">
        <f>'Design Calculations'!J189</f>
        <v>#N/A</v>
      </c>
      <c r="J103" s="5" t="e">
        <f>'Design Calculations'!K189</f>
        <v>#N/A</v>
      </c>
      <c r="K103" s="5" t="e">
        <f>'Design Calculations'!L189</f>
        <v>#N/A</v>
      </c>
      <c r="L103" s="5"/>
      <c r="M103" s="5">
        <f>0.000001*('Design Worksheet_BAT'!B$88)*(B104-B103)/(0.5*(E103+E104))+M102</f>
        <v>5.9852771803493385E-5</v>
      </c>
      <c r="N103" s="5">
        <f t="shared" si="1"/>
        <v>6.37</v>
      </c>
    </row>
    <row r="104" spans="1:14" x14ac:dyDescent="0.3">
      <c r="A104" s="5">
        <f>'Design Calculations'!B188</f>
        <v>0.46</v>
      </c>
      <c r="B104" s="5">
        <f>'Design Calculations'!C188</f>
        <v>6.44</v>
      </c>
      <c r="C104" s="5">
        <f>'Design Calculations'!D188</f>
        <v>0.32022099447513813</v>
      </c>
      <c r="D104" s="5">
        <f>'Design Calculations'!E188</f>
        <v>16.011049723756905</v>
      </c>
      <c r="E104" s="5">
        <f>'Design Calculations'!F188</f>
        <v>16.011049723756905</v>
      </c>
      <c r="F104" s="5">
        <f>'Design Calculations'!G188</f>
        <v>143.45900552486188</v>
      </c>
      <c r="G104" s="5">
        <f>'Design Calculations'!H188</f>
        <v>0.56000000000001404</v>
      </c>
      <c r="H104" s="5">
        <f>'Design Calculations'!I188</f>
        <v>7.840000000000197</v>
      </c>
      <c r="I104" s="5" t="e">
        <f>'Design Calculations'!J188</f>
        <v>#N/A</v>
      </c>
      <c r="J104" s="5" t="e">
        <f>'Design Calculations'!K188</f>
        <v>#N/A</v>
      </c>
      <c r="K104" s="5" t="e">
        <f>'Design Calculations'!L188</f>
        <v>#N/A</v>
      </c>
      <c r="L104" s="5"/>
      <c r="M104" s="5">
        <f>0.000001*('Design Worksheet_BAT'!B$88)*(B105-B104)/(0.5*(E104+E105))+M103</f>
        <v>6.0287606638328222E-5</v>
      </c>
      <c r="N104" s="5">
        <f t="shared" si="1"/>
        <v>6.44</v>
      </c>
    </row>
    <row r="105" spans="1:14" x14ac:dyDescent="0.3">
      <c r="A105" s="5">
        <f>'Design Calculations'!B187</f>
        <v>0.46500000000000002</v>
      </c>
      <c r="B105" s="5">
        <f>'Design Calculations'!C187</f>
        <v>6.5100000000000007</v>
      </c>
      <c r="C105" s="5">
        <f>'Design Calculations'!D187</f>
        <v>0.32370165745856361</v>
      </c>
      <c r="D105" s="5">
        <f>'Design Calculations'!E187</f>
        <v>16.185082872928181</v>
      </c>
      <c r="E105" s="5">
        <f>'Design Calculations'!F187</f>
        <v>16.185082872928181</v>
      </c>
      <c r="F105" s="5">
        <f>'Design Calculations'!G187</f>
        <v>143.88538674033154</v>
      </c>
      <c r="G105" s="5">
        <f>'Design Calculations'!H187</f>
        <v>0.56500000000001405</v>
      </c>
      <c r="H105" s="5">
        <f>'Design Calculations'!I187</f>
        <v>7.9100000000001964</v>
      </c>
      <c r="I105" s="5" t="e">
        <f>'Design Calculations'!J187</f>
        <v>#N/A</v>
      </c>
      <c r="J105" s="5" t="e">
        <f>'Design Calculations'!K187</f>
        <v>#N/A</v>
      </c>
      <c r="K105" s="5" t="e">
        <f>'Design Calculations'!L187</f>
        <v>#N/A</v>
      </c>
      <c r="L105" s="5"/>
      <c r="M105" s="5">
        <f>0.000001*('Design Worksheet_BAT'!B$88)*(B106-B105)/(0.5*(E105+E106))+M104</f>
        <v>6.0717790833218297E-5</v>
      </c>
      <c r="N105" s="5">
        <f t="shared" si="1"/>
        <v>6.5100000000000007</v>
      </c>
    </row>
    <row r="106" spans="1:14" x14ac:dyDescent="0.3">
      <c r="A106" s="5">
        <f>'Design Calculations'!B186</f>
        <v>0.47</v>
      </c>
      <c r="B106" s="5">
        <f>'Design Calculations'!C186</f>
        <v>6.58</v>
      </c>
      <c r="C106" s="5">
        <f>'Design Calculations'!D186</f>
        <v>0.32718232044198897</v>
      </c>
      <c r="D106" s="5">
        <f>'Design Calculations'!E186</f>
        <v>16.359116022099446</v>
      </c>
      <c r="E106" s="5">
        <f>'Design Calculations'!F186</f>
        <v>16.359116022099446</v>
      </c>
      <c r="F106" s="5">
        <f>'Design Calculations'!G186</f>
        <v>144.28740331491716</v>
      </c>
      <c r="G106" s="5">
        <f>'Design Calculations'!H186</f>
        <v>0.57000000000001305</v>
      </c>
      <c r="H106" s="5">
        <f>'Design Calculations'!I186</f>
        <v>7.9800000000001825</v>
      </c>
      <c r="I106" s="5" t="e">
        <f>'Design Calculations'!J186</f>
        <v>#N/A</v>
      </c>
      <c r="J106" s="5" t="e">
        <f>'Design Calculations'!K186</f>
        <v>#N/A</v>
      </c>
      <c r="K106" s="5" t="e">
        <f>'Design Calculations'!L186</f>
        <v>#N/A</v>
      </c>
      <c r="L106" s="5"/>
      <c r="M106" s="5">
        <f>0.000001*('Design Worksheet_BAT'!B$88)*(B107-B106)/(0.5*(E106+E107))+M105</f>
        <v>6.1143422814405836E-5</v>
      </c>
      <c r="N106" s="5">
        <f t="shared" si="1"/>
        <v>6.58</v>
      </c>
    </row>
    <row r="107" spans="1:14" x14ac:dyDescent="0.3">
      <c r="A107" s="5">
        <f>'Design Calculations'!B185</f>
        <v>0.47499999999999998</v>
      </c>
      <c r="B107" s="5">
        <f>'Design Calculations'!C185</f>
        <v>6.6499999999999995</v>
      </c>
      <c r="C107" s="5">
        <f>'Design Calculations'!D185</f>
        <v>0.33066298342541434</v>
      </c>
      <c r="D107" s="5">
        <f>'Design Calculations'!E185</f>
        <v>16.533149171270715</v>
      </c>
      <c r="E107" s="5">
        <f>'Design Calculations'!F185</f>
        <v>16.533149171270715</v>
      </c>
      <c r="F107" s="5">
        <f>'Design Calculations'!G185</f>
        <v>144.66505524861881</v>
      </c>
      <c r="G107" s="5">
        <f>'Design Calculations'!H185</f>
        <v>0.57500000000001295</v>
      </c>
      <c r="H107" s="5">
        <f>'Design Calculations'!I185</f>
        <v>8.0500000000001819</v>
      </c>
      <c r="I107" s="5" t="e">
        <f>'Design Calculations'!J185</f>
        <v>#N/A</v>
      </c>
      <c r="J107" s="5" t="e">
        <f>'Design Calculations'!K185</f>
        <v>#N/A</v>
      </c>
      <c r="K107" s="5" t="e">
        <f>'Design Calculations'!L185</f>
        <v>#N/A</v>
      </c>
      <c r="L107" s="5"/>
      <c r="M107" s="5">
        <f>0.000001*('Design Worksheet_BAT'!B$88)*(B108-B107)/(0.5*(E107+E108))+M106</f>
        <v>6.1564597916209215E-5</v>
      </c>
      <c r="N107" s="5">
        <f t="shared" si="1"/>
        <v>6.6499999999999995</v>
      </c>
    </row>
    <row r="108" spans="1:14" x14ac:dyDescent="0.3">
      <c r="A108" s="5">
        <f>'Design Calculations'!B184</f>
        <v>0.48</v>
      </c>
      <c r="B108" s="5">
        <f>'Design Calculations'!C184</f>
        <v>6.72</v>
      </c>
      <c r="C108" s="5">
        <f>'Design Calculations'!D184</f>
        <v>0.33414364640883976</v>
      </c>
      <c r="D108" s="5">
        <f>'Design Calculations'!E184</f>
        <v>16.707182320441991</v>
      </c>
      <c r="E108" s="5">
        <f>'Design Calculations'!F184</f>
        <v>16.707182320441991</v>
      </c>
      <c r="F108" s="5">
        <f>'Design Calculations'!G184</f>
        <v>145.01834254143654</v>
      </c>
      <c r="G108" s="5">
        <f>'Design Calculations'!H184</f>
        <v>0.58000000000001295</v>
      </c>
      <c r="H108" s="5">
        <f>'Design Calculations'!I184</f>
        <v>8.1200000000001822</v>
      </c>
      <c r="I108" s="5" t="e">
        <f>'Design Calculations'!J184</f>
        <v>#N/A</v>
      </c>
      <c r="J108" s="5" t="e">
        <f>'Design Calculations'!K184</f>
        <v>#N/A</v>
      </c>
      <c r="K108" s="5" t="e">
        <f>'Design Calculations'!L184</f>
        <v>#N/A</v>
      </c>
      <c r="L108" s="5"/>
      <c r="M108" s="5">
        <f>0.000001*('Design Worksheet_BAT'!B$88)*(B109-B108)/(0.5*(E108+E109))+M107</f>
        <v>6.1981408509185614E-5</v>
      </c>
      <c r="N108" s="5">
        <f t="shared" si="1"/>
        <v>6.72</v>
      </c>
    </row>
    <row r="109" spans="1:14" x14ac:dyDescent="0.3">
      <c r="A109" s="5">
        <f>'Design Calculations'!B183</f>
        <v>0.48499999999999999</v>
      </c>
      <c r="B109" s="5">
        <f>'Design Calculations'!C183</f>
        <v>6.79</v>
      </c>
      <c r="C109" s="5">
        <f>'Design Calculations'!D183</f>
        <v>0.33762430939226518</v>
      </c>
      <c r="D109" s="5">
        <f>'Design Calculations'!E183</f>
        <v>16.881215469613259</v>
      </c>
      <c r="E109" s="5">
        <f>'Design Calculations'!F183</f>
        <v>16.881215469613259</v>
      </c>
      <c r="F109" s="5">
        <f>'Design Calculations'!G183</f>
        <v>145.34726519337022</v>
      </c>
      <c r="G109" s="5">
        <f>'Design Calculations'!H183</f>
        <v>0.58500000000001295</v>
      </c>
      <c r="H109" s="5">
        <f>'Design Calculations'!I183</f>
        <v>8.1900000000001807</v>
      </c>
      <c r="I109" s="5" t="e">
        <f>'Design Calculations'!J183</f>
        <v>#N/A</v>
      </c>
      <c r="J109" s="5" t="e">
        <f>'Design Calculations'!K183</f>
        <v>#N/A</v>
      </c>
      <c r="K109" s="5" t="e">
        <f>'Design Calculations'!L183</f>
        <v>#N/A</v>
      </c>
      <c r="L109" s="5"/>
      <c r="M109" s="5">
        <f>0.000001*('Design Worksheet_BAT'!B$88)*(B110-B109)/(0.5*(E109+E110))+M108</f>
        <v>6.2393944121721229E-5</v>
      </c>
      <c r="N109" s="5">
        <f t="shared" si="1"/>
        <v>6.79</v>
      </c>
    </row>
    <row r="110" spans="1:14" x14ac:dyDescent="0.3">
      <c r="A110" s="5">
        <f>'Design Calculations'!B182</f>
        <v>0.49</v>
      </c>
      <c r="B110" s="5">
        <f>'Design Calculations'!C182</f>
        <v>6.8599999999999994</v>
      </c>
      <c r="C110" s="5">
        <f>'Design Calculations'!D182</f>
        <v>0.34110497237569054</v>
      </c>
      <c r="D110" s="5">
        <f>'Design Calculations'!E182</f>
        <v>17.055248618784528</v>
      </c>
      <c r="E110" s="5">
        <f>'Design Calculations'!F182</f>
        <v>17.055248618784528</v>
      </c>
      <c r="F110" s="5">
        <f>'Design Calculations'!G182</f>
        <v>145.65182320441991</v>
      </c>
      <c r="G110" s="5">
        <f>'Design Calculations'!H182</f>
        <v>0.59000000000001296</v>
      </c>
      <c r="H110" s="5">
        <f>'Design Calculations'!I182</f>
        <v>8.260000000000181</v>
      </c>
      <c r="I110" s="5" t="e">
        <f>'Design Calculations'!J182</f>
        <v>#N/A</v>
      </c>
      <c r="J110" s="5" t="e">
        <f>'Design Calculations'!K182</f>
        <v>#N/A</v>
      </c>
      <c r="K110" s="5" t="e">
        <f>'Design Calculations'!L182</f>
        <v>#N/A</v>
      </c>
      <c r="L110" s="5"/>
      <c r="M110" s="5">
        <f>0.000001*('Design Worksheet_BAT'!B$88)*(B111-B110)/(0.5*(E110+E111))+M109</f>
        <v>6.2802291555449379E-5</v>
      </c>
      <c r="N110" s="5">
        <f t="shared" si="1"/>
        <v>6.8599999999999994</v>
      </c>
    </row>
    <row r="111" spans="1:14" x14ac:dyDescent="0.3">
      <c r="A111" s="5">
        <f>'Design Calculations'!B181</f>
        <v>0.495</v>
      </c>
      <c r="B111" s="5">
        <f>'Design Calculations'!C181</f>
        <v>6.93</v>
      </c>
      <c r="C111" s="5">
        <f>'Design Calculations'!D181</f>
        <v>0.34458563535911602</v>
      </c>
      <c r="D111" s="5">
        <f>'Design Calculations'!E181</f>
        <v>17.229281767955801</v>
      </c>
      <c r="E111" s="5">
        <f>'Design Calculations'!F181</f>
        <v>17.229281767955801</v>
      </c>
      <c r="F111" s="5">
        <f>'Design Calculations'!G181</f>
        <v>145.93201657458567</v>
      </c>
      <c r="G111" s="5">
        <f>'Design Calculations'!H181</f>
        <v>0.59500000000001296</v>
      </c>
      <c r="H111" s="5">
        <f>'Design Calculations'!I181</f>
        <v>8.3300000000001813</v>
      </c>
      <c r="I111" s="5" t="e">
        <f>'Design Calculations'!J181</f>
        <v>#N/A</v>
      </c>
      <c r="J111" s="5" t="e">
        <f>'Design Calculations'!K181</f>
        <v>#N/A</v>
      </c>
      <c r="K111" s="5" t="e">
        <f>'Design Calculations'!L181</f>
        <v>#N/A</v>
      </c>
      <c r="L111" s="5"/>
      <c r="M111" s="5">
        <f>0.000001*('Design Worksheet_BAT'!B$88)*(B112-B111)/(0.5*(E111+E112))+M110</f>
        <v>6.3206534994868696E-5</v>
      </c>
      <c r="N111" s="5">
        <f t="shared" si="1"/>
        <v>6.93</v>
      </c>
    </row>
    <row r="112" spans="1:14" x14ac:dyDescent="0.3">
      <c r="A112" s="5">
        <f>'Design Calculations'!B180</f>
        <v>0.5</v>
      </c>
      <c r="B112" s="5">
        <f>'Design Calculations'!C180</f>
        <v>7</v>
      </c>
      <c r="C112" s="5">
        <f>'Design Calculations'!D180</f>
        <v>0.34806629834254144</v>
      </c>
      <c r="D112" s="5">
        <f>'Design Calculations'!E180</f>
        <v>17.403314917127073</v>
      </c>
      <c r="E112" s="5">
        <f>'Design Calculations'!F180</f>
        <v>17.403314917127073</v>
      </c>
      <c r="F112" s="5">
        <f>'Design Calculations'!G180</f>
        <v>146.18784530386745</v>
      </c>
      <c r="G112" s="5">
        <f>'Design Calculations'!H180</f>
        <v>0.60000000000001297</v>
      </c>
      <c r="H112" s="5">
        <f>'Design Calculations'!I180</f>
        <v>8.4000000000001815</v>
      </c>
      <c r="I112" s="5" t="e">
        <f>'Design Calculations'!J180</f>
        <v>#N/A</v>
      </c>
      <c r="J112" s="5" t="e">
        <f>'Design Calculations'!K180</f>
        <v>#N/A</v>
      </c>
      <c r="K112" s="5" t="e">
        <f>'Design Calculations'!L180</f>
        <v>#N/A</v>
      </c>
      <c r="L112" s="5"/>
      <c r="M112" s="5">
        <f>0.000001*('Design Worksheet_BAT'!B$88)*(B113-B112)/(0.5*(E112+E113))+M111</f>
        <v>6.3606756111507729E-5</v>
      </c>
      <c r="N112" s="5">
        <f t="shared" si="1"/>
        <v>7</v>
      </c>
    </row>
    <row r="113" spans="1:14" x14ac:dyDescent="0.3">
      <c r="A113" s="5">
        <f>'Design Calculations'!B179</f>
        <v>0.505</v>
      </c>
      <c r="B113" s="5">
        <f>'Design Calculations'!C179</f>
        <v>7.07</v>
      </c>
      <c r="C113" s="5">
        <f>'Design Calculations'!D179</f>
        <v>0.35154696132596686</v>
      </c>
      <c r="D113" s="5">
        <f>'Design Calculations'!E179</f>
        <v>17.577348066298342</v>
      </c>
      <c r="E113" s="5">
        <f>'Design Calculations'!F179</f>
        <v>17.577348066298342</v>
      </c>
      <c r="F113" s="5">
        <f>'Design Calculations'!G179</f>
        <v>146.41930939226521</v>
      </c>
      <c r="G113" s="5">
        <f>'Design Calculations'!H179</f>
        <v>0.60500000000001297</v>
      </c>
      <c r="H113" s="5">
        <f>'Design Calculations'!I179</f>
        <v>8.4700000000001818</v>
      </c>
      <c r="I113" s="5" t="e">
        <f>'Design Calculations'!J179</f>
        <v>#N/A</v>
      </c>
      <c r="J113" s="5" t="e">
        <f>'Design Calculations'!K179</f>
        <v>#N/A</v>
      </c>
      <c r="K113" s="5" t="e">
        <f>'Design Calculations'!L179</f>
        <v>#N/A</v>
      </c>
      <c r="L113" s="5"/>
      <c r="M113" s="5">
        <f>0.000001*('Design Worksheet_BAT'!B$88)*(B114-B113)/(0.5*(E113+E114))+M112</f>
        <v>6.4003034162958192E-5</v>
      </c>
      <c r="N113" s="5">
        <f t="shared" si="1"/>
        <v>7.07</v>
      </c>
    </row>
    <row r="114" spans="1:14" x14ac:dyDescent="0.3">
      <c r="A114" s="5">
        <f>'Design Calculations'!B178</f>
        <v>0.51</v>
      </c>
      <c r="B114" s="5">
        <f>'Design Calculations'!C178</f>
        <v>7.1400000000000006</v>
      </c>
      <c r="C114" s="5">
        <f>'Design Calculations'!D178</f>
        <v>0.35502762430939233</v>
      </c>
      <c r="D114" s="5">
        <f>'Design Calculations'!E178</f>
        <v>17.751381215469614</v>
      </c>
      <c r="E114" s="5">
        <f>'Design Calculations'!F178</f>
        <v>17.751381215469614</v>
      </c>
      <c r="F114" s="5">
        <f>'Design Calculations'!G178</f>
        <v>146.62640883977903</v>
      </c>
      <c r="G114" s="5">
        <f>'Design Calculations'!H178</f>
        <v>0.61000000000001298</v>
      </c>
      <c r="H114" s="5">
        <f>'Design Calculations'!I178</f>
        <v>8.5400000000001821</v>
      </c>
      <c r="I114" s="5" t="e">
        <f>'Design Calculations'!J178</f>
        <v>#N/A</v>
      </c>
      <c r="J114" s="5" t="e">
        <f>'Design Calculations'!K178</f>
        <v>#N/A</v>
      </c>
      <c r="K114" s="5" t="e">
        <f>'Design Calculations'!L178</f>
        <v>#N/A</v>
      </c>
      <c r="L114" s="5"/>
      <c r="M114" s="5">
        <f>0.000001*('Design Worksheet_BAT'!B$88)*(B115-B114)/(0.5*(E114+E115))+M113</f>
        <v>6.4395446087077429E-5</v>
      </c>
      <c r="N114" s="5">
        <f t="shared" si="1"/>
        <v>7.1400000000000006</v>
      </c>
    </row>
    <row r="115" spans="1:14" x14ac:dyDescent="0.3">
      <c r="A115" s="5">
        <f>'Design Calculations'!B177</f>
        <v>0.51500000000000001</v>
      </c>
      <c r="B115" s="5">
        <f>'Design Calculations'!C177</f>
        <v>7.21</v>
      </c>
      <c r="C115" s="5">
        <f>'Design Calculations'!D177</f>
        <v>0.3585082872928177</v>
      </c>
      <c r="D115" s="5">
        <f>'Design Calculations'!E177</f>
        <v>17.925414364640883</v>
      </c>
      <c r="E115" s="5">
        <f>'Design Calculations'!F177</f>
        <v>17.925414364640883</v>
      </c>
      <c r="F115" s="5">
        <f>'Design Calculations'!G177</f>
        <v>146.80914364640884</v>
      </c>
      <c r="G115" s="5">
        <f>'Design Calculations'!H177</f>
        <v>0.61500000000001198</v>
      </c>
      <c r="H115" s="5">
        <f>'Design Calculations'!I177</f>
        <v>8.6100000000001682</v>
      </c>
      <c r="I115" s="5" t="e">
        <f>'Design Calculations'!J177</f>
        <v>#N/A</v>
      </c>
      <c r="J115" s="5" t="e">
        <f>'Design Calculations'!K177</f>
        <v>#N/A</v>
      </c>
      <c r="K115" s="5" t="e">
        <f>'Design Calculations'!L177</f>
        <v>#N/A</v>
      </c>
      <c r="L115" s="5"/>
      <c r="M115" s="5">
        <f>0.000001*('Design Worksheet_BAT'!B$88)*(B116-B115)/(0.5*(E115+E116))+M114</f>
        <v>6.4784066591639966E-5</v>
      </c>
      <c r="N115" s="5">
        <f t="shared" si="1"/>
        <v>7.21</v>
      </c>
    </row>
    <row r="116" spans="1:14" x14ac:dyDescent="0.3">
      <c r="A116" s="5">
        <f>'Design Calculations'!B176</f>
        <v>0.52</v>
      </c>
      <c r="B116" s="5">
        <f>'Design Calculations'!C176</f>
        <v>7.28</v>
      </c>
      <c r="C116" s="5">
        <f>'Design Calculations'!D176</f>
        <v>0.36198895027624312</v>
      </c>
      <c r="D116" s="5">
        <f>'Design Calculations'!E176</f>
        <v>18.099447513812155</v>
      </c>
      <c r="E116" s="5">
        <f>'Design Calculations'!F176</f>
        <v>18.099447513812155</v>
      </c>
      <c r="F116" s="5">
        <f>'Design Calculations'!G176</f>
        <v>146.96751381215472</v>
      </c>
      <c r="G116" s="5">
        <f>'Design Calculations'!H176</f>
        <v>0.62000000000001199</v>
      </c>
      <c r="H116" s="5">
        <f>'Design Calculations'!I176</f>
        <v>8.6800000000001685</v>
      </c>
      <c r="I116" s="5" t="e">
        <f>'Design Calculations'!J176</f>
        <v>#N/A</v>
      </c>
      <c r="J116" s="5" t="e">
        <f>'Design Calculations'!K176</f>
        <v>#N/A</v>
      </c>
      <c r="K116" s="5" t="e">
        <f>'Design Calculations'!L176</f>
        <v>#N/A</v>
      </c>
      <c r="L116" s="5"/>
      <c r="M116" s="5">
        <f>0.000001*('Design Worksheet_BAT'!B$88)*(B117-B116)/(0.5*(E116+E117))+M115</f>
        <v>6.5168968239699514E-5</v>
      </c>
      <c r="N116" s="5">
        <f t="shared" si="1"/>
        <v>7.28</v>
      </c>
    </row>
    <row r="117" spans="1:14" x14ac:dyDescent="0.3">
      <c r="A117" s="5">
        <f>'Design Calculations'!B175</f>
        <v>0.52500000000000002</v>
      </c>
      <c r="B117" s="5">
        <f>'Design Calculations'!C175</f>
        <v>7.3500000000000005</v>
      </c>
      <c r="C117" s="5">
        <f>'Design Calculations'!D175</f>
        <v>0.36546961325966854</v>
      </c>
      <c r="D117" s="5">
        <f>'Design Calculations'!E175</f>
        <v>18.273480662983427</v>
      </c>
      <c r="E117" s="5">
        <f>'Design Calculations'!F175</f>
        <v>18.273480662983427</v>
      </c>
      <c r="F117" s="5">
        <f>'Design Calculations'!G175</f>
        <v>147.10151933701661</v>
      </c>
      <c r="G117" s="5">
        <f>'Design Calculations'!H175</f>
        <v>0.62500000000001199</v>
      </c>
      <c r="H117" s="5">
        <f>'Design Calculations'!I175</f>
        <v>8.750000000000167</v>
      </c>
      <c r="I117" s="5" t="e">
        <f>'Design Calculations'!J175</f>
        <v>#N/A</v>
      </c>
      <c r="J117" s="5" t="e">
        <f>'Design Calculations'!K175</f>
        <v>#N/A</v>
      </c>
      <c r="K117" s="5" t="e">
        <f>'Design Calculations'!L175</f>
        <v>#N/A</v>
      </c>
      <c r="L117" s="5"/>
      <c r="M117" s="5">
        <f>0.000001*('Design Worksheet_BAT'!B$88)*(B118-B117)/(0.5*(E117+E118))+M116</f>
        <v>6.5550221530905403E-5</v>
      </c>
      <c r="N117" s="5">
        <f t="shared" si="1"/>
        <v>7.3500000000000005</v>
      </c>
    </row>
    <row r="118" spans="1:14" x14ac:dyDescent="0.3">
      <c r="A118" s="5">
        <f>'Design Calculations'!B174</f>
        <v>0.53</v>
      </c>
      <c r="B118" s="5">
        <f>'Design Calculations'!C174</f>
        <v>7.42</v>
      </c>
      <c r="C118" s="5">
        <f>'Design Calculations'!D174</f>
        <v>0.3689502762430939</v>
      </c>
      <c r="D118" s="5">
        <f>'Design Calculations'!E174</f>
        <v>18.447513812154696</v>
      </c>
      <c r="E118" s="5">
        <f>'Design Calculations'!F174</f>
        <v>18.447513812154696</v>
      </c>
      <c r="F118" s="5">
        <f>'Design Calculations'!G174</f>
        <v>147.21116022099451</v>
      </c>
      <c r="G118" s="5">
        <f>'Design Calculations'!H174</f>
        <v>0.63000000000001199</v>
      </c>
      <c r="H118" s="5">
        <f>'Design Calculations'!I174</f>
        <v>8.8200000000001673</v>
      </c>
      <c r="I118" s="5" t="e">
        <f>'Design Calculations'!J174</f>
        <v>#N/A</v>
      </c>
      <c r="J118" s="5" t="e">
        <f>'Design Calculations'!K174</f>
        <v>#N/A</v>
      </c>
      <c r="K118" s="5" t="e">
        <f>'Design Calculations'!L174</f>
        <v>#N/A</v>
      </c>
      <c r="L118" s="5"/>
      <c r="M118" s="5">
        <f>0.000001*('Design Worksheet_BAT'!B$88)*(B119-B118)/(0.5*(E118+E119))+M117</f>
        <v>6.5927894979001385E-5</v>
      </c>
      <c r="N118" s="5">
        <f t="shared" si="1"/>
        <v>7.42</v>
      </c>
    </row>
    <row r="119" spans="1:14" x14ac:dyDescent="0.3">
      <c r="A119" s="5">
        <f>'Design Calculations'!B173</f>
        <v>0.53500000000000003</v>
      </c>
      <c r="B119" s="5">
        <f>'Design Calculations'!C173</f>
        <v>7.49</v>
      </c>
      <c r="C119" s="5">
        <f>'Design Calculations'!D173</f>
        <v>0.37243093922651932</v>
      </c>
      <c r="D119" s="5">
        <f>'Design Calculations'!E173</f>
        <v>18.621546961325969</v>
      </c>
      <c r="E119" s="5">
        <f>'Design Calculations'!F173</f>
        <v>18.621546961325969</v>
      </c>
      <c r="F119" s="5">
        <f>'Design Calculations'!G173</f>
        <v>147.29643646408846</v>
      </c>
      <c r="G119" s="5">
        <f>'Design Calculations'!H173</f>
        <v>0.635000000000012</v>
      </c>
      <c r="H119" s="5">
        <f>'Design Calculations'!I173</f>
        <v>8.8900000000001675</v>
      </c>
      <c r="I119" s="5" t="e">
        <f>'Design Calculations'!J173</f>
        <v>#N/A</v>
      </c>
      <c r="J119" s="5" t="e">
        <f>'Design Calculations'!K173</f>
        <v>#N/A</v>
      </c>
      <c r="K119" s="5" t="e">
        <f>'Design Calculations'!L173</f>
        <v>#N/A</v>
      </c>
      <c r="L119" s="5"/>
      <c r="M119" s="5">
        <f>0.000001*('Design Worksheet_BAT'!B$88)*(B120-B119)/(0.5*(E119+E120))+M118</f>
        <v>6.6302055185719726E-5</v>
      </c>
      <c r="N119" s="5">
        <f t="shared" si="1"/>
        <v>7.49</v>
      </c>
    </row>
    <row r="120" spans="1:14" x14ac:dyDescent="0.3">
      <c r="A120" s="5">
        <f>'Design Calculations'!B172</f>
        <v>0.54</v>
      </c>
      <c r="B120" s="5">
        <f>'Design Calculations'!C172</f>
        <v>7.5600000000000005</v>
      </c>
      <c r="C120" s="5">
        <f>'Design Calculations'!D172</f>
        <v>0.3759116022099448</v>
      </c>
      <c r="D120" s="5">
        <f>'Design Calculations'!E172</f>
        <v>18.795580110497241</v>
      </c>
      <c r="E120" s="5">
        <f>'Design Calculations'!F172</f>
        <v>18.795580110497241</v>
      </c>
      <c r="F120" s="5">
        <f>'Design Calculations'!G172</f>
        <v>147.35734806629839</v>
      </c>
      <c r="G120" s="5">
        <f>'Design Calculations'!H172</f>
        <v>0.640000000000012</v>
      </c>
      <c r="H120" s="5">
        <f>'Design Calculations'!I172</f>
        <v>8.9600000000001678</v>
      </c>
      <c r="I120" s="5" t="e">
        <f>'Design Calculations'!J172</f>
        <v>#N/A</v>
      </c>
      <c r="J120" s="5" t="e">
        <f>'Design Calculations'!K172</f>
        <v>#N/A</v>
      </c>
      <c r="K120" s="5" t="e">
        <f>'Design Calculations'!L172</f>
        <v>#N/A</v>
      </c>
      <c r="L120" s="5"/>
      <c r="M120" s="5">
        <f>0.000001*('Design Worksheet_BAT'!B$88)*(B121-B120)/(0.5*(E120+E121))+M119</f>
        <v>6.6672766911270168E-5</v>
      </c>
      <c r="N120" s="5">
        <f t="shared" si="1"/>
        <v>7.5600000000000005</v>
      </c>
    </row>
    <row r="121" spans="1:14" x14ac:dyDescent="0.3">
      <c r="A121" s="5">
        <f>'Design Calculations'!B171</f>
        <v>0.54500000000000004</v>
      </c>
      <c r="B121" s="5">
        <f>'Design Calculations'!C171</f>
        <v>7.6300000000000008</v>
      </c>
      <c r="C121" s="5">
        <f>'Design Calculations'!D171</f>
        <v>0.37939226519337022</v>
      </c>
      <c r="D121" s="5">
        <f>'Design Calculations'!E171</f>
        <v>18.96961325966851</v>
      </c>
      <c r="E121" s="5">
        <f>'Design Calculations'!F171</f>
        <v>18.96961325966851</v>
      </c>
      <c r="F121" s="5">
        <f>'Design Calculations'!G171</f>
        <v>147.39389502762435</v>
      </c>
      <c r="G121" s="5">
        <f>'Design Calculations'!H171</f>
        <v>0.64500000000001201</v>
      </c>
      <c r="H121" s="5">
        <f>'Design Calculations'!I171</f>
        <v>9.0300000000001681</v>
      </c>
      <c r="I121" s="5" t="e">
        <f>'Design Calculations'!J171</f>
        <v>#N/A</v>
      </c>
      <c r="J121" s="5" t="e">
        <f>'Design Calculations'!K171</f>
        <v>#N/A</v>
      </c>
      <c r="K121" s="5" t="e">
        <f>'Design Calculations'!L171</f>
        <v>#N/A</v>
      </c>
      <c r="L121" s="5"/>
      <c r="M121" s="5">
        <f>0.000001*('Design Worksheet_BAT'!B$88)*(B122-B121)/(0.5*(E121+E122))+M120</f>
        <v>6.7040093141610102E-5</v>
      </c>
      <c r="N121" s="5">
        <f t="shared" si="1"/>
        <v>7.6300000000000008</v>
      </c>
    </row>
    <row r="122" spans="1:14" x14ac:dyDescent="0.3">
      <c r="A122" s="5">
        <f>'Design Calculations'!B170</f>
        <v>0.55000000000000004</v>
      </c>
      <c r="B122" s="5">
        <f>'Design Calculations'!C170</f>
        <v>7.7000000000000011</v>
      </c>
      <c r="C122" s="5">
        <f>'Design Calculations'!D170</f>
        <v>0.38287292817679563</v>
      </c>
      <c r="D122" s="5">
        <f>'Design Calculations'!E170</f>
        <v>19.143646408839782</v>
      </c>
      <c r="E122" s="5">
        <f>'Design Calculations'!F170</f>
        <v>19.143646408839782</v>
      </c>
      <c r="F122" s="5">
        <f>'Design Calculations'!G170</f>
        <v>147.40607734806633</v>
      </c>
      <c r="G122" s="5">
        <f>'Design Calculations'!H170</f>
        <v>0.65000000000001201</v>
      </c>
      <c r="H122" s="5">
        <f>'Design Calculations'!I170</f>
        <v>9.1000000000001684</v>
      </c>
      <c r="I122" s="5" t="e">
        <f>'Design Calculations'!J170</f>
        <v>#N/A</v>
      </c>
      <c r="J122" s="5" t="e">
        <f>'Design Calculations'!K170</f>
        <v>#N/A</v>
      </c>
      <c r="K122" s="5" t="e">
        <f>'Design Calculations'!L170</f>
        <v>#N/A</v>
      </c>
      <c r="L122" s="5"/>
      <c r="M122" s="5">
        <f>0.000001*('Design Worksheet_BAT'!B$88)*(B123-B122)/(0.5*(E122+E123))+M121</f>
        <v>6.7404095152670933E-5</v>
      </c>
      <c r="N122" s="5">
        <f t="shared" si="1"/>
        <v>7.7000000000000011</v>
      </c>
    </row>
    <row r="123" spans="1:14" x14ac:dyDescent="0.3">
      <c r="A123" s="5">
        <f>'Design Calculations'!B169</f>
        <v>0.55500000000000005</v>
      </c>
      <c r="B123" s="5">
        <f>'Design Calculations'!C169</f>
        <v>7.7700000000000005</v>
      </c>
      <c r="C123" s="5">
        <f>'Design Calculations'!D169</f>
        <v>0.386353591160221</v>
      </c>
      <c r="D123" s="5">
        <f>'Design Calculations'!E169</f>
        <v>19.317679558011051</v>
      </c>
      <c r="E123" s="5">
        <f>'Design Calculations'!F169</f>
        <v>19.317679558011051</v>
      </c>
      <c r="F123" s="5">
        <f>'Design Calculations'!G169</f>
        <v>147.39389502762435</v>
      </c>
      <c r="G123" s="5">
        <f>'Design Calculations'!H169</f>
        <v>0.65500000000001202</v>
      </c>
      <c r="H123" s="5">
        <f>'Design Calculations'!I169</f>
        <v>9.1700000000001687</v>
      </c>
      <c r="I123" s="5" t="e">
        <f>'Design Calculations'!J169</f>
        <v>#N/A</v>
      </c>
      <c r="J123" s="5" t="e">
        <f>'Design Calculations'!K169</f>
        <v>#N/A</v>
      </c>
      <c r="K123" s="5" t="e">
        <f>'Design Calculations'!L169</f>
        <v>#N/A</v>
      </c>
      <c r="L123" s="5"/>
      <c r="M123" s="5">
        <f>0.000001*('Design Worksheet_BAT'!B$88)*(B124-B123)/(0.5*(E123+E124))+M122</f>
        <v>6.7764832571704311E-5</v>
      </c>
      <c r="N123" s="5">
        <f t="shared" si="1"/>
        <v>7.7700000000000005</v>
      </c>
    </row>
    <row r="124" spans="1:14" x14ac:dyDescent="0.3">
      <c r="A124" s="5">
        <f>'Design Calculations'!B168</f>
        <v>0.56000000000000005</v>
      </c>
      <c r="B124" s="5">
        <f>'Design Calculations'!C168</f>
        <v>7.8400000000000007</v>
      </c>
      <c r="C124" s="5">
        <f>'Design Calculations'!D168</f>
        <v>0.38983425414364647</v>
      </c>
      <c r="D124" s="5">
        <f>'Design Calculations'!E168</f>
        <v>19.491712707182323</v>
      </c>
      <c r="E124" s="5">
        <f>'Design Calculations'!F168</f>
        <v>19.491712707182323</v>
      </c>
      <c r="F124" s="5">
        <f>'Design Calculations'!G168</f>
        <v>147.35734806629839</v>
      </c>
      <c r="G124" s="5">
        <f>'Design Calculations'!H168</f>
        <v>0.66000000000001202</v>
      </c>
      <c r="H124" s="5">
        <f>'Design Calculations'!I168</f>
        <v>9.240000000000169</v>
      </c>
      <c r="I124" s="5" t="e">
        <f>'Design Calculations'!J168</f>
        <v>#N/A</v>
      </c>
      <c r="J124" s="5" t="e">
        <f>'Design Calculations'!K168</f>
        <v>#N/A</v>
      </c>
      <c r="K124" s="5" t="e">
        <f>'Design Calculations'!L168</f>
        <v>#N/A</v>
      </c>
      <c r="L124" s="5"/>
      <c r="M124" s="5">
        <f>0.000001*('Design Worksheet_BAT'!B$88)*(B125-B124)/(0.5*(E124+E125))+M123</f>
        <v>6.8122363435901839E-5</v>
      </c>
      <c r="N124" s="5">
        <f t="shared" si="1"/>
        <v>7.8400000000000007</v>
      </c>
    </row>
    <row r="125" spans="1:14" x14ac:dyDescent="0.3">
      <c r="A125" s="5">
        <f>'Design Calculations'!B167</f>
        <v>0.56499999999999995</v>
      </c>
      <c r="B125" s="5">
        <f>'Design Calculations'!C167</f>
        <v>7.9099999999999993</v>
      </c>
      <c r="C125" s="5">
        <f>'Design Calculations'!D167</f>
        <v>0.39331491712707178</v>
      </c>
      <c r="D125" s="5">
        <f>'Design Calculations'!E167</f>
        <v>19.665745856353588</v>
      </c>
      <c r="E125" s="5">
        <f>'Design Calculations'!F167</f>
        <v>19.665745856353588</v>
      </c>
      <c r="F125" s="5">
        <f>'Design Calculations'!G167</f>
        <v>147.29643646408843</v>
      </c>
      <c r="G125" s="5">
        <f>'Design Calculations'!H167</f>
        <v>0.66500000000001103</v>
      </c>
      <c r="H125" s="5">
        <f>'Design Calculations'!I167</f>
        <v>9.310000000000155</v>
      </c>
      <c r="I125" s="5" t="e">
        <f>'Design Calculations'!J167</f>
        <v>#N/A</v>
      </c>
      <c r="J125" s="5" t="e">
        <f>'Design Calculations'!K167</f>
        <v>#N/A</v>
      </c>
      <c r="K125" s="5" t="e">
        <f>'Design Calculations'!L167</f>
        <v>#N/A</v>
      </c>
      <c r="L125" s="5"/>
      <c r="M125" s="5">
        <f>0.000001*('Design Worksheet_BAT'!B$88)*(B126-B125)/(0.5*(E125+E126))+M124</f>
        <v>6.8476744248432427E-5</v>
      </c>
      <c r="N125" s="5">
        <f t="shared" si="1"/>
        <v>7.9099999999999993</v>
      </c>
    </row>
    <row r="126" spans="1:14" x14ac:dyDescent="0.3">
      <c r="A126" s="5">
        <f>'Design Calculations'!B166</f>
        <v>0.56999999999999995</v>
      </c>
      <c r="B126" s="5">
        <f>'Design Calculations'!C166</f>
        <v>7.9799999999999995</v>
      </c>
      <c r="C126" s="5">
        <f>'Design Calculations'!D166</f>
        <v>0.39679558011049726</v>
      </c>
      <c r="D126" s="5">
        <f>'Design Calculations'!E166</f>
        <v>19.839779005524861</v>
      </c>
      <c r="E126" s="5">
        <f>'Design Calculations'!F166</f>
        <v>19.839779005524861</v>
      </c>
      <c r="F126" s="5">
        <f>'Design Calculations'!G166</f>
        <v>147.21116022099451</v>
      </c>
      <c r="G126" s="5">
        <f>'Design Calculations'!H166</f>
        <v>0.67000000000001103</v>
      </c>
      <c r="H126" s="5">
        <f>'Design Calculations'!I166</f>
        <v>9.3800000000001553</v>
      </c>
      <c r="I126" s="5" t="e">
        <f>'Design Calculations'!J166</f>
        <v>#N/A</v>
      </c>
      <c r="J126" s="5" t="e">
        <f>'Design Calculations'!K166</f>
        <v>#N/A</v>
      </c>
      <c r="K126" s="5" t="e">
        <f>'Design Calculations'!L166</f>
        <v>#N/A</v>
      </c>
      <c r="L126" s="5"/>
      <c r="M126" s="5">
        <f>0.000001*('Design Worksheet_BAT'!B$88)*(B127-B126)/(0.5*(E126+E127))+M125</f>
        <v>6.8828030032032619E-5</v>
      </c>
      <c r="N126" s="5">
        <f t="shared" si="1"/>
        <v>7.9799999999999995</v>
      </c>
    </row>
    <row r="127" spans="1:14" x14ac:dyDescent="0.3">
      <c r="A127" s="5">
        <f>'Design Calculations'!B165</f>
        <v>0.57499999999999996</v>
      </c>
      <c r="B127" s="5">
        <f>'Design Calculations'!C165</f>
        <v>8.0499999999999989</v>
      </c>
      <c r="C127" s="5">
        <f>'Design Calculations'!D165</f>
        <v>0.40027624309392262</v>
      </c>
      <c r="D127" s="5">
        <f>'Design Calculations'!E165</f>
        <v>20.013812154696129</v>
      </c>
      <c r="E127" s="5">
        <f>'Design Calculations'!F165</f>
        <v>20.013812154696129</v>
      </c>
      <c r="F127" s="5">
        <f>'Design Calculations'!G165</f>
        <v>147.10151933701661</v>
      </c>
      <c r="G127" s="5">
        <f>'Design Calculations'!H165</f>
        <v>0.67500000000001104</v>
      </c>
      <c r="H127" s="5">
        <f>'Design Calculations'!I165</f>
        <v>9.4500000000001538</v>
      </c>
      <c r="I127" s="5" t="e">
        <f>'Design Calculations'!J165</f>
        <v>#N/A</v>
      </c>
      <c r="J127" s="5" t="e">
        <f>'Design Calculations'!K165</f>
        <v>#N/A</v>
      </c>
      <c r="K127" s="5" t="e">
        <f>'Design Calculations'!L165</f>
        <v>#N/A</v>
      </c>
      <c r="L127" s="5"/>
      <c r="M127" s="5">
        <f>0.000001*('Design Worksheet_BAT'!B$88)*(B128-B127)/(0.5*(E127+E128))+M126</f>
        <v>6.9176274380276966E-5</v>
      </c>
      <c r="N127" s="5">
        <f t="shared" si="1"/>
        <v>8.0499999999999989</v>
      </c>
    </row>
    <row r="128" spans="1:14" x14ac:dyDescent="0.3">
      <c r="A128" s="5">
        <f>'Design Calculations'!B164</f>
        <v>0.57999999999999996</v>
      </c>
      <c r="B128" s="5">
        <f>'Design Calculations'!C164</f>
        <v>8.1199999999999992</v>
      </c>
      <c r="C128" s="5">
        <f>'Design Calculations'!D164</f>
        <v>0.40375690607734804</v>
      </c>
      <c r="D128" s="5">
        <f>'Design Calculations'!E164</f>
        <v>20.187845303867402</v>
      </c>
      <c r="E128" s="5">
        <f>'Design Calculations'!F164</f>
        <v>20.187845303867402</v>
      </c>
      <c r="F128" s="5">
        <f>'Design Calculations'!G164</f>
        <v>146.96751381215475</v>
      </c>
      <c r="G128" s="5">
        <f>'Design Calculations'!H164</f>
        <v>0.68000000000001104</v>
      </c>
      <c r="H128" s="5">
        <f>'Design Calculations'!I164</f>
        <v>9.5200000000001541</v>
      </c>
      <c r="I128" s="5" t="e">
        <f>'Design Calculations'!J164</f>
        <v>#N/A</v>
      </c>
      <c r="J128" s="5" t="e">
        <f>'Design Calculations'!K164</f>
        <v>#N/A</v>
      </c>
      <c r="K128" s="5" t="e">
        <f>'Design Calculations'!L164</f>
        <v>#N/A</v>
      </c>
      <c r="L128" s="5"/>
      <c r="M128" s="5">
        <f>0.000001*('Design Worksheet_BAT'!B$88)*(B129-B128)/(0.5*(E128+E129))+M127</f>
        <v>6.9521529506647974E-5</v>
      </c>
      <c r="N128" s="5">
        <f t="shared" si="1"/>
        <v>8.1199999999999992</v>
      </c>
    </row>
    <row r="129" spans="1:14" x14ac:dyDescent="0.3">
      <c r="A129" s="5">
        <f>'Design Calculations'!B163</f>
        <v>0.58499999999999996</v>
      </c>
      <c r="B129" s="5">
        <f>'Design Calculations'!C163</f>
        <v>8.19</v>
      </c>
      <c r="C129" s="5">
        <f>'Design Calculations'!D163</f>
        <v>0.40723756906077341</v>
      </c>
      <c r="D129" s="5">
        <f>'Design Calculations'!E163</f>
        <v>20.361878453038671</v>
      </c>
      <c r="E129" s="5">
        <f>'Design Calculations'!F163</f>
        <v>20.361878453038671</v>
      </c>
      <c r="F129" s="5">
        <f>'Design Calculations'!G163</f>
        <v>146.80914364640887</v>
      </c>
      <c r="G129" s="5">
        <f>'Design Calculations'!H163</f>
        <v>0.68500000000001104</v>
      </c>
      <c r="H129" s="5">
        <f>'Design Calculations'!I163</f>
        <v>9.5900000000001544</v>
      </c>
      <c r="I129" s="5" t="e">
        <f>'Design Calculations'!J163</f>
        <v>#N/A</v>
      </c>
      <c r="J129" s="5" t="e">
        <f>'Design Calculations'!K163</f>
        <v>#N/A</v>
      </c>
      <c r="K129" s="5" t="e">
        <f>'Design Calculations'!L163</f>
        <v>#N/A</v>
      </c>
      <c r="L129" s="5"/>
      <c r="M129" s="5">
        <f>0.000001*('Design Worksheet_BAT'!B$88)*(B130-B129)/(0.5*(E129+E130))+M128</f>
        <v>6.9863846291517948E-5</v>
      </c>
      <c r="N129" s="5">
        <f t="shared" si="1"/>
        <v>8.19</v>
      </c>
    </row>
    <row r="130" spans="1:14" x14ac:dyDescent="0.3">
      <c r="A130" s="5">
        <f>'Design Calculations'!B162</f>
        <v>0.59</v>
      </c>
      <c r="B130" s="5">
        <f>'Design Calculations'!C162</f>
        <v>8.26</v>
      </c>
      <c r="C130" s="5">
        <f>'Design Calculations'!D162</f>
        <v>0.41071823204419888</v>
      </c>
      <c r="D130" s="5">
        <f>'Design Calculations'!E162</f>
        <v>20.535911602209946</v>
      </c>
      <c r="E130" s="5">
        <f>'Design Calculations'!F162</f>
        <v>20.535911602209946</v>
      </c>
      <c r="F130" s="5">
        <f>'Design Calculations'!G162</f>
        <v>146.62640883977906</v>
      </c>
      <c r="G130" s="5">
        <f>'Design Calculations'!H162</f>
        <v>0.69000000000001105</v>
      </c>
      <c r="H130" s="5">
        <f>'Design Calculations'!I162</f>
        <v>9.6600000000001547</v>
      </c>
      <c r="I130" s="5" t="e">
        <f>'Design Calculations'!J162</f>
        <v>#N/A</v>
      </c>
      <c r="J130" s="5" t="e">
        <f>'Design Calculations'!K162</f>
        <v>#N/A</v>
      </c>
      <c r="K130" s="5" t="e">
        <f>'Design Calculations'!L162</f>
        <v>#N/A</v>
      </c>
      <c r="L130" s="5"/>
      <c r="M130" s="5">
        <f>0.000001*('Design Worksheet_BAT'!B$88)*(B131-B130)/(0.5*(E130+E131))+M129</f>
        <v>7.0203274327148513E-5</v>
      </c>
      <c r="N130" s="5">
        <f t="shared" si="1"/>
        <v>8.26</v>
      </c>
    </row>
    <row r="131" spans="1:14" x14ac:dyDescent="0.3">
      <c r="A131" s="5">
        <f>'Design Calculations'!B161</f>
        <v>0.59499999999999997</v>
      </c>
      <c r="B131" s="5">
        <f>'Design Calculations'!C161</f>
        <v>8.33</v>
      </c>
      <c r="C131" s="5">
        <f>'Design Calculations'!D161</f>
        <v>0.4141988950276243</v>
      </c>
      <c r="D131" s="5">
        <f>'Design Calculations'!E161</f>
        <v>20.709944751381215</v>
      </c>
      <c r="E131" s="5">
        <f>'Design Calculations'!F161</f>
        <v>20.709944751381215</v>
      </c>
      <c r="F131" s="5">
        <f>'Design Calculations'!G161</f>
        <v>146.41930939226523</v>
      </c>
      <c r="G131" s="5">
        <f>'Design Calculations'!H161</f>
        <v>0.69500000000001105</v>
      </c>
      <c r="H131" s="5">
        <f>'Design Calculations'!I161</f>
        <v>9.730000000000155</v>
      </c>
      <c r="I131" s="5" t="e">
        <f>'Design Calculations'!J161</f>
        <v>#N/A</v>
      </c>
      <c r="J131" s="5" t="e">
        <f>'Design Calculations'!K161</f>
        <v>#N/A</v>
      </c>
      <c r="K131" s="5" t="e">
        <f>'Design Calculations'!L161</f>
        <v>#N/A</v>
      </c>
      <c r="L131" s="5"/>
      <c r="M131" s="5">
        <f>0.000001*('Design Worksheet_BAT'!B$88)*(B132-B131)/(0.5*(E131+E132))+M130</f>
        <v>7.0539861960807279E-5</v>
      </c>
      <c r="N131" s="5">
        <f t="shared" si="1"/>
        <v>8.33</v>
      </c>
    </row>
    <row r="132" spans="1:14" x14ac:dyDescent="0.3">
      <c r="A132" s="5">
        <f>'Design Calculations'!B160</f>
        <v>0.6</v>
      </c>
      <c r="B132" s="5">
        <f>'Design Calculations'!C160</f>
        <v>8.4</v>
      </c>
      <c r="C132" s="5">
        <f>'Design Calculations'!D160</f>
        <v>0.41767955801104972</v>
      </c>
      <c r="D132" s="5">
        <f>'Design Calculations'!E160</f>
        <v>20.883977900552487</v>
      </c>
      <c r="E132" s="5">
        <f>'Design Calculations'!F160</f>
        <v>20.883977900552487</v>
      </c>
      <c r="F132" s="5">
        <f>'Design Calculations'!G160</f>
        <v>146.18784530386745</v>
      </c>
      <c r="G132" s="5">
        <f>'Design Calculations'!H160</f>
        <v>0.70000000000001095</v>
      </c>
      <c r="H132" s="5">
        <f>'Design Calculations'!I160</f>
        <v>9.8000000000001535</v>
      </c>
      <c r="I132" s="5" t="e">
        <f>'Design Calculations'!J160</f>
        <v>#N/A</v>
      </c>
      <c r="J132" s="5" t="e">
        <f>'Design Calculations'!K160</f>
        <v>#N/A</v>
      </c>
      <c r="K132" s="5" t="e">
        <f>'Design Calculations'!L160</f>
        <v>#N/A</v>
      </c>
      <c r="L132" s="5"/>
      <c r="M132" s="5">
        <f>0.000001*('Design Worksheet_BAT'!B$88)*(B133-B132)/(0.5*(E132+E133))+M131</f>
        <v>7.0873656336095428E-5</v>
      </c>
      <c r="N132" s="5">
        <f t="shared" si="1"/>
        <v>8.4</v>
      </c>
    </row>
    <row r="133" spans="1:14" x14ac:dyDescent="0.3">
      <c r="A133" s="5">
        <f>'Design Calculations'!B159</f>
        <v>0.60499999999999998</v>
      </c>
      <c r="B133" s="5">
        <f>'Design Calculations'!C159</f>
        <v>8.4699999999999989</v>
      </c>
      <c r="C133" s="5">
        <f>'Design Calculations'!D159</f>
        <v>0.42116022099447503</v>
      </c>
      <c r="D133" s="5">
        <f>'Design Calculations'!E159</f>
        <v>21.058011049723753</v>
      </c>
      <c r="E133" s="5">
        <f>'Design Calculations'!F159</f>
        <v>21.058011049723753</v>
      </c>
      <c r="F133" s="5">
        <f>'Design Calculations'!G159</f>
        <v>145.93201657458567</v>
      </c>
      <c r="G133" s="5">
        <f>'Design Calculations'!H159</f>
        <v>0.70500000000001095</v>
      </c>
      <c r="H133" s="5">
        <f>'Design Calculations'!I159</f>
        <v>9.8700000000001538</v>
      </c>
      <c r="I133" s="5" t="e">
        <f>'Design Calculations'!J159</f>
        <v>#N/A</v>
      </c>
      <c r="J133" s="5" t="e">
        <f>'Design Calculations'!K159</f>
        <v>#N/A</v>
      </c>
      <c r="K133" s="5" t="e">
        <f>'Design Calculations'!L159</f>
        <v>#N/A</v>
      </c>
      <c r="L133" s="5"/>
      <c r="M133" s="5">
        <f>0.000001*('Design Worksheet_BAT'!B$88)*(B134-B133)/(0.5*(E133+E134))+M132</f>
        <v>7.1204703432574618E-5</v>
      </c>
      <c r="N133" s="5">
        <f t="shared" si="1"/>
        <v>8.4699999999999989</v>
      </c>
    </row>
    <row r="134" spans="1:14" x14ac:dyDescent="0.3">
      <c r="A134" s="5">
        <f>'Design Calculations'!B158</f>
        <v>0.61</v>
      </c>
      <c r="B134" s="5">
        <f>'Design Calculations'!C158</f>
        <v>8.5399999999999991</v>
      </c>
      <c r="C134" s="5">
        <f>'Design Calculations'!D158</f>
        <v>0.42464088397790056</v>
      </c>
      <c r="D134" s="5">
        <f>'Design Calculations'!E158</f>
        <v>21.232044198895029</v>
      </c>
      <c r="E134" s="5">
        <f>'Design Calculations'!F158</f>
        <v>21.232044198895029</v>
      </c>
      <c r="F134" s="5">
        <f>'Design Calculations'!G158</f>
        <v>145.65182320441997</v>
      </c>
      <c r="G134" s="5">
        <f>'Design Calculations'!H158</f>
        <v>0.71000000000000996</v>
      </c>
      <c r="H134" s="5">
        <f>'Design Calculations'!I158</f>
        <v>9.9400000000001398</v>
      </c>
      <c r="I134" s="5" t="e">
        <f>'Design Calculations'!J158</f>
        <v>#N/A</v>
      </c>
      <c r="J134" s="5" t="e">
        <f>'Design Calculations'!K158</f>
        <v>#N/A</v>
      </c>
      <c r="K134" s="5" t="e">
        <f>'Design Calculations'!L158</f>
        <v>#N/A</v>
      </c>
      <c r="L134" s="5"/>
      <c r="M134" s="5">
        <f>0.000001*('Design Worksheet_BAT'!B$88)*(B135-B134)/(0.5*(E134+E135))+M133</f>
        <v>7.1533048103776436E-5</v>
      </c>
      <c r="N134" s="5">
        <f t="shared" si="1"/>
        <v>8.5399999999999991</v>
      </c>
    </row>
    <row r="135" spans="1:14" x14ac:dyDescent="0.3">
      <c r="A135" s="5">
        <f>'Design Calculations'!B157</f>
        <v>0.61499999999999999</v>
      </c>
      <c r="B135" s="5">
        <f>'Design Calculations'!C157</f>
        <v>8.61</v>
      </c>
      <c r="C135" s="5">
        <f>'Design Calculations'!D157</f>
        <v>0.42812154696132598</v>
      </c>
      <c r="D135" s="5">
        <f>'Design Calculations'!E157</f>
        <v>21.406077348066297</v>
      </c>
      <c r="E135" s="5">
        <f>'Design Calculations'!F157</f>
        <v>21.406077348066297</v>
      </c>
      <c r="F135" s="5">
        <f>'Design Calculations'!G157</f>
        <v>145.34726519337022</v>
      </c>
      <c r="G135" s="5">
        <f>'Design Calculations'!H157</f>
        <v>0.71500000000000996</v>
      </c>
      <c r="H135" s="5">
        <f>'Design Calculations'!I157</f>
        <v>10.01000000000014</v>
      </c>
      <c r="I135" s="5" t="e">
        <f>'Design Calculations'!J157</f>
        <v>#N/A</v>
      </c>
      <c r="J135" s="5" t="e">
        <f>'Design Calculations'!K157</f>
        <v>#N/A</v>
      </c>
      <c r="K135" s="5" t="e">
        <f>'Design Calculations'!L157</f>
        <v>#N/A</v>
      </c>
      <c r="L135" s="5"/>
      <c r="M135" s="5">
        <f>0.000001*('Design Worksheet_BAT'!B$88)*(B136-B135)/(0.5*(E135+E136))+M134</f>
        <v>7.185873411367297E-5</v>
      </c>
      <c r="N135" s="5">
        <f t="shared" si="1"/>
        <v>8.61</v>
      </c>
    </row>
    <row r="136" spans="1:14" x14ac:dyDescent="0.3">
      <c r="A136" s="5">
        <f>'Design Calculations'!B156</f>
        <v>0.62</v>
      </c>
      <c r="B136" s="5">
        <f>'Design Calculations'!C156</f>
        <v>8.68</v>
      </c>
      <c r="C136" s="5">
        <f>'Design Calculations'!D156</f>
        <v>0.4316022099447514</v>
      </c>
      <c r="D136" s="5">
        <f>'Design Calculations'!E156</f>
        <v>21.58011049723757</v>
      </c>
      <c r="E136" s="5">
        <f>'Design Calculations'!F156</f>
        <v>21.58011049723757</v>
      </c>
      <c r="F136" s="5">
        <f>'Design Calculations'!G156</f>
        <v>145.01834254143651</v>
      </c>
      <c r="G136" s="5">
        <f>'Design Calculations'!H156</f>
        <v>0.72000000000000997</v>
      </c>
      <c r="H136" s="5">
        <f>'Design Calculations'!I156</f>
        <v>10.08000000000014</v>
      </c>
      <c r="I136" s="5" t="e">
        <f>'Design Calculations'!J156</f>
        <v>#N/A</v>
      </c>
      <c r="J136" s="5" t="e">
        <f>'Design Calculations'!K156</f>
        <v>#N/A</v>
      </c>
      <c r="K136" s="5" t="e">
        <f>'Design Calculations'!L156</f>
        <v>#N/A</v>
      </c>
      <c r="L136" s="5"/>
      <c r="M136" s="5">
        <f>0.000001*('Design Worksheet_BAT'!B$88)*(B137-B136)/(0.5*(E136+E137))+M135</f>
        <v>7.2181804171682782E-5</v>
      </c>
      <c r="N136" s="5">
        <f t="shared" si="1"/>
        <v>8.68</v>
      </c>
    </row>
    <row r="137" spans="1:14" x14ac:dyDescent="0.3">
      <c r="A137" s="5">
        <f>'Design Calculations'!B155</f>
        <v>0.625</v>
      </c>
      <c r="B137" s="5">
        <f>'Design Calculations'!C155</f>
        <v>8.75</v>
      </c>
      <c r="C137" s="5">
        <f>'Design Calculations'!D155</f>
        <v>0.43508287292817682</v>
      </c>
      <c r="D137" s="5">
        <f>'Design Calculations'!E155</f>
        <v>21.754143646408838</v>
      </c>
      <c r="E137" s="5">
        <f>'Design Calculations'!F155</f>
        <v>21.754143646408838</v>
      </c>
      <c r="F137" s="5">
        <f>'Design Calculations'!G155</f>
        <v>144.66505524861881</v>
      </c>
      <c r="G137" s="5">
        <f>'Design Calculations'!H155</f>
        <v>0.72500000000000997</v>
      </c>
      <c r="H137" s="5">
        <f>'Design Calculations'!I155</f>
        <v>10.150000000000139</v>
      </c>
      <c r="I137" s="5" t="e">
        <f>'Design Calculations'!J155</f>
        <v>#N/A</v>
      </c>
      <c r="J137" s="5" t="e">
        <f>'Design Calculations'!K155</f>
        <v>#N/A</v>
      </c>
      <c r="K137" s="5" t="e">
        <f>'Design Calculations'!L155</f>
        <v>#N/A</v>
      </c>
      <c r="L137" s="5"/>
      <c r="M137" s="5">
        <f>0.000001*('Design Worksheet_BAT'!B$88)*(B138-B137)/(0.5*(E137+E138))+M136</f>
        <v>7.2502299966282165E-5</v>
      </c>
      <c r="N137" s="5">
        <f t="shared" si="1"/>
        <v>8.75</v>
      </c>
    </row>
    <row r="138" spans="1:14" x14ac:dyDescent="0.3">
      <c r="A138" s="5">
        <f>'Design Calculations'!B154</f>
        <v>0.63</v>
      </c>
      <c r="B138" s="5">
        <f>'Design Calculations'!C154</f>
        <v>8.82</v>
      </c>
      <c r="C138" s="5">
        <f>'Design Calculations'!D154</f>
        <v>0.43856353591160219</v>
      </c>
      <c r="D138" s="5">
        <f>'Design Calculations'!E154</f>
        <v>21.928176795580111</v>
      </c>
      <c r="E138" s="5">
        <f>'Design Calculations'!F154</f>
        <v>21.928176795580111</v>
      </c>
      <c r="F138" s="5">
        <f>'Design Calculations'!G154</f>
        <v>144.28740331491716</v>
      </c>
      <c r="G138" s="5">
        <f>'Design Calculations'!H154</f>
        <v>0.73000000000000997</v>
      </c>
      <c r="H138" s="5">
        <f>'Design Calculations'!I154</f>
        <v>10.220000000000139</v>
      </c>
      <c r="I138" s="5" t="e">
        <f>'Design Calculations'!J154</f>
        <v>#N/A</v>
      </c>
      <c r="J138" s="5" t="e">
        <f>'Design Calculations'!K154</f>
        <v>#N/A</v>
      </c>
      <c r="K138" s="5" t="e">
        <f>'Design Calculations'!L154</f>
        <v>#N/A</v>
      </c>
      <c r="L138" s="5"/>
      <c r="M138" s="5">
        <f>0.000001*('Design Worksheet_BAT'!B$88)*(B139-B138)/(0.5*(E138+E139))+M137</f>
        <v>7.2820262197287872E-5</v>
      </c>
      <c r="N138" s="5">
        <f t="shared" si="1"/>
        <v>8.82</v>
      </c>
    </row>
    <row r="139" spans="1:14" x14ac:dyDescent="0.3">
      <c r="A139" s="5">
        <f>'Design Calculations'!B153</f>
        <v>0.63500000000000001</v>
      </c>
      <c r="B139" s="5">
        <f>'Design Calculations'!C153</f>
        <v>8.89</v>
      </c>
      <c r="C139" s="5">
        <f>'Design Calculations'!D153</f>
        <v>0.44204419889502761</v>
      </c>
      <c r="D139" s="5">
        <f>'Design Calculations'!E153</f>
        <v>22.10220994475138</v>
      </c>
      <c r="E139" s="5">
        <f>'Design Calculations'!F153</f>
        <v>22.10220994475138</v>
      </c>
      <c r="F139" s="5">
        <f>'Design Calculations'!G153</f>
        <v>143.88538674033151</v>
      </c>
      <c r="G139" s="5">
        <f>'Design Calculations'!H153</f>
        <v>0.73500000000000998</v>
      </c>
      <c r="H139" s="5">
        <f>'Design Calculations'!I153</f>
        <v>10.290000000000139</v>
      </c>
      <c r="I139" s="5" t="e">
        <f>'Design Calculations'!J153</f>
        <v>#N/A</v>
      </c>
      <c r="J139" s="5" t="e">
        <f>'Design Calculations'!K153</f>
        <v>#N/A</v>
      </c>
      <c r="K139" s="5" t="e">
        <f>'Design Calculations'!L153</f>
        <v>#N/A</v>
      </c>
      <c r="L139" s="5"/>
      <c r="M139" s="5">
        <f>0.000001*('Design Worksheet_BAT'!B$88)*(B140-B139)/(0.5*(E139+E140))+M138</f>
        <v>7.3135730606873933E-5</v>
      </c>
      <c r="N139" s="5">
        <f t="shared" si="1"/>
        <v>8.89</v>
      </c>
    </row>
    <row r="140" spans="1:14" x14ac:dyDescent="0.3">
      <c r="A140" s="5">
        <f>'Design Calculations'!B152</f>
        <v>0.64</v>
      </c>
      <c r="B140" s="5">
        <f>'Design Calculations'!C152</f>
        <v>8.9600000000000009</v>
      </c>
      <c r="C140" s="5">
        <f>'Design Calculations'!D152</f>
        <v>0.44552486187845303</v>
      </c>
      <c r="D140" s="5">
        <f>'Design Calculations'!E152</f>
        <v>22.276243093922652</v>
      </c>
      <c r="E140" s="5">
        <f>'Design Calculations'!F152</f>
        <v>22.276243093922652</v>
      </c>
      <c r="F140" s="5">
        <f>'Design Calculations'!G152</f>
        <v>143.45900552486191</v>
      </c>
      <c r="G140" s="5">
        <f>'Design Calculations'!H152</f>
        <v>0.74000000000000998</v>
      </c>
      <c r="H140" s="5">
        <f>'Design Calculations'!I152</f>
        <v>10.36000000000014</v>
      </c>
      <c r="I140" s="5" t="e">
        <f>'Design Calculations'!J152</f>
        <v>#N/A</v>
      </c>
      <c r="J140" s="5" t="e">
        <f>'Design Calculations'!K152</f>
        <v>#N/A</v>
      </c>
      <c r="K140" s="5" t="e">
        <f>'Design Calculations'!L152</f>
        <v>#N/A</v>
      </c>
      <c r="L140" s="5"/>
      <c r="M140" s="5">
        <f>0.000001*('Design Worksheet_BAT'!B$88)*(B141-B140)/(0.5*(E140+E141))+M139</f>
        <v>7.3448744009381507E-5</v>
      </c>
      <c r="N140" s="5">
        <f t="shared" ref="N140:N203" si="2">B140</f>
        <v>8.9600000000000009</v>
      </c>
    </row>
    <row r="141" spans="1:14" x14ac:dyDescent="0.3">
      <c r="A141" s="5">
        <f>'Design Calculations'!B151</f>
        <v>0.64500000000000002</v>
      </c>
      <c r="B141" s="5">
        <f>'Design Calculations'!C151</f>
        <v>9.0300000000000011</v>
      </c>
      <c r="C141" s="5">
        <f>'Design Calculations'!D151</f>
        <v>0.44900552486187856</v>
      </c>
      <c r="D141" s="5">
        <f>'Design Calculations'!E151</f>
        <v>22.450276243093928</v>
      </c>
      <c r="E141" s="5">
        <f>'Design Calculations'!F151</f>
        <v>22.450276243093928</v>
      </c>
      <c r="F141" s="5">
        <f>'Design Calculations'!G151</f>
        <v>143.00825966850834</v>
      </c>
      <c r="G141" s="5">
        <f>'Design Calculations'!H151</f>
        <v>0.74500000000000999</v>
      </c>
      <c r="H141" s="5">
        <f>'Design Calculations'!I151</f>
        <v>10.43000000000014</v>
      </c>
      <c r="I141" s="5" t="e">
        <f>'Design Calculations'!J151</f>
        <v>#N/A</v>
      </c>
      <c r="J141" s="5" t="e">
        <f>'Design Calculations'!K151</f>
        <v>#N/A</v>
      </c>
      <c r="K141" s="5" t="e">
        <f>'Design Calculations'!L151</f>
        <v>#N/A</v>
      </c>
      <c r="L141" s="5"/>
      <c r="M141" s="5">
        <f>0.000001*('Design Worksheet_BAT'!B$88)*(B142-B141)/(0.5*(E141+E142))+M140</f>
        <v>7.3759340319977815E-5</v>
      </c>
      <c r="N141" s="5">
        <f t="shared" si="2"/>
        <v>9.0300000000000011</v>
      </c>
    </row>
    <row r="142" spans="1:14" x14ac:dyDescent="0.3">
      <c r="A142" s="5">
        <f>'Design Calculations'!B150</f>
        <v>0.65</v>
      </c>
      <c r="B142" s="5">
        <f>'Design Calculations'!C150</f>
        <v>9.1</v>
      </c>
      <c r="C142" s="5">
        <f>'Design Calculations'!D150</f>
        <v>0.45248618784530387</v>
      </c>
      <c r="D142" s="5">
        <f>'Design Calculations'!E150</f>
        <v>22.624309392265193</v>
      </c>
      <c r="E142" s="5">
        <f>'Design Calculations'!F150</f>
        <v>22.624309392265193</v>
      </c>
      <c r="F142" s="5">
        <f>'Design Calculations'!G150</f>
        <v>142.53314917127076</v>
      </c>
      <c r="G142" s="5">
        <f>'Design Calculations'!H150</f>
        <v>0.75000000000000999</v>
      </c>
      <c r="H142" s="5">
        <f>'Design Calculations'!I150</f>
        <v>10.50000000000014</v>
      </c>
      <c r="I142" s="5" t="e">
        <f>'Design Calculations'!J150</f>
        <v>#N/A</v>
      </c>
      <c r="J142" s="5" t="e">
        <f>'Design Calculations'!K150</f>
        <v>#N/A</v>
      </c>
      <c r="K142" s="5" t="e">
        <f>'Design Calculations'!L150</f>
        <v>#N/A</v>
      </c>
      <c r="L142" s="5"/>
      <c r="M142" s="5">
        <f>0.000001*('Design Worksheet_BAT'!B$88)*(B143-B142)/(0.5*(E142+E143))+M141</f>
        <v>7.4067556582217063E-5</v>
      </c>
      <c r="N142" s="5">
        <f t="shared" si="2"/>
        <v>9.1</v>
      </c>
    </row>
    <row r="143" spans="1:14" x14ac:dyDescent="0.3">
      <c r="A143" s="5">
        <f>'Design Calculations'!B149</f>
        <v>0.65500000000000003</v>
      </c>
      <c r="B143" s="5">
        <f>'Design Calculations'!C149</f>
        <v>9.17</v>
      </c>
      <c r="C143" s="5">
        <f>'Design Calculations'!D149</f>
        <v>0.45596685082872929</v>
      </c>
      <c r="D143" s="5">
        <f>'Design Calculations'!E149</f>
        <v>22.798342541436465</v>
      </c>
      <c r="E143" s="5">
        <f>'Design Calculations'!F149</f>
        <v>22.798342541436465</v>
      </c>
      <c r="F143" s="5">
        <f>'Design Calculations'!G149</f>
        <v>142.03367403314923</v>
      </c>
      <c r="G143" s="5">
        <f>'Design Calculations'!H149</f>
        <v>0.755000000000009</v>
      </c>
      <c r="H143" s="5">
        <f>'Design Calculations'!I149</f>
        <v>10.570000000000126</v>
      </c>
      <c r="I143" s="5" t="e">
        <f>'Design Calculations'!J149</f>
        <v>#N/A</v>
      </c>
      <c r="J143" s="5" t="e">
        <f>'Design Calculations'!K149</f>
        <v>#N/A</v>
      </c>
      <c r="K143" s="5" t="e">
        <f>'Design Calculations'!L149</f>
        <v>#N/A</v>
      </c>
      <c r="L143" s="5"/>
      <c r="M143" s="5">
        <f>0.000001*('Design Worksheet_BAT'!B$88)*(B144-B143)/(0.5*(E143+E144))+M142</f>
        <v>7.4373428994553356E-5</v>
      </c>
      <c r="N143" s="5">
        <f t="shared" si="2"/>
        <v>9.17</v>
      </c>
    </row>
    <row r="144" spans="1:14" x14ac:dyDescent="0.3">
      <c r="A144" s="5">
        <f>'Design Calculations'!B148</f>
        <v>0.66</v>
      </c>
      <c r="B144" s="5">
        <f>'Design Calculations'!C148</f>
        <v>9.24</v>
      </c>
      <c r="C144" s="5">
        <f>'Design Calculations'!D148</f>
        <v>0.45944751381215471</v>
      </c>
      <c r="D144" s="5">
        <f>'Design Calculations'!E148</f>
        <v>22.972375690607734</v>
      </c>
      <c r="E144" s="5">
        <f>'Design Calculations'!F148</f>
        <v>22.972375690607734</v>
      </c>
      <c r="F144" s="5">
        <f>'Design Calculations'!G148</f>
        <v>141.5098342541437</v>
      </c>
      <c r="G144" s="5">
        <f>'Design Calculations'!H148</f>
        <v>0.760000000000009</v>
      </c>
      <c r="H144" s="5">
        <f>'Design Calculations'!I148</f>
        <v>10.640000000000127</v>
      </c>
      <c r="I144" s="5" t="e">
        <f>'Design Calculations'!J148</f>
        <v>#N/A</v>
      </c>
      <c r="J144" s="5" t="e">
        <f>'Design Calculations'!K148</f>
        <v>#N/A</v>
      </c>
      <c r="K144" s="5" t="e">
        <f>'Design Calculations'!L148</f>
        <v>#N/A</v>
      </c>
      <c r="L144" s="5"/>
      <c r="M144" s="5">
        <f>0.000001*('Design Worksheet_BAT'!B$88)*(B145-B144)/(0.5*(E144+E145))+M143</f>
        <v>7.4676992935853142E-5</v>
      </c>
      <c r="N144" s="5">
        <f t="shared" si="2"/>
        <v>9.24</v>
      </c>
    </row>
    <row r="145" spans="1:14" x14ac:dyDescent="0.3">
      <c r="A145" s="5">
        <f>'Design Calculations'!B147</f>
        <v>0.66500000000000004</v>
      </c>
      <c r="B145" s="5">
        <f>'Design Calculations'!C147</f>
        <v>9.31</v>
      </c>
      <c r="C145" s="5">
        <f>'Design Calculations'!D147</f>
        <v>0.46292817679558013</v>
      </c>
      <c r="D145" s="5">
        <f>'Design Calculations'!E147</f>
        <v>23.146408839779006</v>
      </c>
      <c r="E145" s="5">
        <f>'Design Calculations'!F147</f>
        <v>23.146408839779006</v>
      </c>
      <c r="F145" s="5">
        <f>'Design Calculations'!G147</f>
        <v>140.96162983425418</v>
      </c>
      <c r="G145" s="5">
        <f>'Design Calculations'!H147</f>
        <v>0.76500000000000901</v>
      </c>
      <c r="H145" s="5">
        <f>'Design Calculations'!I147</f>
        <v>10.710000000000125</v>
      </c>
      <c r="I145" s="5" t="e">
        <f>'Design Calculations'!J147</f>
        <v>#N/A</v>
      </c>
      <c r="J145" s="5" t="e">
        <f>'Design Calculations'!K147</f>
        <v>#N/A</v>
      </c>
      <c r="K145" s="5" t="e">
        <f>'Design Calculations'!L147</f>
        <v>#N/A</v>
      </c>
      <c r="L145" s="5"/>
      <c r="M145" s="5">
        <f>0.000001*('Design Worksheet_BAT'!B$88)*(B146-B145)/(0.5*(E145+E146))+M144</f>
        <v>7.497828298995219E-5</v>
      </c>
      <c r="N145" s="5">
        <f t="shared" si="2"/>
        <v>9.31</v>
      </c>
    </row>
    <row r="146" spans="1:14" x14ac:dyDescent="0.3">
      <c r="A146" s="5">
        <f>'Design Calculations'!B146</f>
        <v>0.67</v>
      </c>
      <c r="B146" s="5">
        <f>'Design Calculations'!C146</f>
        <v>9.3800000000000008</v>
      </c>
      <c r="C146" s="5">
        <f>'Design Calculations'!D146</f>
        <v>0.46640883977900555</v>
      </c>
      <c r="D146" s="5">
        <f>'Design Calculations'!E146</f>
        <v>23.320441988950275</v>
      </c>
      <c r="E146" s="5">
        <f>'Design Calculations'!F146</f>
        <v>23.320441988950275</v>
      </c>
      <c r="F146" s="5">
        <f>'Design Calculations'!G146</f>
        <v>140.38906077348068</v>
      </c>
      <c r="G146" s="5">
        <f>'Design Calculations'!H146</f>
        <v>0.77000000000000901</v>
      </c>
      <c r="H146" s="5">
        <f>'Design Calculations'!I146</f>
        <v>10.780000000000125</v>
      </c>
      <c r="I146" s="5" t="e">
        <f>'Design Calculations'!J146</f>
        <v>#N/A</v>
      </c>
      <c r="J146" s="5" t="e">
        <f>'Design Calculations'!K146</f>
        <v>#N/A</v>
      </c>
      <c r="K146" s="5" t="e">
        <f>'Design Calculations'!L146</f>
        <v>#N/A</v>
      </c>
      <c r="L146" s="5"/>
      <c r="M146" s="5">
        <f>0.000001*('Design Worksheet_BAT'!B$88)*(B147-B146)/(0.5*(E146+E147))+M145</f>
        <v>7.5277332969299571E-5</v>
      </c>
      <c r="N146" s="5">
        <f t="shared" si="2"/>
        <v>9.3800000000000008</v>
      </c>
    </row>
    <row r="147" spans="1:14" x14ac:dyDescent="0.3">
      <c r="A147" s="5">
        <f>'Design Calculations'!B145</f>
        <v>0.67500000000000004</v>
      </c>
      <c r="B147" s="5">
        <f>'Design Calculations'!C145</f>
        <v>9.4500000000000011</v>
      </c>
      <c r="C147" s="5">
        <f>'Design Calculations'!D145</f>
        <v>0.46988950276243102</v>
      </c>
      <c r="D147" s="5">
        <f>'Design Calculations'!E145</f>
        <v>23.494475138121551</v>
      </c>
      <c r="E147" s="5">
        <f>'Design Calculations'!F145</f>
        <v>23.494475138121551</v>
      </c>
      <c r="F147" s="5">
        <f>'Design Calculations'!G145</f>
        <v>139.79212707182324</v>
      </c>
      <c r="G147" s="5">
        <f>'Design Calculations'!H145</f>
        <v>0.77500000000000902</v>
      </c>
      <c r="H147" s="5">
        <f>'Design Calculations'!I145</f>
        <v>10.850000000000126</v>
      </c>
      <c r="I147" s="5" t="e">
        <f>'Design Calculations'!J145</f>
        <v>#N/A</v>
      </c>
      <c r="J147" s="5" t="e">
        <f>'Design Calculations'!K145</f>
        <v>#N/A</v>
      </c>
      <c r="K147" s="5" t="e">
        <f>'Design Calculations'!L145</f>
        <v>#N/A</v>
      </c>
      <c r="L147" s="5"/>
      <c r="M147" s="5">
        <f>0.000001*('Design Worksheet_BAT'!B$88)*(B148-B147)/(0.5*(E147+E148))+M146</f>
        <v>7.5574175937729261E-5</v>
      </c>
      <c r="N147" s="5">
        <f t="shared" si="2"/>
        <v>9.4500000000000011</v>
      </c>
    </row>
    <row r="148" spans="1:14" x14ac:dyDescent="0.3">
      <c r="A148" s="5">
        <f>'Design Calculations'!B144</f>
        <v>0.68</v>
      </c>
      <c r="B148" s="5">
        <f>'Design Calculations'!C144</f>
        <v>9.5200000000000014</v>
      </c>
      <c r="C148" s="5">
        <f>'Design Calculations'!D144</f>
        <v>0.47337016574585644</v>
      </c>
      <c r="D148" s="5">
        <f>'Design Calculations'!E144</f>
        <v>23.668508287292823</v>
      </c>
      <c r="E148" s="5">
        <f>'Design Calculations'!F144</f>
        <v>23.668508287292823</v>
      </c>
      <c r="F148" s="5">
        <f>'Design Calculations'!G144</f>
        <v>139.17082872928182</v>
      </c>
      <c r="G148" s="5">
        <f>'Design Calculations'!H144</f>
        <v>0.78000000000000902</v>
      </c>
      <c r="H148" s="5">
        <f>'Design Calculations'!I144</f>
        <v>10.920000000000126</v>
      </c>
      <c r="I148" s="5" t="e">
        <f>'Design Calculations'!J144</f>
        <v>#N/A</v>
      </c>
      <c r="J148" s="5" t="e">
        <f>'Design Calculations'!K144</f>
        <v>#N/A</v>
      </c>
      <c r="K148" s="5" t="e">
        <f>'Design Calculations'!L144</f>
        <v>#N/A</v>
      </c>
      <c r="L148" s="5"/>
      <c r="M148" s="5">
        <f>0.000001*('Design Worksheet_BAT'!B$88)*(B149-B148)/(0.5*(E148+E149))+M147</f>
        <v>7.5868844232397545E-5</v>
      </c>
      <c r="N148" s="5">
        <f t="shared" si="2"/>
        <v>9.5200000000000014</v>
      </c>
    </row>
    <row r="149" spans="1:14" x14ac:dyDescent="0.3">
      <c r="A149" s="5">
        <f>'Design Calculations'!B143</f>
        <v>0.68500000000000005</v>
      </c>
      <c r="B149" s="5">
        <f>'Design Calculations'!C143</f>
        <v>9.59</v>
      </c>
      <c r="C149" s="5">
        <f>'Design Calculations'!D143</f>
        <v>0.47685082872928175</v>
      </c>
      <c r="D149" s="5">
        <f>'Design Calculations'!E143</f>
        <v>23.842541436464089</v>
      </c>
      <c r="E149" s="5">
        <f>'Design Calculations'!F143</f>
        <v>23.842541436464089</v>
      </c>
      <c r="F149" s="5">
        <f>'Design Calculations'!G143</f>
        <v>138.52516574585641</v>
      </c>
      <c r="G149" s="5">
        <f>'Design Calculations'!H143</f>
        <v>0.78500000000000902</v>
      </c>
      <c r="H149" s="5">
        <f>'Design Calculations'!I143</f>
        <v>10.990000000000126</v>
      </c>
      <c r="I149" s="5" t="e">
        <f>'Design Calculations'!J143</f>
        <v>#N/A</v>
      </c>
      <c r="J149" s="5" t="e">
        <f>'Design Calculations'!K143</f>
        <v>#N/A</v>
      </c>
      <c r="K149" s="5" t="e">
        <f>'Design Calculations'!L143</f>
        <v>#N/A</v>
      </c>
      <c r="L149" s="5"/>
      <c r="M149" s="5">
        <f>0.000001*('Design Worksheet_BAT'!B$88)*(B150-B149)/(0.5*(E149+E150))+M148</f>
        <v>7.6161369484922792E-5</v>
      </c>
      <c r="N149" s="5">
        <f t="shared" si="2"/>
        <v>9.59</v>
      </c>
    </row>
    <row r="150" spans="1:14" x14ac:dyDescent="0.3">
      <c r="A150" s="5">
        <f>'Design Calculations'!B142</f>
        <v>0.69</v>
      </c>
      <c r="B150" s="5">
        <f>'Design Calculations'!C142</f>
        <v>9.66</v>
      </c>
      <c r="C150" s="5">
        <f>'Design Calculations'!D142</f>
        <v>0.48033149171270717</v>
      </c>
      <c r="D150" s="5">
        <f>'Design Calculations'!E142</f>
        <v>24.016574585635357</v>
      </c>
      <c r="E150" s="5">
        <f>'Design Calculations'!F142</f>
        <v>24.016574585635357</v>
      </c>
      <c r="F150" s="5">
        <f>'Design Calculations'!G142</f>
        <v>137.85513812154699</v>
      </c>
      <c r="G150" s="5">
        <f>'Design Calculations'!H142</f>
        <v>0.79000000000000903</v>
      </c>
      <c r="H150" s="5">
        <f>'Design Calculations'!I142</f>
        <v>11.060000000000127</v>
      </c>
      <c r="I150" s="5" t="e">
        <f>'Design Calculations'!J142</f>
        <v>#N/A</v>
      </c>
      <c r="J150" s="5" t="e">
        <f>'Design Calculations'!K142</f>
        <v>#N/A</v>
      </c>
      <c r="K150" s="5" t="e">
        <f>'Design Calculations'!L142</f>
        <v>#N/A</v>
      </c>
      <c r="L150" s="5"/>
      <c r="M150" s="5">
        <f>0.000001*('Design Worksheet_BAT'!B$88)*(B151-B150)/(0.5*(E150+E151))+M149</f>
        <v>7.6451782641761935E-5</v>
      </c>
      <c r="N150" s="5">
        <f t="shared" si="2"/>
        <v>9.66</v>
      </c>
    </row>
    <row r="151" spans="1:14" x14ac:dyDescent="0.3">
      <c r="A151" s="5">
        <f>'Design Calculations'!B141</f>
        <v>0.69499999999999995</v>
      </c>
      <c r="B151" s="5">
        <f>'Design Calculations'!C141</f>
        <v>9.7299999999999986</v>
      </c>
      <c r="C151" s="5">
        <f>'Design Calculations'!D141</f>
        <v>0.48381215469613248</v>
      </c>
      <c r="D151" s="5">
        <f>'Design Calculations'!E141</f>
        <v>24.190607734806626</v>
      </c>
      <c r="E151" s="5">
        <f>'Design Calculations'!F141</f>
        <v>24.190607734806626</v>
      </c>
      <c r="F151" s="5">
        <f>'Design Calculations'!G141</f>
        <v>137.16074585635366</v>
      </c>
      <c r="G151" s="5">
        <f>'Design Calculations'!H141</f>
        <v>0.79500000000000903</v>
      </c>
      <c r="H151" s="5">
        <f>'Design Calculations'!I141</f>
        <v>11.130000000000127</v>
      </c>
      <c r="I151" s="5" t="e">
        <f>'Design Calculations'!J141</f>
        <v>#N/A</v>
      </c>
      <c r="J151" s="5" t="e">
        <f>'Design Calculations'!K141</f>
        <v>#N/A</v>
      </c>
      <c r="K151" s="5" t="e">
        <f>'Design Calculations'!L141</f>
        <v>#N/A</v>
      </c>
      <c r="L151" s="5"/>
      <c r="M151" s="5">
        <f>0.000001*('Design Worksheet_BAT'!B$88)*(B152-B151)/(0.5*(E151+E152))+M150</f>
        <v>7.6740113983856723E-5</v>
      </c>
      <c r="N151" s="5">
        <f t="shared" si="2"/>
        <v>9.7299999999999986</v>
      </c>
    </row>
    <row r="152" spans="1:14" x14ac:dyDescent="0.3">
      <c r="A152" s="5">
        <f>'Design Calculations'!B140</f>
        <v>0.7</v>
      </c>
      <c r="B152" s="5">
        <f>'Design Calculations'!C140</f>
        <v>9.7999999999999989</v>
      </c>
      <c r="C152" s="5">
        <f>'Design Calculations'!D140</f>
        <v>0.4872928176795579</v>
      </c>
      <c r="D152" s="5">
        <f>'Design Calculations'!E140</f>
        <v>24.364640883977895</v>
      </c>
      <c r="E152" s="5">
        <f>'Design Calculations'!F140</f>
        <v>24.364640883977895</v>
      </c>
      <c r="F152" s="5">
        <f>'Design Calculations'!G140</f>
        <v>136.44198895027628</v>
      </c>
      <c r="G152" s="5">
        <f>'Design Calculations'!H140</f>
        <v>0.80000000000000904</v>
      </c>
      <c r="H152" s="5">
        <f>'Design Calculations'!I140</f>
        <v>11.200000000000127</v>
      </c>
      <c r="I152" s="5" t="e">
        <f>'Design Calculations'!J140</f>
        <v>#N/A</v>
      </c>
      <c r="J152" s="5" t="e">
        <f>'Design Calculations'!K140</f>
        <v>#N/A</v>
      </c>
      <c r="K152" s="5" t="e">
        <f>'Design Calculations'!L140</f>
        <v>#N/A</v>
      </c>
      <c r="L152" s="5"/>
      <c r="M152" s="5">
        <f>0.000001*('Design Worksheet_BAT'!B$88)*(B153-B152)/(0.5*(E152+E153))+M151</f>
        <v>7.7026393145580724E-5</v>
      </c>
      <c r="N152" s="5">
        <f t="shared" si="2"/>
        <v>9.7999999999999989</v>
      </c>
    </row>
    <row r="153" spans="1:14" x14ac:dyDescent="0.3">
      <c r="A153" s="5">
        <f>'Design Calculations'!B139</f>
        <v>0.70499999999999996</v>
      </c>
      <c r="B153" s="5">
        <f>'Design Calculations'!C139</f>
        <v>9.8699999999999992</v>
      </c>
      <c r="C153" s="5">
        <f>'Design Calculations'!D139</f>
        <v>0.49077348066298343</v>
      </c>
      <c r="D153" s="5">
        <f>'Design Calculations'!E139</f>
        <v>24.538674033149171</v>
      </c>
      <c r="E153" s="5">
        <f>'Design Calculations'!F139</f>
        <v>24.538674033149171</v>
      </c>
      <c r="F153" s="5">
        <f>'Design Calculations'!G139</f>
        <v>135.69886740331498</v>
      </c>
      <c r="G153" s="5">
        <f>'Design Calculations'!H139</f>
        <v>0.80500000000000804</v>
      </c>
      <c r="H153" s="5">
        <f>'Design Calculations'!I139</f>
        <v>11.270000000000113</v>
      </c>
      <c r="I153" s="5" t="e">
        <f>'Design Calculations'!J139</f>
        <v>#N/A</v>
      </c>
      <c r="J153" s="5" t="e">
        <f>'Design Calculations'!K139</f>
        <v>#N/A</v>
      </c>
      <c r="K153" s="5" t="e">
        <f>'Design Calculations'!L139</f>
        <v>#N/A</v>
      </c>
      <c r="L153" s="5"/>
      <c r="M153" s="5">
        <f>0.000001*('Design Worksheet_BAT'!B$88)*(B154-B153)/(0.5*(E153+E154))+M152</f>
        <v>7.7310649133016928E-5</v>
      </c>
      <c r="N153" s="5">
        <f t="shared" si="2"/>
        <v>9.8699999999999992</v>
      </c>
    </row>
    <row r="154" spans="1:14" x14ac:dyDescent="0.3">
      <c r="A154" s="5">
        <f>'Design Calculations'!B138</f>
        <v>0.71</v>
      </c>
      <c r="B154" s="5">
        <f>'Design Calculations'!C138</f>
        <v>9.94</v>
      </c>
      <c r="C154" s="5">
        <f>'Design Calculations'!D138</f>
        <v>0.49425414364640885</v>
      </c>
      <c r="D154" s="5">
        <f>'Design Calculations'!E138</f>
        <v>24.712707182320443</v>
      </c>
      <c r="E154" s="5">
        <f>'Design Calculations'!F138</f>
        <v>24.712707182320443</v>
      </c>
      <c r="F154" s="5">
        <f>'Design Calculations'!G138</f>
        <v>134.93138121546968</v>
      </c>
      <c r="G154" s="5">
        <f>'Design Calculations'!H138</f>
        <v>0.81000000000000805</v>
      </c>
      <c r="H154" s="5">
        <f>'Design Calculations'!I138</f>
        <v>11.340000000000114</v>
      </c>
      <c r="I154" s="5" t="e">
        <f>'Design Calculations'!J138</f>
        <v>#N/A</v>
      </c>
      <c r="J154" s="5" t="e">
        <f>'Design Calculations'!K138</f>
        <v>#N/A</v>
      </c>
      <c r="K154" s="5" t="e">
        <f>'Design Calculations'!L138</f>
        <v>#N/A</v>
      </c>
      <c r="L154" s="5"/>
      <c r="M154" s="5">
        <f>0.000001*('Design Worksheet_BAT'!B$88)*(B155-B154)/(0.5*(E154+E155))+M153</f>
        <v>7.7592910341593921E-5</v>
      </c>
      <c r="N154" s="5">
        <f t="shared" si="2"/>
        <v>9.94</v>
      </c>
    </row>
    <row r="155" spans="1:14" x14ac:dyDescent="0.3">
      <c r="A155" s="5">
        <f>'Design Calculations'!B137</f>
        <v>0.71499999999999997</v>
      </c>
      <c r="B155" s="5">
        <f>'Design Calculations'!C137</f>
        <v>10.01</v>
      </c>
      <c r="C155" s="5">
        <f>'Design Calculations'!D137</f>
        <v>0.49773480662983427</v>
      </c>
      <c r="D155" s="5">
        <f>'Design Calculations'!E137</f>
        <v>24.886740331491712</v>
      </c>
      <c r="E155" s="5">
        <f>'Design Calculations'!F137</f>
        <v>24.886740331491712</v>
      </c>
      <c r="F155" s="5">
        <f>'Design Calculations'!G137</f>
        <v>134.13953038674038</v>
      </c>
      <c r="G155" s="5">
        <f>'Design Calculations'!H137</f>
        <v>0.81500000000000805</v>
      </c>
      <c r="H155" s="5">
        <f>'Design Calculations'!I137</f>
        <v>11.410000000000112</v>
      </c>
      <c r="I155" s="5" t="e">
        <f>'Design Calculations'!J137</f>
        <v>#N/A</v>
      </c>
      <c r="J155" s="5" t="e">
        <f>'Design Calculations'!K137</f>
        <v>#N/A</v>
      </c>
      <c r="K155" s="5" t="e">
        <f>'Design Calculations'!L137</f>
        <v>#N/A</v>
      </c>
      <c r="L155" s="5"/>
      <c r="M155" s="5">
        <f>0.000001*('Design Worksheet_BAT'!B$88)*(B156-B155)/(0.5*(E155+E156))+M154</f>
        <v>7.7873204573107672E-5</v>
      </c>
      <c r="N155" s="5">
        <f t="shared" si="2"/>
        <v>10.01</v>
      </c>
    </row>
    <row r="156" spans="1:14" x14ac:dyDescent="0.3">
      <c r="A156" s="5">
        <f>'Design Calculations'!B136</f>
        <v>0.72</v>
      </c>
      <c r="B156" s="5">
        <f>'Design Calculations'!C136</f>
        <v>10.08</v>
      </c>
      <c r="C156" s="5">
        <f>'Design Calculations'!D136</f>
        <v>0.50121546961325969</v>
      </c>
      <c r="D156" s="5">
        <f>'Design Calculations'!E136</f>
        <v>25.060773480662984</v>
      </c>
      <c r="E156" s="5">
        <f>'Design Calculations'!F136</f>
        <v>25.060773480662984</v>
      </c>
      <c r="F156" s="5">
        <f>'Design Calculations'!G136</f>
        <v>133.32331491712714</v>
      </c>
      <c r="G156" s="5">
        <f>'Design Calculations'!H136</f>
        <v>0.82000000000000794</v>
      </c>
      <c r="H156" s="5">
        <f>'Design Calculations'!I136</f>
        <v>11.480000000000111</v>
      </c>
      <c r="I156" s="5" t="e">
        <f>'Design Calculations'!J136</f>
        <v>#N/A</v>
      </c>
      <c r="J156" s="5" t="e">
        <f>'Design Calculations'!K136</f>
        <v>#N/A</v>
      </c>
      <c r="K156" s="5" t="e">
        <f>'Design Calculations'!L136</f>
        <v>#N/A</v>
      </c>
      <c r="L156" s="5"/>
      <c r="M156" s="5">
        <f>0.000001*('Design Worksheet_BAT'!B$88)*(B157-B156)/(0.5*(E156+E157))+M155</f>
        <v>7.8151559052154197E-5</v>
      </c>
      <c r="N156" s="5">
        <f t="shared" si="2"/>
        <v>10.08</v>
      </c>
    </row>
    <row r="157" spans="1:14" x14ac:dyDescent="0.3">
      <c r="A157" s="5">
        <f>'Design Calculations'!B135</f>
        <v>0.72499999999999998</v>
      </c>
      <c r="B157" s="5">
        <f>'Design Calculations'!C135</f>
        <v>10.15</v>
      </c>
      <c r="C157" s="5">
        <f>'Design Calculations'!D135</f>
        <v>0.50469613259668511</v>
      </c>
      <c r="D157" s="5">
        <f>'Design Calculations'!E135</f>
        <v>25.234806629834253</v>
      </c>
      <c r="E157" s="5">
        <f>'Design Calculations'!F135</f>
        <v>25.234806629834253</v>
      </c>
      <c r="F157" s="5">
        <f>'Design Calculations'!G135</f>
        <v>132.48273480662988</v>
      </c>
      <c r="G157" s="5">
        <f>'Design Calculations'!H135</f>
        <v>0.82500000000000795</v>
      </c>
      <c r="H157" s="5">
        <f>'Design Calculations'!I135</f>
        <v>11.550000000000111</v>
      </c>
      <c r="I157" s="5" t="e">
        <f>'Design Calculations'!J135</f>
        <v>#N/A</v>
      </c>
      <c r="J157" s="5" t="e">
        <f>'Design Calculations'!K135</f>
        <v>#N/A</v>
      </c>
      <c r="K157" s="5" t="e">
        <f>'Design Calculations'!L135</f>
        <v>#N/A</v>
      </c>
      <c r="L157" s="5"/>
      <c r="M157" s="5">
        <f>0.000001*('Design Worksheet_BAT'!B$88)*(B158-B157)/(0.5*(E157+E158))+M156</f>
        <v>7.8428000441997637E-5</v>
      </c>
      <c r="N157" s="5">
        <f t="shared" si="2"/>
        <v>10.15</v>
      </c>
    </row>
    <row r="158" spans="1:14" x14ac:dyDescent="0.3">
      <c r="A158" s="5">
        <f>'Design Calculations'!B134</f>
        <v>0.73</v>
      </c>
      <c r="B158" s="5">
        <f>'Design Calculations'!C134</f>
        <v>10.219999999999999</v>
      </c>
      <c r="C158" s="5">
        <f>'Design Calculations'!D134</f>
        <v>0.50817679558011042</v>
      </c>
      <c r="D158" s="5">
        <f>'Design Calculations'!E134</f>
        <v>25.408839779005522</v>
      </c>
      <c r="E158" s="5">
        <f>'Design Calculations'!F134</f>
        <v>25.408839779005522</v>
      </c>
      <c r="F158" s="5">
        <f>'Design Calculations'!G134</f>
        <v>131.61779005524869</v>
      </c>
      <c r="G158" s="5">
        <f>'Design Calculations'!H134</f>
        <v>0.83000000000000795</v>
      </c>
      <c r="H158" s="5">
        <f>'Design Calculations'!I134</f>
        <v>11.620000000000111</v>
      </c>
      <c r="I158" s="5" t="e">
        <f>'Design Calculations'!J134</f>
        <v>#N/A</v>
      </c>
      <c r="J158" s="5" t="e">
        <f>'Design Calculations'!K134</f>
        <v>#N/A</v>
      </c>
      <c r="K158" s="5" t="e">
        <f>'Design Calculations'!L134</f>
        <v>#N/A</v>
      </c>
      <c r="L158" s="5"/>
      <c r="M158" s="5">
        <f>0.000001*('Design Worksheet_BAT'!B$88)*(B159-B158)/(0.5*(E158+E159))+M157</f>
        <v>7.8702554859896764E-5</v>
      </c>
      <c r="N158" s="5">
        <f t="shared" si="2"/>
        <v>10.219999999999999</v>
      </c>
    </row>
    <row r="159" spans="1:14" x14ac:dyDescent="0.3">
      <c r="A159" s="5">
        <f>'Design Calculations'!B133</f>
        <v>0.73499999999999999</v>
      </c>
      <c r="B159" s="5">
        <f>'Design Calculations'!C133</f>
        <v>10.29</v>
      </c>
      <c r="C159" s="5">
        <f>'Design Calculations'!D133</f>
        <v>0.51165745856353595</v>
      </c>
      <c r="D159" s="5">
        <f>'Design Calculations'!E133</f>
        <v>25.582872928176794</v>
      </c>
      <c r="E159" s="5">
        <f>'Design Calculations'!F133</f>
        <v>25.582872928176794</v>
      </c>
      <c r="F159" s="5">
        <f>'Design Calculations'!G133</f>
        <v>130.72848066298349</v>
      </c>
      <c r="G159" s="5">
        <f>'Design Calculations'!H133</f>
        <v>0.83500000000000796</v>
      </c>
      <c r="H159" s="5">
        <f>'Design Calculations'!I133</f>
        <v>11.690000000000111</v>
      </c>
      <c r="I159" s="5" t="e">
        <f>'Design Calculations'!J133</f>
        <v>#N/A</v>
      </c>
      <c r="J159" s="5" t="e">
        <f>'Design Calculations'!K133</f>
        <v>#N/A</v>
      </c>
      <c r="K159" s="5" t="e">
        <f>'Design Calculations'!L133</f>
        <v>#N/A</v>
      </c>
      <c r="L159" s="5"/>
      <c r="M159" s="5">
        <f>0.000001*('Design Worksheet_BAT'!B$88)*(B160-B159)/(0.5*(E159+E160))+M158</f>
        <v>7.8975247891911827E-5</v>
      </c>
      <c r="N159" s="5">
        <f t="shared" si="2"/>
        <v>10.29</v>
      </c>
    </row>
    <row r="160" spans="1:14" x14ac:dyDescent="0.3">
      <c r="A160" s="5">
        <f>'Design Calculations'!B132</f>
        <v>0.74</v>
      </c>
      <c r="B160" s="5">
        <f>'Design Calculations'!C132</f>
        <v>10.36</v>
      </c>
      <c r="C160" s="5">
        <f>'Design Calculations'!D132</f>
        <v>0.51513812154696137</v>
      </c>
      <c r="D160" s="5">
        <f>'Design Calculations'!E132</f>
        <v>25.756906077348066</v>
      </c>
      <c r="E160" s="5">
        <f>'Design Calculations'!F132</f>
        <v>25.756906077348066</v>
      </c>
      <c r="F160" s="5">
        <f>'Design Calculations'!G132</f>
        <v>129.81480662983432</v>
      </c>
      <c r="G160" s="5">
        <f>'Design Calculations'!H132</f>
        <v>0.84000000000000796</v>
      </c>
      <c r="H160" s="5">
        <f>'Design Calculations'!I132</f>
        <v>11.760000000000112</v>
      </c>
      <c r="I160" s="5" t="e">
        <f>'Design Calculations'!J132</f>
        <v>#N/A</v>
      </c>
      <c r="J160" s="5" t="e">
        <f>'Design Calculations'!K132</f>
        <v>#N/A</v>
      </c>
      <c r="K160" s="5" t="e">
        <f>'Design Calculations'!L132</f>
        <v>#N/A</v>
      </c>
      <c r="L160" s="5"/>
      <c r="M160" s="5">
        <f>0.000001*('Design Worksheet_BAT'!B$88)*(B161-B160)/(0.5*(E160+E161))+M159</f>
        <v>7.9246104607212981E-5</v>
      </c>
      <c r="N160" s="5">
        <f t="shared" si="2"/>
        <v>10.36</v>
      </c>
    </row>
    <row r="161" spans="1:14" x14ac:dyDescent="0.3">
      <c r="A161" s="5">
        <f>'Design Calculations'!B131</f>
        <v>0.745</v>
      </c>
      <c r="B161" s="5">
        <f>'Design Calculations'!C131</f>
        <v>10.43</v>
      </c>
      <c r="C161" s="5">
        <f>'Design Calculations'!D131</f>
        <v>0.51861878453038679</v>
      </c>
      <c r="D161" s="5">
        <f>'Design Calculations'!E131</f>
        <v>25.930939226519335</v>
      </c>
      <c r="E161" s="5">
        <f>'Design Calculations'!F131</f>
        <v>25.930939226519335</v>
      </c>
      <c r="F161" s="5">
        <f>'Design Calculations'!G131</f>
        <v>128.87676795580117</v>
      </c>
      <c r="G161" s="5">
        <f>'Design Calculations'!H131</f>
        <v>0.84500000000000797</v>
      </c>
      <c r="H161" s="5">
        <f>'Design Calculations'!I131</f>
        <v>11.830000000000112</v>
      </c>
      <c r="I161" s="5" t="e">
        <f>'Design Calculations'!J131</f>
        <v>#N/A</v>
      </c>
      <c r="J161" s="5" t="e">
        <f>'Design Calculations'!K131</f>
        <v>#N/A</v>
      </c>
      <c r="K161" s="5" t="e">
        <f>'Design Calculations'!L131</f>
        <v>#N/A</v>
      </c>
      <c r="L161" s="5"/>
      <c r="M161" s="5">
        <f>0.000001*('Design Worksheet_BAT'!B$88)*(B162-B161)/(0.5*(E161+E162))+M160</f>
        <v>7.9515149571910115E-5</v>
      </c>
      <c r="N161" s="5">
        <f t="shared" si="2"/>
        <v>10.43</v>
      </c>
    </row>
    <row r="162" spans="1:14" x14ac:dyDescent="0.3">
      <c r="A162" s="5">
        <f>'Design Calculations'!B130</f>
        <v>0.75</v>
      </c>
      <c r="B162" s="5">
        <f>'Design Calculations'!C130</f>
        <v>10.5</v>
      </c>
      <c r="C162" s="5">
        <f>'Design Calculations'!D130</f>
        <v>0.52209944751381221</v>
      </c>
      <c r="D162" s="5">
        <f>'Design Calculations'!E130</f>
        <v>26.104972375690608</v>
      </c>
      <c r="E162" s="5">
        <f>'Design Calculations'!F130</f>
        <v>26.104972375690608</v>
      </c>
      <c r="F162" s="5">
        <f>'Design Calculations'!G130</f>
        <v>127.91436464088403</v>
      </c>
      <c r="G162" s="5">
        <f>'Design Calculations'!H130</f>
        <v>0.85000000000000697</v>
      </c>
      <c r="H162" s="5">
        <f>'Design Calculations'!I130</f>
        <v>11.900000000000098</v>
      </c>
      <c r="I162" s="5" t="e">
        <f>'Design Calculations'!J130</f>
        <v>#N/A</v>
      </c>
      <c r="J162" s="5" t="e">
        <f>'Design Calculations'!K130</f>
        <v>#N/A</v>
      </c>
      <c r="K162" s="5" t="e">
        <f>'Design Calculations'!L130</f>
        <v>#N/A</v>
      </c>
      <c r="L162" s="5"/>
      <c r="M162" s="5">
        <f>0.000001*('Design Worksheet_BAT'!B$88)*(B163-B162)/(0.5*(E162+E163))+M161</f>
        <v>7.9782406862423218E-5</v>
      </c>
      <c r="N162" s="5">
        <f t="shared" si="2"/>
        <v>10.5</v>
      </c>
    </row>
    <row r="163" spans="1:14" x14ac:dyDescent="0.3">
      <c r="A163" s="5">
        <f>'Design Calculations'!B129</f>
        <v>0.755</v>
      </c>
      <c r="B163" s="5">
        <f>'Design Calculations'!C129</f>
        <v>10.57</v>
      </c>
      <c r="C163" s="5">
        <f>'Design Calculations'!D129</f>
        <v>0.52558011049723752</v>
      </c>
      <c r="D163" s="5">
        <f>'Design Calculations'!E129</f>
        <v>26.27900552486188</v>
      </c>
      <c r="E163" s="5">
        <f>'Design Calculations'!F129</f>
        <v>26.27900552486188</v>
      </c>
      <c r="F163" s="5">
        <f>'Design Calculations'!G129</f>
        <v>126.92759668508293</v>
      </c>
      <c r="G163" s="5">
        <f>'Design Calculations'!H129</f>
        <v>0.85500000000000698</v>
      </c>
      <c r="H163" s="5">
        <f>'Design Calculations'!I129</f>
        <v>11.970000000000098</v>
      </c>
      <c r="I163" s="5" t="e">
        <f>'Design Calculations'!J129</f>
        <v>#N/A</v>
      </c>
      <c r="J163" s="5" t="e">
        <f>'Design Calculations'!K129</f>
        <v>#N/A</v>
      </c>
      <c r="K163" s="5" t="e">
        <f>'Design Calculations'!L129</f>
        <v>#N/A</v>
      </c>
      <c r="L163" s="5"/>
      <c r="M163" s="5">
        <f>0.000001*('Design Worksheet_BAT'!B$88)*(B164-B163)/(0.5*(E163+E164))+M162</f>
        <v>8.004790007841149E-5</v>
      </c>
      <c r="N163" s="5">
        <f t="shared" si="2"/>
        <v>10.57</v>
      </c>
    </row>
    <row r="164" spans="1:14" x14ac:dyDescent="0.3">
      <c r="A164" s="5">
        <f>'Design Calculations'!B128</f>
        <v>0.76</v>
      </c>
      <c r="B164" s="5">
        <f>'Design Calculations'!C128</f>
        <v>10.64</v>
      </c>
      <c r="C164" s="5">
        <f>'Design Calculations'!D128</f>
        <v>0.52906077348066294</v>
      </c>
      <c r="D164" s="5">
        <f>'Design Calculations'!E128</f>
        <v>26.453038674033149</v>
      </c>
      <c r="E164" s="5">
        <f>'Design Calculations'!F128</f>
        <v>26.453038674033149</v>
      </c>
      <c r="F164" s="5">
        <f>'Design Calculations'!G128</f>
        <v>125.91646408839783</v>
      </c>
      <c r="G164" s="5">
        <f>'Design Calculations'!H128</f>
        <v>0.86000000000000698</v>
      </c>
      <c r="H164" s="5">
        <f>'Design Calculations'!I128</f>
        <v>12.040000000000099</v>
      </c>
      <c r="I164" s="5" t="e">
        <f>'Design Calculations'!J128</f>
        <v>#N/A</v>
      </c>
      <c r="J164" s="5" t="e">
        <f>'Design Calculations'!K128</f>
        <v>#N/A</v>
      </c>
      <c r="K164" s="5" t="e">
        <f>'Design Calculations'!L128</f>
        <v>#N/A</v>
      </c>
      <c r="L164" s="5"/>
      <c r="M164" s="5">
        <f>0.000001*('Design Worksheet_BAT'!B$88)*(B165-B164)/(0.5*(E164+E165))+M163</f>
        <v>8.0311652355278518E-5</v>
      </c>
      <c r="N164" s="5">
        <f t="shared" si="2"/>
        <v>10.64</v>
      </c>
    </row>
    <row r="165" spans="1:14" x14ac:dyDescent="0.3">
      <c r="A165" s="5">
        <f>'Design Calculations'!B127</f>
        <v>0.76500000000000001</v>
      </c>
      <c r="B165" s="5">
        <f>'Design Calculations'!C127</f>
        <v>10.71</v>
      </c>
      <c r="C165" s="5">
        <f>'Design Calculations'!D127</f>
        <v>0.53254143646408836</v>
      </c>
      <c r="D165" s="5">
        <f>'Design Calculations'!E127</f>
        <v>26.627071823204421</v>
      </c>
      <c r="E165" s="5">
        <f>'Design Calculations'!F127</f>
        <v>26.627071823204421</v>
      </c>
      <c r="F165" s="5">
        <f>'Design Calculations'!G127</f>
        <v>124.88096685082877</v>
      </c>
      <c r="G165" s="5">
        <f>'Design Calculations'!H127</f>
        <v>0.86500000000000699</v>
      </c>
      <c r="H165" s="5">
        <f>'Design Calculations'!I127</f>
        <v>12.110000000000097</v>
      </c>
      <c r="I165" s="5" t="e">
        <f>'Design Calculations'!J127</f>
        <v>#N/A</v>
      </c>
      <c r="J165" s="5" t="e">
        <f>'Design Calculations'!K127</f>
        <v>#N/A</v>
      </c>
      <c r="K165" s="5" t="e">
        <f>'Design Calculations'!L127</f>
        <v>#N/A</v>
      </c>
      <c r="L165" s="5"/>
      <c r="M165" s="5">
        <f>0.000001*('Design Worksheet_BAT'!B$88)*(B166-B165)/(0.5*(E165+E166))+M164</f>
        <v>8.0573686376270195E-5</v>
      </c>
      <c r="N165" s="5">
        <f t="shared" si="2"/>
        <v>10.71</v>
      </c>
    </row>
    <row r="166" spans="1:14" x14ac:dyDescent="0.3">
      <c r="A166" s="5">
        <f>'Design Calculations'!B126</f>
        <v>0.77</v>
      </c>
      <c r="B166" s="5">
        <f>'Design Calculations'!C126</f>
        <v>10.780000000000001</v>
      </c>
      <c r="C166" s="5">
        <f>'Design Calculations'!D126</f>
        <v>0.53602209944751389</v>
      </c>
      <c r="D166" s="5">
        <f>'Design Calculations'!E126</f>
        <v>26.801104972375697</v>
      </c>
      <c r="E166" s="5">
        <f>'Design Calculations'!F126</f>
        <v>26.801104972375697</v>
      </c>
      <c r="F166" s="5">
        <f>'Design Calculations'!G126</f>
        <v>123.82110497237575</v>
      </c>
      <c r="G166" s="5">
        <f>'Design Calculations'!H126</f>
        <v>0.87000000000000699</v>
      </c>
      <c r="H166" s="5">
        <f>'Design Calculations'!I126</f>
        <v>12.180000000000097</v>
      </c>
      <c r="I166" s="5" t="e">
        <f>'Design Calculations'!J126</f>
        <v>#N/A</v>
      </c>
      <c r="J166" s="5" t="e">
        <f>'Design Calculations'!K126</f>
        <v>#N/A</v>
      </c>
      <c r="K166" s="5" t="e">
        <f>'Design Calculations'!L126</f>
        <v>#N/A</v>
      </c>
      <c r="L166" s="5"/>
      <c r="M166" s="5">
        <f>0.000001*('Design Worksheet_BAT'!B$88)*(B167-B166)/(0.5*(E166+E167))+M165</f>
        <v>8.0834024384181014E-5</v>
      </c>
      <c r="N166" s="5">
        <f t="shared" si="2"/>
        <v>10.780000000000001</v>
      </c>
    </row>
    <row r="167" spans="1:14" x14ac:dyDescent="0.3">
      <c r="A167" s="5">
        <f>'Design Calculations'!B125</f>
        <v>0.77500000000000002</v>
      </c>
      <c r="B167" s="5">
        <f>'Design Calculations'!C125</f>
        <v>10.85</v>
      </c>
      <c r="C167" s="5">
        <f>'Design Calculations'!D125</f>
        <v>0.5395027624309392</v>
      </c>
      <c r="D167" s="5">
        <f>'Design Calculations'!E125</f>
        <v>26.975138121546962</v>
      </c>
      <c r="E167" s="5">
        <f>'Design Calculations'!F125</f>
        <v>26.975138121546962</v>
      </c>
      <c r="F167" s="5">
        <f>'Design Calculations'!G125</f>
        <v>122.73687845303874</v>
      </c>
      <c r="G167" s="5">
        <f>'Design Calculations'!H125</f>
        <v>0.87500000000000699</v>
      </c>
      <c r="H167" s="5">
        <f>'Design Calculations'!I125</f>
        <v>12.250000000000098</v>
      </c>
      <c r="I167" s="5" t="e">
        <f>'Design Calculations'!J125</f>
        <v>#N/A</v>
      </c>
      <c r="J167" s="5" t="e">
        <f>'Design Calculations'!K125</f>
        <v>#N/A</v>
      </c>
      <c r="K167" s="5" t="e">
        <f>'Design Calculations'!L125</f>
        <v>#N/A</v>
      </c>
      <c r="L167" s="5"/>
      <c r="M167" s="5">
        <f>0.000001*('Design Worksheet_BAT'!B$88)*(B168-B167)/(0.5*(E167+E168))+M166</f>
        <v>8.1092688192684048E-5</v>
      </c>
      <c r="N167" s="5">
        <f t="shared" si="2"/>
        <v>10.85</v>
      </c>
    </row>
    <row r="168" spans="1:14" x14ac:dyDescent="0.3">
      <c r="A168" s="5">
        <f>'Design Calculations'!B124</f>
        <v>0.78</v>
      </c>
      <c r="B168" s="5">
        <f>'Design Calculations'!C124</f>
        <v>10.92</v>
      </c>
      <c r="C168" s="5">
        <f>'Design Calculations'!D124</f>
        <v>0.54298342541436462</v>
      </c>
      <c r="D168" s="5">
        <f>'Design Calculations'!E124</f>
        <v>27.149171270718231</v>
      </c>
      <c r="E168" s="5">
        <f>'Design Calculations'!F124</f>
        <v>27.149171270718231</v>
      </c>
      <c r="F168" s="5">
        <f>'Design Calculations'!G124</f>
        <v>121.62828729281773</v>
      </c>
      <c r="G168" s="5">
        <f>'Design Calculations'!H124</f>
        <v>0.880000000000007</v>
      </c>
      <c r="H168" s="5">
        <f>'Design Calculations'!I124</f>
        <v>12.320000000000098</v>
      </c>
      <c r="I168" s="5" t="e">
        <f>'Design Calculations'!J124</f>
        <v>#N/A</v>
      </c>
      <c r="J168" s="5" t="e">
        <f>'Design Calculations'!K124</f>
        <v>#N/A</v>
      </c>
      <c r="K168" s="5" t="e">
        <f>'Design Calculations'!L124</f>
        <v>#N/A</v>
      </c>
      <c r="L168" s="5"/>
      <c r="M168" s="5">
        <f>0.000001*('Design Worksheet_BAT'!B$88)*(B169-B168)/(0.5*(E168+E169))+M167</f>
        <v>8.1349699197298892E-5</v>
      </c>
      <c r="N168" s="5">
        <f t="shared" si="2"/>
        <v>10.92</v>
      </c>
    </row>
    <row r="169" spans="1:14" x14ac:dyDescent="0.3">
      <c r="A169" s="5">
        <f>'Design Calculations'!B123</f>
        <v>0.78500000000000003</v>
      </c>
      <c r="B169" s="5">
        <f>'Design Calculations'!C123</f>
        <v>10.99</v>
      </c>
      <c r="C169" s="5">
        <f>'Design Calculations'!D123</f>
        <v>0.54646408839779004</v>
      </c>
      <c r="D169" s="5">
        <f>'Design Calculations'!E123</f>
        <v>27.323204419889503</v>
      </c>
      <c r="E169" s="5">
        <f>'Design Calculations'!F123</f>
        <v>27.323204419889503</v>
      </c>
      <c r="F169" s="5">
        <f>'Design Calculations'!G123</f>
        <v>120.49533149171276</v>
      </c>
      <c r="G169" s="5">
        <f>'Design Calculations'!H123</f>
        <v>0.885000000000007</v>
      </c>
      <c r="H169" s="5">
        <f>'Design Calculations'!I123</f>
        <v>12.390000000000098</v>
      </c>
      <c r="I169" s="5" t="e">
        <f>'Design Calculations'!J123</f>
        <v>#N/A</v>
      </c>
      <c r="J169" s="5" t="e">
        <f>'Design Calculations'!K123</f>
        <v>#N/A</v>
      </c>
      <c r="K169" s="5" t="e">
        <f>'Design Calculations'!L123</f>
        <v>#N/A</v>
      </c>
      <c r="L169" s="5"/>
      <c r="M169" s="5">
        <f>0.000001*('Design Worksheet_BAT'!B$88)*(B170-B169)/(0.5*(E169+E170))+M168</f>
        <v>8.1605078386011415E-5</v>
      </c>
      <c r="N169" s="5">
        <f t="shared" si="2"/>
        <v>10.99</v>
      </c>
    </row>
    <row r="170" spans="1:14" x14ac:dyDescent="0.3">
      <c r="A170" s="5">
        <f>'Design Calculations'!B122</f>
        <v>0.79</v>
      </c>
      <c r="B170" s="5">
        <f>'Design Calculations'!C122</f>
        <v>11.06</v>
      </c>
      <c r="C170" s="5">
        <f>'Design Calculations'!D122</f>
        <v>0.54994475138121546</v>
      </c>
      <c r="D170" s="5">
        <f>'Design Calculations'!E122</f>
        <v>27.497237569060772</v>
      </c>
      <c r="E170" s="5">
        <f>'Design Calculations'!F122</f>
        <v>27.497237569060772</v>
      </c>
      <c r="F170" s="5">
        <f>'Design Calculations'!G122</f>
        <v>119.33801104972379</v>
      </c>
      <c r="G170" s="5">
        <f>'Design Calculations'!H122</f>
        <v>0.89000000000000701</v>
      </c>
      <c r="H170" s="5">
        <f>'Design Calculations'!I122</f>
        <v>12.460000000000099</v>
      </c>
      <c r="I170" s="5" t="e">
        <f>'Design Calculations'!J122</f>
        <v>#N/A</v>
      </c>
      <c r="J170" s="5" t="e">
        <f>'Design Calculations'!K122</f>
        <v>#N/A</v>
      </c>
      <c r="K170" s="5" t="e">
        <f>'Design Calculations'!L122</f>
        <v>#N/A</v>
      </c>
      <c r="L170" s="5"/>
      <c r="M170" s="5">
        <f>0.000001*('Design Worksheet_BAT'!B$88)*(B171-B170)/(0.5*(E170+E171))+M169</f>
        <v>8.1858846349558567E-5</v>
      </c>
      <c r="N170" s="5">
        <f t="shared" si="2"/>
        <v>11.06</v>
      </c>
    </row>
    <row r="171" spans="1:14" x14ac:dyDescent="0.3">
      <c r="A171" s="5">
        <f>'Design Calculations'!B121</f>
        <v>0.79500000000000004</v>
      </c>
      <c r="B171" s="5">
        <f>'Design Calculations'!C121</f>
        <v>11.13</v>
      </c>
      <c r="C171" s="5">
        <f>'Design Calculations'!D121</f>
        <v>0.55342541436464088</v>
      </c>
      <c r="D171" s="5">
        <f>'Design Calculations'!E121</f>
        <v>27.671270718232044</v>
      </c>
      <c r="E171" s="5">
        <f>'Design Calculations'!F121</f>
        <v>27.671270718232044</v>
      </c>
      <c r="F171" s="5">
        <f>'Design Calculations'!G121</f>
        <v>118.15632596685087</v>
      </c>
      <c r="G171" s="5">
        <f>'Design Calculations'!H121</f>
        <v>0.89500000000000701</v>
      </c>
      <c r="H171" s="5">
        <f>'Design Calculations'!I121</f>
        <v>12.530000000000099</v>
      </c>
      <c r="I171" s="5" t="e">
        <f>'Design Calculations'!J121</f>
        <v>#N/A</v>
      </c>
      <c r="J171" s="5" t="e">
        <f>'Design Calculations'!K121</f>
        <v>#N/A</v>
      </c>
      <c r="K171" s="5" t="e">
        <f>'Design Calculations'!L121</f>
        <v>#N/A</v>
      </c>
      <c r="L171" s="5"/>
      <c r="M171" s="5">
        <f>0.000001*('Design Worksheet_BAT'!B$88)*(B172-B171)/(0.5*(E171+E172))+M170</f>
        <v>8.2111023291390681E-5</v>
      </c>
      <c r="N171" s="5">
        <f t="shared" si="2"/>
        <v>11.13</v>
      </c>
    </row>
    <row r="172" spans="1:14" x14ac:dyDescent="0.3">
      <c r="A172" s="5">
        <f>'Design Calculations'!B120</f>
        <v>0.8</v>
      </c>
      <c r="B172" s="5">
        <f>'Design Calculations'!C120</f>
        <v>11.200000000000001</v>
      </c>
      <c r="C172" s="5">
        <f>'Design Calculations'!D120</f>
        <v>0.55690607734806641</v>
      </c>
      <c r="D172" s="5">
        <f>'Design Calculations'!E120</f>
        <v>27.84530386740332</v>
      </c>
      <c r="E172" s="5">
        <f>'Design Calculations'!F120</f>
        <v>27.84530386740332</v>
      </c>
      <c r="F172" s="5">
        <f>'Design Calculations'!G120</f>
        <v>116.95027624309398</v>
      </c>
      <c r="G172" s="5">
        <f>'Design Calculations'!H120</f>
        <v>0.90000000000000602</v>
      </c>
      <c r="H172" s="5">
        <f>'Design Calculations'!I120</f>
        <v>12.600000000000085</v>
      </c>
      <c r="I172" s="5" t="e">
        <f>'Design Calculations'!J120</f>
        <v>#N/A</v>
      </c>
      <c r="J172" s="5" t="e">
        <f>'Design Calculations'!K120</f>
        <v>#N/A</v>
      </c>
      <c r="K172" s="5" t="e">
        <f>'Design Calculations'!L120</f>
        <v>#N/A</v>
      </c>
      <c r="L172" s="5"/>
      <c r="M172" s="5">
        <f>0.000001*('Design Worksheet_BAT'!B$88)*(B173-B172)/(0.5*(E172+E173))+M171</f>
        <v>8.2361629037323525E-5</v>
      </c>
      <c r="N172" s="5">
        <f t="shared" si="2"/>
        <v>11.200000000000001</v>
      </c>
    </row>
    <row r="173" spans="1:14" x14ac:dyDescent="0.3">
      <c r="A173" s="5">
        <f>'Design Calculations'!B119</f>
        <v>0.80500000000000005</v>
      </c>
      <c r="B173" s="5">
        <f>'Design Calculations'!C119</f>
        <v>11.270000000000001</v>
      </c>
      <c r="C173" s="5">
        <f>'Design Calculations'!D119</f>
        <v>0.56038674033149183</v>
      </c>
      <c r="D173" s="5">
        <f>'Design Calculations'!E119</f>
        <v>28.019337016574589</v>
      </c>
      <c r="E173" s="5">
        <f>'Design Calculations'!F119</f>
        <v>28.019337016574589</v>
      </c>
      <c r="F173" s="5">
        <f>'Design Calculations'!G119</f>
        <v>115.71986187845307</v>
      </c>
      <c r="G173" s="5">
        <f>'Design Calculations'!H119</f>
        <v>0.90500000000000602</v>
      </c>
      <c r="H173" s="5">
        <f>'Design Calculations'!I119</f>
        <v>12.670000000000083</v>
      </c>
      <c r="I173" s="5" t="e">
        <f>'Design Calculations'!J119</f>
        <v>#N/A</v>
      </c>
      <c r="J173" s="5" t="e">
        <f>'Design Calculations'!K119</f>
        <v>#N/A</v>
      </c>
      <c r="K173" s="5" t="e">
        <f>'Design Calculations'!L119</f>
        <v>#N/A</v>
      </c>
      <c r="L173" s="5"/>
      <c r="M173" s="5">
        <f>0.000001*('Design Worksheet_BAT'!B$88)*(B174-B173)/(0.5*(E173+E174))+M172</f>
        <v>8.2610683044891464E-5</v>
      </c>
      <c r="N173" s="5">
        <f t="shared" si="2"/>
        <v>11.270000000000001</v>
      </c>
    </row>
    <row r="174" spans="1:14" x14ac:dyDescent="0.3">
      <c r="A174" s="5">
        <f>'Design Calculations'!B118</f>
        <v>0.81</v>
      </c>
      <c r="B174" s="5">
        <f>'Design Calculations'!C118</f>
        <v>11.34</v>
      </c>
      <c r="C174" s="5">
        <f>'Design Calculations'!D118</f>
        <v>0.56386740331491714</v>
      </c>
      <c r="D174" s="5">
        <f>'Design Calculations'!E118</f>
        <v>28.193370165745858</v>
      </c>
      <c r="E174" s="5">
        <f>'Design Calculations'!F118</f>
        <v>28.193370165745858</v>
      </c>
      <c r="F174" s="5">
        <f>'Design Calculations'!G118</f>
        <v>114.46508287292825</v>
      </c>
      <c r="G174" s="5">
        <f>'Design Calculations'!H118</f>
        <v>0.91000000000000603</v>
      </c>
      <c r="H174" s="5">
        <f>'Design Calculations'!I118</f>
        <v>12.740000000000084</v>
      </c>
      <c r="I174" s="5" t="e">
        <f>'Design Calculations'!J118</f>
        <v>#N/A</v>
      </c>
      <c r="J174" s="5" t="e">
        <f>'Design Calculations'!K118</f>
        <v>#N/A</v>
      </c>
      <c r="K174" s="5" t="e">
        <f>'Design Calculations'!L118</f>
        <v>#N/A</v>
      </c>
      <c r="L174" s="5"/>
      <c r="M174" s="5">
        <f>0.000001*('Design Worksheet_BAT'!B$88)*(B175-B174)/(0.5*(E174+E175))+M173</f>
        <v>8.285820441241283E-5</v>
      </c>
      <c r="N174" s="5">
        <f t="shared" si="2"/>
        <v>11.34</v>
      </c>
    </row>
    <row r="175" spans="1:14" x14ac:dyDescent="0.3">
      <c r="A175" s="5">
        <f>'Design Calculations'!B117</f>
        <v>0.81499999999999995</v>
      </c>
      <c r="B175" s="5">
        <f>'Design Calculations'!C117</f>
        <v>11.41</v>
      </c>
      <c r="C175" s="5">
        <f>'Design Calculations'!D117</f>
        <v>0.56734806629834256</v>
      </c>
      <c r="D175" s="5">
        <f>'Design Calculations'!E117</f>
        <v>28.367403314917127</v>
      </c>
      <c r="E175" s="5">
        <f>'Design Calculations'!F117</f>
        <v>28.367403314917127</v>
      </c>
      <c r="F175" s="5">
        <f>'Design Calculations'!G117</f>
        <v>113.18593922651939</v>
      </c>
      <c r="G175" s="5">
        <f>'Design Calculations'!H117</f>
        <v>0.91500000000000603</v>
      </c>
      <c r="H175" s="5">
        <f>'Design Calculations'!I117</f>
        <v>12.810000000000084</v>
      </c>
      <c r="I175" s="5" t="e">
        <f>'Design Calculations'!J117</f>
        <v>#N/A</v>
      </c>
      <c r="J175" s="5" t="e">
        <f>'Design Calculations'!K117</f>
        <v>#N/A</v>
      </c>
      <c r="K175" s="5" t="e">
        <f>'Design Calculations'!L117</f>
        <v>#N/A</v>
      </c>
      <c r="L175" s="5"/>
      <c r="M175" s="5">
        <f>0.000001*('Design Worksheet_BAT'!B$88)*(B176-B175)/(0.5*(E175+E176))+M174</f>
        <v>8.3104211887778098E-5</v>
      </c>
      <c r="N175" s="5">
        <f t="shared" si="2"/>
        <v>11.41</v>
      </c>
    </row>
    <row r="176" spans="1:14" x14ac:dyDescent="0.3">
      <c r="A176" s="5">
        <f>'Design Calculations'!B116</f>
        <v>0.82</v>
      </c>
      <c r="B176" s="5">
        <f>'Design Calculations'!C116</f>
        <v>11.479999999999999</v>
      </c>
      <c r="C176" s="5">
        <f>'Design Calculations'!D116</f>
        <v>0.57082872928176787</v>
      </c>
      <c r="D176" s="5">
        <f>'Design Calculations'!E116</f>
        <v>28.541436464088392</v>
      </c>
      <c r="E176" s="5">
        <f>'Design Calculations'!F116</f>
        <v>28.541436464088392</v>
      </c>
      <c r="F176" s="5">
        <f>'Design Calculations'!G116</f>
        <v>111.88243093922659</v>
      </c>
      <c r="G176" s="5">
        <f>'Design Calculations'!H116</f>
        <v>0.92000000000000604</v>
      </c>
      <c r="H176" s="5">
        <f>'Design Calculations'!I116</f>
        <v>12.880000000000084</v>
      </c>
      <c r="I176" s="5" t="e">
        <f>'Design Calculations'!J116</f>
        <v>#N/A</v>
      </c>
      <c r="J176" s="5" t="e">
        <f>'Design Calculations'!K116</f>
        <v>#N/A</v>
      </c>
      <c r="K176" s="5" t="e">
        <f>'Design Calculations'!L116</f>
        <v>#N/A</v>
      </c>
      <c r="L176" s="5"/>
      <c r="M176" s="5">
        <f>0.000001*('Design Worksheet_BAT'!B$88)*(B177-B176)/(0.5*(E176+E177))+M175</f>
        <v>8.3348723876970941E-5</v>
      </c>
      <c r="N176" s="5">
        <f t="shared" si="2"/>
        <v>11.479999999999999</v>
      </c>
    </row>
    <row r="177" spans="1:14" x14ac:dyDescent="0.3">
      <c r="A177" s="5">
        <f>'Design Calculations'!B115</f>
        <v>0.82499999999999996</v>
      </c>
      <c r="B177" s="5">
        <f>'Design Calculations'!C115</f>
        <v>11.549999999999999</v>
      </c>
      <c r="C177" s="5">
        <f>'Design Calculations'!D115</f>
        <v>0.57430939226519329</v>
      </c>
      <c r="D177" s="5">
        <f>'Design Calculations'!E115</f>
        <v>28.715469613259664</v>
      </c>
      <c r="E177" s="5">
        <f>'Design Calculations'!F115</f>
        <v>28.715469613259664</v>
      </c>
      <c r="F177" s="5">
        <f>'Design Calculations'!G115</f>
        <v>110.55455801104979</v>
      </c>
      <c r="G177" s="5">
        <f>'Design Calculations'!H115</f>
        <v>0.92500000000000604</v>
      </c>
      <c r="H177" s="5">
        <f>'Design Calculations'!I115</f>
        <v>12.950000000000085</v>
      </c>
      <c r="I177" s="5" t="e">
        <f>'Design Calculations'!J115</f>
        <v>#N/A</v>
      </c>
      <c r="J177" s="5" t="e">
        <f>'Design Calculations'!K115</f>
        <v>#N/A</v>
      </c>
      <c r="K177" s="5" t="e">
        <f>'Design Calculations'!L115</f>
        <v>#N/A</v>
      </c>
      <c r="L177" s="5"/>
      <c r="M177" s="5">
        <f>0.000001*('Design Worksheet_BAT'!B$88)*(B178-B177)/(0.5*(E177+E178))+M176</f>
        <v>8.3591758452331803E-5</v>
      </c>
      <c r="N177" s="5">
        <f t="shared" si="2"/>
        <v>11.549999999999999</v>
      </c>
    </row>
    <row r="178" spans="1:14" x14ac:dyDescent="0.3">
      <c r="A178" s="5">
        <f>'Design Calculations'!B114</f>
        <v>0.83</v>
      </c>
      <c r="B178" s="5">
        <f>'Design Calculations'!C114</f>
        <v>11.62</v>
      </c>
      <c r="C178" s="5">
        <f>'Design Calculations'!D114</f>
        <v>0.57779005524861882</v>
      </c>
      <c r="D178" s="5">
        <f>'Design Calculations'!E114</f>
        <v>28.88950276243094</v>
      </c>
      <c r="E178" s="5">
        <f>'Design Calculations'!F114</f>
        <v>28.88950276243094</v>
      </c>
      <c r="F178" s="5">
        <f>'Design Calculations'!G114</f>
        <v>109.20232044198903</v>
      </c>
      <c r="G178" s="5">
        <f>'Design Calculations'!H114</f>
        <v>0.93000000000000604</v>
      </c>
      <c r="H178" s="5">
        <f>'Design Calculations'!I114</f>
        <v>13.020000000000085</v>
      </c>
      <c r="I178" s="5" t="e">
        <f>'Design Calculations'!J114</f>
        <v>#N/A</v>
      </c>
      <c r="J178" s="5" t="e">
        <f>'Design Calculations'!K114</f>
        <v>#N/A</v>
      </c>
      <c r="K178" s="5" t="e">
        <f>'Design Calculations'!L114</f>
        <v>#N/A</v>
      </c>
      <c r="L178" s="5"/>
      <c r="M178" s="5">
        <f>0.000001*('Design Worksheet_BAT'!B$88)*(B179-B178)/(0.5*(E178+E179))+M177</f>
        <v>8.383333336057338E-5</v>
      </c>
      <c r="N178" s="5">
        <f t="shared" si="2"/>
        <v>11.62</v>
      </c>
    </row>
    <row r="179" spans="1:14" x14ac:dyDescent="0.3">
      <c r="A179" s="5">
        <f>'Design Calculations'!B113</f>
        <v>0.83499999999999996</v>
      </c>
      <c r="B179" s="5">
        <f>'Design Calculations'!C113</f>
        <v>11.69</v>
      </c>
      <c r="C179" s="5">
        <f>'Design Calculations'!D113</f>
        <v>0.58127071823204424</v>
      </c>
      <c r="D179" s="5">
        <f>'Design Calculations'!E113</f>
        <v>29.063535911602209</v>
      </c>
      <c r="E179" s="5">
        <f>'Design Calculations'!F113</f>
        <v>29.063535911602209</v>
      </c>
      <c r="F179" s="5">
        <f>'Design Calculations'!G113</f>
        <v>107.82571823204427</v>
      </c>
      <c r="G179" s="5">
        <f>'Design Calculations'!H113</f>
        <v>0.93500000000000605</v>
      </c>
      <c r="H179" s="5">
        <f>'Design Calculations'!I113</f>
        <v>13.090000000000085</v>
      </c>
      <c r="I179" s="5" t="e">
        <f>'Design Calculations'!J113</f>
        <v>#N/A</v>
      </c>
      <c r="J179" s="5" t="e">
        <f>'Design Calculations'!K113</f>
        <v>#N/A</v>
      </c>
      <c r="K179" s="5" t="e">
        <f>'Design Calculations'!L113</f>
        <v>#N/A</v>
      </c>
      <c r="L179" s="5"/>
      <c r="M179" s="5">
        <f>0.000001*('Design Worksheet_BAT'!B$88)*(B180-B179)/(0.5*(E179+E180))+M178</f>
        <v>8.4073466030556803E-5</v>
      </c>
      <c r="N179" s="5">
        <f t="shared" si="2"/>
        <v>11.69</v>
      </c>
    </row>
    <row r="180" spans="1:14" x14ac:dyDescent="0.3">
      <c r="A180" s="5">
        <f>'Design Calculations'!B112</f>
        <v>0.84</v>
      </c>
      <c r="B180" s="5">
        <f>'Design Calculations'!C112</f>
        <v>11.76</v>
      </c>
      <c r="C180" s="5">
        <f>'Design Calculations'!D112</f>
        <v>0.58475138121546966</v>
      </c>
      <c r="D180" s="5">
        <f>'Design Calculations'!E112</f>
        <v>29.237569060773481</v>
      </c>
      <c r="E180" s="5">
        <f>'Design Calculations'!F112</f>
        <v>29.237569060773481</v>
      </c>
      <c r="F180" s="5">
        <f>'Design Calculations'!G112</f>
        <v>106.42475138121554</v>
      </c>
      <c r="G180" s="5">
        <f>'Design Calculations'!H112</f>
        <v>0.94000000000000605</v>
      </c>
      <c r="H180" s="5">
        <f>'Design Calculations'!I112</f>
        <v>13.160000000000085</v>
      </c>
      <c r="I180" s="5" t="e">
        <f>'Design Calculations'!J112</f>
        <v>#N/A</v>
      </c>
      <c r="J180" s="5" t="e">
        <f>'Design Calculations'!K112</f>
        <v>#N/A</v>
      </c>
      <c r="K180" s="5" t="e">
        <f>'Design Calculations'!L112</f>
        <v>#N/A</v>
      </c>
      <c r="L180" s="5"/>
      <c r="M180" s="5">
        <f>0.000001*('Design Worksheet_BAT'!B$88)*(B181-B180)/(0.5*(E180+E181))+M179</f>
        <v>8.4312173580837057E-5</v>
      </c>
      <c r="N180" s="5">
        <f t="shared" si="2"/>
        <v>11.76</v>
      </c>
    </row>
    <row r="181" spans="1:14" x14ac:dyDescent="0.3">
      <c r="A181" s="5">
        <f>'Design Calculations'!B111</f>
        <v>0.84499999999999997</v>
      </c>
      <c r="B181" s="5">
        <f>'Design Calculations'!C111</f>
        <v>11.83</v>
      </c>
      <c r="C181" s="5">
        <f>'Design Calculations'!D111</f>
        <v>0.58823204419889508</v>
      </c>
      <c r="D181" s="5">
        <f>'Design Calculations'!E111</f>
        <v>29.41160220994475</v>
      </c>
      <c r="E181" s="5">
        <f>'Design Calculations'!F111</f>
        <v>29.41160220994475</v>
      </c>
      <c r="F181" s="5">
        <f>'Design Calculations'!G111</f>
        <v>104.99941988950282</v>
      </c>
      <c r="G181" s="5">
        <f>'Design Calculations'!H111</f>
        <v>0.94500000000000495</v>
      </c>
      <c r="H181" s="5">
        <f>'Design Calculations'!I111</f>
        <v>13.23000000000007</v>
      </c>
      <c r="I181" s="5" t="e">
        <f>'Design Calculations'!J111</f>
        <v>#N/A</v>
      </c>
      <c r="J181" s="5" t="e">
        <f>'Design Calculations'!K111</f>
        <v>#N/A</v>
      </c>
      <c r="K181" s="5" t="e">
        <f>'Design Calculations'!L111</f>
        <v>#N/A</v>
      </c>
      <c r="L181" s="5"/>
      <c r="M181" s="5">
        <f>0.000001*('Design Worksheet_BAT'!B$88)*(B182-B181)/(0.5*(E181+E182))+M180</f>
        <v>8.4549472826985864E-5</v>
      </c>
      <c r="N181" s="5">
        <f t="shared" si="2"/>
        <v>11.83</v>
      </c>
    </row>
    <row r="182" spans="1:14" x14ac:dyDescent="0.3">
      <c r="A182" s="5">
        <f>'Design Calculations'!B110</f>
        <v>0.85</v>
      </c>
      <c r="B182" s="5">
        <f>'Design Calculations'!C110</f>
        <v>11.9</v>
      </c>
      <c r="C182" s="5">
        <f>'Design Calculations'!D110</f>
        <v>0.5917127071823205</v>
      </c>
      <c r="D182" s="5">
        <f>'Design Calculations'!E110</f>
        <v>29.585635359116022</v>
      </c>
      <c r="E182" s="5">
        <f>'Design Calculations'!F110</f>
        <v>29.585635359116022</v>
      </c>
      <c r="F182" s="5">
        <f>'Design Calculations'!G110</f>
        <v>103.54972375690613</v>
      </c>
      <c r="G182" s="5">
        <f>'Design Calculations'!H110</f>
        <v>0.95000000000000495</v>
      </c>
      <c r="H182" s="5">
        <f>'Design Calculations'!I110</f>
        <v>13.30000000000007</v>
      </c>
      <c r="I182" s="5" t="e">
        <f>'Design Calculations'!J110</f>
        <v>#N/A</v>
      </c>
      <c r="J182" s="5" t="e">
        <f>'Design Calculations'!K110</f>
        <v>#N/A</v>
      </c>
      <c r="K182" s="5" t="e">
        <f>'Design Calculations'!L110</f>
        <v>#N/A</v>
      </c>
      <c r="L182" s="5"/>
      <c r="M182" s="5">
        <f>0.000001*('Design Worksheet_BAT'!B$88)*(B183-B182)/(0.5*(E182+E183))+M181</f>
        <v>8.4785380288699777E-5</v>
      </c>
      <c r="N182" s="5">
        <f t="shared" si="2"/>
        <v>11.9</v>
      </c>
    </row>
    <row r="183" spans="1:14" x14ac:dyDescent="0.3">
      <c r="A183" s="5">
        <f>'Design Calculations'!B109</f>
        <v>0.85499999999999998</v>
      </c>
      <c r="B183" s="5">
        <f>'Design Calculations'!C109</f>
        <v>11.969999999999999</v>
      </c>
      <c r="C183" s="5">
        <f>'Design Calculations'!D109</f>
        <v>0.59519337016574581</v>
      </c>
      <c r="D183" s="5">
        <f>'Design Calculations'!E109</f>
        <v>29.759668508287287</v>
      </c>
      <c r="E183" s="5">
        <f>'Design Calculations'!F109</f>
        <v>29.759668508287287</v>
      </c>
      <c r="F183" s="5">
        <f>'Design Calculations'!G109</f>
        <v>102.07566298342549</v>
      </c>
      <c r="G183" s="5">
        <f>'Design Calculations'!H109</f>
        <v>0.95500000000000496</v>
      </c>
      <c r="H183" s="5">
        <f>'Design Calculations'!I109</f>
        <v>13.370000000000068</v>
      </c>
      <c r="I183" s="5" t="e">
        <f>'Design Calculations'!J109</f>
        <v>#N/A</v>
      </c>
      <c r="J183" s="5" t="e">
        <f>'Design Calculations'!K109</f>
        <v>#N/A</v>
      </c>
      <c r="K183" s="5" t="e">
        <f>'Design Calculations'!L109</f>
        <v>#N/A</v>
      </c>
      <c r="L183" s="5"/>
      <c r="M183" s="5">
        <f>0.000001*('Design Worksheet_BAT'!B$88)*(B184-B183)/(0.5*(E183+E184))+M182</f>
        <v>8.5019912196701076E-5</v>
      </c>
      <c r="N183" s="5">
        <f t="shared" si="2"/>
        <v>11.969999999999999</v>
      </c>
    </row>
    <row r="184" spans="1:14" x14ac:dyDescent="0.3">
      <c r="A184" s="5">
        <f>'Design Calculations'!B108</f>
        <v>0.86</v>
      </c>
      <c r="B184" s="5">
        <f>'Design Calculations'!C108</f>
        <v>12.04</v>
      </c>
      <c r="C184" s="5">
        <f>'Design Calculations'!D108</f>
        <v>0.59867403314917123</v>
      </c>
      <c r="D184" s="5">
        <f>'Design Calculations'!E108</f>
        <v>29.933701657458563</v>
      </c>
      <c r="E184" s="5">
        <f>'Design Calculations'!F108</f>
        <v>29.933701657458563</v>
      </c>
      <c r="F184" s="5">
        <f>'Design Calculations'!G108</f>
        <v>100.57723756906086</v>
      </c>
      <c r="G184" s="5">
        <f>'Design Calculations'!H108</f>
        <v>0.96000000000000496</v>
      </c>
      <c r="H184" s="5">
        <f>'Design Calculations'!I108</f>
        <v>13.440000000000069</v>
      </c>
      <c r="I184" s="5" t="e">
        <f>'Design Calculations'!J108</f>
        <v>#N/A</v>
      </c>
      <c r="J184" s="5" t="e">
        <f>'Design Calculations'!K108</f>
        <v>#N/A</v>
      </c>
      <c r="K184" s="5" t="e">
        <f>'Design Calculations'!L108</f>
        <v>#N/A</v>
      </c>
      <c r="L184" s="5"/>
      <c r="M184" s="5">
        <f>0.000001*('Design Worksheet_BAT'!B$88)*(B185-B184)/(0.5*(E184+E185))+M183</f>
        <v>8.5253084499438593E-5</v>
      </c>
      <c r="N184" s="5">
        <f t="shared" si="2"/>
        <v>12.04</v>
      </c>
    </row>
    <row r="185" spans="1:14" x14ac:dyDescent="0.3">
      <c r="A185" s="5">
        <f>'Design Calculations'!B107</f>
        <v>0.86499999999999999</v>
      </c>
      <c r="B185" s="5">
        <f>'Design Calculations'!C107</f>
        <v>12.11</v>
      </c>
      <c r="C185" s="5">
        <f>'Design Calculations'!D107</f>
        <v>0.60215469613259665</v>
      </c>
      <c r="D185" s="5">
        <f>'Design Calculations'!E107</f>
        <v>30.107734806629836</v>
      </c>
      <c r="E185" s="5">
        <f>'Design Calculations'!F107</f>
        <v>30.107734806629836</v>
      </c>
      <c r="F185" s="5">
        <f>'Design Calculations'!G107</f>
        <v>99.054447513812235</v>
      </c>
      <c r="G185" s="5">
        <f>'Design Calculations'!H107</f>
        <v>0.96500000000000496</v>
      </c>
      <c r="H185" s="5">
        <f>'Design Calculations'!I107</f>
        <v>13.510000000000069</v>
      </c>
      <c r="I185" s="5" t="e">
        <f>'Design Calculations'!J107</f>
        <v>#N/A</v>
      </c>
      <c r="J185" s="5" t="e">
        <f>'Design Calculations'!K107</f>
        <v>#N/A</v>
      </c>
      <c r="K185" s="5" t="e">
        <f>'Design Calculations'!L107</f>
        <v>#N/A</v>
      </c>
      <c r="L185" s="5"/>
      <c r="M185" s="5">
        <f>0.000001*('Design Worksheet_BAT'!B$88)*(B186-B185)/(0.5*(E185+E186))+M184</f>
        <v>8.5484912869595491E-5</v>
      </c>
      <c r="N185" s="5">
        <f t="shared" si="2"/>
        <v>12.11</v>
      </c>
    </row>
    <row r="186" spans="1:14" x14ac:dyDescent="0.3">
      <c r="A186" s="5">
        <f>'Design Calculations'!B106</f>
        <v>0.87</v>
      </c>
      <c r="B186" s="5">
        <f>'Design Calculations'!C106</f>
        <v>12.18</v>
      </c>
      <c r="C186" s="5">
        <f>'Design Calculations'!D106</f>
        <v>0.60563535911602207</v>
      </c>
      <c r="D186" s="5">
        <f>'Design Calculations'!E106</f>
        <v>30.281767955801104</v>
      </c>
      <c r="E186" s="5">
        <f>'Design Calculations'!F106</f>
        <v>30.281767955801104</v>
      </c>
      <c r="F186" s="5">
        <f>'Design Calculations'!G106</f>
        <v>97.507292817679627</v>
      </c>
      <c r="G186" s="5">
        <f>'Design Calculations'!H106</f>
        <v>0.97000000000000497</v>
      </c>
      <c r="H186" s="5">
        <f>'Design Calculations'!I106</f>
        <v>13.580000000000069</v>
      </c>
      <c r="I186" s="5" t="e">
        <f>'Design Calculations'!J106</f>
        <v>#N/A</v>
      </c>
      <c r="J186" s="5" t="e">
        <f>'Design Calculations'!K106</f>
        <v>#N/A</v>
      </c>
      <c r="K186" s="5" t="e">
        <f>'Design Calculations'!L106</f>
        <v>#N/A</v>
      </c>
      <c r="L186" s="5"/>
      <c r="M186" s="5">
        <f>0.000001*('Design Worksheet_BAT'!B$88)*(B187-B186)/(0.5*(E186+E187))+M185</f>
        <v>8.5715412710410513E-5</v>
      </c>
      <c r="N186" s="5">
        <f t="shared" si="2"/>
        <v>12.18</v>
      </c>
    </row>
    <row r="187" spans="1:14" x14ac:dyDescent="0.3">
      <c r="A187" s="5">
        <f>'Design Calculations'!B105</f>
        <v>0.875</v>
      </c>
      <c r="B187" s="5">
        <f>'Design Calculations'!C105</f>
        <v>12.25</v>
      </c>
      <c r="C187" s="5">
        <f>'Design Calculations'!D105</f>
        <v>0.60911602209944748</v>
      </c>
      <c r="D187" s="5">
        <f>'Design Calculations'!E105</f>
        <v>30.455801104972377</v>
      </c>
      <c r="E187" s="5">
        <f>'Design Calculations'!F105</f>
        <v>30.455801104972377</v>
      </c>
      <c r="F187" s="5">
        <f>'Design Calculations'!G105</f>
        <v>95.935773480663045</v>
      </c>
      <c r="G187" s="5">
        <f>'Design Calculations'!H105</f>
        <v>0.97500000000000497</v>
      </c>
      <c r="H187" s="5">
        <f>'Design Calculations'!I105</f>
        <v>13.65000000000007</v>
      </c>
      <c r="I187" s="5" t="e">
        <f>'Design Calculations'!J105</f>
        <v>#N/A</v>
      </c>
      <c r="J187" s="5" t="e">
        <f>'Design Calculations'!K105</f>
        <v>#N/A</v>
      </c>
      <c r="K187" s="5" t="e">
        <f>'Design Calculations'!L105</f>
        <v>#N/A</v>
      </c>
      <c r="L187" s="5"/>
      <c r="M187" s="5">
        <f>0.000001*('Design Worksheet_BAT'!B$88)*(B188-B187)/(0.5*(E187+E188))+M186</f>
        <v>8.5944599161819188E-5</v>
      </c>
      <c r="N187" s="5">
        <f t="shared" si="2"/>
        <v>12.25</v>
      </c>
    </row>
    <row r="188" spans="1:14" x14ac:dyDescent="0.3">
      <c r="A188" s="5">
        <f>'Design Calculations'!B104</f>
        <v>0.88</v>
      </c>
      <c r="B188" s="5">
        <f>'Design Calculations'!C104</f>
        <v>12.32</v>
      </c>
      <c r="C188" s="5">
        <f>'Design Calculations'!D104</f>
        <v>0.6125966850828729</v>
      </c>
      <c r="D188" s="5">
        <f>'Design Calculations'!E104</f>
        <v>30.629834254143645</v>
      </c>
      <c r="E188" s="5">
        <f>'Design Calculations'!F104</f>
        <v>30.629834254143645</v>
      </c>
      <c r="F188" s="5">
        <f>'Design Calculations'!G104</f>
        <v>94.339889502762489</v>
      </c>
      <c r="G188" s="5">
        <f>'Design Calculations'!H104</f>
        <v>0.98000000000000498</v>
      </c>
      <c r="H188" s="5">
        <f>'Design Calculations'!I104</f>
        <v>13.72000000000007</v>
      </c>
      <c r="I188" s="5" t="e">
        <f>'Design Calculations'!J104</f>
        <v>#N/A</v>
      </c>
      <c r="J188" s="5" t="e">
        <f>'Design Calculations'!K104</f>
        <v>#N/A</v>
      </c>
      <c r="K188" s="5" t="e">
        <f>'Design Calculations'!L104</f>
        <v>#N/A</v>
      </c>
      <c r="L188" s="5"/>
      <c r="M188" s="5">
        <f>0.000001*('Design Worksheet_BAT'!B$88)*(B189-B188)/(0.5*(E188+E189))+M187</f>
        <v>8.6172487106421009E-5</v>
      </c>
      <c r="N188" s="5">
        <f t="shared" si="2"/>
        <v>12.32</v>
      </c>
    </row>
    <row r="189" spans="1:14" x14ac:dyDescent="0.3">
      <c r="A189" s="5">
        <f>'Design Calculations'!B103</f>
        <v>0.88500000000000001</v>
      </c>
      <c r="B189" s="5">
        <f>'Design Calculations'!C103</f>
        <v>12.39</v>
      </c>
      <c r="C189" s="5">
        <f>'Design Calculations'!D103</f>
        <v>0.61607734806629832</v>
      </c>
      <c r="D189" s="5">
        <f>'Design Calculations'!E103</f>
        <v>30.803867403314918</v>
      </c>
      <c r="E189" s="5">
        <f>'Design Calculations'!F103</f>
        <v>30.803867403314918</v>
      </c>
      <c r="F189" s="5">
        <f>'Design Calculations'!G103</f>
        <v>92.719640883977945</v>
      </c>
      <c r="G189" s="5">
        <f>'Design Calculations'!H103</f>
        <v>0.98500000000000498</v>
      </c>
      <c r="H189" s="5">
        <f>'Design Calculations'!I103</f>
        <v>13.79000000000007</v>
      </c>
      <c r="I189" s="5" t="e">
        <f>'Design Calculations'!J103</f>
        <v>#N/A</v>
      </c>
      <c r="J189" s="5" t="e">
        <f>'Design Calculations'!K103</f>
        <v>#N/A</v>
      </c>
      <c r="K189" s="5" t="e">
        <f>'Design Calculations'!L103</f>
        <v>#N/A</v>
      </c>
      <c r="L189" s="5"/>
      <c r="M189" s="5">
        <f>0.000001*('Design Worksheet_BAT'!B$88)*(B190-B189)/(0.5*(E189+E190))+M188</f>
        <v>8.6399091175278601E-5</v>
      </c>
      <c r="N189" s="5">
        <f t="shared" si="2"/>
        <v>12.39</v>
      </c>
    </row>
    <row r="190" spans="1:14" x14ac:dyDescent="0.3">
      <c r="A190" s="5">
        <f>'Design Calculations'!B102</f>
        <v>0.89</v>
      </c>
      <c r="B190" s="5">
        <f>'Design Calculations'!C102</f>
        <v>12.46</v>
      </c>
      <c r="C190" s="5">
        <f>'Design Calculations'!D102</f>
        <v>0.61955801104972374</v>
      </c>
      <c r="D190" s="5">
        <f>'Design Calculations'!E102</f>
        <v>30.977900552486187</v>
      </c>
      <c r="E190" s="5">
        <f>'Design Calculations'!F102</f>
        <v>30.977900552486187</v>
      </c>
      <c r="F190" s="5">
        <f>'Design Calculations'!G102</f>
        <v>91.075027624309428</v>
      </c>
      <c r="G190" s="5">
        <f>'Design Calculations'!H102</f>
        <v>0.99000000000000399</v>
      </c>
      <c r="H190" s="5">
        <f>'Design Calculations'!I102</f>
        <v>13.860000000000056</v>
      </c>
      <c r="I190" s="5" t="e">
        <f>'Design Calculations'!J102</f>
        <v>#N/A</v>
      </c>
      <c r="J190" s="5" t="e">
        <f>'Design Calculations'!K102</f>
        <v>#N/A</v>
      </c>
      <c r="K190" s="5" t="e">
        <f>'Design Calculations'!L102</f>
        <v>#N/A</v>
      </c>
      <c r="L190" s="5"/>
      <c r="M190" s="5">
        <f>0.000001*('Design Worksheet_BAT'!B$88)*(B191-B190)/(0.5*(E190+E191))+M189</f>
        <v>8.6624425753554363E-5</v>
      </c>
      <c r="N190" s="5">
        <f t="shared" si="2"/>
        <v>12.46</v>
      </c>
    </row>
    <row r="191" spans="1:14" x14ac:dyDescent="0.3">
      <c r="A191" s="5">
        <f>'Design Calculations'!B101</f>
        <v>0.89500000000000002</v>
      </c>
      <c r="B191" s="5">
        <f>'Design Calculations'!C101</f>
        <v>12.530000000000001</v>
      </c>
      <c r="C191" s="5">
        <f>'Design Calculations'!D101</f>
        <v>0.62303867403314928</v>
      </c>
      <c r="D191" s="5">
        <f>'Design Calculations'!E101</f>
        <v>31.151933701657462</v>
      </c>
      <c r="E191" s="5">
        <f>'Design Calculations'!F101</f>
        <v>31.151933701657462</v>
      </c>
      <c r="F191" s="5">
        <f>'Design Calculations'!G101</f>
        <v>89.406049723756951</v>
      </c>
      <c r="G191" s="5">
        <f>'Design Calculations'!H101</f>
        <v>0.99500000000000399</v>
      </c>
      <c r="H191" s="5">
        <f>'Design Calculations'!I101</f>
        <v>13.930000000000057</v>
      </c>
      <c r="I191" s="5" t="e">
        <f>'Design Calculations'!J101</f>
        <v>#N/A</v>
      </c>
      <c r="J191" s="5" t="e">
        <f>'Design Calculations'!K101</f>
        <v>#N/A</v>
      </c>
      <c r="K191" s="5" t="e">
        <f>'Design Calculations'!L101</f>
        <v>#N/A</v>
      </c>
      <c r="L191" s="5"/>
      <c r="M191" s="5">
        <f>0.000001*('Design Worksheet_BAT'!B$88)*(B192-B191)/(0.5*(E191+E192))+M190</f>
        <v>8.6848504985990137E-5</v>
      </c>
      <c r="N191" s="5">
        <f t="shared" si="2"/>
        <v>12.530000000000001</v>
      </c>
    </row>
    <row r="192" spans="1:14" x14ac:dyDescent="0.3">
      <c r="A192" s="5">
        <f>'Design Calculations'!B100</f>
        <v>0.9</v>
      </c>
      <c r="B192" s="5">
        <f>'Design Calculations'!C100</f>
        <v>12.6</v>
      </c>
      <c r="C192" s="5">
        <f>'Design Calculations'!D100</f>
        <v>0.62651933701657458</v>
      </c>
      <c r="D192" s="5">
        <f>'Design Calculations'!E100</f>
        <v>31.325966850828728</v>
      </c>
      <c r="E192" s="5">
        <f>'Design Calculations'!F100</f>
        <v>31.325966850828728</v>
      </c>
      <c r="F192" s="5">
        <f>'Design Calculations'!G100</f>
        <v>87.712707182320514</v>
      </c>
      <c r="G192" s="5">
        <f>'Design Calculations'!H100</f>
        <v>1</v>
      </c>
      <c r="H192" s="5">
        <f>'Design Calculations'!I100</f>
        <v>14</v>
      </c>
      <c r="I192" s="5" t="e">
        <f>'Design Calculations'!J100</f>
        <v>#N/A</v>
      </c>
      <c r="J192" s="5" t="e">
        <f>'Design Calculations'!K100</f>
        <v>#N/A</v>
      </c>
      <c r="K192" s="5" t="e">
        <f>'Design Calculations'!L100</f>
        <v>#N/A</v>
      </c>
      <c r="L192" s="5"/>
      <c r="M192" s="5">
        <f>0.000001*('Design Worksheet_BAT'!B$88)*(B193-B192)/(0.5*(E192+E193))+M191</f>
        <v>8.7071342782235139E-5</v>
      </c>
      <c r="N192" s="5">
        <f t="shared" si="2"/>
        <v>12.6</v>
      </c>
    </row>
    <row r="193" spans="1:14" x14ac:dyDescent="0.3">
      <c r="A193" s="5">
        <f>'Design Calculations'!B99</f>
        <v>0.90500000000000003</v>
      </c>
      <c r="B193" s="5">
        <f>'Design Calculations'!C99</f>
        <v>12.67</v>
      </c>
      <c r="C193" s="5">
        <f>'Design Calculations'!D99</f>
        <v>0.63</v>
      </c>
      <c r="D193" s="5">
        <f>'Design Calculations'!E99</f>
        <v>31.5</v>
      </c>
      <c r="E193" s="5">
        <f>'Design Calculations'!F99</f>
        <v>31.5</v>
      </c>
      <c r="F193" s="5">
        <f>'Design Calculations'!G99</f>
        <v>85.995000000000076</v>
      </c>
      <c r="G193" s="5">
        <f>'Design Calculations'!H99</f>
        <v>1.0049999999999999</v>
      </c>
      <c r="H193" s="5">
        <f>'Design Calculations'!I99</f>
        <v>14.069999999999999</v>
      </c>
      <c r="I193" s="5" t="e">
        <f>'Design Calculations'!J99</f>
        <v>#N/A</v>
      </c>
      <c r="J193" s="5" t="e">
        <f>'Design Calculations'!K99</f>
        <v>#N/A</v>
      </c>
      <c r="K193" s="5" t="e">
        <f>'Design Calculations'!L99</f>
        <v>#N/A</v>
      </c>
      <c r="L193" s="5"/>
      <c r="M193" s="5">
        <f>0.000001*('Design Worksheet_BAT'!B$88)*(B194-B193)/(0.5*(E193+E194))+M192</f>
        <v>8.7292952822026998E-5</v>
      </c>
      <c r="N193" s="5">
        <f t="shared" si="2"/>
        <v>12.67</v>
      </c>
    </row>
    <row r="194" spans="1:14" x14ac:dyDescent="0.3">
      <c r="A194" s="5">
        <f>'Design Calculations'!B98</f>
        <v>0.91</v>
      </c>
      <c r="B194" s="5">
        <f>'Design Calculations'!C98</f>
        <v>12.74</v>
      </c>
      <c r="C194" s="5">
        <f>'Design Calculations'!D98</f>
        <v>0.63348066298342542</v>
      </c>
      <c r="D194" s="5">
        <f>'Design Calculations'!E98</f>
        <v>31.674033149171272</v>
      </c>
      <c r="E194" s="5">
        <f>'Design Calculations'!F98</f>
        <v>31.674033149171272</v>
      </c>
      <c r="F194" s="5">
        <f>'Design Calculations'!G98</f>
        <v>84.252928176795649</v>
      </c>
      <c r="G194" s="5">
        <f>'Design Calculations'!H98</f>
        <v>1.01</v>
      </c>
      <c r="H194" s="5">
        <f>'Design Calculations'!I98</f>
        <v>14.14</v>
      </c>
      <c r="I194" s="5" t="e">
        <f>'Design Calculations'!J98</f>
        <v>#N/A</v>
      </c>
      <c r="J194" s="5" t="e">
        <f>'Design Calculations'!K98</f>
        <v>#N/A</v>
      </c>
      <c r="K194" s="5" t="e">
        <f>'Design Calculations'!L98</f>
        <v>#N/A</v>
      </c>
      <c r="L194" s="5"/>
      <c r="M194" s="5">
        <f>0.000001*('Design Worksheet_BAT'!B$88)*(B195-B194)/(0.5*(E194+E195))+M193</f>
        <v>8.7513348560230958E-5</v>
      </c>
      <c r="N194" s="5">
        <f t="shared" si="2"/>
        <v>12.74</v>
      </c>
    </row>
    <row r="195" spans="1:14" x14ac:dyDescent="0.3">
      <c r="A195" s="5">
        <f>'Design Calculations'!B97</f>
        <v>0.91500000000000004</v>
      </c>
      <c r="B195" s="5">
        <f>'Design Calculations'!C97</f>
        <v>12.81</v>
      </c>
      <c r="C195" s="5">
        <f>'Design Calculations'!D97</f>
        <v>0.63696132596685084</v>
      </c>
      <c r="D195" s="5">
        <f>'Design Calculations'!E97</f>
        <v>31.848066298342541</v>
      </c>
      <c r="E195" s="5">
        <f>'Design Calculations'!F97</f>
        <v>31.848066298342541</v>
      </c>
      <c r="F195" s="5">
        <f>'Design Calculations'!G97</f>
        <v>82.486491712707235</v>
      </c>
      <c r="G195" s="5">
        <f>'Design Calculations'!H97</f>
        <v>1.0149999999999999</v>
      </c>
      <c r="H195" s="5">
        <f>'Design Calculations'!I97</f>
        <v>14.209999999999999</v>
      </c>
      <c r="I195" s="5" t="e">
        <f>'Design Calculations'!J97</f>
        <v>#N/A</v>
      </c>
      <c r="J195" s="5" t="e">
        <f>'Design Calculations'!K97</f>
        <v>#N/A</v>
      </c>
      <c r="K195" s="5" t="e">
        <f>'Design Calculations'!L97</f>
        <v>#N/A</v>
      </c>
      <c r="L195" s="5"/>
      <c r="M195" s="5">
        <f>0.000001*('Design Worksheet_BAT'!B$88)*(B196-B195)/(0.5*(E195+E196))+M194</f>
        <v>8.7732543231741701E-5</v>
      </c>
      <c r="N195" s="5">
        <f t="shared" si="2"/>
        <v>12.81</v>
      </c>
    </row>
    <row r="196" spans="1:14" x14ac:dyDescent="0.3">
      <c r="A196" s="5">
        <f>'Design Calculations'!B96</f>
        <v>0.92</v>
      </c>
      <c r="B196" s="5">
        <f>'Design Calculations'!C96</f>
        <v>12.88</v>
      </c>
      <c r="C196" s="5">
        <f>'Design Calculations'!D96</f>
        <v>0.64044198895027626</v>
      </c>
      <c r="D196" s="5">
        <f>'Design Calculations'!E96</f>
        <v>32.02209944751381</v>
      </c>
      <c r="E196" s="5">
        <f>'Design Calculations'!F96</f>
        <v>32.02209944751381</v>
      </c>
      <c r="F196" s="5">
        <f>'Design Calculations'!G96</f>
        <v>80.695690607734846</v>
      </c>
      <c r="G196" s="5">
        <f>'Design Calculations'!H96</f>
        <v>1.02</v>
      </c>
      <c r="H196" s="5">
        <f>'Design Calculations'!I96</f>
        <v>14.280000000000001</v>
      </c>
      <c r="I196" s="5" t="e">
        <f>'Design Calculations'!J96</f>
        <v>#N/A</v>
      </c>
      <c r="J196" s="5" t="e">
        <f>'Design Calculations'!K96</f>
        <v>#N/A</v>
      </c>
      <c r="K196" s="5" t="e">
        <f>'Design Calculations'!L96</f>
        <v>#N/A</v>
      </c>
      <c r="L196" s="5"/>
      <c r="M196" s="5">
        <f>0.000001*('Design Worksheet_BAT'!B$88)*(B197-B196)/(0.5*(E196+E197))+M195</f>
        <v>8.7950549856252391E-5</v>
      </c>
      <c r="N196" s="5">
        <f t="shared" si="2"/>
        <v>12.88</v>
      </c>
    </row>
    <row r="197" spans="1:14" x14ac:dyDescent="0.3">
      <c r="A197" s="5">
        <f>'Design Calculations'!B95</f>
        <v>0.92500000000000004</v>
      </c>
      <c r="B197" s="5">
        <f>'Design Calculations'!C95</f>
        <v>12.950000000000001</v>
      </c>
      <c r="C197" s="5">
        <f>'Design Calculations'!D95</f>
        <v>0.6439226519337018</v>
      </c>
      <c r="D197" s="5">
        <f>'Design Calculations'!E95</f>
        <v>32.196132596685089</v>
      </c>
      <c r="E197" s="5">
        <f>'Design Calculations'!F95</f>
        <v>32.196132596685089</v>
      </c>
      <c r="F197" s="5">
        <f>'Design Calculations'!G95</f>
        <v>78.880524861878499</v>
      </c>
      <c r="G197" s="5">
        <f>'Design Calculations'!H95</f>
        <v>1.0249999999999999</v>
      </c>
      <c r="H197" s="5">
        <f>'Design Calculations'!I95</f>
        <v>14.349999999999998</v>
      </c>
      <c r="I197" s="5" t="e">
        <f>'Design Calculations'!J95</f>
        <v>#N/A</v>
      </c>
      <c r="J197" s="5" t="e">
        <f>'Design Calculations'!K95</f>
        <v>#N/A</v>
      </c>
      <c r="K197" s="5" t="e">
        <f>'Design Calculations'!L95</f>
        <v>#N/A</v>
      </c>
      <c r="L197" s="5"/>
      <c r="M197" s="5">
        <f>0.000001*('Design Worksheet_BAT'!B$88)*(B198-B197)/(0.5*(E197+E198))+M196</f>
        <v>8.8167381242895094E-5</v>
      </c>
      <c r="N197" s="5">
        <f t="shared" si="2"/>
        <v>12.950000000000001</v>
      </c>
    </row>
    <row r="198" spans="1:14" x14ac:dyDescent="0.3">
      <c r="A198" s="5">
        <f>'Design Calculations'!B94</f>
        <v>0.93</v>
      </c>
      <c r="B198" s="5">
        <f>'Design Calculations'!C94</f>
        <v>13.020000000000001</v>
      </c>
      <c r="C198" s="5">
        <f>'Design Calculations'!D94</f>
        <v>0.64740331491712722</v>
      </c>
      <c r="D198" s="5">
        <f>'Design Calculations'!E94</f>
        <v>32.370165745856362</v>
      </c>
      <c r="E198" s="5">
        <f>'Design Calculations'!F94</f>
        <v>32.370165745856362</v>
      </c>
      <c r="F198" s="5">
        <f>'Design Calculations'!G94</f>
        <v>77.040994475138163</v>
      </c>
      <c r="G198" s="5">
        <f>'Design Calculations'!H94</f>
        <v>1.03</v>
      </c>
      <c r="H198" s="5">
        <f>'Design Calculations'!I94</f>
        <v>14.42</v>
      </c>
      <c r="I198" s="5" t="e">
        <f>'Design Calculations'!J94</f>
        <v>#N/A</v>
      </c>
      <c r="J198" s="5" t="e">
        <f>'Design Calculations'!K94</f>
        <v>#N/A</v>
      </c>
      <c r="K198" s="5" t="e">
        <f>'Design Calculations'!L94</f>
        <v>#N/A</v>
      </c>
      <c r="L198" s="5"/>
      <c r="M198" s="5">
        <f>0.000001*('Design Worksheet_BAT'!B$88)*(B199-B198)/(0.5*(E198+E199))+M197</f>
        <v>8.8383049994756867E-5</v>
      </c>
      <c r="N198" s="5">
        <f t="shared" si="2"/>
        <v>13.020000000000001</v>
      </c>
    </row>
    <row r="199" spans="1:14" x14ac:dyDescent="0.3">
      <c r="A199" s="5">
        <f>'Design Calculations'!B93</f>
        <v>0.93500000000000005</v>
      </c>
      <c r="B199" s="5">
        <f>'Design Calculations'!C93</f>
        <v>13.09</v>
      </c>
      <c r="C199" s="5">
        <f>'Design Calculations'!D93</f>
        <v>0.65088397790055252</v>
      </c>
      <c r="D199" s="5">
        <f>'Design Calculations'!E93</f>
        <v>32.544198895027627</v>
      </c>
      <c r="E199" s="5">
        <f>'Design Calculations'!F93</f>
        <v>32.544198895027627</v>
      </c>
      <c r="F199" s="5">
        <f>'Design Calculations'!G93</f>
        <v>75.177099447513896</v>
      </c>
      <c r="G199" s="5">
        <f>'Design Calculations'!H93</f>
        <v>1.0349999999999999</v>
      </c>
      <c r="H199" s="5">
        <f>'Design Calculations'!I93</f>
        <v>14.489999999999998</v>
      </c>
      <c r="I199" s="5" t="e">
        <f>'Design Calculations'!J93</f>
        <v>#N/A</v>
      </c>
      <c r="J199" s="5" t="e">
        <f>'Design Calculations'!K93</f>
        <v>#N/A</v>
      </c>
      <c r="K199" s="5" t="e">
        <f>'Design Calculations'!L93</f>
        <v>#N/A</v>
      </c>
      <c r="L199" s="5"/>
      <c r="M199" s="5">
        <f>0.000001*('Design Worksheet_BAT'!B$88)*(B200-B199)/(0.5*(E199+E200))+M198</f>
        <v>8.8597568513275389E-5</v>
      </c>
      <c r="N199" s="5">
        <f t="shared" si="2"/>
        <v>13.09</v>
      </c>
    </row>
    <row r="200" spans="1:14" x14ac:dyDescent="0.3">
      <c r="A200" s="5">
        <f>'Design Calculations'!B92</f>
        <v>0.94</v>
      </c>
      <c r="B200" s="5">
        <f>'Design Calculations'!C92</f>
        <v>13.16</v>
      </c>
      <c r="C200" s="5">
        <f>'Design Calculations'!D92</f>
        <v>0.65436464088397794</v>
      </c>
      <c r="D200" s="5">
        <f>'Design Calculations'!E92</f>
        <v>32.718232044198892</v>
      </c>
      <c r="E200" s="5">
        <f>'Design Calculations'!F92</f>
        <v>32.718232044198892</v>
      </c>
      <c r="F200" s="5">
        <f>'Design Calculations'!G92</f>
        <v>73.288839779005585</v>
      </c>
      <c r="G200" s="5">
        <f>'Design Calculations'!H92</f>
        <v>1.04</v>
      </c>
      <c r="H200" s="5">
        <f>'Design Calculations'!I92</f>
        <v>14.56</v>
      </c>
      <c r="I200" s="5" t="e">
        <f>'Design Calculations'!J92</f>
        <v>#N/A</v>
      </c>
      <c r="J200" s="5" t="e">
        <f>'Design Calculations'!K92</f>
        <v>#N/A</v>
      </c>
      <c r="K200" s="5" t="e">
        <f>'Design Calculations'!L92</f>
        <v>#N/A</v>
      </c>
      <c r="L200" s="5"/>
      <c r="M200" s="5">
        <f>0.000001*('Design Worksheet_BAT'!B$88)*(B201-B200)/(0.5*(E200+E201))+M199</f>
        <v>8.8810949002517939E-5</v>
      </c>
      <c r="N200" s="5">
        <f t="shared" si="2"/>
        <v>13.16</v>
      </c>
    </row>
    <row r="201" spans="1:14" x14ac:dyDescent="0.3">
      <c r="A201" s="5">
        <f>'Design Calculations'!B91</f>
        <v>0.94499999999999995</v>
      </c>
      <c r="B201" s="5">
        <f>'Design Calculations'!C91</f>
        <v>13.229999999999999</v>
      </c>
      <c r="C201" s="5">
        <f>'Design Calculations'!D91</f>
        <v>0.65784530386740325</v>
      </c>
      <c r="D201" s="5">
        <f>'Design Calculations'!E91</f>
        <v>32.892265193370164</v>
      </c>
      <c r="E201" s="5">
        <f>'Design Calculations'!F91</f>
        <v>32.892265193370164</v>
      </c>
      <c r="F201" s="5">
        <f>'Design Calculations'!G91</f>
        <v>71.376215469613371</v>
      </c>
      <c r="G201" s="5">
        <f>'Design Calculations'!H91</f>
        <v>1.0449999999999999</v>
      </c>
      <c r="H201" s="5">
        <f>'Design Calculations'!I91</f>
        <v>14.629999999999999</v>
      </c>
      <c r="I201" s="5" t="e">
        <f>'Design Calculations'!J91</f>
        <v>#N/A</v>
      </c>
      <c r="J201" s="5" t="e">
        <f>'Design Calculations'!K91</f>
        <v>#N/A</v>
      </c>
      <c r="K201" s="5" t="e">
        <f>'Design Calculations'!L91</f>
        <v>#N/A</v>
      </c>
      <c r="L201" s="5"/>
      <c r="M201" s="5">
        <f>0.000001*('Design Worksheet_BAT'!B$88)*(B202-B201)/(0.5*(E201+E202))+M200</f>
        <v>8.9023203473347605E-5</v>
      </c>
      <c r="N201" s="5">
        <f t="shared" si="2"/>
        <v>13.229999999999999</v>
      </c>
    </row>
    <row r="202" spans="1:14" x14ac:dyDescent="0.3">
      <c r="A202" s="5">
        <f>'Design Calculations'!B90</f>
        <v>0.95</v>
      </c>
      <c r="B202" s="5">
        <f>'Design Calculations'!C90</f>
        <v>13.299999999999999</v>
      </c>
      <c r="C202" s="5">
        <f>'Design Calculations'!D90</f>
        <v>0.66132596685082867</v>
      </c>
      <c r="D202" s="5">
        <f>'Design Calculations'!E90</f>
        <v>33.06629834254143</v>
      </c>
      <c r="E202" s="5">
        <f>'Design Calculations'!F90</f>
        <v>33.06629834254143</v>
      </c>
      <c r="F202" s="5">
        <f>'Design Calculations'!G90</f>
        <v>69.439226519337112</v>
      </c>
      <c r="G202" s="5">
        <f>'Design Calculations'!H90</f>
        <v>1.05</v>
      </c>
      <c r="H202" s="5">
        <f>'Design Calculations'!I90</f>
        <v>14.700000000000001</v>
      </c>
      <c r="I202" s="5" t="e">
        <f>'Design Calculations'!J90</f>
        <v>#N/A</v>
      </c>
      <c r="J202" s="5" t="e">
        <f>'Design Calculations'!K90</f>
        <v>#N/A</v>
      </c>
      <c r="K202" s="5" t="e">
        <f>'Design Calculations'!L90</f>
        <v>#N/A</v>
      </c>
      <c r="L202" s="5"/>
      <c r="M202" s="5">
        <f>0.000001*('Design Worksheet_BAT'!B$88)*(B203-B202)/(0.5*(E202+E203))+M201</f>
        <v>8.9234343747480004E-5</v>
      </c>
      <c r="N202" s="5">
        <f t="shared" si="2"/>
        <v>13.299999999999999</v>
      </c>
    </row>
    <row r="203" spans="1:14" x14ac:dyDescent="0.3">
      <c r="A203" s="5">
        <f>'Design Calculations'!B89</f>
        <v>0.95499999999999996</v>
      </c>
      <c r="B203" s="5">
        <f>'Design Calculations'!C89</f>
        <v>13.37</v>
      </c>
      <c r="C203" s="5">
        <f>'Design Calculations'!D89</f>
        <v>0.66480662983425409</v>
      </c>
      <c r="D203" s="5">
        <f>'Design Calculations'!E89</f>
        <v>33.240331491712709</v>
      </c>
      <c r="E203" s="5">
        <f>'Design Calculations'!F89</f>
        <v>33.240331491712709</v>
      </c>
      <c r="F203" s="5">
        <f>'Design Calculations'!G89</f>
        <v>67.477872928176893</v>
      </c>
      <c r="G203" s="5">
        <f>'Design Calculations'!H89</f>
        <v>1.0549999999999999</v>
      </c>
      <c r="H203" s="5">
        <f>'Design Calculations'!I89</f>
        <v>14.77</v>
      </c>
      <c r="I203" s="5" t="e">
        <f>'Design Calculations'!J89</f>
        <v>#N/A</v>
      </c>
      <c r="J203" s="5" t="e">
        <f>'Design Calculations'!K89</f>
        <v>#N/A</v>
      </c>
      <c r="K203" s="5" t="e">
        <f>'Design Calculations'!L89</f>
        <v>#N/A</v>
      </c>
      <c r="L203" s="5"/>
      <c r="M203" s="5">
        <f>0.000001*('Design Worksheet_BAT'!B$88)*(B204-B203)/(0.5*(E203+E204))+M202</f>
        <v>8.944438146143417E-5</v>
      </c>
      <c r="N203" s="5">
        <f t="shared" si="2"/>
        <v>13.37</v>
      </c>
    </row>
    <row r="204" spans="1:14" x14ac:dyDescent="0.3">
      <c r="A204" s="5">
        <f>'Design Calculations'!B88</f>
        <v>0.96</v>
      </c>
      <c r="B204" s="5">
        <f>'Design Calculations'!C88</f>
        <v>13.44</v>
      </c>
      <c r="C204" s="5">
        <f>'Design Calculations'!D88</f>
        <v>0.66828729281767951</v>
      </c>
      <c r="D204" s="5">
        <f>'Design Calculations'!E88</f>
        <v>33.414364640883981</v>
      </c>
      <c r="E204" s="5">
        <f>'Design Calculations'!F88</f>
        <v>33.414364640883981</v>
      </c>
      <c r="F204" s="5">
        <f>'Design Calculations'!G88</f>
        <v>65.492154696132687</v>
      </c>
      <c r="G204" s="5">
        <f>'Design Calculations'!H88</f>
        <v>1.06</v>
      </c>
      <c r="H204" s="5">
        <f>'Design Calculations'!I88</f>
        <v>14.84</v>
      </c>
      <c r="I204" s="5" t="e">
        <f>'Design Calculations'!J88</f>
        <v>#N/A</v>
      </c>
      <c r="J204" s="5" t="e">
        <f>'Design Calculations'!K88</f>
        <v>#N/A</v>
      </c>
      <c r="K204" s="5" t="e">
        <f>'Design Calculations'!L88</f>
        <v>#N/A</v>
      </c>
      <c r="L204" s="5"/>
      <c r="M204" s="5">
        <f>0.000001*('Design Worksheet_BAT'!B$88)*(B205-B204)/(0.5*(E204+E205))+M203</f>
        <v>8.9653328070380775E-5</v>
      </c>
      <c r="N204" s="5">
        <f t="shared" ref="N204:N241" si="3">B204</f>
        <v>13.44</v>
      </c>
    </row>
    <row r="205" spans="1:14" x14ac:dyDescent="0.3">
      <c r="A205" s="5">
        <f>'Design Calculations'!B87</f>
        <v>0.96499999999999997</v>
      </c>
      <c r="B205" s="5">
        <f>'Design Calculations'!C87</f>
        <v>13.51</v>
      </c>
      <c r="C205" s="5">
        <f>'Design Calculations'!D87</f>
        <v>0.67176795580110493</v>
      </c>
      <c r="D205" s="5">
        <f>'Design Calculations'!E87</f>
        <v>33.588397790055247</v>
      </c>
      <c r="E205" s="5">
        <f>'Design Calculations'!F87</f>
        <v>33.588397790055247</v>
      </c>
      <c r="F205" s="5">
        <f>'Design Calculations'!G87</f>
        <v>63.482071823204492</v>
      </c>
      <c r="G205" s="5">
        <f>'Design Calculations'!H87</f>
        <v>1.0649999999999999</v>
      </c>
      <c r="H205" s="5">
        <f>'Design Calculations'!I87</f>
        <v>14.91</v>
      </c>
      <c r="I205" s="5" t="e">
        <f>'Design Calculations'!J87</f>
        <v>#N/A</v>
      </c>
      <c r="J205" s="5" t="e">
        <f>'Design Calculations'!K87</f>
        <v>#N/A</v>
      </c>
      <c r="K205" s="5" t="e">
        <f>'Design Calculations'!L87</f>
        <v>#N/A</v>
      </c>
      <c r="L205" s="5"/>
      <c r="M205" s="5">
        <f>0.000001*('Design Worksheet_BAT'!B$88)*(B206-B205)/(0.5*(E205+E206))+M204</f>
        <v>8.9861194851890969E-5</v>
      </c>
      <c r="N205" s="5">
        <f t="shared" si="3"/>
        <v>13.51</v>
      </c>
    </row>
    <row r="206" spans="1:14" x14ac:dyDescent="0.3">
      <c r="A206" s="5">
        <f>'Design Calculations'!B86</f>
        <v>0.97</v>
      </c>
      <c r="B206" s="5">
        <f>'Design Calculations'!C86</f>
        <v>13.58</v>
      </c>
      <c r="C206" s="5">
        <f>'Design Calculations'!D86</f>
        <v>0.67524861878453035</v>
      </c>
      <c r="D206" s="5">
        <f>'Design Calculations'!E86</f>
        <v>33.762430939226519</v>
      </c>
      <c r="E206" s="5">
        <f>'Design Calculations'!F86</f>
        <v>33.762430939226519</v>
      </c>
      <c r="F206" s="5">
        <f>'Design Calculations'!G86</f>
        <v>61.447624309392332</v>
      </c>
      <c r="G206" s="5">
        <f>'Design Calculations'!H86</f>
        <v>1.07</v>
      </c>
      <c r="H206" s="5">
        <f>'Design Calculations'!I86</f>
        <v>14.98</v>
      </c>
      <c r="I206" s="5" t="e">
        <f>'Design Calculations'!J86</f>
        <v>#N/A</v>
      </c>
      <c r="J206" s="5" t="e">
        <f>'Design Calculations'!K86</f>
        <v>#N/A</v>
      </c>
      <c r="K206" s="5" t="e">
        <f>'Design Calculations'!L86</f>
        <v>#N/A</v>
      </c>
      <c r="L206" s="5"/>
      <c r="M206" s="5">
        <f>0.000001*('Design Worksheet_BAT'!B$88)*(B207-B206)/(0.5*(E206+E207))+M205</f>
        <v>9.0067992909588767E-5</v>
      </c>
      <c r="N206" s="5">
        <f t="shared" si="3"/>
        <v>13.58</v>
      </c>
    </row>
    <row r="207" spans="1:14" x14ac:dyDescent="0.3">
      <c r="A207" s="5">
        <f>'Design Calculations'!B85</f>
        <v>0.97499999999999998</v>
      </c>
      <c r="B207" s="5">
        <f>'Design Calculations'!C85</f>
        <v>13.65</v>
      </c>
      <c r="C207" s="5">
        <f>'Design Calculations'!D85</f>
        <v>0.67872928176795577</v>
      </c>
      <c r="D207" s="5">
        <f>'Design Calculations'!E85</f>
        <v>33.936464088397791</v>
      </c>
      <c r="E207" s="5">
        <f>'Design Calculations'!F85</f>
        <v>33.936464088397791</v>
      </c>
      <c r="F207" s="5">
        <f>'Design Calculations'!G85</f>
        <v>59.388812154696197</v>
      </c>
      <c r="G207" s="5">
        <f>'Design Calculations'!H85</f>
        <v>1.075</v>
      </c>
      <c r="H207" s="5">
        <f>'Design Calculations'!I85</f>
        <v>15.049999999999999</v>
      </c>
      <c r="I207" s="5" t="e">
        <f>'Design Calculations'!J85</f>
        <v>#N/A</v>
      </c>
      <c r="J207" s="5" t="e">
        <f>'Design Calculations'!K85</f>
        <v>#N/A</v>
      </c>
      <c r="K207" s="5" t="e">
        <f>'Design Calculations'!L85</f>
        <v>#N/A</v>
      </c>
      <c r="L207" s="5"/>
      <c r="M207" s="5">
        <f>0.000001*('Design Worksheet_BAT'!B$88)*(B208-B207)/(0.5*(E207+E208))+M206</f>
        <v>9.0273733176710107E-5</v>
      </c>
      <c r="N207" s="5">
        <f t="shared" si="3"/>
        <v>13.65</v>
      </c>
    </row>
    <row r="208" spans="1:14" x14ac:dyDescent="0.3">
      <c r="A208" s="5">
        <f>'Design Calculations'!B84</f>
        <v>0.98</v>
      </c>
      <c r="B208" s="5">
        <f>'Design Calculations'!C84</f>
        <v>13.719999999999999</v>
      </c>
      <c r="C208" s="5">
        <f>'Design Calculations'!D84</f>
        <v>0.68220994475138108</v>
      </c>
      <c r="D208" s="5">
        <f>'Design Calculations'!E84</f>
        <v>34.110497237569056</v>
      </c>
      <c r="E208" s="5">
        <f>'Design Calculations'!F84</f>
        <v>34.110497237569056</v>
      </c>
      <c r="F208" s="5">
        <f>'Design Calculations'!G84</f>
        <v>57.305635359116124</v>
      </c>
      <c r="G208" s="5">
        <f>'Design Calculations'!H84</f>
        <v>1.08</v>
      </c>
      <c r="H208" s="5">
        <f>'Design Calculations'!I84</f>
        <v>15.120000000000001</v>
      </c>
      <c r="I208" s="5" t="e">
        <f>'Design Calculations'!J84</f>
        <v>#N/A</v>
      </c>
      <c r="J208" s="5" t="e">
        <f>'Design Calculations'!K84</f>
        <v>#N/A</v>
      </c>
      <c r="K208" s="5" t="e">
        <f>'Design Calculations'!L84</f>
        <v>#N/A</v>
      </c>
      <c r="L208" s="5"/>
      <c r="M208" s="5">
        <f>0.000001*('Design Worksheet_BAT'!B$88)*(B209-B208)/(0.5*(E208+E209))+M207</f>
        <v>9.0478426419571294E-5</v>
      </c>
      <c r="N208" s="5">
        <f t="shared" si="3"/>
        <v>13.719999999999999</v>
      </c>
    </row>
    <row r="209" spans="1:14" x14ac:dyDescent="0.3">
      <c r="A209" s="5">
        <f>'Design Calculations'!B83</f>
        <v>0.98499999999999999</v>
      </c>
      <c r="B209" s="5">
        <f>'Design Calculations'!C83</f>
        <v>13.79</v>
      </c>
      <c r="C209" s="5">
        <f>'Design Calculations'!D83</f>
        <v>0.68569060773480661</v>
      </c>
      <c r="D209" s="5">
        <f>'Design Calculations'!E83</f>
        <v>34.284530386740329</v>
      </c>
      <c r="E209" s="5">
        <f>'Design Calculations'!F83</f>
        <v>34.284530386740329</v>
      </c>
      <c r="F209" s="5">
        <f>'Design Calculations'!G83</f>
        <v>55.198093922652035</v>
      </c>
      <c r="G209" s="5">
        <f>'Design Calculations'!H83</f>
        <v>1.085</v>
      </c>
      <c r="H209" s="5">
        <f>'Design Calculations'!I83</f>
        <v>15.19</v>
      </c>
      <c r="I209" s="5" t="e">
        <f>'Design Calculations'!J83</f>
        <v>#N/A</v>
      </c>
      <c r="J209" s="5" t="e">
        <f>'Design Calculations'!K83</f>
        <v>#N/A</v>
      </c>
      <c r="K209" s="5" t="e">
        <f>'Design Calculations'!L83</f>
        <v>#N/A</v>
      </c>
      <c r="L209" s="5"/>
      <c r="M209" s="5">
        <f>0.000001*('Design Worksheet_BAT'!B$88)*(B210-B209)/(0.5*(E209+E210))+M208</f>
        <v>9.0682083240949639E-5</v>
      </c>
      <c r="N209" s="5">
        <f t="shared" si="3"/>
        <v>13.79</v>
      </c>
    </row>
    <row r="210" spans="1:14" x14ac:dyDescent="0.3">
      <c r="A210" s="5">
        <f>'Design Calculations'!B82</f>
        <v>0.99</v>
      </c>
      <c r="B210" s="5">
        <f>'Design Calculations'!C82</f>
        <v>13.86</v>
      </c>
      <c r="C210" s="5">
        <f>'Design Calculations'!D82</f>
        <v>0.68917127071823203</v>
      </c>
      <c r="D210" s="5">
        <f>'Design Calculations'!E82</f>
        <v>34.458563535911601</v>
      </c>
      <c r="E210" s="5">
        <f>'Design Calculations'!F82</f>
        <v>34.458563535911601</v>
      </c>
      <c r="F210" s="5">
        <f>'Design Calculations'!G82</f>
        <v>53.066187845303958</v>
      </c>
      <c r="G210" s="5">
        <f>'Design Calculations'!H82</f>
        <v>1.0900000000000001</v>
      </c>
      <c r="H210" s="5">
        <f>'Design Calculations'!I82</f>
        <v>15.260000000000002</v>
      </c>
      <c r="I210" s="5" t="e">
        <f>'Design Calculations'!J82</f>
        <v>#N/A</v>
      </c>
      <c r="J210" s="5" t="e">
        <f>'Design Calculations'!K82</f>
        <v>#N/A</v>
      </c>
      <c r="K210" s="5" t="e">
        <f>'Design Calculations'!L82</f>
        <v>#N/A</v>
      </c>
      <c r="L210" s="5"/>
      <c r="M210" s="5">
        <f>0.000001*('Design Worksheet_BAT'!B$88)*(B211-B210)/(0.5*(E210+E211))+M209</f>
        <v>9.0884714083378968E-5</v>
      </c>
      <c r="N210" s="5">
        <f t="shared" si="3"/>
        <v>13.86</v>
      </c>
    </row>
    <row r="211" spans="1:14" x14ac:dyDescent="0.3">
      <c r="A211" s="5">
        <f>'Design Calculations'!B81</f>
        <v>0.995</v>
      </c>
      <c r="B211" s="5">
        <f>'Design Calculations'!C81</f>
        <v>13.93</v>
      </c>
      <c r="C211" s="5">
        <f>'Design Calculations'!D81</f>
        <v>0.69265193370165745</v>
      </c>
      <c r="D211" s="5">
        <f>'Design Calculations'!E81</f>
        <v>34.632596685082873</v>
      </c>
      <c r="E211" s="5">
        <f>'Design Calculations'!F81</f>
        <v>34.632596685082873</v>
      </c>
      <c r="F211" s="5">
        <f>'Design Calculations'!G81</f>
        <v>50.909917127071907</v>
      </c>
      <c r="G211" s="5">
        <f>'Design Calculations'!H81</f>
        <v>1.095</v>
      </c>
      <c r="H211" s="5">
        <f>'Design Calculations'!I81</f>
        <v>15.33</v>
      </c>
      <c r="I211" s="5" t="e">
        <f>'Design Calculations'!J81</f>
        <v>#N/A</v>
      </c>
      <c r="J211" s="5" t="e">
        <f>'Design Calculations'!K81</f>
        <v>#N/A</v>
      </c>
      <c r="K211" s="5" t="e">
        <f>'Design Calculations'!L81</f>
        <v>#N/A</v>
      </c>
      <c r="L211" s="5"/>
      <c r="M211" s="5">
        <f>0.000001*('Design Worksheet_BAT'!B$88)*(B212-B211)/(0.5*(E211+E212))+M210</f>
        <v>9.1086377772365366E-5</v>
      </c>
      <c r="N211" s="5">
        <f t="shared" si="3"/>
        <v>13.93</v>
      </c>
    </row>
    <row r="212" spans="1:14" x14ac:dyDescent="0.3">
      <c r="A212" s="5">
        <f>'Design Calculations'!B80</f>
        <v>1</v>
      </c>
      <c r="B212" s="5">
        <f>'Design Calculations'!C80</f>
        <v>14</v>
      </c>
      <c r="C212" s="5">
        <f>'Design Calculations'!D80</f>
        <v>0.69613259668508287</v>
      </c>
      <c r="D212" s="5">
        <f>'Design Calculations'!E80</f>
        <v>34.789915966386552</v>
      </c>
      <c r="E212" s="5">
        <f>'Design Calculations'!F80</f>
        <v>34.789915966386552</v>
      </c>
      <c r="F212" s="5">
        <f>'Design Calculations'!G80</f>
        <v>48.705882352941245</v>
      </c>
      <c r="G212" s="5">
        <f>'Design Calculations'!H80</f>
        <v>1.1000000000000001</v>
      </c>
      <c r="H212" s="5">
        <f>'Design Calculations'!I80</f>
        <v>15.400000000000002</v>
      </c>
      <c r="I212" s="5" t="e">
        <f>'Design Calculations'!J80</f>
        <v>#N/A</v>
      </c>
      <c r="J212" s="5" t="e">
        <f>'Design Calculations'!K80</f>
        <v>#N/A</v>
      </c>
      <c r="K212" s="5" t="e">
        <f>'Design Calculations'!L80</f>
        <v>#N/A</v>
      </c>
      <c r="L212" s="5"/>
      <c r="M212" s="5">
        <f>0.000001*('Design Worksheet_BAT'!B$88)*(B213-B212)/(0.5*(E212+E213))+M211</f>
        <v>9.1287585501833955E-5</v>
      </c>
      <c r="N212" s="5">
        <f t="shared" si="3"/>
        <v>14</v>
      </c>
    </row>
    <row r="213" spans="1:14" x14ac:dyDescent="0.3">
      <c r="A213" s="5">
        <f>'Design Calculations'!B79</f>
        <v>1.0049999999999999</v>
      </c>
      <c r="B213" s="5">
        <f>'Design Calculations'!C79</f>
        <v>14.069999999999999</v>
      </c>
      <c r="C213" s="5">
        <f>'Design Calculations'!D79</f>
        <v>0.69961325966850818</v>
      </c>
      <c r="D213" s="5">
        <f>'Design Calculations'!E79</f>
        <v>34.789915966386552</v>
      </c>
      <c r="E213" s="5">
        <f>'Design Calculations'!F79</f>
        <v>34.789915966386552</v>
      </c>
      <c r="F213" s="5">
        <f>'Design Calculations'!G79</f>
        <v>46.270588235294241</v>
      </c>
      <c r="G213" s="5">
        <f>'Design Calculations'!H79</f>
        <v>1.105</v>
      </c>
      <c r="H213" s="5">
        <f>'Design Calculations'!I79</f>
        <v>15.469999999999999</v>
      </c>
      <c r="I213" s="5" t="e">
        <f>'Design Calculations'!J79</f>
        <v>#N/A</v>
      </c>
      <c r="J213" s="5" t="e">
        <f>'Design Calculations'!K79</f>
        <v>#N/A</v>
      </c>
      <c r="K213" s="5" t="e">
        <f>'Design Calculations'!L79</f>
        <v>#N/A</v>
      </c>
      <c r="L213" s="5"/>
      <c r="M213" s="5">
        <f>0.000001*('Design Worksheet_BAT'!B$88)*(B214-B213)/(0.5*(E213+E214))+M212</f>
        <v>9.1488793231302558E-5</v>
      </c>
      <c r="N213" s="5">
        <f t="shared" si="3"/>
        <v>14.069999999999999</v>
      </c>
    </row>
    <row r="214" spans="1:14" x14ac:dyDescent="0.3">
      <c r="A214" s="5">
        <f>'Design Calculations'!B78</f>
        <v>1.01</v>
      </c>
      <c r="B214" s="5">
        <f>'Design Calculations'!C78</f>
        <v>14.14</v>
      </c>
      <c r="C214" s="5">
        <f>'Design Calculations'!D78</f>
        <v>0.70309392265193371</v>
      </c>
      <c r="D214" s="5">
        <f>'Design Calculations'!E78</f>
        <v>34.789915966386552</v>
      </c>
      <c r="E214" s="5">
        <f>'Design Calculations'!F78</f>
        <v>34.789915966386552</v>
      </c>
      <c r="F214" s="5">
        <f>'Design Calculations'!G78</f>
        <v>43.835294117647109</v>
      </c>
      <c r="G214" s="5">
        <f>'Design Calculations'!H78</f>
        <v>1.1100000000000001</v>
      </c>
      <c r="H214" s="5">
        <f>'Design Calculations'!I78</f>
        <v>15.540000000000001</v>
      </c>
      <c r="I214" s="5" t="e">
        <f>'Design Calculations'!J78</f>
        <v>#N/A</v>
      </c>
      <c r="J214" s="5" t="e">
        <f>'Design Calculations'!K78</f>
        <v>#N/A</v>
      </c>
      <c r="K214" s="5" t="e">
        <f>'Design Calculations'!L78</f>
        <v>#N/A</v>
      </c>
      <c r="L214" s="5"/>
      <c r="M214" s="5">
        <f>0.000001*('Design Worksheet_BAT'!B$88)*(B215-B214)/(0.5*(E214+E215))+M213</f>
        <v>9.1690000960771147E-5</v>
      </c>
      <c r="N214" s="5">
        <f t="shared" si="3"/>
        <v>14.14</v>
      </c>
    </row>
    <row r="215" spans="1:14" x14ac:dyDescent="0.3">
      <c r="A215" s="5">
        <f>'Design Calculations'!B77</f>
        <v>1.0149999999999999</v>
      </c>
      <c r="B215" s="5">
        <f>'Design Calculations'!C77</f>
        <v>14.209999999999999</v>
      </c>
      <c r="C215" s="5">
        <f>'Design Calculations'!D77</f>
        <v>0.70657458563535913</v>
      </c>
      <c r="D215" s="5">
        <f>'Design Calculations'!E77</f>
        <v>34.789915966386552</v>
      </c>
      <c r="E215" s="5">
        <f>'Design Calculations'!F77</f>
        <v>34.789915966386552</v>
      </c>
      <c r="F215" s="5">
        <f>'Design Calculations'!G77</f>
        <v>41.400000000000105</v>
      </c>
      <c r="G215" s="5">
        <f>'Design Calculations'!H77</f>
        <v>1.115</v>
      </c>
      <c r="H215" s="5">
        <f>'Design Calculations'!I77</f>
        <v>15.61</v>
      </c>
      <c r="I215" s="5" t="e">
        <f>'Design Calculations'!J77</f>
        <v>#N/A</v>
      </c>
      <c r="J215" s="5" t="e">
        <f>'Design Calculations'!K77</f>
        <v>#N/A</v>
      </c>
      <c r="K215" s="5" t="e">
        <f>'Design Calculations'!L77</f>
        <v>#N/A</v>
      </c>
      <c r="L215" s="5"/>
      <c r="M215" s="5">
        <f>0.000001*('Design Worksheet_BAT'!B$88)*(B216-B215)/(0.5*(E215+E216))+M214</f>
        <v>9.189120869023975E-5</v>
      </c>
      <c r="N215" s="5">
        <f t="shared" si="3"/>
        <v>14.209999999999999</v>
      </c>
    </row>
    <row r="216" spans="1:14" x14ac:dyDescent="0.3">
      <c r="A216" s="5">
        <f>'Design Calculations'!B76</f>
        <v>1.02</v>
      </c>
      <c r="B216" s="5">
        <f>'Design Calculations'!C76</f>
        <v>14.280000000000001</v>
      </c>
      <c r="C216" s="5">
        <f>'Design Calculations'!D76</f>
        <v>0.71005524861878466</v>
      </c>
      <c r="D216" s="5">
        <f>'Design Calculations'!E76</f>
        <v>34.789915966386552</v>
      </c>
      <c r="E216" s="5">
        <f>'Design Calculations'!F76</f>
        <v>34.789915966386552</v>
      </c>
      <c r="F216" s="5">
        <f>'Design Calculations'!G76</f>
        <v>38.964705882352973</v>
      </c>
      <c r="G216" s="5">
        <f>'Design Calculations'!H76</f>
        <v>1.1200000000000001</v>
      </c>
      <c r="H216" s="5">
        <f>'Design Calculations'!I76</f>
        <v>15.680000000000001</v>
      </c>
      <c r="I216" s="5" t="e">
        <f>'Design Calculations'!J76</f>
        <v>#N/A</v>
      </c>
      <c r="J216" s="5" t="e">
        <f>'Design Calculations'!K76</f>
        <v>#N/A</v>
      </c>
      <c r="K216" s="5" t="e">
        <f>'Design Calculations'!L76</f>
        <v>#N/A</v>
      </c>
      <c r="L216" s="5"/>
      <c r="M216" s="5">
        <f>0.000001*('Design Worksheet_BAT'!B$88)*(B217-B216)/(0.5*(E216+E217))+M215</f>
        <v>9.2092416419708339E-5</v>
      </c>
      <c r="N216" s="5">
        <f t="shared" si="3"/>
        <v>14.280000000000001</v>
      </c>
    </row>
    <row r="217" spans="1:14" x14ac:dyDescent="0.3">
      <c r="A217" s="5">
        <f>'Design Calculations'!B75</f>
        <v>1.0249999999999999</v>
      </c>
      <c r="B217" s="5">
        <f>'Design Calculations'!C75</f>
        <v>14.349999999999998</v>
      </c>
      <c r="C217" s="5">
        <f>'Design Calculations'!D75</f>
        <v>0.71353591160220986</v>
      </c>
      <c r="D217" s="5">
        <f>'Design Calculations'!E75</f>
        <v>34.789915966386552</v>
      </c>
      <c r="E217" s="5">
        <f>'Design Calculations'!F75</f>
        <v>34.789915966386552</v>
      </c>
      <c r="F217" s="5">
        <f>'Design Calculations'!G75</f>
        <v>36.529411764706026</v>
      </c>
      <c r="G217" s="5">
        <f>'Design Calculations'!H75</f>
        <v>1.125</v>
      </c>
      <c r="H217" s="5">
        <f>'Design Calculations'!I75</f>
        <v>15.75</v>
      </c>
      <c r="I217" s="5" t="e">
        <f>'Design Calculations'!J75</f>
        <v>#N/A</v>
      </c>
      <c r="J217" s="5" t="e">
        <f>'Design Calculations'!K75</f>
        <v>#N/A</v>
      </c>
      <c r="K217" s="5" t="e">
        <f>'Design Calculations'!L75</f>
        <v>#N/A</v>
      </c>
      <c r="L217" s="5"/>
      <c r="M217" s="5">
        <f>0.000001*('Design Worksheet_BAT'!B$88)*(B218-B217)/(0.5*(E217+E218))+M216</f>
        <v>9.2293624149176941E-5</v>
      </c>
      <c r="N217" s="5">
        <f t="shared" si="3"/>
        <v>14.349999999999998</v>
      </c>
    </row>
    <row r="218" spans="1:14" x14ac:dyDescent="0.3">
      <c r="A218" s="5">
        <f>'Design Calculations'!B74</f>
        <v>1.03</v>
      </c>
      <c r="B218" s="5">
        <f>'Design Calculations'!C74</f>
        <v>14.42</v>
      </c>
      <c r="C218" s="5">
        <f>'Design Calculations'!D74</f>
        <v>0.71701657458563539</v>
      </c>
      <c r="D218" s="5">
        <f>'Design Calculations'!E74</f>
        <v>34.789915966386552</v>
      </c>
      <c r="E218" s="5">
        <f>'Design Calculations'!F74</f>
        <v>34.789915966386552</v>
      </c>
      <c r="F218" s="5">
        <f>'Design Calculations'!G74</f>
        <v>34.094117647058894</v>
      </c>
      <c r="G218" s="5">
        <f>'Design Calculations'!H74</f>
        <v>1.1299999999999999</v>
      </c>
      <c r="H218" s="5">
        <f>'Design Calculations'!I74</f>
        <v>15.819999999999999</v>
      </c>
      <c r="I218" s="5" t="e">
        <f>'Design Calculations'!J74</f>
        <v>#N/A</v>
      </c>
      <c r="J218" s="5" t="e">
        <f>'Design Calculations'!K74</f>
        <v>#N/A</v>
      </c>
      <c r="K218" s="5" t="e">
        <f>'Design Calculations'!L74</f>
        <v>#N/A</v>
      </c>
      <c r="L218" s="5"/>
      <c r="M218" s="5">
        <f>0.000001*('Design Worksheet_BAT'!B$88)*(B219-B218)/(0.5*(E218+E219))+M217</f>
        <v>9.249483187864553E-5</v>
      </c>
      <c r="N218" s="5">
        <f t="shared" si="3"/>
        <v>14.42</v>
      </c>
    </row>
    <row r="219" spans="1:14" x14ac:dyDescent="0.3">
      <c r="A219" s="5">
        <f>'Design Calculations'!B73</f>
        <v>1.0349999999999999</v>
      </c>
      <c r="B219" s="5">
        <f>'Design Calculations'!C73</f>
        <v>14.489999999999998</v>
      </c>
      <c r="C219" s="5">
        <f>'Design Calculations'!D73</f>
        <v>0.7204972375690607</v>
      </c>
      <c r="D219" s="5">
        <f>'Design Calculations'!E73</f>
        <v>34.789915966386552</v>
      </c>
      <c r="E219" s="5">
        <f>'Design Calculations'!F73</f>
        <v>34.789915966386552</v>
      </c>
      <c r="F219" s="5">
        <f>'Design Calculations'!G73</f>
        <v>31.65882352941189</v>
      </c>
      <c r="G219" s="5">
        <f>'Design Calculations'!H73</f>
        <v>1.135</v>
      </c>
      <c r="H219" s="5">
        <f>'Design Calculations'!I73</f>
        <v>15.89</v>
      </c>
      <c r="I219" s="5" t="e">
        <f>'Design Calculations'!J73</f>
        <v>#N/A</v>
      </c>
      <c r="J219" s="5" t="e">
        <f>'Design Calculations'!K73</f>
        <v>#N/A</v>
      </c>
      <c r="K219" s="5" t="e">
        <f>'Design Calculations'!L73</f>
        <v>#N/A</v>
      </c>
      <c r="L219" s="5"/>
      <c r="M219" s="5">
        <f>0.000001*('Design Worksheet_BAT'!B$88)*(B220-B219)/(0.5*(E219+E220))+M218</f>
        <v>9.2696039608114133E-5</v>
      </c>
      <c r="N219" s="5">
        <f t="shared" si="3"/>
        <v>14.489999999999998</v>
      </c>
    </row>
    <row r="220" spans="1:14" x14ac:dyDescent="0.3">
      <c r="A220" s="5">
        <f>'Design Calculations'!B72</f>
        <v>1.04</v>
      </c>
      <c r="B220" s="5">
        <f>'Design Calculations'!C72</f>
        <v>14.56</v>
      </c>
      <c r="C220" s="5">
        <f>'Design Calculations'!D72</f>
        <v>0.72397790055248623</v>
      </c>
      <c r="D220" s="5">
        <f>'Design Calculations'!E72</f>
        <v>34.789915966386552</v>
      </c>
      <c r="E220" s="5">
        <f>'Design Calculations'!F72</f>
        <v>34.789915966386552</v>
      </c>
      <c r="F220" s="5">
        <f>'Design Calculations'!G72</f>
        <v>29.223529411764762</v>
      </c>
      <c r="G220" s="5">
        <f>'Design Calculations'!H72</f>
        <v>1.1399999999999999</v>
      </c>
      <c r="H220" s="5">
        <f>'Design Calculations'!I72</f>
        <v>15.959999999999999</v>
      </c>
      <c r="I220" s="5" t="e">
        <f>'Design Calculations'!J72</f>
        <v>#N/A</v>
      </c>
      <c r="J220" s="5" t="e">
        <f>'Design Calculations'!K72</f>
        <v>#N/A</v>
      </c>
      <c r="K220" s="5" t="e">
        <f>'Design Calculations'!L72</f>
        <v>#N/A</v>
      </c>
      <c r="L220" s="5"/>
      <c r="M220" s="5">
        <f>0.000001*('Design Worksheet_BAT'!B$88)*(B221-B220)/(0.5*(E220+E221))+M219</f>
        <v>9.2897247337582722E-5</v>
      </c>
      <c r="N220" s="5">
        <f t="shared" si="3"/>
        <v>14.56</v>
      </c>
    </row>
    <row r="221" spans="1:14" x14ac:dyDescent="0.3">
      <c r="A221" s="5">
        <f>'Design Calculations'!B71</f>
        <v>1.0449999999999999</v>
      </c>
      <c r="B221" s="5">
        <f>'Design Calculations'!C71</f>
        <v>14.629999999999999</v>
      </c>
      <c r="C221" s="5">
        <f>'Design Calculations'!D71</f>
        <v>0.72745856353591154</v>
      </c>
      <c r="D221" s="5">
        <f>'Design Calculations'!E71</f>
        <v>34.789915966386552</v>
      </c>
      <c r="E221" s="5">
        <f>'Design Calculations'!F71</f>
        <v>34.789915966386552</v>
      </c>
      <c r="F221" s="5">
        <f>'Design Calculations'!G71</f>
        <v>26.788235294117754</v>
      </c>
      <c r="G221" s="5">
        <f>'Design Calculations'!H71</f>
        <v>1.145</v>
      </c>
      <c r="H221" s="5">
        <f>'Design Calculations'!I71</f>
        <v>16.03</v>
      </c>
      <c r="I221" s="5" t="e">
        <f>'Design Calculations'!J71</f>
        <v>#N/A</v>
      </c>
      <c r="J221" s="5" t="e">
        <f>'Design Calculations'!K71</f>
        <v>#N/A</v>
      </c>
      <c r="K221" s="5" t="e">
        <f>'Design Calculations'!L71</f>
        <v>#N/A</v>
      </c>
      <c r="L221" s="5"/>
      <c r="M221" s="5">
        <f>0.000001*('Design Worksheet_BAT'!B$88)*(B222-B221)/(0.5*(E221+E222))+M220</f>
        <v>9.3098455067051325E-5</v>
      </c>
      <c r="N221" s="5">
        <f t="shared" si="3"/>
        <v>14.629999999999999</v>
      </c>
    </row>
    <row r="222" spans="1:14" x14ac:dyDescent="0.3">
      <c r="A222" s="5">
        <f>'Design Calculations'!B70</f>
        <v>1.05</v>
      </c>
      <c r="B222" s="5">
        <f>'Design Calculations'!C70</f>
        <v>14.700000000000001</v>
      </c>
      <c r="C222" s="5">
        <f>'Design Calculations'!D70</f>
        <v>0.73093922651933707</v>
      </c>
      <c r="D222" s="5">
        <f>'Design Calculations'!E70</f>
        <v>34.789915966386552</v>
      </c>
      <c r="E222" s="5">
        <f>'Design Calculations'!F70</f>
        <v>34.789915966386552</v>
      </c>
      <c r="F222" s="5">
        <f>'Design Calculations'!G70</f>
        <v>24.352941176470623</v>
      </c>
      <c r="G222" s="5">
        <f>'Design Calculations'!H70</f>
        <v>1.1499999999999999</v>
      </c>
      <c r="H222" s="5">
        <f>'Design Calculations'!I70</f>
        <v>16.099999999999998</v>
      </c>
      <c r="I222" s="5" t="e">
        <f>'Design Calculations'!J70</f>
        <v>#N/A</v>
      </c>
      <c r="J222" s="5" t="e">
        <f>'Design Calculations'!K70</f>
        <v>#N/A</v>
      </c>
      <c r="K222" s="5" t="e">
        <f>'Design Calculations'!L70</f>
        <v>#N/A</v>
      </c>
      <c r="L222" s="5"/>
      <c r="M222" s="5">
        <f>0.000001*('Design Worksheet_BAT'!B$88)*(B223-B222)/(0.5*(E222+E223))+M221</f>
        <v>9.3299662796519914E-5</v>
      </c>
      <c r="N222" s="5">
        <f t="shared" si="3"/>
        <v>14.700000000000001</v>
      </c>
    </row>
    <row r="223" spans="1:14" x14ac:dyDescent="0.3">
      <c r="A223" s="5">
        <f>'Design Calculations'!B69</f>
        <v>1.0549999999999999</v>
      </c>
      <c r="B223" s="5">
        <f>'Design Calculations'!C69</f>
        <v>14.77</v>
      </c>
      <c r="C223" s="5">
        <f>'Design Calculations'!D69</f>
        <v>0.73441988950276238</v>
      </c>
      <c r="D223" s="5">
        <f>'Design Calculations'!E69</f>
        <v>34.789915966386552</v>
      </c>
      <c r="E223" s="5">
        <f>'Design Calculations'!F69</f>
        <v>34.789915966386552</v>
      </c>
      <c r="F223" s="5">
        <f>'Design Calculations'!G69</f>
        <v>21.917647058823615</v>
      </c>
      <c r="G223" s="5">
        <f>'Design Calculations'!H69</f>
        <v>1.155</v>
      </c>
      <c r="H223" s="5">
        <f>'Design Calculations'!I69</f>
        <v>16.170000000000002</v>
      </c>
      <c r="I223" s="5" t="e">
        <f>'Design Calculations'!J69</f>
        <v>#N/A</v>
      </c>
      <c r="J223" s="5" t="e">
        <f>'Design Calculations'!K69</f>
        <v>#N/A</v>
      </c>
      <c r="K223" s="5" t="e">
        <f>'Design Calculations'!L69</f>
        <v>#N/A</v>
      </c>
      <c r="L223" s="5"/>
      <c r="M223" s="5">
        <f>0.000001*('Design Worksheet_BAT'!B$88)*(B224-B223)/(0.5*(E223+E224))+M222</f>
        <v>9.3500870525988516E-5</v>
      </c>
      <c r="N223" s="5">
        <f t="shared" si="3"/>
        <v>14.77</v>
      </c>
    </row>
    <row r="224" spans="1:14" x14ac:dyDescent="0.3">
      <c r="A224" s="5">
        <f>'Design Calculations'!B68</f>
        <v>1.06</v>
      </c>
      <c r="B224" s="5">
        <f>'Design Calculations'!C68</f>
        <v>14.84</v>
      </c>
      <c r="C224" s="5">
        <f>'Design Calculations'!D68</f>
        <v>0.7379005524861878</v>
      </c>
      <c r="D224" s="5">
        <f>'Design Calculations'!E68</f>
        <v>34.789915966386552</v>
      </c>
      <c r="E224" s="5">
        <f>'Design Calculations'!F68</f>
        <v>34.789915966386552</v>
      </c>
      <c r="F224" s="5">
        <f>'Design Calculations'!G68</f>
        <v>19.482352941176547</v>
      </c>
      <c r="G224" s="5">
        <f>'Design Calculations'!H68</f>
        <v>1.1599999999999999</v>
      </c>
      <c r="H224" s="5">
        <f>'Design Calculations'!I68</f>
        <v>16.239999999999998</v>
      </c>
      <c r="I224" s="5" t="e">
        <f>'Design Calculations'!J68</f>
        <v>#N/A</v>
      </c>
      <c r="J224" s="5" t="e">
        <f>'Design Calculations'!K68</f>
        <v>#N/A</v>
      </c>
      <c r="K224" s="5" t="e">
        <f>'Design Calculations'!L68</f>
        <v>#N/A</v>
      </c>
      <c r="L224" s="5"/>
      <c r="M224" s="5">
        <f>0.000001*('Design Worksheet_BAT'!B$88)*(B225-B224)/(0.5*(E224+E225))+M223</f>
        <v>9.3702078255457119E-5</v>
      </c>
      <c r="N224" s="5">
        <f t="shared" si="3"/>
        <v>14.84</v>
      </c>
    </row>
    <row r="225" spans="1:14" x14ac:dyDescent="0.3">
      <c r="A225" s="5">
        <f>'Design Calculations'!B67</f>
        <v>1.0649999999999999</v>
      </c>
      <c r="B225" s="5">
        <f>'Design Calculations'!C67</f>
        <v>14.91</v>
      </c>
      <c r="C225" s="5">
        <f>'Design Calculations'!D67</f>
        <v>0.74138121546961322</v>
      </c>
      <c r="D225" s="5">
        <f>'Design Calculations'!E67</f>
        <v>34.789915966386552</v>
      </c>
      <c r="E225" s="5">
        <f>'Design Calculations'!F67</f>
        <v>34.789915966386552</v>
      </c>
      <c r="F225" s="5">
        <f>'Design Calculations'!G67</f>
        <v>17.047058823529479</v>
      </c>
      <c r="G225" s="5">
        <f>'Design Calculations'!H67</f>
        <v>1.165</v>
      </c>
      <c r="H225" s="5">
        <f>'Design Calculations'!I67</f>
        <v>16.310000000000002</v>
      </c>
      <c r="I225" s="5" t="e">
        <f>'Design Calculations'!J67</f>
        <v>#N/A</v>
      </c>
      <c r="J225" s="5" t="e">
        <f>'Design Calculations'!K67</f>
        <v>#N/A</v>
      </c>
      <c r="K225" s="5" t="e">
        <f>'Design Calculations'!L67</f>
        <v>#N/A</v>
      </c>
      <c r="L225" s="5"/>
      <c r="M225" s="5">
        <f>0.000001*('Design Worksheet_BAT'!B$88)*(B226-B225)/(0.5*(E225+E226))+M224</f>
        <v>9.3903285984925722E-5</v>
      </c>
      <c r="N225" s="5">
        <f t="shared" si="3"/>
        <v>14.91</v>
      </c>
    </row>
    <row r="226" spans="1:14" x14ac:dyDescent="0.3">
      <c r="A226" s="5">
        <f>'Design Calculations'!B66</f>
        <v>1.07</v>
      </c>
      <c r="B226" s="5">
        <f>'Design Calculations'!C66</f>
        <v>14.98</v>
      </c>
      <c r="C226" s="5">
        <f>'Design Calculations'!D66</f>
        <v>0.74486187845303864</v>
      </c>
      <c r="D226" s="5">
        <f>'Design Calculations'!E66</f>
        <v>34.789915966386552</v>
      </c>
      <c r="E226" s="5">
        <f>'Design Calculations'!F66</f>
        <v>34.789915966386552</v>
      </c>
      <c r="F226" s="5">
        <f>'Design Calculations'!G66</f>
        <v>14.611764705882411</v>
      </c>
      <c r="G226" s="5">
        <f>'Design Calculations'!H66</f>
        <v>1.17</v>
      </c>
      <c r="H226" s="5">
        <f>'Design Calculations'!I66</f>
        <v>16.38</v>
      </c>
      <c r="I226" s="5" t="e">
        <f>'Design Calculations'!J66</f>
        <v>#N/A</v>
      </c>
      <c r="J226" s="5" t="e">
        <f>'Design Calculations'!K66</f>
        <v>#N/A</v>
      </c>
      <c r="K226" s="5" t="e">
        <f>'Design Calculations'!L66</f>
        <v>#N/A</v>
      </c>
      <c r="L226" s="5"/>
      <c r="M226" s="5">
        <f>0.000001*('Design Worksheet_BAT'!B$88)*(B227-B226)/(0.5*(E226+E227))+M225</f>
        <v>9.4104493714394311E-5</v>
      </c>
      <c r="N226" s="5">
        <f t="shared" si="3"/>
        <v>14.98</v>
      </c>
    </row>
    <row r="227" spans="1:14" x14ac:dyDescent="0.3">
      <c r="A227" s="5">
        <f>'Design Calculations'!B65</f>
        <v>1.075</v>
      </c>
      <c r="B227" s="5">
        <f>'Design Calculations'!C65</f>
        <v>15.049999999999999</v>
      </c>
      <c r="C227" s="5">
        <f>'Design Calculations'!D65</f>
        <v>0.74834254143646395</v>
      </c>
      <c r="D227" s="5">
        <f>'Design Calculations'!E65</f>
        <v>34.789915966386552</v>
      </c>
      <c r="E227" s="5">
        <f>'Design Calculations'!F65</f>
        <v>34.789915966386552</v>
      </c>
      <c r="F227" s="5">
        <f>'Design Calculations'!G65</f>
        <v>12.176470588235404</v>
      </c>
      <c r="G227" s="5">
        <f>'Design Calculations'!H65</f>
        <v>1.175</v>
      </c>
      <c r="H227" s="5">
        <f>'Design Calculations'!I65</f>
        <v>16.45</v>
      </c>
      <c r="I227" s="5" t="e">
        <f>'Design Calculations'!J65</f>
        <v>#N/A</v>
      </c>
      <c r="J227" s="5" t="e">
        <f>'Design Calculations'!K65</f>
        <v>#N/A</v>
      </c>
      <c r="K227" s="5" t="e">
        <f>'Design Calculations'!L65</f>
        <v>#N/A</v>
      </c>
      <c r="L227" s="5"/>
      <c r="M227" s="5">
        <f>0.000001*('Design Worksheet_BAT'!B$88)*(B228-B227)/(0.5*(E227+E228))+M226</f>
        <v>9.4305701443862913E-5</v>
      </c>
      <c r="N227" s="5">
        <f t="shared" si="3"/>
        <v>15.049999999999999</v>
      </c>
    </row>
    <row r="228" spans="1:14" x14ac:dyDescent="0.3">
      <c r="A228" s="5">
        <f>'Design Calculations'!B64</f>
        <v>1.08</v>
      </c>
      <c r="B228" s="5">
        <f>'Design Calculations'!C64</f>
        <v>15.120000000000001</v>
      </c>
      <c r="C228" s="5">
        <f>'Design Calculations'!D64</f>
        <v>0.75182320441988959</v>
      </c>
      <c r="D228" s="5">
        <f>'Design Calculations'!E64</f>
        <v>34.789915966386552</v>
      </c>
      <c r="E228" s="5">
        <f>'Design Calculations'!F64</f>
        <v>34.789915966386552</v>
      </c>
      <c r="F228" s="5">
        <f>'Design Calculations'!G64</f>
        <v>9.7411764705882735</v>
      </c>
      <c r="G228" s="5">
        <f>'Design Calculations'!H64</f>
        <v>1.18</v>
      </c>
      <c r="H228" s="5">
        <f>'Design Calculations'!I64</f>
        <v>16.52</v>
      </c>
      <c r="I228" s="5" t="e">
        <f>'Design Calculations'!J64</f>
        <v>#N/A</v>
      </c>
      <c r="J228" s="5" t="e">
        <f>'Design Calculations'!K64</f>
        <v>#N/A</v>
      </c>
      <c r="K228" s="5" t="e">
        <f>'Design Calculations'!L64</f>
        <v>#N/A</v>
      </c>
      <c r="L228" s="5"/>
      <c r="M228" s="5">
        <f>0.000001*('Design Worksheet_BAT'!B$88)*(B229-B228)/(0.5*(E228+E229))+M227</f>
        <v>9.4506909173331502E-5</v>
      </c>
      <c r="N228" s="5">
        <f t="shared" si="3"/>
        <v>15.120000000000001</v>
      </c>
    </row>
    <row r="229" spans="1:14" x14ac:dyDescent="0.3">
      <c r="A229" s="5">
        <f>'Design Calculations'!B63</f>
        <v>1.085</v>
      </c>
      <c r="B229" s="5">
        <f>'Design Calculations'!C63</f>
        <v>15.19</v>
      </c>
      <c r="C229" s="5">
        <f>'Design Calculations'!D63</f>
        <v>0.7553038674033149</v>
      </c>
      <c r="D229" s="5">
        <f>'Design Calculations'!E63</f>
        <v>34.789915966386552</v>
      </c>
      <c r="E229" s="5">
        <f>'Design Calculations'!F63</f>
        <v>34.789915966386552</v>
      </c>
      <c r="F229" s="5">
        <f>'Design Calculations'!G63</f>
        <v>7.3058823529412678</v>
      </c>
      <c r="G229" s="5">
        <f>'Design Calculations'!H63</f>
        <v>1.1850000000000001</v>
      </c>
      <c r="H229" s="5">
        <f>'Design Calculations'!I63</f>
        <v>16.59</v>
      </c>
      <c r="I229" s="5" t="e">
        <f>'Design Calculations'!J63</f>
        <v>#N/A</v>
      </c>
      <c r="J229" s="5" t="e">
        <f>'Design Calculations'!K63</f>
        <v>#N/A</v>
      </c>
      <c r="K229" s="5" t="e">
        <f>'Design Calculations'!L63</f>
        <v>#N/A</v>
      </c>
      <c r="L229" s="5"/>
      <c r="M229" s="5">
        <f>0.000001*('Design Worksheet_BAT'!B$88)*(B230-B229)/(0.5*(E229+E230))+M228</f>
        <v>9.4708116902800105E-5</v>
      </c>
      <c r="N229" s="5">
        <f t="shared" si="3"/>
        <v>15.19</v>
      </c>
    </row>
    <row r="230" spans="1:14" x14ac:dyDescent="0.3">
      <c r="A230" s="5">
        <f>'Design Calculations'!B62</f>
        <v>1.0900000000000001</v>
      </c>
      <c r="B230" s="5">
        <f>'Design Calculations'!C62</f>
        <v>15.260000000000002</v>
      </c>
      <c r="C230" s="5">
        <f>'Design Calculations'!D62</f>
        <v>0.75878453038674043</v>
      </c>
      <c r="D230" s="5">
        <f>'Design Calculations'!E62</f>
        <v>34.789915966386552</v>
      </c>
      <c r="E230" s="5">
        <f>'Design Calculations'!F62</f>
        <v>34.789915966386552</v>
      </c>
      <c r="F230" s="5">
        <f>'Design Calculations'!G62</f>
        <v>4.8705882352941368</v>
      </c>
      <c r="G230" s="5">
        <f>'Design Calculations'!H62</f>
        <v>1.19</v>
      </c>
      <c r="H230" s="5">
        <f>'Design Calculations'!I62</f>
        <v>16.66</v>
      </c>
      <c r="I230" s="5" t="e">
        <f>'Design Calculations'!J62</f>
        <v>#N/A</v>
      </c>
      <c r="J230" s="5" t="e">
        <f>'Design Calculations'!K62</f>
        <v>#N/A</v>
      </c>
      <c r="K230" s="5" t="e">
        <f>'Design Calculations'!L62</f>
        <v>#N/A</v>
      </c>
      <c r="L230" s="5"/>
      <c r="M230" s="5">
        <f>0.000001*('Design Worksheet_BAT'!B$88)*(B231-B230)/(0.5*(E230+E231))+M229</f>
        <v>9.4909324632268694E-5</v>
      </c>
      <c r="N230" s="5">
        <f t="shared" si="3"/>
        <v>15.260000000000002</v>
      </c>
    </row>
    <row r="231" spans="1:14" x14ac:dyDescent="0.3">
      <c r="A231" s="5">
        <f>'Design Calculations'!B61</f>
        <v>1.095</v>
      </c>
      <c r="B231" s="5">
        <f>'Design Calculations'!C61</f>
        <v>15.33</v>
      </c>
      <c r="C231" s="5">
        <f>'Design Calculations'!D61</f>
        <v>0.76226519337016574</v>
      </c>
      <c r="D231" s="5">
        <f>'Design Calculations'!E61</f>
        <v>34.789915966386552</v>
      </c>
      <c r="E231" s="5">
        <f>'Design Calculations'!F61</f>
        <v>34.789915966386552</v>
      </c>
      <c r="F231" s="5">
        <f>'Design Calculations'!G61</f>
        <v>2.4352941176471301</v>
      </c>
      <c r="G231" s="5">
        <f>'Design Calculations'!H61</f>
        <v>1.1950000000000001</v>
      </c>
      <c r="H231" s="5">
        <f>'Design Calculations'!I61</f>
        <v>16.73</v>
      </c>
      <c r="I231" s="5" t="e">
        <f>'Design Calculations'!J61</f>
        <v>#N/A</v>
      </c>
      <c r="J231" s="5" t="e">
        <f>'Design Calculations'!K61</f>
        <v>#N/A</v>
      </c>
      <c r="K231" s="5" t="e">
        <f>'Design Calculations'!L61</f>
        <v>#N/A</v>
      </c>
      <c r="L231" s="5"/>
      <c r="M231" s="5">
        <f>0.000001*('Design Worksheet_BAT'!B$88)*(B232-B231)/(0.5*(E231+E232))+M230</f>
        <v>9.5110532361737297E-5</v>
      </c>
      <c r="N231" s="5">
        <f t="shared" si="3"/>
        <v>15.33</v>
      </c>
    </row>
    <row r="232" spans="1:14" x14ac:dyDescent="0.3">
      <c r="A232" s="5">
        <f>'Design Calculations'!B60</f>
        <v>1.1000000000000001</v>
      </c>
      <c r="B232" s="5">
        <f>'Design Calculations'!C60</f>
        <v>15.400000000000002</v>
      </c>
      <c r="C232" s="5">
        <f>'Design Calculations'!D60</f>
        <v>0.76574585635359127</v>
      </c>
      <c r="D232" s="5">
        <f>'Design Calculations'!E60</f>
        <v>34.789915966386552</v>
      </c>
      <c r="E232" s="5">
        <f>'Design Calculations'!F60</f>
        <v>34.789915966386552</v>
      </c>
      <c r="F232" s="5">
        <f>'Design Calculations'!G60</f>
        <v>0</v>
      </c>
      <c r="G232" s="5">
        <f>'Design Calculations'!H60</f>
        <v>1.2</v>
      </c>
      <c r="H232" s="5">
        <f>'Design Calculations'!I60</f>
        <v>16.8</v>
      </c>
      <c r="I232" s="5" t="e">
        <f>'Design Calculations'!J60</f>
        <v>#N/A</v>
      </c>
      <c r="J232" s="5" t="e">
        <f>'Design Calculations'!K60</f>
        <v>#N/A</v>
      </c>
      <c r="K232" s="5" t="e">
        <f>'Design Calculations'!L60</f>
        <v>#N/A</v>
      </c>
      <c r="L232" s="5"/>
      <c r="M232" s="5">
        <f>0.000001*('Design Worksheet_BAT'!B$88)*(B233-B232)/(0.5*(E232+E233))+M231</f>
        <v>9.5512947820674475E-5</v>
      </c>
      <c r="N232" s="5">
        <f t="shared" si="3"/>
        <v>15.400000000000002</v>
      </c>
    </row>
    <row r="233" spans="1:14" x14ac:dyDescent="0.3">
      <c r="A233" s="5">
        <v>1.105</v>
      </c>
      <c r="B233" s="5">
        <f t="shared" ref="B233:B296" si="4">A233*VOFLB</f>
        <v>15.469999999999999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>
        <f>0.000001*('Design Worksheet_BAT'!B$88)*(B233-B232)/E$232+M232</f>
        <v>9.5714155550143064E-5</v>
      </c>
      <c r="N233" s="5">
        <f t="shared" si="3"/>
        <v>15.469999999999999</v>
      </c>
    </row>
    <row r="234" spans="1:14" x14ac:dyDescent="0.3">
      <c r="A234" s="5">
        <v>1.1100000000000001</v>
      </c>
      <c r="B234" s="5">
        <f t="shared" si="4"/>
        <v>15.540000000000001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>
        <f>0.000001*('Design Worksheet_BAT'!B$88)*(B234-B233)/E$232+M233</f>
        <v>9.5915363279611666E-5</v>
      </c>
      <c r="N234" s="5">
        <f t="shared" si="3"/>
        <v>15.540000000000001</v>
      </c>
    </row>
    <row r="235" spans="1:14" x14ac:dyDescent="0.3">
      <c r="A235" s="5">
        <v>1.115</v>
      </c>
      <c r="B235" s="5">
        <f t="shared" si="4"/>
        <v>15.61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>
        <f>0.000001*('Design Worksheet_BAT'!B$88)*(B235-B234)/E$232+M234</f>
        <v>9.6116571009080255E-5</v>
      </c>
      <c r="N235" s="5">
        <f t="shared" si="3"/>
        <v>15.61</v>
      </c>
    </row>
    <row r="236" spans="1:14" x14ac:dyDescent="0.3">
      <c r="A236" s="5">
        <v>1.1200000000000001</v>
      </c>
      <c r="B236" s="5">
        <f t="shared" si="4"/>
        <v>15.680000000000001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>
        <f>0.000001*('Design Worksheet_BAT'!B$88)*(B236-B235)/E$232+M235</f>
        <v>9.6317778738548858E-5</v>
      </c>
      <c r="N236" s="5">
        <f t="shared" si="3"/>
        <v>15.680000000000001</v>
      </c>
    </row>
    <row r="237" spans="1:14" x14ac:dyDescent="0.3">
      <c r="A237" s="5">
        <v>1.125</v>
      </c>
      <c r="B237" s="5">
        <f t="shared" si="4"/>
        <v>15.75</v>
      </c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>
        <f>0.000001*('Design Worksheet_BAT'!B$88)*(B237-B236)/E$232+M236</f>
        <v>9.6518986468017447E-5</v>
      </c>
      <c r="N237" s="5">
        <f t="shared" si="3"/>
        <v>15.75</v>
      </c>
    </row>
    <row r="238" spans="1:14" x14ac:dyDescent="0.3">
      <c r="A238" s="5">
        <v>1.1299999999999999</v>
      </c>
      <c r="B238" s="5">
        <f t="shared" si="4"/>
        <v>15.819999999999999</v>
      </c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>
        <f>0.000001*('Design Worksheet_BAT'!B$88)*(B238-B237)/E$232+M237</f>
        <v>9.6720194197486036E-5</v>
      </c>
      <c r="N238" s="5">
        <f t="shared" si="3"/>
        <v>15.819999999999999</v>
      </c>
    </row>
    <row r="239" spans="1:14" x14ac:dyDescent="0.3">
      <c r="A239" s="5">
        <v>1.135</v>
      </c>
      <c r="B239" s="5">
        <f t="shared" si="4"/>
        <v>15.89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>
        <f>0.000001*('Design Worksheet_BAT'!B$88)*(B239-B238)/E$232+M238</f>
        <v>9.6921401926954639E-5</v>
      </c>
      <c r="N239" s="5">
        <f t="shared" si="3"/>
        <v>15.89</v>
      </c>
    </row>
    <row r="240" spans="1:14" x14ac:dyDescent="0.3">
      <c r="A240" s="5">
        <v>1.1399999999999999</v>
      </c>
      <c r="B240" s="5">
        <f t="shared" si="4"/>
        <v>15.959999999999999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>
        <f>0.000001*('Design Worksheet_BAT'!B$88)*(B240-B239)/E$232+M239</f>
        <v>9.7122609656423228E-5</v>
      </c>
      <c r="N240" s="5">
        <f t="shared" si="3"/>
        <v>15.959999999999999</v>
      </c>
    </row>
    <row r="241" spans="1:14" x14ac:dyDescent="0.3">
      <c r="A241" s="5">
        <v>1.145</v>
      </c>
      <c r="B241" s="5">
        <f t="shared" si="4"/>
        <v>16.03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>
        <f>0.000001*('Design Worksheet_BAT'!B$88)*(B241-B240)/E$232+M240</f>
        <v>9.7323817385891831E-5</v>
      </c>
      <c r="N241" s="5">
        <f t="shared" si="3"/>
        <v>16.03</v>
      </c>
    </row>
    <row r="242" spans="1:14" x14ac:dyDescent="0.3">
      <c r="A242" s="5">
        <v>1.1499999999999999</v>
      </c>
      <c r="B242" s="5">
        <f t="shared" si="4"/>
        <v>16.099999999999998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>
        <f>0.000001*('Design Worksheet_BAT'!B$88)*(B242-B241)/E$232+M241</f>
        <v>9.752502511536042E-5</v>
      </c>
      <c r="N242" s="5">
        <f t="shared" ref="N242:N288" si="5">B242</f>
        <v>16.099999999999998</v>
      </c>
    </row>
    <row r="243" spans="1:14" x14ac:dyDescent="0.3">
      <c r="A243" s="5">
        <v>1.155</v>
      </c>
      <c r="B243" s="5">
        <f t="shared" si="4"/>
        <v>16.170000000000002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>
        <f>0.000001*('Design Worksheet_BAT'!B$88)*(B243-B242)/E$232+M242</f>
        <v>9.7726232844829036E-5</v>
      </c>
      <c r="N243" s="5">
        <f t="shared" si="5"/>
        <v>16.170000000000002</v>
      </c>
    </row>
    <row r="244" spans="1:14" x14ac:dyDescent="0.3">
      <c r="A244" s="5">
        <v>1.1599999999999999</v>
      </c>
      <c r="B244" s="5">
        <f t="shared" si="4"/>
        <v>16.239999999999998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>
        <f>0.000001*('Design Worksheet_BAT'!B$88)*(B244-B243)/E$232+M243</f>
        <v>9.7927440574297625E-5</v>
      </c>
      <c r="N244" s="5">
        <f t="shared" si="5"/>
        <v>16.239999999999998</v>
      </c>
    </row>
    <row r="245" spans="1:14" x14ac:dyDescent="0.3">
      <c r="A245" s="5">
        <v>1.165</v>
      </c>
      <c r="B245" s="5">
        <f t="shared" si="4"/>
        <v>16.310000000000002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>
        <f>0.000001*('Design Worksheet_BAT'!B$88)*(B245-B244)/E$232+M244</f>
        <v>9.8128648303766241E-5</v>
      </c>
      <c r="N245" s="5">
        <f t="shared" si="5"/>
        <v>16.310000000000002</v>
      </c>
    </row>
    <row r="246" spans="1:14" x14ac:dyDescent="0.3">
      <c r="A246" s="5">
        <v>1.17</v>
      </c>
      <c r="B246" s="5">
        <f t="shared" si="4"/>
        <v>16.38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>
        <f>0.000001*('Design Worksheet_BAT'!B$88)*(B246-B245)/E$232+M245</f>
        <v>9.832985603323483E-5</v>
      </c>
      <c r="N246" s="5">
        <f t="shared" si="5"/>
        <v>16.38</v>
      </c>
    </row>
    <row r="247" spans="1:14" x14ac:dyDescent="0.3">
      <c r="A247" s="5">
        <v>1.175</v>
      </c>
      <c r="B247" s="5">
        <f t="shared" si="4"/>
        <v>16.45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>
        <f>0.000001*('Design Worksheet_BAT'!B$88)*(B247-B246)/E$232+M246</f>
        <v>9.8531063762703433E-5</v>
      </c>
      <c r="N247" s="5">
        <f t="shared" si="5"/>
        <v>16.45</v>
      </c>
    </row>
    <row r="248" spans="1:14" x14ac:dyDescent="0.3">
      <c r="A248" s="5">
        <v>1.18</v>
      </c>
      <c r="B248" s="5">
        <f t="shared" si="4"/>
        <v>16.52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>
        <f>0.000001*('Design Worksheet_BAT'!B$88)*(B248-B247)/E$232+M247</f>
        <v>9.8732271492172035E-5</v>
      </c>
      <c r="N248" s="5">
        <f t="shared" si="5"/>
        <v>16.52</v>
      </c>
    </row>
    <row r="249" spans="1:14" x14ac:dyDescent="0.3">
      <c r="A249" s="5">
        <v>1.1850000000000001</v>
      </c>
      <c r="B249" s="5">
        <f t="shared" si="4"/>
        <v>16.59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>
        <f>0.000001*('Design Worksheet_BAT'!B$88)*(B249-B248)/E$232+M248</f>
        <v>9.8933479221640638E-5</v>
      </c>
      <c r="N249" s="5">
        <f t="shared" si="5"/>
        <v>16.59</v>
      </c>
    </row>
    <row r="250" spans="1:14" x14ac:dyDescent="0.3">
      <c r="A250" s="5">
        <v>1.19</v>
      </c>
      <c r="B250" s="5">
        <f t="shared" si="4"/>
        <v>16.66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>
        <f>0.000001*('Design Worksheet_BAT'!B$88)*(B250-B249)/E$232+M249</f>
        <v>9.913468695110924E-5</v>
      </c>
      <c r="N250" s="5">
        <f t="shared" si="5"/>
        <v>16.66</v>
      </c>
    </row>
    <row r="251" spans="1:14" x14ac:dyDescent="0.3">
      <c r="A251" s="5">
        <v>1.1950000000000001</v>
      </c>
      <c r="B251" s="5">
        <f t="shared" si="4"/>
        <v>16.73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>
        <f>0.000001*('Design Worksheet_BAT'!B$88)*(B251-B250)/E$232+M250</f>
        <v>9.9335894680577843E-5</v>
      </c>
      <c r="N251" s="5">
        <f t="shared" si="5"/>
        <v>16.73</v>
      </c>
    </row>
    <row r="252" spans="1:14" x14ac:dyDescent="0.3">
      <c r="A252" s="5">
        <v>1.2</v>
      </c>
      <c r="B252" s="5">
        <f t="shared" si="4"/>
        <v>16.8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>
        <f>0.000001*('Design Worksheet_BAT'!B$88)*(B252-B251)/E$232+M251</f>
        <v>9.9537102410046446E-5</v>
      </c>
      <c r="N252" s="5">
        <f t="shared" si="5"/>
        <v>16.8</v>
      </c>
    </row>
    <row r="253" spans="1:14" x14ac:dyDescent="0.3">
      <c r="A253" s="5">
        <v>1.2050000000000001</v>
      </c>
      <c r="B253" s="5">
        <f t="shared" si="4"/>
        <v>16.87</v>
      </c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>
        <f>0.000001*('Design Worksheet_BAT'!B$88)*(B253-B252)/E$232+M252</f>
        <v>9.9738310139515048E-5</v>
      </c>
      <c r="N253" s="5">
        <f t="shared" si="5"/>
        <v>16.87</v>
      </c>
    </row>
    <row r="254" spans="1:14" x14ac:dyDescent="0.3">
      <c r="A254" s="5">
        <v>1.21</v>
      </c>
      <c r="B254" s="5">
        <f t="shared" si="4"/>
        <v>16.939999999999998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>
        <f>0.000001*('Design Worksheet_BAT'!B$88)*(B254-B253)/E$232+M253</f>
        <v>9.9939517868983637E-5</v>
      </c>
      <c r="N254" s="5">
        <f t="shared" si="5"/>
        <v>16.939999999999998</v>
      </c>
    </row>
    <row r="255" spans="1:14" x14ac:dyDescent="0.3">
      <c r="A255" s="5">
        <v>1.2150000000000001</v>
      </c>
      <c r="B255" s="5">
        <f t="shared" si="4"/>
        <v>17.010000000000002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>
        <f>0.000001*('Design Worksheet_BAT'!B$88)*(B255-B254)/E$232+M254</f>
        <v>1.0014072559845225E-4</v>
      </c>
      <c r="N255" s="5">
        <f t="shared" si="5"/>
        <v>17.010000000000002</v>
      </c>
    </row>
    <row r="256" spans="1:14" x14ac:dyDescent="0.3">
      <c r="A256" s="5">
        <v>1.22</v>
      </c>
      <c r="B256" s="5">
        <f t="shared" si="4"/>
        <v>17.079999999999998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>
        <f>0.000001*('Design Worksheet_BAT'!B$88)*(B256-B255)/E$232+M255</f>
        <v>1.0034193332792084E-4</v>
      </c>
      <c r="N256" s="5">
        <f t="shared" si="5"/>
        <v>17.079999999999998</v>
      </c>
    </row>
    <row r="257" spans="1:14" x14ac:dyDescent="0.3">
      <c r="A257" s="5">
        <v>1.2250000000000001</v>
      </c>
      <c r="B257" s="5">
        <f t="shared" si="4"/>
        <v>17.150000000000002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>
        <f>0.000001*('Design Worksheet_BAT'!B$88)*(B257-B256)/E$232+M256</f>
        <v>1.0054314105738946E-4</v>
      </c>
      <c r="N257" s="5">
        <f t="shared" si="5"/>
        <v>17.150000000000002</v>
      </c>
    </row>
    <row r="258" spans="1:14" x14ac:dyDescent="0.3">
      <c r="A258" s="5">
        <v>1.23</v>
      </c>
      <c r="B258" s="5">
        <f t="shared" si="4"/>
        <v>17.22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>
        <f>0.000001*('Design Worksheet_BAT'!B$88)*(B258-B257)/E$232+M257</f>
        <v>1.0074434878685805E-4</v>
      </c>
      <c r="N258" s="5">
        <f t="shared" si="5"/>
        <v>17.22</v>
      </c>
    </row>
    <row r="259" spans="1:14" x14ac:dyDescent="0.3">
      <c r="A259" s="5">
        <v>1.2350000000000001</v>
      </c>
      <c r="B259" s="5">
        <f t="shared" si="4"/>
        <v>17.290000000000003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>
        <f>0.000001*('Design Worksheet_BAT'!B$88)*(B259-B258)/E$232+M258</f>
        <v>1.0094555651632666E-4</v>
      </c>
      <c r="N259" s="5">
        <f t="shared" si="5"/>
        <v>17.290000000000003</v>
      </c>
    </row>
    <row r="260" spans="1:14" x14ac:dyDescent="0.3">
      <c r="A260" s="5">
        <v>1.24</v>
      </c>
      <c r="B260" s="5">
        <f t="shared" si="4"/>
        <v>17.36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>
        <f>0.000001*('Design Worksheet_BAT'!B$88)*(B260-B259)/E$232+M259</f>
        <v>1.0114676424579525E-4</v>
      </c>
      <c r="N260" s="5">
        <f t="shared" si="5"/>
        <v>17.36</v>
      </c>
    </row>
    <row r="261" spans="1:14" x14ac:dyDescent="0.3">
      <c r="A261" s="5">
        <v>1.2450000000000001</v>
      </c>
      <c r="B261" s="5">
        <f t="shared" si="4"/>
        <v>17.43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>
        <f>0.000001*('Design Worksheet_BAT'!B$88)*(B261-B260)/E$232+M260</f>
        <v>1.0134797197526386E-4</v>
      </c>
      <c r="N261" s="5">
        <f t="shared" si="5"/>
        <v>17.43</v>
      </c>
    </row>
    <row r="262" spans="1:14" x14ac:dyDescent="0.3">
      <c r="A262" s="5">
        <v>1.25</v>
      </c>
      <c r="B262" s="5">
        <f t="shared" si="4"/>
        <v>17.5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>
        <f>0.000001*('Design Worksheet_BAT'!B$88)*(B262-B261)/E$232+M261</f>
        <v>1.0154917970473246E-4</v>
      </c>
      <c r="N262" s="5">
        <f t="shared" si="5"/>
        <v>17.5</v>
      </c>
    </row>
    <row r="263" spans="1:14" x14ac:dyDescent="0.3">
      <c r="A263" s="5">
        <v>1.2549999999999999</v>
      </c>
      <c r="B263" s="5">
        <f t="shared" si="4"/>
        <v>17.57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>
        <f>0.000001*('Design Worksheet_BAT'!B$88)*(B263-B262)/E$232+M262</f>
        <v>1.0175038743420106E-4</v>
      </c>
      <c r="N263" s="5">
        <f t="shared" si="5"/>
        <v>17.57</v>
      </c>
    </row>
    <row r="264" spans="1:14" x14ac:dyDescent="0.3">
      <c r="A264" s="5">
        <v>1.26</v>
      </c>
      <c r="B264" s="5">
        <f t="shared" si="4"/>
        <v>17.64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>
        <f>0.000001*('Design Worksheet_BAT'!B$88)*(B264-B263)/E$232+M263</f>
        <v>1.0195159516366966E-4</v>
      </c>
      <c r="N264" s="5">
        <f t="shared" si="5"/>
        <v>17.64</v>
      </c>
    </row>
    <row r="265" spans="1:14" x14ac:dyDescent="0.3">
      <c r="A265" s="5">
        <v>1.2649999999999999</v>
      </c>
      <c r="B265" s="5">
        <f t="shared" si="4"/>
        <v>17.709999999999997</v>
      </c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>
        <f>0.000001*('Design Worksheet_BAT'!B$88)*(B265-B264)/E$232+M264</f>
        <v>1.0215280289313825E-4</v>
      </c>
      <c r="N265" s="5">
        <f t="shared" si="5"/>
        <v>17.709999999999997</v>
      </c>
    </row>
    <row r="266" spans="1:14" x14ac:dyDescent="0.3">
      <c r="A266" s="5">
        <v>1.27</v>
      </c>
      <c r="B266" s="5">
        <f t="shared" si="4"/>
        <v>17.78</v>
      </c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>
        <f>0.000001*('Design Worksheet_BAT'!B$88)*(B266-B265)/E$232+M265</f>
        <v>1.0235401062260687E-4</v>
      </c>
      <c r="N266" s="5">
        <f t="shared" si="5"/>
        <v>17.78</v>
      </c>
    </row>
    <row r="267" spans="1:14" x14ac:dyDescent="0.3">
      <c r="A267" s="5">
        <v>1.2749999999999999</v>
      </c>
      <c r="B267" s="5">
        <f t="shared" si="4"/>
        <v>17.849999999999998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>
        <f>0.000001*('Design Worksheet_BAT'!B$88)*(B267-B266)/E$232+M266</f>
        <v>1.0255521835207546E-4</v>
      </c>
      <c r="N267" s="5">
        <f t="shared" si="5"/>
        <v>17.849999999999998</v>
      </c>
    </row>
    <row r="268" spans="1:14" x14ac:dyDescent="0.3">
      <c r="A268" s="5">
        <v>1.28</v>
      </c>
      <c r="B268" s="5">
        <f t="shared" si="4"/>
        <v>17.920000000000002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>
        <f>0.000001*('Design Worksheet_BAT'!B$88)*(B268-B267)/E$232+M267</f>
        <v>1.0275642608154407E-4</v>
      </c>
      <c r="N268" s="5">
        <f t="shared" si="5"/>
        <v>17.920000000000002</v>
      </c>
    </row>
    <row r="269" spans="1:14" x14ac:dyDescent="0.3">
      <c r="A269" s="5">
        <v>1.2849999999999999</v>
      </c>
      <c r="B269" s="5">
        <f t="shared" si="4"/>
        <v>17.989999999999998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>
        <f>0.000001*('Design Worksheet_BAT'!B$88)*(B269-B268)/E$232+M268</f>
        <v>1.0295763381101266E-4</v>
      </c>
      <c r="N269" s="5">
        <f t="shared" si="5"/>
        <v>17.989999999999998</v>
      </c>
    </row>
    <row r="270" spans="1:14" x14ac:dyDescent="0.3">
      <c r="A270" s="5">
        <v>1.29</v>
      </c>
      <c r="B270" s="5">
        <f t="shared" si="4"/>
        <v>18.060000000000002</v>
      </c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>
        <f>0.000001*('Design Worksheet_BAT'!B$88)*(B270-B269)/E$232+M269</f>
        <v>1.0315884154048128E-4</v>
      </c>
      <c r="N270" s="5">
        <f t="shared" si="5"/>
        <v>18.060000000000002</v>
      </c>
    </row>
    <row r="271" spans="1:14" x14ac:dyDescent="0.3">
      <c r="A271" s="5">
        <v>1.2949999999999999</v>
      </c>
      <c r="B271" s="5">
        <f t="shared" si="4"/>
        <v>18.13</v>
      </c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>
        <f>0.000001*('Design Worksheet_BAT'!B$88)*(B271-B270)/E$232+M270</f>
        <v>1.0336004926994987E-4</v>
      </c>
      <c r="N271" s="5">
        <f t="shared" si="5"/>
        <v>18.13</v>
      </c>
    </row>
    <row r="272" spans="1:14" x14ac:dyDescent="0.3">
      <c r="A272" s="5">
        <v>1.3</v>
      </c>
      <c r="B272" s="5">
        <f t="shared" si="4"/>
        <v>18.2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>
        <f>0.000001*('Design Worksheet_BAT'!B$88)*(B272-B271)/E$232+M271</f>
        <v>1.0356125699941847E-4</v>
      </c>
      <c r="N272" s="5">
        <f t="shared" si="5"/>
        <v>18.2</v>
      </c>
    </row>
    <row r="273" spans="1:14" x14ac:dyDescent="0.3">
      <c r="A273" s="5">
        <v>1.3050000000000099</v>
      </c>
      <c r="B273" s="5">
        <f t="shared" si="4"/>
        <v>18.270000000000138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>
        <f>0.000001*('Design Worksheet_BAT'!B$88)*(B273-B272)/E$232+M272</f>
        <v>1.0376246472888747E-4</v>
      </c>
      <c r="N273" s="5">
        <f t="shared" si="5"/>
        <v>18.270000000000138</v>
      </c>
    </row>
    <row r="274" spans="1:14" x14ac:dyDescent="0.3">
      <c r="A274" s="5">
        <v>1.31</v>
      </c>
      <c r="B274" s="5">
        <f t="shared" si="4"/>
        <v>18.34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>
        <f>0.000001*('Design Worksheet_BAT'!B$88)*(B274-B273)/E$232+M273</f>
        <v>1.0396367245835566E-4</v>
      </c>
      <c r="N274" s="5">
        <f t="shared" si="5"/>
        <v>18.34</v>
      </c>
    </row>
    <row r="275" spans="1:14" x14ac:dyDescent="0.3">
      <c r="A275" s="5">
        <v>1.3150000000000099</v>
      </c>
      <c r="B275" s="5">
        <f t="shared" si="4"/>
        <v>18.410000000000139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>
        <f>0.000001*('Design Worksheet_BAT'!B$88)*(B275-B274)/E$232+M274</f>
        <v>1.0416488018782466E-4</v>
      </c>
      <c r="N275" s="5">
        <f t="shared" si="5"/>
        <v>18.410000000000139</v>
      </c>
    </row>
    <row r="276" spans="1:14" x14ac:dyDescent="0.3">
      <c r="A276" s="5">
        <v>1.32</v>
      </c>
      <c r="B276" s="5">
        <f t="shared" si="4"/>
        <v>18.48</v>
      </c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>
        <f>0.000001*('Design Worksheet_BAT'!B$88)*(B276-B275)/E$232+M275</f>
        <v>1.0436608791729285E-4</v>
      </c>
      <c r="N276" s="5">
        <f t="shared" si="5"/>
        <v>18.48</v>
      </c>
    </row>
    <row r="277" spans="1:14" x14ac:dyDescent="0.3">
      <c r="A277" s="5">
        <v>1.3250000000000099</v>
      </c>
      <c r="B277" s="5">
        <f t="shared" si="4"/>
        <v>18.550000000000139</v>
      </c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>
        <f>0.000001*('Design Worksheet_BAT'!B$88)*(B277-B276)/E$232+M276</f>
        <v>1.0456729564676185E-4</v>
      </c>
      <c r="N277" s="5">
        <f t="shared" si="5"/>
        <v>18.550000000000139</v>
      </c>
    </row>
    <row r="278" spans="1:14" x14ac:dyDescent="0.3">
      <c r="A278" s="5">
        <v>1.33</v>
      </c>
      <c r="B278" s="5">
        <f t="shared" si="4"/>
        <v>18.62</v>
      </c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>
        <f>0.000001*('Design Worksheet_BAT'!B$88)*(B278-B277)/E$232+M277</f>
        <v>1.0476850337623005E-4</v>
      </c>
      <c r="N278" s="5">
        <f t="shared" si="5"/>
        <v>18.62</v>
      </c>
    </row>
    <row r="279" spans="1:14" x14ac:dyDescent="0.3">
      <c r="A279" s="5">
        <v>1.33500000000001</v>
      </c>
      <c r="B279" s="5">
        <f t="shared" si="4"/>
        <v>18.69000000000014</v>
      </c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>
        <f>0.000001*('Design Worksheet_BAT'!B$88)*(B279-B278)/E$232+M278</f>
        <v>1.0496971110569904E-4</v>
      </c>
      <c r="N279" s="5">
        <f t="shared" si="5"/>
        <v>18.69000000000014</v>
      </c>
    </row>
    <row r="280" spans="1:14" x14ac:dyDescent="0.3">
      <c r="A280" s="5">
        <v>1.34</v>
      </c>
      <c r="B280" s="5">
        <f t="shared" si="4"/>
        <v>18.760000000000002</v>
      </c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>
        <f>0.000001*('Design Worksheet_BAT'!B$88)*(B280-B279)/E$232+M279</f>
        <v>1.0517091883516724E-4</v>
      </c>
      <c r="N280" s="5">
        <f t="shared" si="5"/>
        <v>18.760000000000002</v>
      </c>
    </row>
    <row r="281" spans="1:14" x14ac:dyDescent="0.3">
      <c r="A281" s="5">
        <v>1.34500000000001</v>
      </c>
      <c r="B281" s="5">
        <f t="shared" si="4"/>
        <v>18.83000000000014</v>
      </c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>
        <f>0.000001*('Design Worksheet_BAT'!B$88)*(B281-B280)/E$232+M280</f>
        <v>1.0537212656463623E-4</v>
      </c>
      <c r="N281" s="5">
        <f t="shared" si="5"/>
        <v>18.83000000000014</v>
      </c>
    </row>
    <row r="282" spans="1:14" x14ac:dyDescent="0.3">
      <c r="A282" s="5">
        <v>1.3500000000000101</v>
      </c>
      <c r="B282" s="5">
        <f t="shared" si="4"/>
        <v>18.900000000000141</v>
      </c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>
        <f>0.000001*('Design Worksheet_BAT'!B$88)*(B282-B281)/E$232+M281</f>
        <v>1.0557333429410484E-4</v>
      </c>
      <c r="N282" s="5">
        <f t="shared" si="5"/>
        <v>18.900000000000141</v>
      </c>
    </row>
    <row r="283" spans="1:14" x14ac:dyDescent="0.3">
      <c r="A283" s="5">
        <v>1.35500000000001</v>
      </c>
      <c r="B283" s="5">
        <f t="shared" si="4"/>
        <v>18.970000000000141</v>
      </c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>
        <f>0.000001*('Design Worksheet_BAT'!B$88)*(B283-B282)/E$232+M282</f>
        <v>1.0577454202357344E-4</v>
      </c>
      <c r="N283" s="5">
        <f t="shared" si="5"/>
        <v>18.970000000000141</v>
      </c>
    </row>
    <row r="284" spans="1:14" x14ac:dyDescent="0.3">
      <c r="A284" s="5">
        <v>1.3600000000000101</v>
      </c>
      <c r="B284" s="5">
        <f t="shared" si="4"/>
        <v>19.040000000000141</v>
      </c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>
        <f>0.000001*('Design Worksheet_BAT'!B$88)*(B284-B283)/E$232+M283</f>
        <v>1.0597574975304204E-4</v>
      </c>
      <c r="N284" s="5">
        <f t="shared" si="5"/>
        <v>19.040000000000141</v>
      </c>
    </row>
    <row r="285" spans="1:14" x14ac:dyDescent="0.3">
      <c r="A285" s="5">
        <v>1.36500000000001</v>
      </c>
      <c r="B285" s="5">
        <f t="shared" si="4"/>
        <v>19.110000000000142</v>
      </c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>
        <f>0.000001*('Design Worksheet_BAT'!B$88)*(B285-B284)/E$232+M284</f>
        <v>1.0617695748251064E-4</v>
      </c>
      <c r="N285" s="5">
        <f t="shared" si="5"/>
        <v>19.110000000000142</v>
      </c>
    </row>
    <row r="286" spans="1:14" x14ac:dyDescent="0.3">
      <c r="A286" s="5">
        <v>1.3700000000000101</v>
      </c>
      <c r="B286" s="5">
        <f t="shared" si="4"/>
        <v>19.180000000000142</v>
      </c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>
        <f>0.000001*('Design Worksheet_BAT'!B$88)*(B286-B285)/E$232+M285</f>
        <v>1.0637816521197925E-4</v>
      </c>
      <c r="N286" s="5">
        <f t="shared" si="5"/>
        <v>19.180000000000142</v>
      </c>
    </row>
    <row r="287" spans="1:14" x14ac:dyDescent="0.3">
      <c r="A287" s="5">
        <v>1.37500000000001</v>
      </c>
      <c r="B287" s="5">
        <f t="shared" si="4"/>
        <v>19.250000000000139</v>
      </c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>
        <f>0.000001*('Design Worksheet_BAT'!B$88)*(B287-B286)/E$232+M286</f>
        <v>1.0657937294144784E-4</v>
      </c>
      <c r="N287" s="5">
        <f t="shared" si="5"/>
        <v>19.250000000000139</v>
      </c>
    </row>
    <row r="288" spans="1:14" x14ac:dyDescent="0.3">
      <c r="A288" s="5">
        <v>1.3800000000000101</v>
      </c>
      <c r="B288" s="5">
        <f t="shared" si="4"/>
        <v>19.320000000000142</v>
      </c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>
        <f>0.000001*('Design Worksheet_BAT'!B$88)*(B288-B287)/E$232+M287</f>
        <v>1.0678058067091645E-4</v>
      </c>
      <c r="N288" s="5">
        <f t="shared" si="5"/>
        <v>19.320000000000142</v>
      </c>
    </row>
    <row r="289" spans="1:14" x14ac:dyDescent="0.3">
      <c r="A289" s="5">
        <v>1.38500000000001</v>
      </c>
      <c r="B289" s="5">
        <f t="shared" si="4"/>
        <v>19.390000000000139</v>
      </c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>
        <f>0.000001*('Design Worksheet_BAT'!B$88)*(B289-B288)/E$232+M288</f>
        <v>1.0698178840038504E-4</v>
      </c>
      <c r="N289" s="5">
        <f t="shared" ref="N289:N352" si="6">B289</f>
        <v>19.390000000000139</v>
      </c>
    </row>
    <row r="290" spans="1:14" x14ac:dyDescent="0.3">
      <c r="A290" s="5">
        <v>1.3900000000000099</v>
      </c>
      <c r="B290" s="5">
        <f t="shared" si="4"/>
        <v>19.460000000000139</v>
      </c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>
        <f>0.000001*('Design Worksheet_BAT'!B$88)*(B290-B289)/E$232+M289</f>
        <v>1.0718299612985364E-4</v>
      </c>
      <c r="N290" s="5">
        <f t="shared" si="6"/>
        <v>19.460000000000139</v>
      </c>
    </row>
    <row r="291" spans="1:14" x14ac:dyDescent="0.3">
      <c r="A291" s="5">
        <v>1.39500000000001</v>
      </c>
      <c r="B291" s="5">
        <f t="shared" si="4"/>
        <v>19.53000000000014</v>
      </c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>
        <f>0.000001*('Design Worksheet_BAT'!B$88)*(B291-B290)/E$232+M290</f>
        <v>1.0738420385932225E-4</v>
      </c>
      <c r="N291" s="5">
        <f t="shared" si="6"/>
        <v>19.53000000000014</v>
      </c>
    </row>
    <row r="292" spans="1:14" x14ac:dyDescent="0.3">
      <c r="A292" s="5">
        <v>1.4000000000000099</v>
      </c>
      <c r="B292" s="5">
        <f t="shared" si="4"/>
        <v>19.60000000000014</v>
      </c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>
        <f>0.000001*('Design Worksheet_BAT'!B$88)*(B292-B291)/E$232+M291</f>
        <v>1.0758541158879085E-4</v>
      </c>
      <c r="N292" s="5">
        <f t="shared" si="6"/>
        <v>19.60000000000014</v>
      </c>
    </row>
    <row r="293" spans="1:14" x14ac:dyDescent="0.3">
      <c r="A293" s="5">
        <v>1.40500000000001</v>
      </c>
      <c r="B293" s="5">
        <f t="shared" si="4"/>
        <v>19.67000000000014</v>
      </c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>
        <f>0.000001*('Design Worksheet_BAT'!B$88)*(B293-B292)/E$232+M292</f>
        <v>1.0778661931825945E-4</v>
      </c>
      <c r="N293" s="5">
        <f t="shared" si="6"/>
        <v>19.67000000000014</v>
      </c>
    </row>
    <row r="294" spans="1:14" x14ac:dyDescent="0.3">
      <c r="A294" s="5">
        <v>1.4100000000000099</v>
      </c>
      <c r="B294" s="5">
        <f t="shared" si="4"/>
        <v>19.740000000000137</v>
      </c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>
        <f>0.000001*('Design Worksheet_BAT'!B$88)*(B294-B293)/E$232+M293</f>
        <v>1.0798782704772804E-4</v>
      </c>
      <c r="N294" s="5">
        <f t="shared" si="6"/>
        <v>19.740000000000137</v>
      </c>
    </row>
    <row r="295" spans="1:14" x14ac:dyDescent="0.3">
      <c r="A295" s="5">
        <v>1.41500000000001</v>
      </c>
      <c r="B295" s="5">
        <f t="shared" si="4"/>
        <v>19.810000000000141</v>
      </c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>
        <f>0.000001*('Design Worksheet_BAT'!B$88)*(B295-B294)/E$232+M294</f>
        <v>1.0818903477719666E-4</v>
      </c>
      <c r="N295" s="5">
        <f t="shared" si="6"/>
        <v>19.810000000000141</v>
      </c>
    </row>
    <row r="296" spans="1:14" x14ac:dyDescent="0.3">
      <c r="A296" s="5">
        <v>1.4200000000000099</v>
      </c>
      <c r="B296" s="5">
        <f t="shared" si="4"/>
        <v>19.880000000000138</v>
      </c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>
        <f>0.000001*('Design Worksheet_BAT'!B$88)*(B296-B295)/E$232+M295</f>
        <v>1.0839024250666525E-4</v>
      </c>
      <c r="N296" s="5">
        <f t="shared" si="6"/>
        <v>19.880000000000138</v>
      </c>
    </row>
    <row r="297" spans="1:14" x14ac:dyDescent="0.3">
      <c r="A297" s="5">
        <v>1.42500000000001</v>
      </c>
      <c r="B297" s="5">
        <f t="shared" ref="B297:B360" si="7">A297*VOFLB</f>
        <v>19.950000000000141</v>
      </c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>
        <f>0.000001*('Design Worksheet_BAT'!B$88)*(B297-B296)/E$232+M296</f>
        <v>1.0859145023613386E-4</v>
      </c>
      <c r="N297" s="5">
        <f t="shared" si="6"/>
        <v>19.950000000000141</v>
      </c>
    </row>
    <row r="298" spans="1:14" x14ac:dyDescent="0.3">
      <c r="A298" s="5">
        <v>1.4300000000000099</v>
      </c>
      <c r="B298" s="5">
        <f t="shared" si="7"/>
        <v>20.020000000000138</v>
      </c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>
        <f>0.000001*('Design Worksheet_BAT'!B$88)*(B298-B297)/E$232+M297</f>
        <v>1.0879265796560245E-4</v>
      </c>
      <c r="N298" s="5">
        <f t="shared" si="6"/>
        <v>20.020000000000138</v>
      </c>
    </row>
    <row r="299" spans="1:14" x14ac:dyDescent="0.3">
      <c r="A299" s="5">
        <v>1.43500000000001</v>
      </c>
      <c r="B299" s="5">
        <f t="shared" si="7"/>
        <v>20.090000000000142</v>
      </c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>
        <f>0.000001*('Design Worksheet_BAT'!B$88)*(B299-B298)/E$232+M298</f>
        <v>1.0899386569507107E-4</v>
      </c>
      <c r="N299" s="5">
        <f t="shared" si="6"/>
        <v>20.090000000000142</v>
      </c>
    </row>
    <row r="300" spans="1:14" x14ac:dyDescent="0.3">
      <c r="A300" s="5">
        <v>1.4400000000000099</v>
      </c>
      <c r="B300" s="5">
        <f t="shared" si="7"/>
        <v>20.160000000000139</v>
      </c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>
        <f>0.000001*('Design Worksheet_BAT'!B$88)*(B300-B299)/E$232+M299</f>
        <v>1.0919507342453966E-4</v>
      </c>
      <c r="N300" s="5">
        <f t="shared" si="6"/>
        <v>20.160000000000139</v>
      </c>
    </row>
    <row r="301" spans="1:14" x14ac:dyDescent="0.3">
      <c r="A301" s="5">
        <v>1.4450000000000101</v>
      </c>
      <c r="B301" s="5">
        <f t="shared" si="7"/>
        <v>20.230000000000139</v>
      </c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>
        <f>0.000001*('Design Worksheet_BAT'!B$88)*(B301-B300)/E$232+M300</f>
        <v>1.0939628115400826E-4</v>
      </c>
      <c r="N301" s="5">
        <f t="shared" si="6"/>
        <v>20.230000000000139</v>
      </c>
    </row>
    <row r="302" spans="1:14" x14ac:dyDescent="0.3">
      <c r="A302" s="5">
        <v>1.4500000000000099</v>
      </c>
      <c r="B302" s="5">
        <f t="shared" si="7"/>
        <v>20.300000000000139</v>
      </c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>
        <f>0.000001*('Design Worksheet_BAT'!B$88)*(B302-B301)/E$232+M301</f>
        <v>1.0959748888347686E-4</v>
      </c>
      <c r="N302" s="5">
        <f t="shared" si="6"/>
        <v>20.300000000000139</v>
      </c>
    </row>
    <row r="303" spans="1:14" x14ac:dyDescent="0.3">
      <c r="A303" s="5">
        <v>1.4550000000000101</v>
      </c>
      <c r="B303" s="5">
        <f t="shared" si="7"/>
        <v>20.37000000000014</v>
      </c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>
        <f>0.000001*('Design Worksheet_BAT'!B$88)*(B303-B302)/E$232+M302</f>
        <v>1.0979869661294546E-4</v>
      </c>
      <c r="N303" s="5">
        <f t="shared" si="6"/>
        <v>20.37000000000014</v>
      </c>
    </row>
    <row r="304" spans="1:14" x14ac:dyDescent="0.3">
      <c r="A304" s="5">
        <v>1.46000000000001</v>
      </c>
      <c r="B304" s="5">
        <f t="shared" si="7"/>
        <v>20.44000000000014</v>
      </c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>
        <f>0.000001*('Design Worksheet_BAT'!B$88)*(B304-B303)/E$232+M303</f>
        <v>1.0999990434241407E-4</v>
      </c>
      <c r="N304" s="5">
        <f t="shared" si="6"/>
        <v>20.44000000000014</v>
      </c>
    </row>
    <row r="305" spans="1:14" x14ac:dyDescent="0.3">
      <c r="A305" s="5">
        <v>1.4650000000000101</v>
      </c>
      <c r="B305" s="5">
        <f t="shared" si="7"/>
        <v>20.51000000000014</v>
      </c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>
        <f>0.000001*('Design Worksheet_BAT'!B$88)*(B305-B304)/E$232+M304</f>
        <v>1.1020111207188267E-4</v>
      </c>
      <c r="N305" s="5">
        <f t="shared" si="6"/>
        <v>20.51000000000014</v>
      </c>
    </row>
    <row r="306" spans="1:14" x14ac:dyDescent="0.3">
      <c r="A306" s="5">
        <v>1.47000000000001</v>
      </c>
      <c r="B306" s="5">
        <f t="shared" si="7"/>
        <v>20.58000000000014</v>
      </c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>
        <f>0.000001*('Design Worksheet_BAT'!B$88)*(B306-B305)/E$232+M305</f>
        <v>1.1040231980135127E-4</v>
      </c>
      <c r="N306" s="5">
        <f t="shared" si="6"/>
        <v>20.58000000000014</v>
      </c>
    </row>
    <row r="307" spans="1:14" x14ac:dyDescent="0.3">
      <c r="A307" s="5">
        <v>1.4750000000000101</v>
      </c>
      <c r="B307" s="5">
        <f t="shared" si="7"/>
        <v>20.650000000000141</v>
      </c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>
        <f>0.000001*('Design Worksheet_BAT'!B$88)*(B307-B306)/E$232+M306</f>
        <v>1.1060352753081987E-4</v>
      </c>
      <c r="N307" s="5">
        <f t="shared" si="6"/>
        <v>20.650000000000141</v>
      </c>
    </row>
    <row r="308" spans="1:14" x14ac:dyDescent="0.3">
      <c r="A308" s="5">
        <v>1.48000000000001</v>
      </c>
      <c r="B308" s="5">
        <f t="shared" si="7"/>
        <v>20.720000000000141</v>
      </c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>
        <f>0.000001*('Design Worksheet_BAT'!B$88)*(B308-B307)/E$232+M307</f>
        <v>1.1080473526028848E-4</v>
      </c>
      <c r="N308" s="5">
        <f t="shared" si="6"/>
        <v>20.720000000000141</v>
      </c>
    </row>
    <row r="309" spans="1:14" x14ac:dyDescent="0.3">
      <c r="A309" s="5">
        <v>1.4850000000000101</v>
      </c>
      <c r="B309" s="5">
        <f t="shared" si="7"/>
        <v>20.790000000000141</v>
      </c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>
        <f>0.000001*('Design Worksheet_BAT'!B$88)*(B309-B308)/E$232+M308</f>
        <v>1.1100594298975708E-4</v>
      </c>
      <c r="N309" s="5">
        <f t="shared" si="6"/>
        <v>20.790000000000141</v>
      </c>
    </row>
    <row r="310" spans="1:14" x14ac:dyDescent="0.3">
      <c r="A310" s="5">
        <v>1.49000000000001</v>
      </c>
      <c r="B310" s="5">
        <f t="shared" si="7"/>
        <v>20.860000000000142</v>
      </c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>
        <f>0.000001*('Design Worksheet_BAT'!B$88)*(B310-B309)/E$232+M309</f>
        <v>1.1120715071922568E-4</v>
      </c>
      <c r="N310" s="5">
        <f t="shared" si="6"/>
        <v>20.860000000000142</v>
      </c>
    </row>
    <row r="311" spans="1:14" x14ac:dyDescent="0.3">
      <c r="A311" s="5">
        <v>1.4950000000000101</v>
      </c>
      <c r="B311" s="5">
        <f t="shared" si="7"/>
        <v>20.930000000000142</v>
      </c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>
        <f>0.000001*('Design Worksheet_BAT'!B$88)*(B311-B310)/E$232+M310</f>
        <v>1.1140835844869428E-4</v>
      </c>
      <c r="N311" s="5">
        <f t="shared" si="6"/>
        <v>20.930000000000142</v>
      </c>
    </row>
    <row r="312" spans="1:14" x14ac:dyDescent="0.3">
      <c r="A312" s="5">
        <v>1.50000000000001</v>
      </c>
      <c r="B312" s="5">
        <f t="shared" si="7"/>
        <v>21.000000000000139</v>
      </c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>
        <f>0.000001*('Design Worksheet_BAT'!B$88)*(B312-B311)/E$232+M311</f>
        <v>1.1160956617816287E-4</v>
      </c>
      <c r="N312" s="5">
        <f t="shared" si="6"/>
        <v>21.000000000000139</v>
      </c>
    </row>
    <row r="313" spans="1:14" x14ac:dyDescent="0.3">
      <c r="A313" s="5">
        <v>1.5050000000000101</v>
      </c>
      <c r="B313" s="5">
        <f t="shared" si="7"/>
        <v>21.070000000000142</v>
      </c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>
        <f>0.000001*('Design Worksheet_BAT'!B$88)*(B313-B312)/E$232+M312</f>
        <v>1.1181077390763149E-4</v>
      </c>
      <c r="N313" s="5">
        <f t="shared" si="6"/>
        <v>21.070000000000142</v>
      </c>
    </row>
    <row r="314" spans="1:14" x14ac:dyDescent="0.3">
      <c r="A314" s="5">
        <v>1.51000000000001</v>
      </c>
      <c r="B314" s="5">
        <f t="shared" si="7"/>
        <v>21.140000000000139</v>
      </c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>
        <f>0.000001*('Design Worksheet_BAT'!B$88)*(B314-B313)/E$232+M313</f>
        <v>1.1201198163710008E-4</v>
      </c>
      <c r="N314" s="5">
        <f t="shared" si="6"/>
        <v>21.140000000000139</v>
      </c>
    </row>
    <row r="315" spans="1:14" x14ac:dyDescent="0.3">
      <c r="A315" s="5">
        <v>1.5150000000000099</v>
      </c>
      <c r="B315" s="5">
        <f t="shared" si="7"/>
        <v>21.210000000000139</v>
      </c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>
        <f>0.000001*('Design Worksheet_BAT'!B$88)*(B315-B314)/E$232+M314</f>
        <v>1.1221318936656868E-4</v>
      </c>
      <c r="N315" s="5">
        <f t="shared" si="6"/>
        <v>21.210000000000139</v>
      </c>
    </row>
    <row r="316" spans="1:14" x14ac:dyDescent="0.3">
      <c r="A316" s="5">
        <v>1.52000000000001</v>
      </c>
      <c r="B316" s="5">
        <f t="shared" si="7"/>
        <v>21.28000000000014</v>
      </c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>
        <f>0.000001*('Design Worksheet_BAT'!B$88)*(B316-B315)/E$232+M315</f>
        <v>1.1241439709603728E-4</v>
      </c>
      <c r="N316" s="5">
        <f t="shared" si="6"/>
        <v>21.28000000000014</v>
      </c>
    </row>
    <row r="317" spans="1:14" x14ac:dyDescent="0.3">
      <c r="A317" s="5">
        <v>1.5250000000000099</v>
      </c>
      <c r="B317" s="5">
        <f t="shared" si="7"/>
        <v>21.35000000000014</v>
      </c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>
        <f>0.000001*('Design Worksheet_BAT'!B$88)*(B317-B316)/E$232+M316</f>
        <v>1.1261560482550589E-4</v>
      </c>
      <c r="N317" s="5">
        <f t="shared" si="6"/>
        <v>21.35000000000014</v>
      </c>
    </row>
    <row r="318" spans="1:14" x14ac:dyDescent="0.3">
      <c r="A318" s="5">
        <v>1.53000000000001</v>
      </c>
      <c r="B318" s="5">
        <f t="shared" si="7"/>
        <v>21.42000000000014</v>
      </c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>
        <f>0.000001*('Design Worksheet_BAT'!B$88)*(B318-B317)/E$232+M317</f>
        <v>1.1281681255497449E-4</v>
      </c>
      <c r="N318" s="5">
        <f t="shared" si="6"/>
        <v>21.42000000000014</v>
      </c>
    </row>
    <row r="319" spans="1:14" x14ac:dyDescent="0.3">
      <c r="A319" s="5">
        <v>1.5350000000000099</v>
      </c>
      <c r="B319" s="5">
        <f t="shared" si="7"/>
        <v>21.490000000000137</v>
      </c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>
        <f>0.000001*('Design Worksheet_BAT'!B$88)*(B319-B318)/E$232+M318</f>
        <v>1.1301802028444308E-4</v>
      </c>
      <c r="N319" s="5">
        <f t="shared" si="6"/>
        <v>21.490000000000137</v>
      </c>
    </row>
    <row r="320" spans="1:14" x14ac:dyDescent="0.3">
      <c r="A320" s="5">
        <v>1.54000000000001</v>
      </c>
      <c r="B320" s="5">
        <f t="shared" si="7"/>
        <v>21.560000000000141</v>
      </c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>
        <f>0.000001*('Design Worksheet_BAT'!B$88)*(B320-B319)/E$232+M319</f>
        <v>1.1321922801391169E-4</v>
      </c>
      <c r="N320" s="5">
        <f t="shared" si="6"/>
        <v>21.560000000000141</v>
      </c>
    </row>
    <row r="321" spans="1:14" x14ac:dyDescent="0.3">
      <c r="A321" s="5">
        <v>1.5450000000000099</v>
      </c>
      <c r="B321" s="5">
        <f t="shared" si="7"/>
        <v>21.630000000000138</v>
      </c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>
        <f>0.000001*('Design Worksheet_BAT'!B$88)*(B321-B320)/E$232+M320</f>
        <v>1.1342043574338028E-4</v>
      </c>
      <c r="N321" s="5">
        <f t="shared" si="6"/>
        <v>21.630000000000138</v>
      </c>
    </row>
    <row r="322" spans="1:14" x14ac:dyDescent="0.3">
      <c r="A322" s="5">
        <v>1.55000000000001</v>
      </c>
      <c r="B322" s="5">
        <f t="shared" si="7"/>
        <v>21.700000000000141</v>
      </c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>
        <f>0.000001*('Design Worksheet_BAT'!B$88)*(B322-B321)/E$232+M321</f>
        <v>1.136216434728489E-4</v>
      </c>
      <c r="N322" s="5">
        <f t="shared" si="6"/>
        <v>21.700000000000141</v>
      </c>
    </row>
    <row r="323" spans="1:14" x14ac:dyDescent="0.3">
      <c r="A323" s="5">
        <v>1.5550000000000099</v>
      </c>
      <c r="B323" s="5">
        <f t="shared" si="7"/>
        <v>21.770000000000138</v>
      </c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>
        <f>0.000001*('Design Worksheet_BAT'!B$88)*(B323-B322)/E$232+M322</f>
        <v>1.1382285120231749E-4</v>
      </c>
      <c r="N323" s="5">
        <f t="shared" si="6"/>
        <v>21.770000000000138</v>
      </c>
    </row>
    <row r="324" spans="1:14" x14ac:dyDescent="0.3">
      <c r="A324" s="5">
        <v>1.56000000000001</v>
      </c>
      <c r="B324" s="5">
        <f t="shared" si="7"/>
        <v>21.840000000000142</v>
      </c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>
        <f>0.000001*('Design Worksheet_BAT'!B$88)*(B324-B323)/E$232+M323</f>
        <v>1.1402405893178611E-4</v>
      </c>
      <c r="N324" s="5">
        <f t="shared" si="6"/>
        <v>21.840000000000142</v>
      </c>
    </row>
    <row r="325" spans="1:14" x14ac:dyDescent="0.3">
      <c r="A325" s="5">
        <v>1.5650000000000099</v>
      </c>
      <c r="B325" s="5">
        <f t="shared" si="7"/>
        <v>21.910000000000139</v>
      </c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>
        <f>0.000001*('Design Worksheet_BAT'!B$88)*(B325-B324)/E$232+M324</f>
        <v>1.1422526666125469E-4</v>
      </c>
      <c r="N325" s="5">
        <f t="shared" si="6"/>
        <v>21.910000000000139</v>
      </c>
    </row>
    <row r="326" spans="1:14" x14ac:dyDescent="0.3">
      <c r="A326" s="5">
        <v>1.5700000000000101</v>
      </c>
      <c r="B326" s="5">
        <f t="shared" si="7"/>
        <v>21.980000000000139</v>
      </c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>
        <f>0.000001*('Design Worksheet_BAT'!B$88)*(B326-B325)/E$232+M325</f>
        <v>1.144264743907233E-4</v>
      </c>
      <c r="N326" s="5">
        <f t="shared" si="6"/>
        <v>21.980000000000139</v>
      </c>
    </row>
    <row r="327" spans="1:14" x14ac:dyDescent="0.3">
      <c r="A327" s="5">
        <v>1.5750000000000099</v>
      </c>
      <c r="B327" s="5">
        <f t="shared" si="7"/>
        <v>22.050000000000139</v>
      </c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>
        <f>0.000001*('Design Worksheet_BAT'!B$88)*(B327-B326)/E$232+M326</f>
        <v>1.146276821201919E-4</v>
      </c>
      <c r="N327" s="5">
        <f t="shared" si="6"/>
        <v>22.050000000000139</v>
      </c>
    </row>
    <row r="328" spans="1:14" x14ac:dyDescent="0.3">
      <c r="A328" s="5">
        <v>1.5800000000000101</v>
      </c>
      <c r="B328" s="5">
        <f t="shared" si="7"/>
        <v>22.12000000000014</v>
      </c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>
        <f>0.000001*('Design Worksheet_BAT'!B$88)*(B328-B327)/E$232+M327</f>
        <v>1.148288898496605E-4</v>
      </c>
      <c r="N328" s="5">
        <f t="shared" si="6"/>
        <v>22.12000000000014</v>
      </c>
    </row>
    <row r="329" spans="1:14" x14ac:dyDescent="0.3">
      <c r="A329" s="5">
        <v>1.58500000000001</v>
      </c>
      <c r="B329" s="5">
        <f t="shared" si="7"/>
        <v>22.19000000000014</v>
      </c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>
        <f>0.000001*('Design Worksheet_BAT'!B$88)*(B329-B328)/E$232+M328</f>
        <v>1.150300975791291E-4</v>
      </c>
      <c r="N329" s="5">
        <f t="shared" si="6"/>
        <v>22.19000000000014</v>
      </c>
    </row>
    <row r="330" spans="1:14" x14ac:dyDescent="0.3">
      <c r="A330" s="5">
        <v>1.5900000000000101</v>
      </c>
      <c r="B330" s="5">
        <f t="shared" si="7"/>
        <v>22.26000000000014</v>
      </c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>
        <f>0.000001*('Design Worksheet_BAT'!B$88)*(B330-B329)/E$232+M329</f>
        <v>1.1523130530859771E-4</v>
      </c>
      <c r="N330" s="5">
        <f t="shared" si="6"/>
        <v>22.26000000000014</v>
      </c>
    </row>
    <row r="331" spans="1:14" x14ac:dyDescent="0.3">
      <c r="A331" s="5">
        <v>1.59500000000001</v>
      </c>
      <c r="B331" s="5">
        <f t="shared" si="7"/>
        <v>22.33000000000014</v>
      </c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>
        <f>0.000001*('Design Worksheet_BAT'!B$88)*(B331-B330)/E$232+M330</f>
        <v>1.1543251303806631E-4</v>
      </c>
      <c r="N331" s="5">
        <f t="shared" si="6"/>
        <v>22.33000000000014</v>
      </c>
    </row>
    <row r="332" spans="1:14" x14ac:dyDescent="0.3">
      <c r="A332" s="5">
        <v>1.6000000000000101</v>
      </c>
      <c r="B332" s="5">
        <f t="shared" si="7"/>
        <v>22.400000000000141</v>
      </c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>
        <f>0.000001*('Design Worksheet_BAT'!B$88)*(B332-B331)/E$232+M331</f>
        <v>1.1563372076753491E-4</v>
      </c>
      <c r="N332" s="5">
        <f t="shared" si="6"/>
        <v>22.400000000000141</v>
      </c>
    </row>
    <row r="333" spans="1:14" x14ac:dyDescent="0.3">
      <c r="A333" s="5">
        <v>1.60500000000001</v>
      </c>
      <c r="B333" s="5">
        <f t="shared" si="7"/>
        <v>22.470000000000141</v>
      </c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>
        <f>0.000001*('Design Worksheet_BAT'!B$88)*(B333-B332)/E$232+M332</f>
        <v>1.1583492849700352E-4</v>
      </c>
      <c r="N333" s="5">
        <f t="shared" si="6"/>
        <v>22.470000000000141</v>
      </c>
    </row>
    <row r="334" spans="1:14" x14ac:dyDescent="0.3">
      <c r="A334" s="5">
        <v>1.6100000000000101</v>
      </c>
      <c r="B334" s="5">
        <f t="shared" si="7"/>
        <v>22.540000000000141</v>
      </c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>
        <f>0.000001*('Design Worksheet_BAT'!B$88)*(B334-B333)/E$232+M333</f>
        <v>1.1603613622647212E-4</v>
      </c>
      <c r="N334" s="5">
        <f t="shared" si="6"/>
        <v>22.540000000000141</v>
      </c>
    </row>
    <row r="335" spans="1:14" x14ac:dyDescent="0.3">
      <c r="A335" s="5">
        <v>1.61500000000001</v>
      </c>
      <c r="B335" s="5">
        <f t="shared" si="7"/>
        <v>22.610000000000142</v>
      </c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>
        <f>0.000001*('Design Worksheet_BAT'!B$88)*(B335-B334)/E$232+M334</f>
        <v>1.1623734395594072E-4</v>
      </c>
      <c r="N335" s="5">
        <f t="shared" si="6"/>
        <v>22.610000000000142</v>
      </c>
    </row>
    <row r="336" spans="1:14" x14ac:dyDescent="0.3">
      <c r="A336" s="5">
        <v>1.6200000000000101</v>
      </c>
      <c r="B336" s="5">
        <f t="shared" si="7"/>
        <v>22.680000000000142</v>
      </c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>
        <f>0.000001*('Design Worksheet_BAT'!B$88)*(B336-B335)/E$232+M335</f>
        <v>1.1643855168540932E-4</v>
      </c>
      <c r="N336" s="5">
        <f t="shared" si="6"/>
        <v>22.680000000000142</v>
      </c>
    </row>
    <row r="337" spans="1:14" x14ac:dyDescent="0.3">
      <c r="A337" s="5">
        <v>1.62500000000001</v>
      </c>
      <c r="B337" s="5">
        <f t="shared" si="7"/>
        <v>22.750000000000139</v>
      </c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>
        <f>0.000001*('Design Worksheet_BAT'!B$88)*(B337-B336)/E$232+M336</f>
        <v>1.1663975941487791E-4</v>
      </c>
      <c r="N337" s="5">
        <f t="shared" si="6"/>
        <v>22.750000000000139</v>
      </c>
    </row>
    <row r="338" spans="1:14" x14ac:dyDescent="0.3">
      <c r="A338" s="5">
        <v>1.6300000000000101</v>
      </c>
      <c r="B338" s="5">
        <f t="shared" si="7"/>
        <v>22.820000000000142</v>
      </c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>
        <f>0.000001*('Design Worksheet_BAT'!B$88)*(B338-B337)/E$232+M337</f>
        <v>1.1684096714434653E-4</v>
      </c>
      <c r="N338" s="5">
        <f t="shared" si="6"/>
        <v>22.820000000000142</v>
      </c>
    </row>
    <row r="339" spans="1:14" x14ac:dyDescent="0.3">
      <c r="A339" s="5">
        <v>1.63500000000001</v>
      </c>
      <c r="B339" s="5">
        <f t="shared" si="7"/>
        <v>22.890000000000139</v>
      </c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>
        <f>0.000001*('Design Worksheet_BAT'!B$88)*(B339-B338)/E$232+M338</f>
        <v>1.1704217487381512E-4</v>
      </c>
      <c r="N339" s="5">
        <f t="shared" si="6"/>
        <v>22.890000000000139</v>
      </c>
    </row>
    <row r="340" spans="1:14" x14ac:dyDescent="0.3">
      <c r="A340" s="5">
        <v>1.6400000000000099</v>
      </c>
      <c r="B340" s="5">
        <f t="shared" si="7"/>
        <v>22.960000000000139</v>
      </c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>
        <f>0.000001*('Design Worksheet_BAT'!B$88)*(B340-B339)/E$232+M339</f>
        <v>1.1724338260328372E-4</v>
      </c>
      <c r="N340" s="5">
        <f t="shared" si="6"/>
        <v>22.960000000000139</v>
      </c>
    </row>
    <row r="341" spans="1:14" x14ac:dyDescent="0.3">
      <c r="A341" s="5">
        <v>1.64500000000001</v>
      </c>
      <c r="B341" s="5">
        <f t="shared" si="7"/>
        <v>23.03000000000014</v>
      </c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>
        <f>0.000001*('Design Worksheet_BAT'!B$88)*(B341-B340)/E$232+M340</f>
        <v>1.1744459033275232E-4</v>
      </c>
      <c r="N341" s="5">
        <f t="shared" si="6"/>
        <v>23.03000000000014</v>
      </c>
    </row>
    <row r="342" spans="1:14" x14ac:dyDescent="0.3">
      <c r="A342" s="5">
        <v>1.6500000000000099</v>
      </c>
      <c r="B342" s="5">
        <f t="shared" si="7"/>
        <v>23.10000000000014</v>
      </c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>
        <f>0.000001*('Design Worksheet_BAT'!B$88)*(B342-B341)/E$232+M341</f>
        <v>1.1764579806222093E-4</v>
      </c>
      <c r="N342" s="5">
        <f t="shared" si="6"/>
        <v>23.10000000000014</v>
      </c>
    </row>
    <row r="343" spans="1:14" x14ac:dyDescent="0.3">
      <c r="A343" s="5">
        <v>1.65500000000001</v>
      </c>
      <c r="B343" s="5">
        <f t="shared" si="7"/>
        <v>23.17000000000014</v>
      </c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>
        <f>0.000001*('Design Worksheet_BAT'!B$88)*(B343-B342)/E$232+M342</f>
        <v>1.1784700579168953E-4</v>
      </c>
      <c r="N343" s="5">
        <f t="shared" si="6"/>
        <v>23.17000000000014</v>
      </c>
    </row>
    <row r="344" spans="1:14" x14ac:dyDescent="0.3">
      <c r="A344" s="5">
        <v>1.6600000000000099</v>
      </c>
      <c r="B344" s="5">
        <f t="shared" si="7"/>
        <v>23.240000000000137</v>
      </c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>
        <f>0.000001*('Design Worksheet_BAT'!B$88)*(B344-B343)/E$232+M343</f>
        <v>1.1804821352115812E-4</v>
      </c>
      <c r="N344" s="5">
        <f t="shared" si="6"/>
        <v>23.240000000000137</v>
      </c>
    </row>
    <row r="345" spans="1:14" x14ac:dyDescent="0.3">
      <c r="A345" s="5">
        <v>1.66500000000001</v>
      </c>
      <c r="B345" s="5">
        <f t="shared" si="7"/>
        <v>23.310000000000141</v>
      </c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>
        <f>0.000001*('Design Worksheet_BAT'!B$88)*(B345-B344)/E$232+M344</f>
        <v>1.1824942125062673E-4</v>
      </c>
      <c r="N345" s="5">
        <f t="shared" si="6"/>
        <v>23.310000000000141</v>
      </c>
    </row>
    <row r="346" spans="1:14" x14ac:dyDescent="0.3">
      <c r="A346" s="5">
        <v>1.6700000000000099</v>
      </c>
      <c r="B346" s="5">
        <f t="shared" si="7"/>
        <v>23.380000000000138</v>
      </c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>
        <f>0.000001*('Design Worksheet_BAT'!B$88)*(B346-B345)/E$232+M345</f>
        <v>1.1845062898009532E-4</v>
      </c>
      <c r="N346" s="5">
        <f t="shared" si="6"/>
        <v>23.380000000000138</v>
      </c>
    </row>
    <row r="347" spans="1:14" x14ac:dyDescent="0.3">
      <c r="A347" s="5">
        <v>1.67500000000001</v>
      </c>
      <c r="B347" s="5">
        <f t="shared" si="7"/>
        <v>23.450000000000141</v>
      </c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>
        <f>0.000001*('Design Worksheet_BAT'!B$88)*(B347-B346)/E$232+M346</f>
        <v>1.1865183670956394E-4</v>
      </c>
      <c r="N347" s="5">
        <f t="shared" si="6"/>
        <v>23.450000000000141</v>
      </c>
    </row>
    <row r="348" spans="1:14" x14ac:dyDescent="0.3">
      <c r="A348" s="5">
        <v>1.6800000000000099</v>
      </c>
      <c r="B348" s="5">
        <f t="shared" si="7"/>
        <v>23.520000000000138</v>
      </c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>
        <f>0.000001*('Design Worksheet_BAT'!B$88)*(B348-B347)/E$232+M347</f>
        <v>1.1885304443903253E-4</v>
      </c>
      <c r="N348" s="5">
        <f t="shared" si="6"/>
        <v>23.520000000000138</v>
      </c>
    </row>
    <row r="349" spans="1:14" x14ac:dyDescent="0.3">
      <c r="A349" s="5">
        <v>1.68500000000001</v>
      </c>
      <c r="B349" s="5">
        <f t="shared" si="7"/>
        <v>23.590000000000142</v>
      </c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>
        <f>0.000001*('Design Worksheet_BAT'!B$88)*(B349-B348)/E$232+M348</f>
        <v>1.1905425216850114E-4</v>
      </c>
      <c r="N349" s="5">
        <f t="shared" si="6"/>
        <v>23.590000000000142</v>
      </c>
    </row>
    <row r="350" spans="1:14" x14ac:dyDescent="0.3">
      <c r="A350" s="5">
        <v>1.6900000000000099</v>
      </c>
      <c r="B350" s="5">
        <f t="shared" si="7"/>
        <v>23.660000000000139</v>
      </c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>
        <f>0.000001*('Design Worksheet_BAT'!B$88)*(B350-B349)/E$232+M349</f>
        <v>1.1925545989796973E-4</v>
      </c>
      <c r="N350" s="5">
        <f t="shared" si="6"/>
        <v>23.660000000000139</v>
      </c>
    </row>
    <row r="351" spans="1:14" x14ac:dyDescent="0.3">
      <c r="A351" s="5">
        <v>1.6950000000000101</v>
      </c>
      <c r="B351" s="5">
        <f t="shared" si="7"/>
        <v>23.730000000000139</v>
      </c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>
        <f>0.000001*('Design Worksheet_BAT'!B$88)*(B351-B350)/E$232+M350</f>
        <v>1.1945666762743834E-4</v>
      </c>
      <c r="N351" s="5">
        <f t="shared" si="6"/>
        <v>23.730000000000139</v>
      </c>
    </row>
    <row r="352" spans="1:14" x14ac:dyDescent="0.3">
      <c r="A352" s="5">
        <v>1.7000000000000099</v>
      </c>
      <c r="B352" s="5">
        <f t="shared" si="7"/>
        <v>23.800000000000139</v>
      </c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>
        <f>0.000001*('Design Worksheet_BAT'!B$88)*(B352-B351)/E$232+M351</f>
        <v>1.1965787535690694E-4</v>
      </c>
      <c r="N352" s="5">
        <f t="shared" si="6"/>
        <v>23.800000000000139</v>
      </c>
    </row>
    <row r="353" spans="1:14" x14ac:dyDescent="0.3">
      <c r="A353" s="5">
        <v>1.7050000000000101</v>
      </c>
      <c r="B353" s="5">
        <f t="shared" si="7"/>
        <v>23.87000000000014</v>
      </c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>
        <f>0.000001*('Design Worksheet_BAT'!B$88)*(B353-B352)/E$232+M352</f>
        <v>1.1985908308637554E-4</v>
      </c>
      <c r="N353" s="5">
        <f t="shared" ref="N353:N416" si="8">B353</f>
        <v>23.87000000000014</v>
      </c>
    </row>
    <row r="354" spans="1:14" x14ac:dyDescent="0.3">
      <c r="A354" s="5">
        <v>1.71000000000001</v>
      </c>
      <c r="B354" s="5">
        <f t="shared" si="7"/>
        <v>23.94000000000014</v>
      </c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>
        <f>0.000001*('Design Worksheet_BAT'!B$88)*(B354-B353)/E$232+M353</f>
        <v>1.2006029081584414E-4</v>
      </c>
      <c r="N354" s="5">
        <f t="shared" si="8"/>
        <v>23.94000000000014</v>
      </c>
    </row>
    <row r="355" spans="1:14" x14ac:dyDescent="0.3">
      <c r="A355" s="5">
        <v>1.7150000000000101</v>
      </c>
      <c r="B355" s="5">
        <f t="shared" si="7"/>
        <v>24.01000000000014</v>
      </c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>
        <f>0.000001*('Design Worksheet_BAT'!B$88)*(B355-B354)/E$232+M354</f>
        <v>1.2026149854531275E-4</v>
      </c>
      <c r="N355" s="5">
        <f t="shared" si="8"/>
        <v>24.01000000000014</v>
      </c>
    </row>
    <row r="356" spans="1:14" x14ac:dyDescent="0.3">
      <c r="A356" s="5">
        <v>1.72000000000001</v>
      </c>
      <c r="B356" s="5">
        <f t="shared" si="7"/>
        <v>24.08000000000014</v>
      </c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>
        <f>0.000001*('Design Worksheet_BAT'!B$88)*(B356-B355)/E$232+M355</f>
        <v>1.2046270627478135E-4</v>
      </c>
      <c r="N356" s="5">
        <f t="shared" si="8"/>
        <v>24.08000000000014</v>
      </c>
    </row>
    <row r="357" spans="1:14" x14ac:dyDescent="0.3">
      <c r="A357" s="5">
        <v>1.7250000000000101</v>
      </c>
      <c r="B357" s="5">
        <f t="shared" si="7"/>
        <v>24.150000000000141</v>
      </c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>
        <f>0.000001*('Design Worksheet_BAT'!B$88)*(B357-B356)/E$232+M356</f>
        <v>1.2066391400424995E-4</v>
      </c>
      <c r="N357" s="5">
        <f t="shared" si="8"/>
        <v>24.150000000000141</v>
      </c>
    </row>
    <row r="358" spans="1:14" x14ac:dyDescent="0.3">
      <c r="A358" s="5">
        <v>1.73000000000001</v>
      </c>
      <c r="B358" s="5">
        <f t="shared" si="7"/>
        <v>24.220000000000141</v>
      </c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>
        <f>0.000001*('Design Worksheet_BAT'!B$88)*(B358-B357)/E$232+M357</f>
        <v>1.2086512173371855E-4</v>
      </c>
      <c r="N358" s="5">
        <f t="shared" si="8"/>
        <v>24.220000000000141</v>
      </c>
    </row>
    <row r="359" spans="1:14" x14ac:dyDescent="0.3">
      <c r="A359" s="5">
        <v>1.7350000000000101</v>
      </c>
      <c r="B359" s="5">
        <f t="shared" si="7"/>
        <v>24.290000000000141</v>
      </c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>
        <f>0.000001*('Design Worksheet_BAT'!B$88)*(B359-B358)/E$232+M358</f>
        <v>1.2106632946318716E-4</v>
      </c>
      <c r="N359" s="5">
        <f t="shared" si="8"/>
        <v>24.290000000000141</v>
      </c>
    </row>
    <row r="360" spans="1:14" x14ac:dyDescent="0.3">
      <c r="A360" s="5">
        <v>1.74000000000001</v>
      </c>
      <c r="B360" s="5">
        <f t="shared" si="7"/>
        <v>24.360000000000142</v>
      </c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>
        <f>0.000001*('Design Worksheet_BAT'!B$88)*(B360-B359)/E$232+M359</f>
        <v>1.2126753719265576E-4</v>
      </c>
      <c r="N360" s="5">
        <f t="shared" si="8"/>
        <v>24.360000000000142</v>
      </c>
    </row>
    <row r="361" spans="1:14" x14ac:dyDescent="0.3">
      <c r="A361" s="5">
        <v>1.7450000000000101</v>
      </c>
      <c r="B361" s="5">
        <f t="shared" ref="B361:B424" si="9">A361*VOFLB</f>
        <v>24.430000000000142</v>
      </c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>
        <f>0.000001*('Design Worksheet_BAT'!B$88)*(B361-B360)/E$232+M360</f>
        <v>1.2146874492212436E-4</v>
      </c>
      <c r="N361" s="5">
        <f t="shared" si="8"/>
        <v>24.430000000000142</v>
      </c>
    </row>
    <row r="362" spans="1:14" x14ac:dyDescent="0.3">
      <c r="A362" s="5">
        <v>1.75000000000002</v>
      </c>
      <c r="B362" s="5">
        <f t="shared" si="9"/>
        <v>24.500000000000281</v>
      </c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>
        <f>0.000001*('Design Worksheet_BAT'!B$88)*(B362-B361)/E$232+M361</f>
        <v>1.2166995265159336E-4</v>
      </c>
      <c r="N362" s="5">
        <f t="shared" si="8"/>
        <v>24.500000000000281</v>
      </c>
    </row>
    <row r="363" spans="1:14" x14ac:dyDescent="0.3">
      <c r="A363" s="5">
        <v>1.7550000000000101</v>
      </c>
      <c r="B363" s="5">
        <f t="shared" si="9"/>
        <v>24.570000000000142</v>
      </c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>
        <f>0.000001*('Design Worksheet_BAT'!B$88)*(B363-B362)/E$232+M362</f>
        <v>1.2187116038106155E-4</v>
      </c>
      <c r="N363" s="5">
        <f t="shared" si="8"/>
        <v>24.570000000000142</v>
      </c>
    </row>
    <row r="364" spans="1:14" x14ac:dyDescent="0.3">
      <c r="A364" s="5">
        <v>1.76000000000001</v>
      </c>
      <c r="B364" s="5">
        <f t="shared" si="9"/>
        <v>24.640000000000139</v>
      </c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>
        <f>0.000001*('Design Worksheet_BAT'!B$88)*(B364-B363)/E$232+M363</f>
        <v>1.2207236811053016E-4</v>
      </c>
      <c r="N364" s="5">
        <f t="shared" si="8"/>
        <v>24.640000000000139</v>
      </c>
    </row>
    <row r="365" spans="1:14" x14ac:dyDescent="0.3">
      <c r="A365" s="5">
        <v>1.7650000000000201</v>
      </c>
      <c r="B365" s="5">
        <f t="shared" si="9"/>
        <v>24.710000000000282</v>
      </c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>
        <f>0.000001*('Design Worksheet_BAT'!B$88)*(B365-B364)/E$232+M364</f>
        <v>1.2227357583999916E-4</v>
      </c>
      <c r="N365" s="5">
        <f t="shared" si="8"/>
        <v>24.710000000000282</v>
      </c>
    </row>
    <row r="366" spans="1:14" x14ac:dyDescent="0.3">
      <c r="A366" s="5">
        <v>1.77000000000002</v>
      </c>
      <c r="B366" s="5">
        <f t="shared" si="9"/>
        <v>24.780000000000278</v>
      </c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>
        <f>0.000001*('Design Worksheet_BAT'!B$88)*(B366-B365)/E$232+M365</f>
        <v>1.2247478356946777E-4</v>
      </c>
      <c r="N366" s="5">
        <f t="shared" si="8"/>
        <v>24.780000000000278</v>
      </c>
    </row>
    <row r="367" spans="1:14" x14ac:dyDescent="0.3">
      <c r="A367" s="5">
        <v>1.7750000000000199</v>
      </c>
      <c r="B367" s="5">
        <f t="shared" si="9"/>
        <v>24.850000000000279</v>
      </c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>
        <f>0.000001*('Design Worksheet_BAT'!B$88)*(B367-B366)/E$232+M366</f>
        <v>1.2267599129893637E-4</v>
      </c>
      <c r="N367" s="5">
        <f t="shared" si="8"/>
        <v>24.850000000000279</v>
      </c>
    </row>
    <row r="368" spans="1:14" x14ac:dyDescent="0.3">
      <c r="A368" s="5">
        <v>1.78000000000002</v>
      </c>
      <c r="B368" s="5">
        <f t="shared" si="9"/>
        <v>24.920000000000279</v>
      </c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>
        <f>0.000001*('Design Worksheet_BAT'!B$88)*(B368-B367)/E$232+M367</f>
        <v>1.2287719902840497E-4</v>
      </c>
      <c r="N368" s="5">
        <f t="shared" si="8"/>
        <v>24.920000000000279</v>
      </c>
    </row>
    <row r="369" spans="1:14" x14ac:dyDescent="0.3">
      <c r="A369" s="5">
        <v>1.7850000000000199</v>
      </c>
      <c r="B369" s="5">
        <f t="shared" si="9"/>
        <v>24.990000000000279</v>
      </c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>
        <f>0.000001*('Design Worksheet_BAT'!B$88)*(B369-B368)/E$232+M368</f>
        <v>1.2307840675787358E-4</v>
      </c>
      <c r="N369" s="5">
        <f t="shared" si="8"/>
        <v>24.990000000000279</v>
      </c>
    </row>
    <row r="370" spans="1:14" x14ac:dyDescent="0.3">
      <c r="A370" s="5">
        <v>1.79000000000002</v>
      </c>
      <c r="B370" s="5">
        <f t="shared" si="9"/>
        <v>25.060000000000279</v>
      </c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>
        <f>0.000001*('Design Worksheet_BAT'!B$88)*(B370-B369)/E$232+M369</f>
        <v>1.2327961448734218E-4</v>
      </c>
      <c r="N370" s="5">
        <f t="shared" si="8"/>
        <v>25.060000000000279</v>
      </c>
    </row>
    <row r="371" spans="1:14" x14ac:dyDescent="0.3">
      <c r="A371" s="5">
        <v>1.7950000000000199</v>
      </c>
      <c r="B371" s="5">
        <f t="shared" si="9"/>
        <v>25.13000000000028</v>
      </c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>
        <f>0.000001*('Design Worksheet_BAT'!B$88)*(B371-B370)/E$232+M370</f>
        <v>1.2348082221681078E-4</v>
      </c>
      <c r="N371" s="5">
        <f t="shared" si="8"/>
        <v>25.13000000000028</v>
      </c>
    </row>
    <row r="372" spans="1:14" x14ac:dyDescent="0.3">
      <c r="A372" s="5">
        <v>1.80000000000002</v>
      </c>
      <c r="B372" s="5">
        <f t="shared" si="9"/>
        <v>25.20000000000028</v>
      </c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>
        <f>0.000001*('Design Worksheet_BAT'!B$88)*(B372-B371)/E$232+M371</f>
        <v>1.2368202994627938E-4</v>
      </c>
      <c r="N372" s="5">
        <f t="shared" si="8"/>
        <v>25.20000000000028</v>
      </c>
    </row>
    <row r="373" spans="1:14" x14ac:dyDescent="0.3">
      <c r="A373" s="5">
        <v>1.8050000000000199</v>
      </c>
      <c r="B373" s="5">
        <f t="shared" si="9"/>
        <v>25.27000000000028</v>
      </c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>
        <f>0.000001*('Design Worksheet_BAT'!B$88)*(B373-B372)/E$232+M372</f>
        <v>1.2388323767574799E-4</v>
      </c>
      <c r="N373" s="5">
        <f t="shared" si="8"/>
        <v>25.27000000000028</v>
      </c>
    </row>
    <row r="374" spans="1:14" x14ac:dyDescent="0.3">
      <c r="A374" s="5">
        <v>1.81000000000002</v>
      </c>
      <c r="B374" s="5">
        <f t="shared" si="9"/>
        <v>25.340000000000281</v>
      </c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>
        <f>0.000001*('Design Worksheet_BAT'!B$88)*(B374-B373)/E$232+M373</f>
        <v>1.2408444540521659E-4</v>
      </c>
      <c r="N374" s="5">
        <f t="shared" si="8"/>
        <v>25.340000000000281</v>
      </c>
    </row>
    <row r="375" spans="1:14" x14ac:dyDescent="0.3">
      <c r="A375" s="5">
        <v>1.8150000000000199</v>
      </c>
      <c r="B375" s="5">
        <f t="shared" si="9"/>
        <v>25.410000000000281</v>
      </c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>
        <f>0.000001*('Design Worksheet_BAT'!B$88)*(B375-B374)/E$232+M374</f>
        <v>1.2428565313468519E-4</v>
      </c>
      <c r="N375" s="5">
        <f t="shared" si="8"/>
        <v>25.410000000000281</v>
      </c>
    </row>
    <row r="376" spans="1:14" x14ac:dyDescent="0.3">
      <c r="A376" s="5">
        <v>1.82000000000002</v>
      </c>
      <c r="B376" s="5">
        <f t="shared" si="9"/>
        <v>25.480000000000281</v>
      </c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>
        <f>0.000001*('Design Worksheet_BAT'!B$88)*(B376-B375)/E$232+M375</f>
        <v>1.2448686086415379E-4</v>
      </c>
      <c r="N376" s="5">
        <f t="shared" si="8"/>
        <v>25.480000000000281</v>
      </c>
    </row>
    <row r="377" spans="1:14" x14ac:dyDescent="0.3">
      <c r="A377" s="5">
        <v>1.8250000000000199</v>
      </c>
      <c r="B377" s="5">
        <f t="shared" si="9"/>
        <v>25.550000000000278</v>
      </c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>
        <f>0.000001*('Design Worksheet_BAT'!B$88)*(B377-B376)/E$232+M376</f>
        <v>1.246880685936224E-4</v>
      </c>
      <c r="N377" s="5">
        <f t="shared" si="8"/>
        <v>25.550000000000278</v>
      </c>
    </row>
    <row r="378" spans="1:14" x14ac:dyDescent="0.3">
      <c r="A378" s="5">
        <v>1.8300000000000201</v>
      </c>
      <c r="B378" s="5">
        <f t="shared" si="9"/>
        <v>25.620000000000282</v>
      </c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>
        <f>0.000001*('Design Worksheet_BAT'!B$88)*(B378-B377)/E$232+M377</f>
        <v>1.24889276323091E-4</v>
      </c>
      <c r="N378" s="5">
        <f t="shared" si="8"/>
        <v>25.620000000000282</v>
      </c>
    </row>
    <row r="379" spans="1:14" x14ac:dyDescent="0.3">
      <c r="A379" s="5">
        <v>1.8350000000000199</v>
      </c>
      <c r="B379" s="5">
        <f t="shared" si="9"/>
        <v>25.690000000000278</v>
      </c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>
        <f>0.000001*('Design Worksheet_BAT'!B$88)*(B379-B378)/E$232+M378</f>
        <v>1.250904840525596E-4</v>
      </c>
      <c r="N379" s="5">
        <f t="shared" si="8"/>
        <v>25.690000000000278</v>
      </c>
    </row>
    <row r="380" spans="1:14" x14ac:dyDescent="0.3">
      <c r="A380" s="5">
        <v>1.8400000000000201</v>
      </c>
      <c r="B380" s="5">
        <f t="shared" si="9"/>
        <v>25.760000000000282</v>
      </c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>
        <f>0.000001*('Design Worksheet_BAT'!B$88)*(B380-B379)/E$232+M379</f>
        <v>1.252916917820282E-4</v>
      </c>
      <c r="N380" s="5">
        <f t="shared" si="8"/>
        <v>25.760000000000282</v>
      </c>
    </row>
    <row r="381" spans="1:14" x14ac:dyDescent="0.3">
      <c r="A381" s="5">
        <v>1.84500000000002</v>
      </c>
      <c r="B381" s="5">
        <f t="shared" si="9"/>
        <v>25.830000000000279</v>
      </c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>
        <f>0.000001*('Design Worksheet_BAT'!B$88)*(B381-B380)/E$232+M380</f>
        <v>1.2549289951149681E-4</v>
      </c>
      <c r="N381" s="5">
        <f t="shared" si="8"/>
        <v>25.830000000000279</v>
      </c>
    </row>
    <row r="382" spans="1:14" x14ac:dyDescent="0.3">
      <c r="A382" s="5">
        <v>1.8500000000000201</v>
      </c>
      <c r="B382" s="5">
        <f t="shared" si="9"/>
        <v>25.900000000000283</v>
      </c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>
        <f>0.000001*('Design Worksheet_BAT'!B$88)*(B382-B381)/E$232+M381</f>
        <v>1.2569410724096541E-4</v>
      </c>
      <c r="N382" s="5">
        <f t="shared" si="8"/>
        <v>25.900000000000283</v>
      </c>
    </row>
    <row r="383" spans="1:14" x14ac:dyDescent="0.3">
      <c r="A383" s="5">
        <v>1.85500000000002</v>
      </c>
      <c r="B383" s="5">
        <f t="shared" si="9"/>
        <v>25.97000000000028</v>
      </c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>
        <f>0.000001*('Design Worksheet_BAT'!B$88)*(B383-B382)/E$232+M382</f>
        <v>1.2589531497043401E-4</v>
      </c>
      <c r="N383" s="5">
        <f t="shared" si="8"/>
        <v>25.97000000000028</v>
      </c>
    </row>
    <row r="384" spans="1:14" x14ac:dyDescent="0.3">
      <c r="A384" s="5">
        <v>1.8600000000000201</v>
      </c>
      <c r="B384" s="5">
        <f t="shared" si="9"/>
        <v>26.04000000000028</v>
      </c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>
        <f>0.000001*('Design Worksheet_BAT'!B$88)*(B384-B383)/E$232+M383</f>
        <v>1.2609652269990261E-4</v>
      </c>
      <c r="N384" s="5">
        <f t="shared" si="8"/>
        <v>26.04000000000028</v>
      </c>
    </row>
    <row r="385" spans="1:14" x14ac:dyDescent="0.3">
      <c r="A385" s="5">
        <v>1.86500000000002</v>
      </c>
      <c r="B385" s="5">
        <f t="shared" si="9"/>
        <v>26.11000000000028</v>
      </c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>
        <f>0.000001*('Design Worksheet_BAT'!B$88)*(B385-B384)/E$232+M384</f>
        <v>1.2629773042937122E-4</v>
      </c>
      <c r="N385" s="5">
        <f t="shared" si="8"/>
        <v>26.11000000000028</v>
      </c>
    </row>
    <row r="386" spans="1:14" x14ac:dyDescent="0.3">
      <c r="A386" s="5">
        <v>1.8700000000000201</v>
      </c>
      <c r="B386" s="5">
        <f t="shared" si="9"/>
        <v>26.18000000000028</v>
      </c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>
        <f>0.000001*('Design Worksheet_BAT'!B$88)*(B386-B385)/E$232+M385</f>
        <v>1.2649893815883982E-4</v>
      </c>
      <c r="N386" s="5">
        <f t="shared" si="8"/>
        <v>26.18000000000028</v>
      </c>
    </row>
    <row r="387" spans="1:14" x14ac:dyDescent="0.3">
      <c r="A387" s="5">
        <v>1.87500000000002</v>
      </c>
      <c r="B387" s="5">
        <f t="shared" si="9"/>
        <v>26.250000000000281</v>
      </c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>
        <f>0.000001*('Design Worksheet_BAT'!B$88)*(B387-B386)/E$232+M386</f>
        <v>1.2670014588830842E-4</v>
      </c>
      <c r="N387" s="5">
        <f t="shared" si="8"/>
        <v>26.250000000000281</v>
      </c>
    </row>
    <row r="388" spans="1:14" x14ac:dyDescent="0.3">
      <c r="A388" s="5">
        <v>1.8800000000000201</v>
      </c>
      <c r="B388" s="5">
        <f t="shared" si="9"/>
        <v>26.320000000000281</v>
      </c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>
        <f>0.000001*('Design Worksheet_BAT'!B$88)*(B388-B387)/E$232+M387</f>
        <v>1.2690135361777702E-4</v>
      </c>
      <c r="N388" s="5">
        <f t="shared" si="8"/>
        <v>26.320000000000281</v>
      </c>
    </row>
    <row r="389" spans="1:14" x14ac:dyDescent="0.3">
      <c r="A389" s="5">
        <v>1.88500000000002</v>
      </c>
      <c r="B389" s="5">
        <f t="shared" si="9"/>
        <v>26.390000000000281</v>
      </c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>
        <f>0.000001*('Design Worksheet_BAT'!B$88)*(B389-B388)/E$232+M388</f>
        <v>1.2710256134724563E-4</v>
      </c>
      <c r="N389" s="5">
        <f t="shared" si="8"/>
        <v>26.390000000000281</v>
      </c>
    </row>
    <row r="390" spans="1:14" x14ac:dyDescent="0.3">
      <c r="A390" s="5">
        <v>1.8900000000000201</v>
      </c>
      <c r="B390" s="5">
        <f t="shared" si="9"/>
        <v>26.460000000000282</v>
      </c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>
        <f>0.000001*('Design Worksheet_BAT'!B$88)*(B390-B389)/E$232+M389</f>
        <v>1.2730376907671423E-4</v>
      </c>
      <c r="N390" s="5">
        <f t="shared" si="8"/>
        <v>26.460000000000282</v>
      </c>
    </row>
    <row r="391" spans="1:14" x14ac:dyDescent="0.3">
      <c r="A391" s="5">
        <v>1.89500000000002</v>
      </c>
      <c r="B391" s="5">
        <f t="shared" si="9"/>
        <v>26.530000000000278</v>
      </c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>
        <f>0.000001*('Design Worksheet_BAT'!B$88)*(B391-B390)/E$232+M390</f>
        <v>1.2750497680618283E-4</v>
      </c>
      <c r="N391" s="5">
        <f t="shared" si="8"/>
        <v>26.530000000000278</v>
      </c>
    </row>
    <row r="392" spans="1:14" x14ac:dyDescent="0.3">
      <c r="A392" s="5">
        <v>1.9000000000000199</v>
      </c>
      <c r="B392" s="5">
        <f t="shared" si="9"/>
        <v>26.600000000000279</v>
      </c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>
        <f>0.000001*('Design Worksheet_BAT'!B$88)*(B392-B391)/E$232+M391</f>
        <v>1.2770618453565144E-4</v>
      </c>
      <c r="N392" s="5">
        <f t="shared" si="8"/>
        <v>26.600000000000279</v>
      </c>
    </row>
    <row r="393" spans="1:14" x14ac:dyDescent="0.3">
      <c r="A393" s="5">
        <v>1.90500000000002</v>
      </c>
      <c r="B393" s="5">
        <f t="shared" si="9"/>
        <v>26.670000000000279</v>
      </c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>
        <f>0.000001*('Design Worksheet_BAT'!B$88)*(B393-B392)/E$232+M392</f>
        <v>1.2790739226512004E-4</v>
      </c>
      <c r="N393" s="5">
        <f t="shared" si="8"/>
        <v>26.670000000000279</v>
      </c>
    </row>
    <row r="394" spans="1:14" x14ac:dyDescent="0.3">
      <c r="A394" s="5">
        <v>1.9100000000000199</v>
      </c>
      <c r="B394" s="5">
        <f t="shared" si="9"/>
        <v>26.740000000000279</v>
      </c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>
        <f>0.000001*('Design Worksheet_BAT'!B$88)*(B394-B393)/E$232+M393</f>
        <v>1.2810859999458864E-4</v>
      </c>
      <c r="N394" s="5">
        <f t="shared" si="8"/>
        <v>26.740000000000279</v>
      </c>
    </row>
    <row r="395" spans="1:14" x14ac:dyDescent="0.3">
      <c r="A395" s="5">
        <v>1.91500000000002</v>
      </c>
      <c r="B395" s="5">
        <f t="shared" si="9"/>
        <v>26.810000000000279</v>
      </c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>
        <f>0.000001*('Design Worksheet_BAT'!B$88)*(B395-B394)/E$232+M394</f>
        <v>1.2830980772405724E-4</v>
      </c>
      <c r="N395" s="5">
        <f t="shared" si="8"/>
        <v>26.810000000000279</v>
      </c>
    </row>
    <row r="396" spans="1:14" x14ac:dyDescent="0.3">
      <c r="A396" s="5">
        <v>1.9200000000000199</v>
      </c>
      <c r="B396" s="5">
        <f t="shared" si="9"/>
        <v>26.88000000000028</v>
      </c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>
        <f>0.000001*('Design Worksheet_BAT'!B$88)*(B396-B395)/E$232+M395</f>
        <v>1.2851101545352585E-4</v>
      </c>
      <c r="N396" s="5">
        <f t="shared" si="8"/>
        <v>26.88000000000028</v>
      </c>
    </row>
    <row r="397" spans="1:14" x14ac:dyDescent="0.3">
      <c r="A397" s="5">
        <v>1.92500000000002</v>
      </c>
      <c r="B397" s="5">
        <f t="shared" si="9"/>
        <v>26.95000000000028</v>
      </c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>
        <f>0.000001*('Design Worksheet_BAT'!B$88)*(B397-B396)/E$232+M396</f>
        <v>1.2871222318299445E-4</v>
      </c>
      <c r="N397" s="5">
        <f t="shared" si="8"/>
        <v>26.95000000000028</v>
      </c>
    </row>
    <row r="398" spans="1:14" x14ac:dyDescent="0.3">
      <c r="A398" s="5">
        <v>1.9300000000000199</v>
      </c>
      <c r="B398" s="5">
        <f t="shared" si="9"/>
        <v>27.02000000000028</v>
      </c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>
        <f>0.000001*('Design Worksheet_BAT'!B$88)*(B398-B397)/E$232+M397</f>
        <v>1.2891343091246305E-4</v>
      </c>
      <c r="N398" s="5">
        <f t="shared" si="8"/>
        <v>27.02000000000028</v>
      </c>
    </row>
    <row r="399" spans="1:14" x14ac:dyDescent="0.3">
      <c r="A399" s="5">
        <v>1.93500000000002</v>
      </c>
      <c r="B399" s="5">
        <f t="shared" si="9"/>
        <v>27.090000000000281</v>
      </c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>
        <f>0.000001*('Design Worksheet_BAT'!B$88)*(B399-B398)/E$232+M398</f>
        <v>1.2911463864193165E-4</v>
      </c>
      <c r="N399" s="5">
        <f t="shared" si="8"/>
        <v>27.090000000000281</v>
      </c>
    </row>
    <row r="400" spans="1:14" x14ac:dyDescent="0.3">
      <c r="A400" s="5">
        <v>1.9400000000000199</v>
      </c>
      <c r="B400" s="5">
        <f t="shared" si="9"/>
        <v>27.160000000000281</v>
      </c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>
        <f>0.000001*('Design Worksheet_BAT'!B$88)*(B400-B399)/E$232+M399</f>
        <v>1.2931584637140026E-4</v>
      </c>
      <c r="N400" s="5">
        <f t="shared" si="8"/>
        <v>27.160000000000281</v>
      </c>
    </row>
    <row r="401" spans="1:14" x14ac:dyDescent="0.3">
      <c r="A401" s="5">
        <v>1.94500000000002</v>
      </c>
      <c r="B401" s="5">
        <f t="shared" si="9"/>
        <v>27.230000000000281</v>
      </c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>
        <f>0.000001*('Design Worksheet_BAT'!B$88)*(B401-B400)/E$232+M400</f>
        <v>1.2951705410086886E-4</v>
      </c>
      <c r="N401" s="5">
        <f t="shared" si="8"/>
        <v>27.230000000000281</v>
      </c>
    </row>
    <row r="402" spans="1:14" x14ac:dyDescent="0.3">
      <c r="A402" s="5">
        <v>1.9500000000000199</v>
      </c>
      <c r="B402" s="5">
        <f t="shared" si="9"/>
        <v>27.300000000000278</v>
      </c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>
        <f>0.000001*('Design Worksheet_BAT'!B$88)*(B402-B401)/E$232+M401</f>
        <v>1.2971826183033746E-4</v>
      </c>
      <c r="N402" s="5">
        <f t="shared" si="8"/>
        <v>27.300000000000278</v>
      </c>
    </row>
    <row r="403" spans="1:14" x14ac:dyDescent="0.3">
      <c r="A403" s="5">
        <v>1.9550000000000201</v>
      </c>
      <c r="B403" s="5">
        <f t="shared" si="9"/>
        <v>27.370000000000282</v>
      </c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>
        <f>0.000001*('Design Worksheet_BAT'!B$88)*(B403-B402)/E$232+M402</f>
        <v>1.2991946955980606E-4</v>
      </c>
      <c r="N403" s="5">
        <f t="shared" si="8"/>
        <v>27.370000000000282</v>
      </c>
    </row>
    <row r="404" spans="1:14" x14ac:dyDescent="0.3">
      <c r="A404" s="5">
        <v>1.9600000000000199</v>
      </c>
      <c r="B404" s="5">
        <f t="shared" si="9"/>
        <v>27.440000000000278</v>
      </c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>
        <f>0.000001*('Design Worksheet_BAT'!B$88)*(B404-B403)/E$232+M403</f>
        <v>1.3012067728927467E-4</v>
      </c>
      <c r="N404" s="5">
        <f t="shared" si="8"/>
        <v>27.440000000000278</v>
      </c>
    </row>
    <row r="405" spans="1:14" x14ac:dyDescent="0.3">
      <c r="A405" s="5">
        <v>1.9650000000000201</v>
      </c>
      <c r="B405" s="5">
        <f t="shared" si="9"/>
        <v>27.510000000000282</v>
      </c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>
        <f>0.000001*('Design Worksheet_BAT'!B$88)*(B405-B404)/E$232+M404</f>
        <v>1.3032188501874327E-4</v>
      </c>
      <c r="N405" s="5">
        <f t="shared" si="8"/>
        <v>27.510000000000282</v>
      </c>
    </row>
    <row r="406" spans="1:14" x14ac:dyDescent="0.3">
      <c r="A406" s="5">
        <v>1.97000000000002</v>
      </c>
      <c r="B406" s="5">
        <f t="shared" si="9"/>
        <v>27.580000000000279</v>
      </c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>
        <f>0.000001*('Design Worksheet_BAT'!B$88)*(B406-B405)/E$232+M405</f>
        <v>1.3052309274821187E-4</v>
      </c>
      <c r="N406" s="5">
        <f t="shared" si="8"/>
        <v>27.580000000000279</v>
      </c>
    </row>
    <row r="407" spans="1:14" x14ac:dyDescent="0.3">
      <c r="A407" s="5">
        <v>1.9750000000000201</v>
      </c>
      <c r="B407" s="5">
        <f t="shared" si="9"/>
        <v>27.650000000000283</v>
      </c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>
        <f>0.000001*('Design Worksheet_BAT'!B$88)*(B407-B406)/E$232+M406</f>
        <v>1.3072430047768047E-4</v>
      </c>
      <c r="N407" s="5">
        <f t="shared" si="8"/>
        <v>27.650000000000283</v>
      </c>
    </row>
    <row r="408" spans="1:14" x14ac:dyDescent="0.3">
      <c r="A408" s="5">
        <v>1.98000000000002</v>
      </c>
      <c r="B408" s="5">
        <f t="shared" si="9"/>
        <v>27.72000000000028</v>
      </c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>
        <f>0.000001*('Design Worksheet_BAT'!B$88)*(B408-B407)/E$232+M407</f>
        <v>1.3092550820714908E-4</v>
      </c>
      <c r="N408" s="5">
        <f t="shared" si="8"/>
        <v>27.72000000000028</v>
      </c>
    </row>
    <row r="409" spans="1:14" x14ac:dyDescent="0.3">
      <c r="A409" s="5">
        <v>1.9850000000000201</v>
      </c>
      <c r="B409" s="5">
        <f t="shared" si="9"/>
        <v>27.79000000000028</v>
      </c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>
        <f>0.000001*('Design Worksheet_BAT'!B$88)*(B409-B408)/E$232+M408</f>
        <v>1.3112671593661768E-4</v>
      </c>
      <c r="N409" s="5">
        <f t="shared" si="8"/>
        <v>27.79000000000028</v>
      </c>
    </row>
    <row r="410" spans="1:14" x14ac:dyDescent="0.3">
      <c r="A410" s="5">
        <v>1.99000000000002</v>
      </c>
      <c r="B410" s="5">
        <f t="shared" si="9"/>
        <v>27.86000000000028</v>
      </c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>
        <f>0.000001*('Design Worksheet_BAT'!B$88)*(B410-B409)/E$232+M409</f>
        <v>1.3132792366608628E-4</v>
      </c>
      <c r="N410" s="5">
        <f t="shared" si="8"/>
        <v>27.86000000000028</v>
      </c>
    </row>
    <row r="411" spans="1:14" x14ac:dyDescent="0.3">
      <c r="A411" s="5">
        <v>1.9950000000000201</v>
      </c>
      <c r="B411" s="5">
        <f t="shared" si="9"/>
        <v>27.93000000000028</v>
      </c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>
        <f>0.000001*('Design Worksheet_BAT'!B$88)*(B411-B410)/E$232+M410</f>
        <v>1.3152913139555488E-4</v>
      </c>
      <c r="N411" s="5">
        <f t="shared" si="8"/>
        <v>27.93000000000028</v>
      </c>
    </row>
    <row r="412" spans="1:14" x14ac:dyDescent="0.3">
      <c r="A412" s="5">
        <v>2.00000000000002</v>
      </c>
      <c r="B412" s="5">
        <f t="shared" si="9"/>
        <v>28.000000000000281</v>
      </c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>
        <f>0.000001*('Design Worksheet_BAT'!B$88)*(B412-B411)/E$232+M411</f>
        <v>1.3173033912502349E-4</v>
      </c>
      <c r="N412" s="5">
        <f t="shared" si="8"/>
        <v>28.000000000000281</v>
      </c>
    </row>
    <row r="413" spans="1:14" x14ac:dyDescent="0.3">
      <c r="A413" s="5">
        <v>2.0050000000000199</v>
      </c>
      <c r="B413" s="5">
        <f t="shared" si="9"/>
        <v>28.070000000000277</v>
      </c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>
        <f>0.000001*('Design Worksheet_BAT'!B$88)*(B413-B412)/E$232+M412</f>
        <v>1.3193154685449209E-4</v>
      </c>
      <c r="N413" s="5">
        <f t="shared" si="8"/>
        <v>28.070000000000277</v>
      </c>
    </row>
    <row r="414" spans="1:14" x14ac:dyDescent="0.3">
      <c r="A414" s="5">
        <v>2.0100000000000202</v>
      </c>
      <c r="B414" s="5">
        <f t="shared" si="9"/>
        <v>28.140000000000285</v>
      </c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>
        <f>0.000001*('Design Worksheet_BAT'!B$88)*(B414-B413)/E$232+M413</f>
        <v>1.3213275458396072E-4</v>
      </c>
      <c r="N414" s="5">
        <f t="shared" si="8"/>
        <v>28.140000000000285</v>
      </c>
    </row>
    <row r="415" spans="1:14" x14ac:dyDescent="0.3">
      <c r="A415" s="5">
        <v>2.0150000000000201</v>
      </c>
      <c r="B415" s="5">
        <f t="shared" si="9"/>
        <v>28.210000000000282</v>
      </c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>
        <f>0.000001*('Design Worksheet_BAT'!B$88)*(B415-B414)/E$232+M414</f>
        <v>1.3233396231342932E-4</v>
      </c>
      <c r="N415" s="5">
        <f t="shared" si="8"/>
        <v>28.210000000000282</v>
      </c>
    </row>
    <row r="416" spans="1:14" x14ac:dyDescent="0.3">
      <c r="A416" s="5">
        <v>2.02000000000002</v>
      </c>
      <c r="B416" s="5">
        <f t="shared" si="9"/>
        <v>28.280000000000278</v>
      </c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>
        <f>0.000001*('Design Worksheet_BAT'!B$88)*(B416-B415)/E$232+M415</f>
        <v>1.3253517004289793E-4</v>
      </c>
      <c r="N416" s="5">
        <f t="shared" si="8"/>
        <v>28.280000000000278</v>
      </c>
    </row>
    <row r="417" spans="1:14" x14ac:dyDescent="0.3">
      <c r="A417" s="5">
        <v>2.0250000000000199</v>
      </c>
      <c r="B417" s="5">
        <f t="shared" si="9"/>
        <v>28.350000000000279</v>
      </c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>
        <f>0.000001*('Design Worksheet_BAT'!B$88)*(B417-B416)/E$232+M416</f>
        <v>1.3273637777236653E-4</v>
      </c>
      <c r="N417" s="5">
        <f t="shared" ref="N417:N427" si="10">B417</f>
        <v>28.350000000000279</v>
      </c>
    </row>
    <row r="418" spans="1:14" x14ac:dyDescent="0.3">
      <c r="A418" s="5">
        <v>2.0300000000000198</v>
      </c>
      <c r="B418" s="5">
        <f t="shared" si="9"/>
        <v>28.420000000000279</v>
      </c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>
        <f>0.000001*('Design Worksheet_BAT'!B$88)*(B418-B417)/E$232+M417</f>
        <v>1.3293758550183513E-4</v>
      </c>
      <c r="N418" s="5">
        <f t="shared" si="10"/>
        <v>28.420000000000279</v>
      </c>
    </row>
    <row r="419" spans="1:14" x14ac:dyDescent="0.3">
      <c r="A419" s="5">
        <v>2.0350000000000201</v>
      </c>
      <c r="B419" s="5">
        <f t="shared" si="9"/>
        <v>28.490000000000283</v>
      </c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>
        <f>0.000001*('Design Worksheet_BAT'!B$88)*(B419-B418)/E$232+M418</f>
        <v>1.3313879323130373E-4</v>
      </c>
      <c r="N419" s="5">
        <f t="shared" si="10"/>
        <v>28.490000000000283</v>
      </c>
    </row>
    <row r="420" spans="1:14" x14ac:dyDescent="0.3">
      <c r="A420" s="5">
        <v>2.04000000000002</v>
      </c>
      <c r="B420" s="5">
        <f t="shared" si="9"/>
        <v>28.560000000000279</v>
      </c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>
        <f>0.000001*('Design Worksheet_BAT'!B$88)*(B420-B419)/E$232+M419</f>
        <v>1.3334000096077234E-4</v>
      </c>
      <c r="N420" s="5">
        <f t="shared" si="10"/>
        <v>28.560000000000279</v>
      </c>
    </row>
    <row r="421" spans="1:14" x14ac:dyDescent="0.3">
      <c r="A421" s="5">
        <v>2.0450000000000199</v>
      </c>
      <c r="B421" s="5">
        <f t="shared" si="9"/>
        <v>28.63000000000028</v>
      </c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>
        <f>0.000001*('Design Worksheet_BAT'!B$88)*(B421-B420)/E$232+M420</f>
        <v>1.3354120869024094E-4</v>
      </c>
      <c r="N421" s="5">
        <f t="shared" si="10"/>
        <v>28.63000000000028</v>
      </c>
    </row>
    <row r="422" spans="1:14" x14ac:dyDescent="0.3">
      <c r="A422" s="5">
        <v>2.0500000000000198</v>
      </c>
      <c r="B422" s="5">
        <f t="shared" si="9"/>
        <v>28.700000000000276</v>
      </c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>
        <f>0.000001*('Design Worksheet_BAT'!B$88)*(B422-B421)/E$232+M421</f>
        <v>1.3374241641970954E-4</v>
      </c>
      <c r="N422" s="5">
        <f t="shared" si="10"/>
        <v>28.700000000000276</v>
      </c>
    </row>
    <row r="423" spans="1:14" x14ac:dyDescent="0.3">
      <c r="A423" s="5">
        <v>2.0550000000000201</v>
      </c>
      <c r="B423" s="5">
        <f t="shared" si="9"/>
        <v>28.77000000000028</v>
      </c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>
        <f>0.000001*('Design Worksheet_BAT'!B$88)*(B423-B422)/E$232+M422</f>
        <v>1.3394362414917814E-4</v>
      </c>
      <c r="N423" s="5">
        <f t="shared" si="10"/>
        <v>28.77000000000028</v>
      </c>
    </row>
    <row r="424" spans="1:14" x14ac:dyDescent="0.3">
      <c r="A424" s="5">
        <v>2.06000000000002</v>
      </c>
      <c r="B424" s="5">
        <f t="shared" si="9"/>
        <v>28.840000000000281</v>
      </c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>
        <f>0.000001*('Design Worksheet_BAT'!B$88)*(B424-B423)/E$232+M423</f>
        <v>1.3414483187864675E-4</v>
      </c>
      <c r="N424" s="5">
        <f t="shared" si="10"/>
        <v>28.840000000000281</v>
      </c>
    </row>
    <row r="425" spans="1:14" x14ac:dyDescent="0.3">
      <c r="A425" s="5">
        <v>2.0650000000000199</v>
      </c>
      <c r="B425" s="5">
        <f t="shared" ref="B425:B488" si="11">A425*VOFLB</f>
        <v>28.910000000000281</v>
      </c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>
        <f>0.000001*('Design Worksheet_BAT'!B$88)*(B425-B424)/E$232+M424</f>
        <v>1.3434603960811535E-4</v>
      </c>
      <c r="N425" s="5">
        <f t="shared" si="10"/>
        <v>28.910000000000281</v>
      </c>
    </row>
    <row r="426" spans="1:14" x14ac:dyDescent="0.3">
      <c r="A426" s="5">
        <v>2.0700000000000198</v>
      </c>
      <c r="B426" s="5">
        <f t="shared" si="11"/>
        <v>28.980000000000278</v>
      </c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>
        <f>0.000001*('Design Worksheet_BAT'!B$88)*(B426-B425)/E$232+M425</f>
        <v>1.3454724733758395E-4</v>
      </c>
      <c r="N426" s="5">
        <f t="shared" si="10"/>
        <v>28.980000000000278</v>
      </c>
    </row>
    <row r="427" spans="1:14" x14ac:dyDescent="0.3">
      <c r="A427" s="5">
        <v>2.0750000000000202</v>
      </c>
      <c r="B427" s="5">
        <f t="shared" si="11"/>
        <v>29.050000000000281</v>
      </c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>
        <f>0.000001*('Design Worksheet_BAT'!B$88)*(B427-B426)/E$232+M426</f>
        <v>1.3474845506705255E-4</v>
      </c>
      <c r="N427" s="5">
        <f t="shared" si="10"/>
        <v>29.050000000000281</v>
      </c>
    </row>
    <row r="428" spans="1:14" x14ac:dyDescent="0.3">
      <c r="A428" s="5">
        <v>2.0800000000000201</v>
      </c>
      <c r="B428" s="5">
        <f t="shared" si="11"/>
        <v>29.120000000000282</v>
      </c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>
        <f>0.000001*('Design Worksheet_BAT'!B$88)*(B428-B427)/E$232+M427</f>
        <v>1.3494966279652116E-4</v>
      </c>
      <c r="N428" s="5">
        <f t="shared" ref="N428:N491" si="12">B428</f>
        <v>29.120000000000282</v>
      </c>
    </row>
    <row r="429" spans="1:14" x14ac:dyDescent="0.3">
      <c r="A429" s="5">
        <v>2.0850000000000199</v>
      </c>
      <c r="B429" s="5">
        <f t="shared" si="11"/>
        <v>29.190000000000278</v>
      </c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>
        <f>0.000001*('Design Worksheet_BAT'!B$88)*(B429-B428)/E$232+M428</f>
        <v>1.3515087052598976E-4</v>
      </c>
      <c r="N429" s="5">
        <f t="shared" si="12"/>
        <v>29.190000000000278</v>
      </c>
    </row>
    <row r="430" spans="1:14" x14ac:dyDescent="0.3">
      <c r="A430" s="5">
        <v>2.0900000000000198</v>
      </c>
      <c r="B430" s="5">
        <f t="shared" si="11"/>
        <v>29.260000000000279</v>
      </c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>
        <f>0.000001*('Design Worksheet_BAT'!B$88)*(B430-B429)/E$232+M429</f>
        <v>1.3535207825545836E-4</v>
      </c>
      <c r="N430" s="5">
        <f t="shared" si="12"/>
        <v>29.260000000000279</v>
      </c>
    </row>
    <row r="431" spans="1:14" x14ac:dyDescent="0.3">
      <c r="A431" s="5">
        <v>2.0950000000000202</v>
      </c>
      <c r="B431" s="5">
        <f t="shared" si="11"/>
        <v>29.330000000000283</v>
      </c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>
        <f>0.000001*('Design Worksheet_BAT'!B$88)*(B431-B430)/E$232+M430</f>
        <v>1.3555328598492696E-4</v>
      </c>
      <c r="N431" s="5">
        <f t="shared" si="12"/>
        <v>29.330000000000283</v>
      </c>
    </row>
    <row r="432" spans="1:14" x14ac:dyDescent="0.3">
      <c r="A432" s="5">
        <v>2.1000000000000201</v>
      </c>
      <c r="B432" s="5">
        <f t="shared" si="11"/>
        <v>29.400000000000283</v>
      </c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>
        <f>0.000001*('Design Worksheet_BAT'!B$88)*(B432-B431)/E$232+M431</f>
        <v>1.3575449371439557E-4</v>
      </c>
      <c r="N432" s="5">
        <f t="shared" si="12"/>
        <v>29.400000000000283</v>
      </c>
    </row>
    <row r="433" spans="1:14" x14ac:dyDescent="0.3">
      <c r="A433" s="5">
        <v>2.10500000000002</v>
      </c>
      <c r="B433" s="5">
        <f t="shared" si="11"/>
        <v>29.47000000000028</v>
      </c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>
        <f>0.000001*('Design Worksheet_BAT'!B$88)*(B433-B432)/E$232+M432</f>
        <v>1.3595570144386417E-4</v>
      </c>
      <c r="N433" s="5">
        <f t="shared" si="12"/>
        <v>29.47000000000028</v>
      </c>
    </row>
    <row r="434" spans="1:14" x14ac:dyDescent="0.3">
      <c r="A434" s="5">
        <v>2.1100000000000199</v>
      </c>
      <c r="B434" s="5">
        <f t="shared" si="11"/>
        <v>29.540000000000276</v>
      </c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>
        <f>0.000001*('Design Worksheet_BAT'!B$88)*(B434-B433)/E$232+M433</f>
        <v>1.3615690917333277E-4</v>
      </c>
      <c r="N434" s="5">
        <f t="shared" si="12"/>
        <v>29.540000000000276</v>
      </c>
    </row>
    <row r="435" spans="1:14" x14ac:dyDescent="0.3">
      <c r="A435" s="5">
        <v>2.1150000000000202</v>
      </c>
      <c r="B435" s="5">
        <f t="shared" si="11"/>
        <v>29.610000000000284</v>
      </c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>
        <f>0.000001*('Design Worksheet_BAT'!B$88)*(B435-B434)/E$232+M434</f>
        <v>1.363581169028014E-4</v>
      </c>
      <c r="N435" s="5">
        <f t="shared" si="12"/>
        <v>29.610000000000284</v>
      </c>
    </row>
    <row r="436" spans="1:14" x14ac:dyDescent="0.3">
      <c r="A436" s="5">
        <v>2.1200000000000201</v>
      </c>
      <c r="B436" s="5">
        <f t="shared" si="11"/>
        <v>29.68000000000028</v>
      </c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>
        <f>0.000001*('Design Worksheet_BAT'!B$88)*(B436-B435)/E$232+M435</f>
        <v>1.3655932463227E-4</v>
      </c>
      <c r="N436" s="5">
        <f t="shared" si="12"/>
        <v>29.68000000000028</v>
      </c>
    </row>
    <row r="437" spans="1:14" x14ac:dyDescent="0.3">
      <c r="A437" s="5">
        <v>2.12500000000002</v>
      </c>
      <c r="B437" s="5">
        <f t="shared" si="11"/>
        <v>29.750000000000281</v>
      </c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>
        <f>0.000001*('Design Worksheet_BAT'!B$88)*(B437-B436)/E$232+M436</f>
        <v>1.3676053236173861E-4</v>
      </c>
      <c r="N437" s="5">
        <f t="shared" si="12"/>
        <v>29.750000000000281</v>
      </c>
    </row>
    <row r="438" spans="1:14" x14ac:dyDescent="0.3">
      <c r="A438" s="5">
        <v>2.1300000000000199</v>
      </c>
      <c r="B438" s="5">
        <f t="shared" si="11"/>
        <v>29.820000000000277</v>
      </c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>
        <f>0.000001*('Design Worksheet_BAT'!B$88)*(B438-B437)/E$232+M437</f>
        <v>1.3696174009120721E-4</v>
      </c>
      <c r="N438" s="5">
        <f t="shared" si="12"/>
        <v>29.820000000000277</v>
      </c>
    </row>
    <row r="439" spans="1:14" x14ac:dyDescent="0.3">
      <c r="A439" s="5">
        <v>2.1350000000000202</v>
      </c>
      <c r="B439" s="5">
        <f t="shared" si="11"/>
        <v>29.890000000000285</v>
      </c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>
        <f>0.000001*('Design Worksheet_BAT'!B$88)*(B439-B438)/E$232+M438</f>
        <v>1.3716294782067584E-4</v>
      </c>
      <c r="N439" s="5">
        <f t="shared" si="12"/>
        <v>29.890000000000285</v>
      </c>
    </row>
    <row r="440" spans="1:14" x14ac:dyDescent="0.3">
      <c r="A440" s="5">
        <v>2.1400000000000201</v>
      </c>
      <c r="B440" s="5">
        <f t="shared" si="11"/>
        <v>29.960000000000282</v>
      </c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>
        <f>0.000001*('Design Worksheet_BAT'!B$88)*(B440-B439)/E$232+M439</f>
        <v>1.3736415555014444E-4</v>
      </c>
      <c r="N440" s="5">
        <f t="shared" si="12"/>
        <v>29.960000000000282</v>
      </c>
    </row>
    <row r="441" spans="1:14" x14ac:dyDescent="0.3">
      <c r="A441" s="5">
        <v>2.14500000000002</v>
      </c>
      <c r="B441" s="5">
        <f t="shared" si="11"/>
        <v>30.030000000000278</v>
      </c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>
        <f>0.000001*('Design Worksheet_BAT'!B$88)*(B441-B440)/E$232+M440</f>
        <v>1.3756536327961304E-4</v>
      </c>
      <c r="N441" s="5">
        <f t="shared" si="12"/>
        <v>30.030000000000278</v>
      </c>
    </row>
    <row r="442" spans="1:14" x14ac:dyDescent="0.3">
      <c r="A442" s="5">
        <v>2.1500000000000199</v>
      </c>
      <c r="B442" s="5">
        <f t="shared" si="11"/>
        <v>30.100000000000279</v>
      </c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>
        <f>0.000001*('Design Worksheet_BAT'!B$88)*(B442-B441)/E$232+M441</f>
        <v>1.3776657100908165E-4</v>
      </c>
      <c r="N442" s="5">
        <f t="shared" si="12"/>
        <v>30.100000000000279</v>
      </c>
    </row>
    <row r="443" spans="1:14" x14ac:dyDescent="0.3">
      <c r="A443" s="5">
        <v>2.1550000000000198</v>
      </c>
      <c r="B443" s="5">
        <f t="shared" si="11"/>
        <v>30.170000000000279</v>
      </c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>
        <f>0.000001*('Design Worksheet_BAT'!B$88)*(B443-B442)/E$232+M442</f>
        <v>1.3796777873855025E-4</v>
      </c>
      <c r="N443" s="5">
        <f t="shared" si="12"/>
        <v>30.170000000000279</v>
      </c>
    </row>
    <row r="444" spans="1:14" x14ac:dyDescent="0.3">
      <c r="A444" s="5">
        <v>2.1600000000000201</v>
      </c>
      <c r="B444" s="5">
        <f t="shared" si="11"/>
        <v>30.240000000000283</v>
      </c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>
        <f>0.000001*('Design Worksheet_BAT'!B$88)*(B444-B443)/E$232+M443</f>
        <v>1.3816898646801885E-4</v>
      </c>
      <c r="N444" s="5">
        <f t="shared" si="12"/>
        <v>30.240000000000283</v>
      </c>
    </row>
    <row r="445" spans="1:14" x14ac:dyDescent="0.3">
      <c r="A445" s="5">
        <v>2.16500000000002</v>
      </c>
      <c r="B445" s="5">
        <f t="shared" si="11"/>
        <v>30.310000000000279</v>
      </c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>
        <f>0.000001*('Design Worksheet_BAT'!B$88)*(B445-B444)/E$232+M444</f>
        <v>1.3837019419748746E-4</v>
      </c>
      <c r="N445" s="5">
        <f t="shared" si="12"/>
        <v>30.310000000000279</v>
      </c>
    </row>
    <row r="446" spans="1:14" x14ac:dyDescent="0.3">
      <c r="A446" s="5">
        <v>2.1700000000000199</v>
      </c>
      <c r="B446" s="5">
        <f t="shared" si="11"/>
        <v>30.38000000000028</v>
      </c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>
        <f>0.000001*('Design Worksheet_BAT'!B$88)*(B446-B445)/E$232+M445</f>
        <v>1.3857140192695606E-4</v>
      </c>
      <c r="N446" s="5">
        <f t="shared" si="12"/>
        <v>30.38000000000028</v>
      </c>
    </row>
    <row r="447" spans="1:14" x14ac:dyDescent="0.3">
      <c r="A447" s="5">
        <v>2.1750000000000198</v>
      </c>
      <c r="B447" s="5">
        <f t="shared" si="11"/>
        <v>30.450000000000276</v>
      </c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>
        <f>0.000001*('Design Worksheet_BAT'!B$88)*(B447-B446)/E$232+M446</f>
        <v>1.3877260965642466E-4</v>
      </c>
      <c r="N447" s="5">
        <f t="shared" si="12"/>
        <v>30.450000000000276</v>
      </c>
    </row>
    <row r="448" spans="1:14" x14ac:dyDescent="0.3">
      <c r="A448" s="5">
        <v>2.1800000000000201</v>
      </c>
      <c r="B448" s="5">
        <f t="shared" si="11"/>
        <v>30.52000000000028</v>
      </c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>
        <f>0.000001*('Design Worksheet_BAT'!B$88)*(B448-B447)/E$232+M447</f>
        <v>1.3897381738589326E-4</v>
      </c>
      <c r="N448" s="5">
        <f t="shared" si="12"/>
        <v>30.52000000000028</v>
      </c>
    </row>
    <row r="449" spans="1:14" x14ac:dyDescent="0.3">
      <c r="A449" s="5">
        <v>2.18500000000002</v>
      </c>
      <c r="B449" s="5">
        <f t="shared" si="11"/>
        <v>30.590000000000281</v>
      </c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>
        <f>0.000001*('Design Worksheet_BAT'!B$88)*(B449-B448)/E$232+M448</f>
        <v>1.3917502511536187E-4</v>
      </c>
      <c r="N449" s="5">
        <f t="shared" si="12"/>
        <v>30.590000000000281</v>
      </c>
    </row>
    <row r="450" spans="1:14" x14ac:dyDescent="0.3">
      <c r="A450" s="5">
        <v>2.1900000000000199</v>
      </c>
      <c r="B450" s="5">
        <f t="shared" si="11"/>
        <v>30.660000000000281</v>
      </c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>
        <f>0.000001*('Design Worksheet_BAT'!B$88)*(B450-B449)/E$232+M449</f>
        <v>1.3937623284483047E-4</v>
      </c>
      <c r="N450" s="5">
        <f t="shared" si="12"/>
        <v>30.660000000000281</v>
      </c>
    </row>
    <row r="451" spans="1:14" x14ac:dyDescent="0.3">
      <c r="A451" s="5">
        <v>2.1950000000000198</v>
      </c>
      <c r="B451" s="5">
        <f t="shared" si="11"/>
        <v>30.730000000000278</v>
      </c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>
        <f>0.000001*('Design Worksheet_BAT'!B$88)*(B451-B450)/E$232+M450</f>
        <v>1.3957744057429907E-4</v>
      </c>
      <c r="N451" s="5">
        <f t="shared" si="12"/>
        <v>30.730000000000278</v>
      </c>
    </row>
    <row r="452" spans="1:14" x14ac:dyDescent="0.3">
      <c r="A452" s="5">
        <v>2.2000000000000202</v>
      </c>
      <c r="B452" s="5">
        <f t="shared" si="11"/>
        <v>30.800000000000281</v>
      </c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>
        <f>0.000001*('Design Worksheet_BAT'!B$88)*(B452-B451)/E$232+M451</f>
        <v>1.3977864830376767E-4</v>
      </c>
      <c r="N452" s="5">
        <f t="shared" si="12"/>
        <v>30.800000000000281</v>
      </c>
    </row>
    <row r="453" spans="1:14" x14ac:dyDescent="0.3">
      <c r="A453" s="5">
        <v>2.2050000000000201</v>
      </c>
      <c r="B453" s="5">
        <f t="shared" si="11"/>
        <v>30.870000000000282</v>
      </c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>
        <f>0.000001*('Design Worksheet_BAT'!B$88)*(B453-B452)/E$232+M452</f>
        <v>1.3997985603323628E-4</v>
      </c>
      <c r="N453" s="5">
        <f t="shared" si="12"/>
        <v>30.870000000000282</v>
      </c>
    </row>
    <row r="454" spans="1:14" x14ac:dyDescent="0.3">
      <c r="A454" s="5">
        <v>2.2100000000000199</v>
      </c>
      <c r="B454" s="5">
        <f t="shared" si="11"/>
        <v>30.940000000000278</v>
      </c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>
        <f>0.000001*('Design Worksheet_BAT'!B$88)*(B454-B453)/E$232+M453</f>
        <v>1.4018106376270488E-4</v>
      </c>
      <c r="N454" s="5">
        <f t="shared" si="12"/>
        <v>30.940000000000278</v>
      </c>
    </row>
    <row r="455" spans="1:14" x14ac:dyDescent="0.3">
      <c r="A455" s="5">
        <v>2.2150000000000198</v>
      </c>
      <c r="B455" s="5">
        <f t="shared" si="11"/>
        <v>31.010000000000279</v>
      </c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>
        <f>0.000001*('Design Worksheet_BAT'!B$88)*(B455-B454)/E$232+M454</f>
        <v>1.4038227149217348E-4</v>
      </c>
      <c r="N455" s="5">
        <f t="shared" si="12"/>
        <v>31.010000000000279</v>
      </c>
    </row>
    <row r="456" spans="1:14" x14ac:dyDescent="0.3">
      <c r="A456" s="5">
        <v>2.2200000000000202</v>
      </c>
      <c r="B456" s="5">
        <f t="shared" si="11"/>
        <v>31.080000000000283</v>
      </c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>
        <f>0.000001*('Design Worksheet_BAT'!B$88)*(B456-B455)/E$232+M455</f>
        <v>1.4058347922164208E-4</v>
      </c>
      <c r="N456" s="5">
        <f t="shared" si="12"/>
        <v>31.080000000000283</v>
      </c>
    </row>
    <row r="457" spans="1:14" x14ac:dyDescent="0.3">
      <c r="A457" s="5">
        <v>2.2250000000000201</v>
      </c>
      <c r="B457" s="5">
        <f t="shared" si="11"/>
        <v>31.150000000000283</v>
      </c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>
        <f>0.000001*('Design Worksheet_BAT'!B$88)*(B457-B456)/E$232+M456</f>
        <v>1.4078468695111069E-4</v>
      </c>
      <c r="N457" s="5">
        <f t="shared" si="12"/>
        <v>31.150000000000283</v>
      </c>
    </row>
    <row r="458" spans="1:14" x14ac:dyDescent="0.3">
      <c r="A458" s="5">
        <v>2.23000000000002</v>
      </c>
      <c r="B458" s="5">
        <f t="shared" si="11"/>
        <v>31.22000000000028</v>
      </c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>
        <f>0.000001*('Design Worksheet_BAT'!B$88)*(B458-B457)/E$232+M457</f>
        <v>1.4098589468057929E-4</v>
      </c>
      <c r="N458" s="5">
        <f t="shared" si="12"/>
        <v>31.22000000000028</v>
      </c>
    </row>
    <row r="459" spans="1:14" x14ac:dyDescent="0.3">
      <c r="A459" s="5">
        <v>2.2350000000000199</v>
      </c>
      <c r="B459" s="5">
        <f t="shared" si="11"/>
        <v>31.290000000000276</v>
      </c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>
        <f>0.000001*('Design Worksheet_BAT'!B$88)*(B459-B458)/E$232+M458</f>
        <v>1.4118710241004789E-4</v>
      </c>
      <c r="N459" s="5">
        <f t="shared" si="12"/>
        <v>31.290000000000276</v>
      </c>
    </row>
    <row r="460" spans="1:14" x14ac:dyDescent="0.3">
      <c r="A460" s="5">
        <v>2.2400000000000202</v>
      </c>
      <c r="B460" s="5">
        <f t="shared" si="11"/>
        <v>31.360000000000284</v>
      </c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>
        <f>0.000001*('Design Worksheet_BAT'!B$88)*(B460-B459)/E$232+M459</f>
        <v>1.4138831013951652E-4</v>
      </c>
      <c r="N460" s="5">
        <f t="shared" si="12"/>
        <v>31.360000000000284</v>
      </c>
    </row>
    <row r="461" spans="1:14" x14ac:dyDescent="0.3">
      <c r="A461" s="5">
        <v>2.2450000000000201</v>
      </c>
      <c r="B461" s="5">
        <f t="shared" si="11"/>
        <v>31.43000000000028</v>
      </c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>
        <f>0.000001*('Design Worksheet_BAT'!B$88)*(B461-B460)/E$232+M460</f>
        <v>1.4158951786898512E-4</v>
      </c>
      <c r="N461" s="5">
        <f t="shared" si="12"/>
        <v>31.43000000000028</v>
      </c>
    </row>
    <row r="462" spans="1:14" x14ac:dyDescent="0.3">
      <c r="A462" s="5">
        <v>2.25000000000002</v>
      </c>
      <c r="B462" s="5">
        <f t="shared" si="11"/>
        <v>31.500000000000281</v>
      </c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>
        <f>0.000001*('Design Worksheet_BAT'!B$88)*(B462-B461)/E$232+M461</f>
        <v>1.4179072559845373E-4</v>
      </c>
      <c r="N462" s="5">
        <f t="shared" si="12"/>
        <v>31.500000000000281</v>
      </c>
    </row>
    <row r="463" spans="1:14" x14ac:dyDescent="0.3">
      <c r="A463" s="5">
        <v>2.2550000000000199</v>
      </c>
      <c r="B463" s="5">
        <f t="shared" si="11"/>
        <v>31.570000000000277</v>
      </c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>
        <f>0.000001*('Design Worksheet_BAT'!B$88)*(B463-B462)/E$232+M462</f>
        <v>1.4199193332792233E-4</v>
      </c>
      <c r="N463" s="5">
        <f t="shared" si="12"/>
        <v>31.570000000000277</v>
      </c>
    </row>
    <row r="464" spans="1:14" x14ac:dyDescent="0.3">
      <c r="A464" s="5">
        <v>2.2600000000000202</v>
      </c>
      <c r="B464" s="5">
        <f t="shared" si="11"/>
        <v>31.640000000000285</v>
      </c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>
        <f>0.000001*('Design Worksheet_BAT'!B$88)*(B464-B463)/E$232+M463</f>
        <v>1.4219314105739096E-4</v>
      </c>
      <c r="N464" s="5">
        <f t="shared" si="12"/>
        <v>31.640000000000285</v>
      </c>
    </row>
    <row r="465" spans="1:14" x14ac:dyDescent="0.3">
      <c r="A465" s="5">
        <v>2.2650000000000201</v>
      </c>
      <c r="B465" s="5">
        <f t="shared" si="11"/>
        <v>31.710000000000282</v>
      </c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>
        <f>0.000001*('Design Worksheet_BAT'!B$88)*(B465-B464)/E$232+M464</f>
        <v>1.4239434878685956E-4</v>
      </c>
      <c r="N465" s="5">
        <f t="shared" si="12"/>
        <v>31.710000000000282</v>
      </c>
    </row>
    <row r="466" spans="1:14" x14ac:dyDescent="0.3">
      <c r="A466" s="5">
        <v>2.27000000000002</v>
      </c>
      <c r="B466" s="5">
        <f t="shared" si="11"/>
        <v>31.780000000000278</v>
      </c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>
        <f>0.000001*('Design Worksheet_BAT'!B$88)*(B466-B465)/E$232+M465</f>
        <v>1.4259555651632816E-4</v>
      </c>
      <c r="N466" s="5">
        <f t="shared" si="12"/>
        <v>31.780000000000278</v>
      </c>
    </row>
    <row r="467" spans="1:14" x14ac:dyDescent="0.3">
      <c r="A467" s="5">
        <v>2.2750000000000199</v>
      </c>
      <c r="B467" s="5">
        <f t="shared" si="11"/>
        <v>31.850000000000279</v>
      </c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>
        <f>0.000001*('Design Worksheet_BAT'!B$88)*(B467-B466)/E$232+M466</f>
        <v>1.4279676424579677E-4</v>
      </c>
      <c r="N467" s="5">
        <f t="shared" si="12"/>
        <v>31.850000000000279</v>
      </c>
    </row>
    <row r="468" spans="1:14" x14ac:dyDescent="0.3">
      <c r="A468" s="5">
        <v>2.28000000000001</v>
      </c>
      <c r="B468" s="5">
        <f t="shared" si="11"/>
        <v>31.92000000000014</v>
      </c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>
        <f>0.000001*('Design Worksheet_BAT'!B$88)*(B468-B467)/E$232+M467</f>
        <v>1.4299797197526496E-4</v>
      </c>
      <c r="N468" s="5">
        <f t="shared" si="12"/>
        <v>31.92000000000014</v>
      </c>
    </row>
    <row r="469" spans="1:14" x14ac:dyDescent="0.3">
      <c r="A469" s="5">
        <v>2.2850000000000201</v>
      </c>
      <c r="B469" s="5">
        <f t="shared" si="11"/>
        <v>31.990000000000283</v>
      </c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>
        <f>0.000001*('Design Worksheet_BAT'!B$88)*(B469-B468)/E$232+M468</f>
        <v>1.4319917970473397E-4</v>
      </c>
      <c r="N469" s="5">
        <f t="shared" si="12"/>
        <v>31.990000000000283</v>
      </c>
    </row>
    <row r="470" spans="1:14" x14ac:dyDescent="0.3">
      <c r="A470" s="5">
        <v>2.29000000000002</v>
      </c>
      <c r="B470" s="5">
        <f t="shared" si="11"/>
        <v>32.060000000000279</v>
      </c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>
        <f>0.000001*('Design Worksheet_BAT'!B$88)*(B470-B469)/E$232+M469</f>
        <v>1.4340038743420257E-4</v>
      </c>
      <c r="N470" s="5">
        <f t="shared" si="12"/>
        <v>32.060000000000279</v>
      </c>
    </row>
    <row r="471" spans="1:14" x14ac:dyDescent="0.3">
      <c r="A471" s="5">
        <v>2.2950000000000199</v>
      </c>
      <c r="B471" s="5">
        <f t="shared" si="11"/>
        <v>32.13000000000028</v>
      </c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>
        <f>0.000001*('Design Worksheet_BAT'!B$88)*(B471-B470)/E$232+M470</f>
        <v>1.4360159516367118E-4</v>
      </c>
      <c r="N471" s="5">
        <f t="shared" si="12"/>
        <v>32.13000000000028</v>
      </c>
    </row>
    <row r="472" spans="1:14" x14ac:dyDescent="0.3">
      <c r="A472" s="5">
        <v>2.30000000000001</v>
      </c>
      <c r="B472" s="5">
        <f t="shared" si="11"/>
        <v>32.200000000000138</v>
      </c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>
        <f>0.000001*('Design Worksheet_BAT'!B$88)*(B472-B471)/E$232+M471</f>
        <v>1.4380280289313937E-4</v>
      </c>
      <c r="N472" s="5">
        <f t="shared" si="12"/>
        <v>32.200000000000138</v>
      </c>
    </row>
    <row r="473" spans="1:14" x14ac:dyDescent="0.3">
      <c r="A473" s="5">
        <v>2.3050000000000099</v>
      </c>
      <c r="B473" s="5">
        <f t="shared" si="11"/>
        <v>32.270000000000138</v>
      </c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>
        <f>0.000001*('Design Worksheet_BAT'!B$88)*(B473-B472)/E$232+M472</f>
        <v>1.4400401062260798E-4</v>
      </c>
      <c r="N473" s="5">
        <f t="shared" si="12"/>
        <v>32.270000000000138</v>
      </c>
    </row>
    <row r="474" spans="1:14" x14ac:dyDescent="0.3">
      <c r="A474" s="5">
        <v>2.31000000000002</v>
      </c>
      <c r="B474" s="5">
        <f t="shared" si="11"/>
        <v>32.340000000000281</v>
      </c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>
        <f>0.000001*('Design Worksheet_BAT'!B$88)*(B474-B473)/E$232+M473</f>
        <v>1.4420521835207699E-4</v>
      </c>
      <c r="N474" s="5">
        <f t="shared" si="12"/>
        <v>32.340000000000281</v>
      </c>
    </row>
    <row r="475" spans="1:14" x14ac:dyDescent="0.3">
      <c r="A475" s="5">
        <v>2.3150000000000199</v>
      </c>
      <c r="B475" s="5">
        <f t="shared" si="11"/>
        <v>32.410000000000281</v>
      </c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>
        <f>0.000001*('Design Worksheet_BAT'!B$88)*(B475-B474)/E$232+M474</f>
        <v>1.4440642608154559E-4</v>
      </c>
      <c r="N475" s="5">
        <f t="shared" si="12"/>
        <v>32.410000000000281</v>
      </c>
    </row>
    <row r="476" spans="1:14" x14ac:dyDescent="0.3">
      <c r="A476" s="5">
        <v>2.3200000000000101</v>
      </c>
      <c r="B476" s="5">
        <f t="shared" si="11"/>
        <v>32.480000000000139</v>
      </c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>
        <f>0.000001*('Design Worksheet_BAT'!B$88)*(B476-B475)/E$232+M475</f>
        <v>1.4460763381101378E-4</v>
      </c>
      <c r="N476" s="5">
        <f t="shared" si="12"/>
        <v>32.480000000000139</v>
      </c>
    </row>
    <row r="477" spans="1:14" x14ac:dyDescent="0.3">
      <c r="A477" s="5">
        <v>2.3250000000000099</v>
      </c>
      <c r="B477" s="5">
        <f t="shared" si="11"/>
        <v>32.550000000000139</v>
      </c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>
        <f>0.000001*('Design Worksheet_BAT'!B$88)*(B477-B476)/E$232+M476</f>
        <v>1.4480884154048239E-4</v>
      </c>
      <c r="N477" s="5">
        <f t="shared" si="12"/>
        <v>32.550000000000139</v>
      </c>
    </row>
    <row r="478" spans="1:14" x14ac:dyDescent="0.3">
      <c r="A478" s="5">
        <v>2.3300000000000098</v>
      </c>
      <c r="B478" s="5">
        <f t="shared" si="11"/>
        <v>32.62000000000014</v>
      </c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>
        <f>0.000001*('Design Worksheet_BAT'!B$88)*(B478-B477)/E$232+M477</f>
        <v>1.4501004926995099E-4</v>
      </c>
      <c r="N478" s="5">
        <f t="shared" si="12"/>
        <v>32.62000000000014</v>
      </c>
    </row>
    <row r="479" spans="1:14" x14ac:dyDescent="0.3">
      <c r="A479" s="5">
        <v>2.3350000000000102</v>
      </c>
      <c r="B479" s="5">
        <f t="shared" si="11"/>
        <v>32.69000000000014</v>
      </c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>
        <f>0.000001*('Design Worksheet_BAT'!B$88)*(B479-B478)/E$232+M478</f>
        <v>1.4521125699941959E-4</v>
      </c>
      <c r="N479" s="5">
        <f t="shared" si="12"/>
        <v>32.69000000000014</v>
      </c>
    </row>
    <row r="480" spans="1:14" x14ac:dyDescent="0.3">
      <c r="A480" s="5">
        <v>2.3400000000000101</v>
      </c>
      <c r="B480" s="5">
        <f t="shared" si="11"/>
        <v>32.76000000000014</v>
      </c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>
        <f>0.000001*('Design Worksheet_BAT'!B$88)*(B480-B479)/E$232+M479</f>
        <v>1.4541246472888819E-4</v>
      </c>
      <c r="N480" s="5">
        <f t="shared" si="12"/>
        <v>32.76000000000014</v>
      </c>
    </row>
    <row r="481" spans="1:14" x14ac:dyDescent="0.3">
      <c r="A481" s="5">
        <v>2.34500000000001</v>
      </c>
      <c r="B481" s="5">
        <f t="shared" si="11"/>
        <v>32.83000000000014</v>
      </c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>
        <f>0.000001*('Design Worksheet_BAT'!B$88)*(B481-B480)/E$232+M480</f>
        <v>1.456136724583568E-4</v>
      </c>
      <c r="N481" s="5">
        <f t="shared" si="12"/>
        <v>32.83000000000014</v>
      </c>
    </row>
    <row r="482" spans="1:14" x14ac:dyDescent="0.3">
      <c r="A482" s="5">
        <v>2.3500000000000099</v>
      </c>
      <c r="B482" s="5">
        <f t="shared" si="11"/>
        <v>32.900000000000141</v>
      </c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>
        <f>0.000001*('Design Worksheet_BAT'!B$88)*(B482-B481)/E$232+M481</f>
        <v>1.458148801878254E-4</v>
      </c>
      <c r="N482" s="5">
        <f t="shared" si="12"/>
        <v>32.900000000000141</v>
      </c>
    </row>
    <row r="483" spans="1:14" x14ac:dyDescent="0.3">
      <c r="A483" s="5">
        <v>2.3550000000000102</v>
      </c>
      <c r="B483" s="5">
        <f t="shared" si="11"/>
        <v>32.970000000000141</v>
      </c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>
        <f>0.000001*('Design Worksheet_BAT'!B$88)*(B483-B482)/E$232+M482</f>
        <v>1.46016087917294E-4</v>
      </c>
      <c r="N483" s="5">
        <f t="shared" si="12"/>
        <v>32.970000000000141</v>
      </c>
    </row>
    <row r="484" spans="1:14" x14ac:dyDescent="0.3">
      <c r="A484" s="5">
        <v>2.3600000000000101</v>
      </c>
      <c r="B484" s="5">
        <f t="shared" si="11"/>
        <v>33.040000000000141</v>
      </c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>
        <f>0.000001*('Design Worksheet_BAT'!B$88)*(B484-B483)/E$232+M483</f>
        <v>1.462172956467626E-4</v>
      </c>
      <c r="N484" s="5">
        <f t="shared" si="12"/>
        <v>33.040000000000141</v>
      </c>
    </row>
    <row r="485" spans="1:14" x14ac:dyDescent="0.3">
      <c r="A485" s="5">
        <v>2.36500000000001</v>
      </c>
      <c r="B485" s="5">
        <f t="shared" si="11"/>
        <v>33.110000000000142</v>
      </c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>
        <f>0.000001*('Design Worksheet_BAT'!B$88)*(B485-B484)/E$232+M484</f>
        <v>1.4641850337623121E-4</v>
      </c>
      <c r="N485" s="5">
        <f t="shared" si="12"/>
        <v>33.110000000000142</v>
      </c>
    </row>
    <row r="486" spans="1:14" x14ac:dyDescent="0.3">
      <c r="A486" s="5">
        <v>2.3700000000000099</v>
      </c>
      <c r="B486" s="5">
        <f t="shared" si="11"/>
        <v>33.180000000000135</v>
      </c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>
        <f>0.000001*('Design Worksheet_BAT'!B$88)*(B486-B485)/E$232+M485</f>
        <v>1.4661971110569978E-4</v>
      </c>
      <c r="N486" s="5">
        <f t="shared" si="12"/>
        <v>33.180000000000135</v>
      </c>
    </row>
    <row r="487" spans="1:14" x14ac:dyDescent="0.3">
      <c r="A487" s="5">
        <v>2.3750000000000102</v>
      </c>
      <c r="B487" s="5">
        <f t="shared" si="11"/>
        <v>33.250000000000142</v>
      </c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>
        <f>0.000001*('Design Worksheet_BAT'!B$88)*(B487-B486)/E$232+M486</f>
        <v>1.4682091883516841E-4</v>
      </c>
      <c r="N487" s="5">
        <f t="shared" si="12"/>
        <v>33.250000000000142</v>
      </c>
    </row>
    <row r="488" spans="1:14" x14ac:dyDescent="0.3">
      <c r="A488" s="5">
        <v>2.3800000000000101</v>
      </c>
      <c r="B488" s="5">
        <f t="shared" si="11"/>
        <v>33.320000000000142</v>
      </c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>
        <f>0.000001*('Design Worksheet_BAT'!B$88)*(B488-B487)/E$232+M487</f>
        <v>1.4702212656463702E-4</v>
      </c>
      <c r="N488" s="5">
        <f t="shared" si="12"/>
        <v>33.320000000000142</v>
      </c>
    </row>
    <row r="489" spans="1:14" x14ac:dyDescent="0.3">
      <c r="A489" s="5">
        <v>2.38500000000001</v>
      </c>
      <c r="B489" s="5">
        <f t="shared" ref="B489:B552" si="13">A489*VOFLB</f>
        <v>33.390000000000143</v>
      </c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>
        <f>0.000001*('Design Worksheet_BAT'!B$88)*(B489-B488)/E$232+M488</f>
        <v>1.4722333429410562E-4</v>
      </c>
      <c r="N489" s="5">
        <f t="shared" si="12"/>
        <v>33.390000000000143</v>
      </c>
    </row>
    <row r="490" spans="1:14" x14ac:dyDescent="0.3">
      <c r="A490" s="5">
        <v>2.3900000000000099</v>
      </c>
      <c r="B490" s="5">
        <f t="shared" si="13"/>
        <v>33.460000000000136</v>
      </c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>
        <f>0.000001*('Design Worksheet_BAT'!B$88)*(B490-B489)/E$232+M489</f>
        <v>1.4742454202357419E-4</v>
      </c>
      <c r="N490" s="5">
        <f t="shared" si="12"/>
        <v>33.460000000000136</v>
      </c>
    </row>
    <row r="491" spans="1:14" x14ac:dyDescent="0.3">
      <c r="A491" s="5">
        <v>2.3950000000000098</v>
      </c>
      <c r="B491" s="5">
        <f t="shared" si="13"/>
        <v>33.530000000000136</v>
      </c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>
        <f>0.000001*('Design Worksheet_BAT'!B$88)*(B491-B490)/E$232+M490</f>
        <v>1.476257497530428E-4</v>
      </c>
      <c r="N491" s="5">
        <f t="shared" si="12"/>
        <v>33.530000000000136</v>
      </c>
    </row>
    <row r="492" spans="1:14" x14ac:dyDescent="0.3">
      <c r="A492" s="5">
        <v>2.4000000000000101</v>
      </c>
      <c r="B492" s="5">
        <f t="shared" si="13"/>
        <v>33.600000000000144</v>
      </c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>
        <f>0.000001*('Design Worksheet_BAT'!B$88)*(B492-B491)/E$232+M491</f>
        <v>1.4782695748251143E-4</v>
      </c>
      <c r="N492" s="5">
        <f t="shared" ref="N492:N555" si="14">B492</f>
        <v>33.600000000000144</v>
      </c>
    </row>
    <row r="493" spans="1:14" x14ac:dyDescent="0.3">
      <c r="A493" s="5">
        <v>2.40500000000001</v>
      </c>
      <c r="B493" s="5">
        <f t="shared" si="13"/>
        <v>33.670000000000144</v>
      </c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>
        <f>0.000001*('Design Worksheet_BAT'!B$88)*(B493-B492)/E$232+M492</f>
        <v>1.4802816521198003E-4</v>
      </c>
      <c r="N493" s="5">
        <f t="shared" si="14"/>
        <v>33.670000000000144</v>
      </c>
    </row>
    <row r="494" spans="1:14" x14ac:dyDescent="0.3">
      <c r="A494" s="5">
        <v>2.4100000000000099</v>
      </c>
      <c r="B494" s="5">
        <f t="shared" si="13"/>
        <v>33.740000000000137</v>
      </c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>
        <f>0.000001*('Design Worksheet_BAT'!B$88)*(B494-B493)/E$232+M493</f>
        <v>1.482293729414486E-4</v>
      </c>
      <c r="N494" s="5">
        <f t="shared" si="14"/>
        <v>33.740000000000137</v>
      </c>
    </row>
    <row r="495" spans="1:14" x14ac:dyDescent="0.3">
      <c r="A495" s="5">
        <v>2.4150000000000098</v>
      </c>
      <c r="B495" s="5">
        <f t="shared" si="13"/>
        <v>33.810000000000137</v>
      </c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>
        <f>0.000001*('Design Worksheet_BAT'!B$88)*(B495-B494)/E$232+M494</f>
        <v>1.4843058067091721E-4</v>
      </c>
      <c r="N495" s="5">
        <f t="shared" si="14"/>
        <v>33.810000000000137</v>
      </c>
    </row>
    <row r="496" spans="1:14" x14ac:dyDescent="0.3">
      <c r="A496" s="5">
        <v>2.4200000000000101</v>
      </c>
      <c r="B496" s="5">
        <f t="shared" si="13"/>
        <v>33.880000000000145</v>
      </c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>
        <f>0.000001*('Design Worksheet_BAT'!B$88)*(B496-B495)/E$232+M495</f>
        <v>1.4863178840038584E-4</v>
      </c>
      <c r="N496" s="5">
        <f t="shared" si="14"/>
        <v>33.880000000000145</v>
      </c>
    </row>
    <row r="497" spans="1:14" x14ac:dyDescent="0.3">
      <c r="A497" s="5">
        <v>2.42500000000001</v>
      </c>
      <c r="B497" s="5">
        <f t="shared" si="13"/>
        <v>33.950000000000138</v>
      </c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>
        <f>0.000001*('Design Worksheet_BAT'!B$88)*(B497-B496)/E$232+M496</f>
        <v>1.4883299612985441E-4</v>
      </c>
      <c r="N497" s="5">
        <f t="shared" si="14"/>
        <v>33.950000000000138</v>
      </c>
    </row>
    <row r="498" spans="1:14" x14ac:dyDescent="0.3">
      <c r="A498" s="5">
        <v>2.4300000000000099</v>
      </c>
      <c r="B498" s="5">
        <f t="shared" si="13"/>
        <v>34.020000000000138</v>
      </c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>
        <f>0.000001*('Design Worksheet_BAT'!B$88)*(B498-B497)/E$232+M497</f>
        <v>1.4903420385932301E-4</v>
      </c>
      <c r="N498" s="5">
        <f t="shared" si="14"/>
        <v>34.020000000000138</v>
      </c>
    </row>
    <row r="499" spans="1:14" x14ac:dyDescent="0.3">
      <c r="A499" s="5">
        <v>2.4350000000000098</v>
      </c>
      <c r="B499" s="5">
        <f t="shared" si="13"/>
        <v>34.090000000000138</v>
      </c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>
        <f>0.000001*('Design Worksheet_BAT'!B$88)*(B499-B498)/E$232+M498</f>
        <v>1.4923541158879162E-4</v>
      </c>
      <c r="N499" s="5">
        <f t="shared" si="14"/>
        <v>34.090000000000138</v>
      </c>
    </row>
    <row r="500" spans="1:14" x14ac:dyDescent="0.3">
      <c r="A500" s="5">
        <v>2.4400000000000102</v>
      </c>
      <c r="B500" s="5">
        <f t="shared" si="13"/>
        <v>34.160000000000139</v>
      </c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>
        <f>0.000001*('Design Worksheet_BAT'!B$88)*(B500-B499)/E$232+M499</f>
        <v>1.4943661931826022E-4</v>
      </c>
      <c r="N500" s="5">
        <f t="shared" si="14"/>
        <v>34.160000000000139</v>
      </c>
    </row>
    <row r="501" spans="1:14" x14ac:dyDescent="0.3">
      <c r="A501" s="5">
        <v>2.4450000000000101</v>
      </c>
      <c r="B501" s="5">
        <f t="shared" si="13"/>
        <v>34.230000000000139</v>
      </c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>
        <f>0.000001*('Design Worksheet_BAT'!B$88)*(B501-B500)/E$232+M500</f>
        <v>1.4963782704772882E-4</v>
      </c>
      <c r="N501" s="5">
        <f t="shared" si="14"/>
        <v>34.230000000000139</v>
      </c>
    </row>
    <row r="502" spans="1:14" x14ac:dyDescent="0.3">
      <c r="A502" s="5">
        <v>2.4500000000000099</v>
      </c>
      <c r="B502" s="5">
        <f t="shared" si="13"/>
        <v>34.300000000000139</v>
      </c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>
        <f>0.000001*('Design Worksheet_BAT'!B$88)*(B502-B501)/E$232+M501</f>
        <v>1.4983903477719742E-4</v>
      </c>
      <c r="N502" s="5">
        <f t="shared" si="14"/>
        <v>34.300000000000139</v>
      </c>
    </row>
    <row r="503" spans="1:14" x14ac:dyDescent="0.3">
      <c r="A503" s="5">
        <v>2.4550000000000098</v>
      </c>
      <c r="B503" s="5">
        <f t="shared" si="13"/>
        <v>34.37000000000014</v>
      </c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>
        <f>0.000001*('Design Worksheet_BAT'!B$88)*(B503-B502)/E$232+M502</f>
        <v>1.5004024250666603E-4</v>
      </c>
      <c r="N503" s="5">
        <f t="shared" si="14"/>
        <v>34.37000000000014</v>
      </c>
    </row>
    <row r="504" spans="1:14" x14ac:dyDescent="0.3">
      <c r="A504" s="5">
        <v>2.4600000000000102</v>
      </c>
      <c r="B504" s="5">
        <f t="shared" si="13"/>
        <v>34.44000000000014</v>
      </c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>
        <f>0.000001*('Design Worksheet_BAT'!B$88)*(B504-B503)/E$232+M503</f>
        <v>1.5024145023613463E-4</v>
      </c>
      <c r="N504" s="5">
        <f t="shared" si="14"/>
        <v>34.44000000000014</v>
      </c>
    </row>
    <row r="505" spans="1:14" x14ac:dyDescent="0.3">
      <c r="A505" s="5">
        <v>2.4650000000000101</v>
      </c>
      <c r="B505" s="5">
        <f t="shared" si="13"/>
        <v>34.51000000000014</v>
      </c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>
        <f>0.000001*('Design Worksheet_BAT'!B$88)*(B505-B504)/E$232+M504</f>
        <v>1.5044265796560323E-4</v>
      </c>
      <c r="N505" s="5">
        <f t="shared" si="14"/>
        <v>34.51000000000014</v>
      </c>
    </row>
    <row r="506" spans="1:14" x14ac:dyDescent="0.3">
      <c r="A506" s="5">
        <v>2.47000000000001</v>
      </c>
      <c r="B506" s="5">
        <f t="shared" si="13"/>
        <v>34.58000000000014</v>
      </c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>
        <f>0.000001*('Design Worksheet_BAT'!B$88)*(B506-B505)/E$232+M505</f>
        <v>1.5064386569507184E-4</v>
      </c>
      <c r="N506" s="5">
        <f t="shared" si="14"/>
        <v>34.58000000000014</v>
      </c>
    </row>
    <row r="507" spans="1:14" x14ac:dyDescent="0.3">
      <c r="A507" s="5">
        <v>2.4750000000000099</v>
      </c>
      <c r="B507" s="5">
        <f t="shared" si="13"/>
        <v>34.650000000000141</v>
      </c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>
        <f>0.000001*('Design Worksheet_BAT'!B$88)*(B507-B506)/E$232+M506</f>
        <v>1.5084507342454044E-4</v>
      </c>
      <c r="N507" s="5">
        <f t="shared" si="14"/>
        <v>34.650000000000141</v>
      </c>
    </row>
    <row r="508" spans="1:14" x14ac:dyDescent="0.3">
      <c r="A508" s="5">
        <v>2.4800000000000102</v>
      </c>
      <c r="B508" s="5">
        <f t="shared" si="13"/>
        <v>34.720000000000141</v>
      </c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>
        <f>0.000001*('Design Worksheet_BAT'!B$88)*(B508-B507)/E$232+M507</f>
        <v>1.5104628115400904E-4</v>
      </c>
      <c r="N508" s="5">
        <f t="shared" si="14"/>
        <v>34.720000000000141</v>
      </c>
    </row>
    <row r="509" spans="1:14" x14ac:dyDescent="0.3">
      <c r="A509" s="5">
        <v>2.4850000000000101</v>
      </c>
      <c r="B509" s="5">
        <f t="shared" si="13"/>
        <v>34.790000000000141</v>
      </c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>
        <f>0.000001*('Design Worksheet_BAT'!B$88)*(B509-B508)/E$232+M508</f>
        <v>1.5124748888347764E-4</v>
      </c>
      <c r="N509" s="5">
        <f t="shared" si="14"/>
        <v>34.790000000000141</v>
      </c>
    </row>
    <row r="510" spans="1:14" x14ac:dyDescent="0.3">
      <c r="A510" s="5">
        <v>2.49000000000001</v>
      </c>
      <c r="B510" s="5">
        <f t="shared" si="13"/>
        <v>34.860000000000142</v>
      </c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>
        <f>0.000001*('Design Worksheet_BAT'!B$88)*(B510-B509)/E$232+M509</f>
        <v>1.5144869661294625E-4</v>
      </c>
      <c r="N510" s="5">
        <f t="shared" si="14"/>
        <v>34.860000000000142</v>
      </c>
    </row>
    <row r="511" spans="1:14" x14ac:dyDescent="0.3">
      <c r="A511" s="5">
        <v>2.4950000000000099</v>
      </c>
      <c r="B511" s="5">
        <f t="shared" si="13"/>
        <v>34.930000000000135</v>
      </c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>
        <f>0.000001*('Design Worksheet_BAT'!B$88)*(B511-B510)/E$232+M510</f>
        <v>1.5164990434241482E-4</v>
      </c>
      <c r="N511" s="5">
        <f t="shared" si="14"/>
        <v>34.930000000000135</v>
      </c>
    </row>
    <row r="512" spans="1:14" x14ac:dyDescent="0.3">
      <c r="A512" s="5">
        <v>2.5000000000000102</v>
      </c>
      <c r="B512" s="5">
        <f t="shared" si="13"/>
        <v>35.000000000000142</v>
      </c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>
        <f>0.000001*('Design Worksheet_BAT'!B$88)*(B512-B511)/E$232+M511</f>
        <v>1.5185111207188345E-4</v>
      </c>
      <c r="N512" s="5">
        <f t="shared" si="14"/>
        <v>35.000000000000142</v>
      </c>
    </row>
    <row r="513" spans="1:14" x14ac:dyDescent="0.3">
      <c r="A513" s="5">
        <v>2.5050000000000101</v>
      </c>
      <c r="B513" s="5">
        <f t="shared" si="13"/>
        <v>35.070000000000142</v>
      </c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>
        <f>0.000001*('Design Worksheet_BAT'!B$88)*(B513-B512)/E$232+M512</f>
        <v>1.5205231980135205E-4</v>
      </c>
      <c r="N513" s="5">
        <f t="shared" si="14"/>
        <v>35.070000000000142</v>
      </c>
    </row>
    <row r="514" spans="1:14" x14ac:dyDescent="0.3">
      <c r="A514" s="5">
        <v>2.51000000000001</v>
      </c>
      <c r="B514" s="5">
        <f t="shared" si="13"/>
        <v>35.140000000000143</v>
      </c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>
        <f>0.000001*('Design Worksheet_BAT'!B$88)*(B514-B513)/E$232+M513</f>
        <v>1.5225352753082066E-4</v>
      </c>
      <c r="N514" s="5">
        <f t="shared" si="14"/>
        <v>35.140000000000143</v>
      </c>
    </row>
    <row r="515" spans="1:14" x14ac:dyDescent="0.3">
      <c r="A515" s="5">
        <v>2.5150000000000099</v>
      </c>
      <c r="B515" s="5">
        <f t="shared" si="13"/>
        <v>35.210000000000136</v>
      </c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>
        <f>0.000001*('Design Worksheet_BAT'!B$88)*(B515-B514)/E$232+M514</f>
        <v>1.5245473526028923E-4</v>
      </c>
      <c r="N515" s="5">
        <f t="shared" si="14"/>
        <v>35.210000000000136</v>
      </c>
    </row>
    <row r="516" spans="1:14" x14ac:dyDescent="0.3">
      <c r="A516" s="5">
        <v>2.5200000000000098</v>
      </c>
      <c r="B516" s="5">
        <f t="shared" si="13"/>
        <v>35.280000000000136</v>
      </c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>
        <f>0.000001*('Design Worksheet_BAT'!B$88)*(B516-B515)/E$232+M515</f>
        <v>1.5265594298975783E-4</v>
      </c>
      <c r="N516" s="5">
        <f t="shared" si="14"/>
        <v>35.280000000000136</v>
      </c>
    </row>
    <row r="517" spans="1:14" x14ac:dyDescent="0.3">
      <c r="A517" s="5">
        <v>2.5250000000000101</v>
      </c>
      <c r="B517" s="5">
        <f t="shared" si="13"/>
        <v>35.350000000000144</v>
      </c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>
        <f>0.000001*('Design Worksheet_BAT'!B$88)*(B517-B516)/E$232+M516</f>
        <v>1.5285715071922646E-4</v>
      </c>
      <c r="N517" s="5">
        <f t="shared" si="14"/>
        <v>35.350000000000144</v>
      </c>
    </row>
    <row r="518" spans="1:14" x14ac:dyDescent="0.3">
      <c r="A518" s="5">
        <v>2.53000000000001</v>
      </c>
      <c r="B518" s="5">
        <f t="shared" si="13"/>
        <v>35.420000000000144</v>
      </c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>
        <f>0.000001*('Design Worksheet_BAT'!B$88)*(B518-B517)/E$232+M517</f>
        <v>1.5305835844869507E-4</v>
      </c>
      <c r="N518" s="5">
        <f t="shared" si="14"/>
        <v>35.420000000000144</v>
      </c>
    </row>
    <row r="519" spans="1:14" x14ac:dyDescent="0.3">
      <c r="A519" s="5">
        <v>2.5350000000000099</v>
      </c>
      <c r="B519" s="5">
        <f t="shared" si="13"/>
        <v>35.490000000000137</v>
      </c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>
        <f>0.000001*('Design Worksheet_BAT'!B$88)*(B519-B518)/E$232+M518</f>
        <v>1.5325956617816364E-4</v>
      </c>
      <c r="N519" s="5">
        <f t="shared" si="14"/>
        <v>35.490000000000137</v>
      </c>
    </row>
    <row r="520" spans="1:14" x14ac:dyDescent="0.3">
      <c r="A520" s="5">
        <v>2.5400000000000098</v>
      </c>
      <c r="B520" s="5">
        <f t="shared" si="13"/>
        <v>35.560000000000137</v>
      </c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>
        <f>0.000001*('Design Worksheet_BAT'!B$88)*(B520-B519)/E$232+M519</f>
        <v>1.5346077390763224E-4</v>
      </c>
      <c r="N520" s="5">
        <f t="shared" si="14"/>
        <v>35.560000000000137</v>
      </c>
    </row>
    <row r="521" spans="1:14" x14ac:dyDescent="0.3">
      <c r="A521" s="5">
        <v>2.5450000000000101</v>
      </c>
      <c r="B521" s="5">
        <f t="shared" si="13"/>
        <v>35.630000000000145</v>
      </c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>
        <f>0.000001*('Design Worksheet_BAT'!B$88)*(B521-B520)/E$232+M520</f>
        <v>1.5366198163710087E-4</v>
      </c>
      <c r="N521" s="5">
        <f t="shared" si="14"/>
        <v>35.630000000000145</v>
      </c>
    </row>
    <row r="522" spans="1:14" x14ac:dyDescent="0.3">
      <c r="A522" s="5">
        <v>2.55000000000001</v>
      </c>
      <c r="B522" s="5">
        <f t="shared" si="13"/>
        <v>35.700000000000138</v>
      </c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>
        <f>0.000001*('Design Worksheet_BAT'!B$88)*(B522-B521)/E$232+M521</f>
        <v>1.5386318936656945E-4</v>
      </c>
      <c r="N522" s="5">
        <f t="shared" si="14"/>
        <v>35.700000000000138</v>
      </c>
    </row>
    <row r="523" spans="1:14" x14ac:dyDescent="0.3">
      <c r="A523" s="5">
        <v>2.5550000000000099</v>
      </c>
      <c r="B523" s="5">
        <f t="shared" si="13"/>
        <v>35.770000000000138</v>
      </c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>
        <f>0.000001*('Design Worksheet_BAT'!B$88)*(B523-B522)/E$232+M522</f>
        <v>1.5406439709603805E-4</v>
      </c>
      <c r="N523" s="5">
        <f t="shared" si="14"/>
        <v>35.770000000000138</v>
      </c>
    </row>
    <row r="524" spans="1:14" x14ac:dyDescent="0.3">
      <c r="A524" s="5">
        <v>2.5600000000000098</v>
      </c>
      <c r="B524" s="5">
        <f t="shared" si="13"/>
        <v>35.840000000000138</v>
      </c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>
        <f>0.000001*('Design Worksheet_BAT'!B$88)*(B524-B523)/E$232+M523</f>
        <v>1.5426560482550666E-4</v>
      </c>
      <c r="N524" s="5">
        <f t="shared" si="14"/>
        <v>35.840000000000138</v>
      </c>
    </row>
    <row r="525" spans="1:14" x14ac:dyDescent="0.3">
      <c r="A525" s="5">
        <v>2.5650000000000102</v>
      </c>
      <c r="B525" s="5">
        <f t="shared" si="13"/>
        <v>35.910000000000139</v>
      </c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>
        <f>0.000001*('Design Worksheet_BAT'!B$88)*(B525-B524)/E$232+M524</f>
        <v>1.5446681255497526E-4</v>
      </c>
      <c r="N525" s="5">
        <f t="shared" si="14"/>
        <v>35.910000000000139</v>
      </c>
    </row>
    <row r="526" spans="1:14" x14ac:dyDescent="0.3">
      <c r="A526" s="5">
        <v>2.5700000000000101</v>
      </c>
      <c r="B526" s="5">
        <f t="shared" si="13"/>
        <v>35.980000000000139</v>
      </c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>
        <f>0.000001*('Design Worksheet_BAT'!B$88)*(B526-B525)/E$232+M525</f>
        <v>1.5466802028444386E-4</v>
      </c>
      <c r="N526" s="5">
        <f t="shared" si="14"/>
        <v>35.980000000000139</v>
      </c>
    </row>
    <row r="527" spans="1:14" x14ac:dyDescent="0.3">
      <c r="A527" s="5">
        <v>2.5750000000000099</v>
      </c>
      <c r="B527" s="5">
        <f t="shared" si="13"/>
        <v>36.050000000000139</v>
      </c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>
        <f>0.000001*('Design Worksheet_BAT'!B$88)*(B527-B526)/E$232+M526</f>
        <v>1.5486922801391246E-4</v>
      </c>
      <c r="N527" s="5">
        <f t="shared" si="14"/>
        <v>36.050000000000139</v>
      </c>
    </row>
    <row r="528" spans="1:14" x14ac:dyDescent="0.3">
      <c r="A528" s="5">
        <v>2.5800000000000098</v>
      </c>
      <c r="B528" s="5">
        <f t="shared" si="13"/>
        <v>36.12000000000014</v>
      </c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>
        <f>0.000001*('Design Worksheet_BAT'!B$88)*(B528-B527)/E$232+M527</f>
        <v>1.5507043574338107E-4</v>
      </c>
      <c r="N528" s="5">
        <f t="shared" si="14"/>
        <v>36.12000000000014</v>
      </c>
    </row>
    <row r="529" spans="1:14" x14ac:dyDescent="0.3">
      <c r="A529" s="5">
        <v>2.5850000000000102</v>
      </c>
      <c r="B529" s="5">
        <f t="shared" si="13"/>
        <v>36.19000000000014</v>
      </c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>
        <f>0.000001*('Design Worksheet_BAT'!B$88)*(B529-B528)/E$232+M528</f>
        <v>1.5527164347284967E-4</v>
      </c>
      <c r="N529" s="5">
        <f t="shared" si="14"/>
        <v>36.19000000000014</v>
      </c>
    </row>
    <row r="530" spans="1:14" x14ac:dyDescent="0.3">
      <c r="A530" s="5">
        <v>2.5900000000000101</v>
      </c>
      <c r="B530" s="5">
        <f t="shared" si="13"/>
        <v>36.26000000000014</v>
      </c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>
        <f>0.000001*('Design Worksheet_BAT'!B$88)*(B530-B529)/E$232+M529</f>
        <v>1.5547285120231827E-4</v>
      </c>
      <c r="N530" s="5">
        <f t="shared" si="14"/>
        <v>36.26000000000014</v>
      </c>
    </row>
    <row r="531" spans="1:14" x14ac:dyDescent="0.3">
      <c r="A531" s="5">
        <v>2.59500000000001</v>
      </c>
      <c r="B531" s="5">
        <f t="shared" si="13"/>
        <v>36.33000000000014</v>
      </c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>
        <f>0.000001*('Design Worksheet_BAT'!B$88)*(B531-B530)/E$232+M530</f>
        <v>1.5567405893178687E-4</v>
      </c>
      <c r="N531" s="5">
        <f t="shared" si="14"/>
        <v>36.33000000000014</v>
      </c>
    </row>
    <row r="532" spans="1:14" x14ac:dyDescent="0.3">
      <c r="A532" s="5">
        <v>2.6000000000000099</v>
      </c>
      <c r="B532" s="5">
        <f t="shared" si="13"/>
        <v>36.400000000000141</v>
      </c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>
        <f>0.000001*('Design Worksheet_BAT'!B$88)*(B532-B531)/E$232+M531</f>
        <v>1.5587526666125548E-4</v>
      </c>
      <c r="N532" s="5">
        <f t="shared" si="14"/>
        <v>36.400000000000141</v>
      </c>
    </row>
    <row r="533" spans="1:14" x14ac:dyDescent="0.3">
      <c r="A533" s="5">
        <v>2.6050000000000102</v>
      </c>
      <c r="B533" s="5">
        <f t="shared" si="13"/>
        <v>36.470000000000141</v>
      </c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>
        <f>0.000001*('Design Worksheet_BAT'!B$88)*(B533-B532)/E$232+M532</f>
        <v>1.5607647439072408E-4</v>
      </c>
      <c r="N533" s="5">
        <f t="shared" si="14"/>
        <v>36.470000000000141</v>
      </c>
    </row>
    <row r="534" spans="1:14" x14ac:dyDescent="0.3">
      <c r="A534" s="5">
        <v>2.6100000000000101</v>
      </c>
      <c r="B534" s="5">
        <f t="shared" si="13"/>
        <v>36.540000000000141</v>
      </c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>
        <f>0.000001*('Design Worksheet_BAT'!B$88)*(B534-B533)/E$232+M533</f>
        <v>1.5627768212019268E-4</v>
      </c>
      <c r="N534" s="5">
        <f t="shared" si="14"/>
        <v>36.540000000000141</v>
      </c>
    </row>
    <row r="535" spans="1:14" x14ac:dyDescent="0.3">
      <c r="A535" s="5">
        <v>2.61500000000001</v>
      </c>
      <c r="B535" s="5">
        <f t="shared" si="13"/>
        <v>36.610000000000142</v>
      </c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>
        <f>0.000001*('Design Worksheet_BAT'!B$88)*(B535-B534)/E$232+M534</f>
        <v>1.5647888984966128E-4</v>
      </c>
      <c r="N535" s="5">
        <f t="shared" si="14"/>
        <v>36.610000000000142</v>
      </c>
    </row>
    <row r="536" spans="1:14" x14ac:dyDescent="0.3">
      <c r="A536" s="5">
        <v>2.6200000000000099</v>
      </c>
      <c r="B536" s="5">
        <f t="shared" si="13"/>
        <v>36.680000000000135</v>
      </c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>
        <f>0.000001*('Design Worksheet_BAT'!B$88)*(B536-B535)/E$232+M535</f>
        <v>1.5668009757912986E-4</v>
      </c>
      <c r="N536" s="5">
        <f t="shared" si="14"/>
        <v>36.680000000000135</v>
      </c>
    </row>
    <row r="537" spans="1:14" x14ac:dyDescent="0.3">
      <c r="A537" s="5">
        <v>2.6250000000000102</v>
      </c>
      <c r="B537" s="5">
        <f t="shared" si="13"/>
        <v>36.750000000000142</v>
      </c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>
        <f>0.000001*('Design Worksheet_BAT'!B$88)*(B537-B536)/E$232+M536</f>
        <v>1.5688130530859849E-4</v>
      </c>
      <c r="N537" s="5">
        <f t="shared" si="14"/>
        <v>36.750000000000142</v>
      </c>
    </row>
    <row r="538" spans="1:14" x14ac:dyDescent="0.3">
      <c r="A538" s="5">
        <v>2.6300000000000101</v>
      </c>
      <c r="B538" s="5">
        <f t="shared" si="13"/>
        <v>36.820000000000142</v>
      </c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>
        <f>0.000001*('Design Worksheet_BAT'!B$88)*(B538-B537)/E$232+M537</f>
        <v>1.5708251303806709E-4</v>
      </c>
      <c r="N538" s="5">
        <f t="shared" si="14"/>
        <v>36.820000000000142</v>
      </c>
    </row>
    <row r="539" spans="1:14" x14ac:dyDescent="0.3">
      <c r="A539" s="5">
        <v>2.63500000000001</v>
      </c>
      <c r="B539" s="5">
        <f t="shared" si="13"/>
        <v>36.890000000000143</v>
      </c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>
        <f>0.000001*('Design Worksheet_BAT'!B$88)*(B539-B538)/E$232+M538</f>
        <v>1.5728372076753569E-4</v>
      </c>
      <c r="N539" s="5">
        <f t="shared" si="14"/>
        <v>36.890000000000143</v>
      </c>
    </row>
    <row r="540" spans="1:14" x14ac:dyDescent="0.3">
      <c r="A540" s="5">
        <v>2.6400000000000099</v>
      </c>
      <c r="B540" s="5">
        <f t="shared" si="13"/>
        <v>36.960000000000136</v>
      </c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>
        <f>0.000001*('Design Worksheet_BAT'!B$88)*(B540-B539)/E$232+M539</f>
        <v>1.5748492849700427E-4</v>
      </c>
      <c r="N540" s="5">
        <f t="shared" si="14"/>
        <v>36.960000000000136</v>
      </c>
    </row>
    <row r="541" spans="1:14" x14ac:dyDescent="0.3">
      <c r="A541" s="5">
        <v>2.6450000000000098</v>
      </c>
      <c r="B541" s="5">
        <f t="shared" si="13"/>
        <v>37.030000000000136</v>
      </c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>
        <f>0.000001*('Design Worksheet_BAT'!B$88)*(B541-B540)/E$232+M540</f>
        <v>1.5768613622647287E-4</v>
      </c>
      <c r="N541" s="5">
        <f t="shared" si="14"/>
        <v>37.030000000000136</v>
      </c>
    </row>
    <row r="542" spans="1:14" x14ac:dyDescent="0.3">
      <c r="A542" s="5">
        <v>2.6500000000000101</v>
      </c>
      <c r="B542" s="5">
        <f t="shared" si="13"/>
        <v>37.100000000000144</v>
      </c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>
        <f>0.000001*('Design Worksheet_BAT'!B$88)*(B542-B541)/E$232+M541</f>
        <v>1.578873439559415E-4</v>
      </c>
      <c r="N542" s="5">
        <f t="shared" si="14"/>
        <v>37.100000000000144</v>
      </c>
    </row>
    <row r="543" spans="1:14" x14ac:dyDescent="0.3">
      <c r="A543" s="5">
        <v>2.65500000000001</v>
      </c>
      <c r="B543" s="5">
        <f t="shared" si="13"/>
        <v>37.170000000000144</v>
      </c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>
        <f>0.000001*('Design Worksheet_BAT'!B$88)*(B543-B542)/E$232+M542</f>
        <v>1.580885516854101E-4</v>
      </c>
      <c r="N543" s="5">
        <f t="shared" si="14"/>
        <v>37.170000000000144</v>
      </c>
    </row>
    <row r="544" spans="1:14" x14ac:dyDescent="0.3">
      <c r="A544" s="5">
        <v>2.6600000000000099</v>
      </c>
      <c r="B544" s="5">
        <f t="shared" si="13"/>
        <v>37.240000000000137</v>
      </c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>
        <f>0.000001*('Design Worksheet_BAT'!B$88)*(B544-B543)/E$232+M543</f>
        <v>1.5828975941487868E-4</v>
      </c>
      <c r="N544" s="5">
        <f t="shared" si="14"/>
        <v>37.240000000000137</v>
      </c>
    </row>
    <row r="545" spans="1:14" x14ac:dyDescent="0.3">
      <c r="A545" s="5">
        <v>2.6650000000000098</v>
      </c>
      <c r="B545" s="5">
        <f t="shared" si="13"/>
        <v>37.310000000000137</v>
      </c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>
        <f>0.000001*('Design Worksheet_BAT'!B$88)*(B545-B544)/E$232+M544</f>
        <v>1.5849096714434728E-4</v>
      </c>
      <c r="N545" s="5">
        <f t="shared" si="14"/>
        <v>37.310000000000137</v>
      </c>
    </row>
    <row r="546" spans="1:14" x14ac:dyDescent="0.3">
      <c r="A546" s="5">
        <v>2.6700000000000101</v>
      </c>
      <c r="B546" s="5">
        <f t="shared" si="13"/>
        <v>37.380000000000145</v>
      </c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>
        <f>0.000001*('Design Worksheet_BAT'!B$88)*(B546-B545)/E$232+M545</f>
        <v>1.5869217487381591E-4</v>
      </c>
      <c r="N546" s="5">
        <f t="shared" si="14"/>
        <v>37.380000000000145</v>
      </c>
    </row>
    <row r="547" spans="1:14" x14ac:dyDescent="0.3">
      <c r="A547" s="5">
        <v>2.67500000000001</v>
      </c>
      <c r="B547" s="5">
        <f t="shared" si="13"/>
        <v>37.450000000000138</v>
      </c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>
        <f>0.000001*('Design Worksheet_BAT'!B$88)*(B547-B546)/E$232+M546</f>
        <v>1.5889338260328449E-4</v>
      </c>
      <c r="N547" s="5">
        <f t="shared" si="14"/>
        <v>37.450000000000138</v>
      </c>
    </row>
    <row r="548" spans="1:14" x14ac:dyDescent="0.3">
      <c r="A548" s="5">
        <v>2.6800000000000099</v>
      </c>
      <c r="B548" s="5">
        <f t="shared" si="13"/>
        <v>37.520000000000138</v>
      </c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>
        <f>0.000001*('Design Worksheet_BAT'!B$88)*(B548-B547)/E$232+M547</f>
        <v>1.5909459033275309E-4</v>
      </c>
      <c r="N548" s="5">
        <f t="shared" si="14"/>
        <v>37.520000000000138</v>
      </c>
    </row>
    <row r="549" spans="1:14" x14ac:dyDescent="0.3">
      <c r="A549" s="5">
        <v>2.6850000000000098</v>
      </c>
      <c r="B549" s="5">
        <f t="shared" si="13"/>
        <v>37.590000000000138</v>
      </c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>
        <f>0.000001*('Design Worksheet_BAT'!B$88)*(B549-B548)/E$232+M548</f>
        <v>1.5929579806222169E-4</v>
      </c>
      <c r="N549" s="5">
        <f t="shared" si="14"/>
        <v>37.590000000000138</v>
      </c>
    </row>
    <row r="550" spans="1:14" x14ac:dyDescent="0.3">
      <c r="A550" s="5">
        <v>2.6900000000000102</v>
      </c>
      <c r="B550" s="5">
        <f t="shared" si="13"/>
        <v>37.660000000000139</v>
      </c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>
        <f>0.000001*('Design Worksheet_BAT'!B$88)*(B550-B549)/E$232+M549</f>
        <v>1.594970057916903E-4</v>
      </c>
      <c r="N550" s="5">
        <f t="shared" si="14"/>
        <v>37.660000000000139</v>
      </c>
    </row>
    <row r="551" spans="1:14" x14ac:dyDescent="0.3">
      <c r="A551" s="5">
        <v>2.6950000000000101</v>
      </c>
      <c r="B551" s="5">
        <f t="shared" si="13"/>
        <v>37.730000000000139</v>
      </c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>
        <f>0.000001*('Design Worksheet_BAT'!B$88)*(B551-B550)/E$232+M550</f>
        <v>1.596982135211589E-4</v>
      </c>
      <c r="N551" s="5">
        <f t="shared" si="14"/>
        <v>37.730000000000139</v>
      </c>
    </row>
    <row r="552" spans="1:14" x14ac:dyDescent="0.3">
      <c r="A552" s="5">
        <v>2.7000000000000099</v>
      </c>
      <c r="B552" s="5">
        <f t="shared" si="13"/>
        <v>37.800000000000139</v>
      </c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>
        <f>0.000001*('Design Worksheet_BAT'!B$88)*(B552-B551)/E$232+M551</f>
        <v>1.598994212506275E-4</v>
      </c>
      <c r="N552" s="5">
        <f t="shared" si="14"/>
        <v>37.800000000000139</v>
      </c>
    </row>
    <row r="553" spans="1:14" x14ac:dyDescent="0.3">
      <c r="A553" s="5">
        <v>2.7050000000000098</v>
      </c>
      <c r="B553" s="5">
        <f t="shared" ref="B553:B616" si="15">A553*VOFLB</f>
        <v>37.87000000000014</v>
      </c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>
        <f>0.000001*('Design Worksheet_BAT'!B$88)*(B553-B552)/E$232+M552</f>
        <v>1.601006289800961E-4</v>
      </c>
      <c r="N553" s="5">
        <f t="shared" si="14"/>
        <v>37.87000000000014</v>
      </c>
    </row>
    <row r="554" spans="1:14" x14ac:dyDescent="0.3">
      <c r="A554" s="5">
        <v>2.7100000000000102</v>
      </c>
      <c r="B554" s="5">
        <f t="shared" si="15"/>
        <v>37.94000000000014</v>
      </c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>
        <f>0.000001*('Design Worksheet_BAT'!B$88)*(B554-B553)/E$232+M553</f>
        <v>1.6030183670956471E-4</v>
      </c>
      <c r="N554" s="5">
        <f t="shared" si="14"/>
        <v>37.94000000000014</v>
      </c>
    </row>
    <row r="555" spans="1:14" x14ac:dyDescent="0.3">
      <c r="A555" s="5">
        <v>2.7150000000000101</v>
      </c>
      <c r="B555" s="5">
        <f t="shared" si="15"/>
        <v>38.01000000000014</v>
      </c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>
        <f>0.000001*('Design Worksheet_BAT'!B$88)*(B555-B554)/E$232+M554</f>
        <v>1.6050304443903331E-4</v>
      </c>
      <c r="N555" s="5">
        <f t="shared" si="14"/>
        <v>38.01000000000014</v>
      </c>
    </row>
    <row r="556" spans="1:14" x14ac:dyDescent="0.3">
      <c r="A556" s="5">
        <v>2.72000000000001</v>
      </c>
      <c r="B556" s="5">
        <f t="shared" si="15"/>
        <v>38.08000000000014</v>
      </c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>
        <f>0.000001*('Design Worksheet_BAT'!B$88)*(B556-B555)/E$232+M555</f>
        <v>1.6070425216850191E-4</v>
      </c>
      <c r="N556" s="5">
        <f t="shared" ref="N556:N619" si="16">B556</f>
        <v>38.08000000000014</v>
      </c>
    </row>
    <row r="557" spans="1:14" x14ac:dyDescent="0.3">
      <c r="A557" s="5">
        <v>2.7250000000000099</v>
      </c>
      <c r="B557" s="5">
        <f t="shared" si="15"/>
        <v>38.150000000000141</v>
      </c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>
        <f>0.000001*('Design Worksheet_BAT'!B$88)*(B557-B556)/E$232+M556</f>
        <v>1.6090545989797051E-4</v>
      </c>
      <c r="N557" s="5">
        <f t="shared" si="16"/>
        <v>38.150000000000141</v>
      </c>
    </row>
    <row r="558" spans="1:14" x14ac:dyDescent="0.3">
      <c r="A558" s="5">
        <v>2.7300000000000102</v>
      </c>
      <c r="B558" s="5">
        <f t="shared" si="15"/>
        <v>38.220000000000141</v>
      </c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>
        <f>0.000001*('Design Worksheet_BAT'!B$88)*(B558-B557)/E$232+M557</f>
        <v>1.6110666762743912E-4</v>
      </c>
      <c r="N558" s="5">
        <f t="shared" si="16"/>
        <v>38.220000000000141</v>
      </c>
    </row>
    <row r="559" spans="1:14" x14ac:dyDescent="0.3">
      <c r="A559" s="5">
        <v>2.7350000000000101</v>
      </c>
      <c r="B559" s="5">
        <f t="shared" si="15"/>
        <v>38.290000000000141</v>
      </c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>
        <f>0.000001*('Design Worksheet_BAT'!B$88)*(B559-B558)/E$232+M558</f>
        <v>1.6130787535690772E-4</v>
      </c>
      <c r="N559" s="5">
        <f t="shared" si="16"/>
        <v>38.290000000000141</v>
      </c>
    </row>
    <row r="560" spans="1:14" x14ac:dyDescent="0.3">
      <c r="A560" s="5">
        <v>2.74000000000001</v>
      </c>
      <c r="B560" s="5">
        <f t="shared" si="15"/>
        <v>38.360000000000142</v>
      </c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>
        <f>0.000001*('Design Worksheet_BAT'!B$88)*(B560-B559)/E$232+M559</f>
        <v>1.6150908308637632E-4</v>
      </c>
      <c r="N560" s="5">
        <f t="shared" si="16"/>
        <v>38.360000000000142</v>
      </c>
    </row>
    <row r="561" spans="1:14" x14ac:dyDescent="0.3">
      <c r="A561" s="5">
        <v>2.7450000000000001</v>
      </c>
      <c r="B561" s="5">
        <f t="shared" si="15"/>
        <v>38.43</v>
      </c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>
        <f>0.000001*('Design Worksheet_BAT'!B$88)*(B561-B560)/E$232+M560</f>
        <v>1.6171029081584452E-4</v>
      </c>
      <c r="N561" s="5">
        <f t="shared" si="16"/>
        <v>38.43</v>
      </c>
    </row>
    <row r="562" spans="1:14" x14ac:dyDescent="0.3">
      <c r="A562" s="5">
        <v>2.75</v>
      </c>
      <c r="B562" s="5">
        <f t="shared" si="15"/>
        <v>38.5</v>
      </c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>
        <f>0.000001*('Design Worksheet_BAT'!B$88)*(B562-B561)/E$232+M561</f>
        <v>1.6191149854531312E-4</v>
      </c>
      <c r="N562" s="5">
        <f t="shared" si="16"/>
        <v>38.5</v>
      </c>
    </row>
    <row r="563" spans="1:14" x14ac:dyDescent="0.3">
      <c r="A563" s="5">
        <v>2.7550000000000101</v>
      </c>
      <c r="B563" s="5">
        <f t="shared" si="15"/>
        <v>38.570000000000142</v>
      </c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>
        <f>0.000001*('Design Worksheet_BAT'!B$88)*(B563-B562)/E$232+M562</f>
        <v>1.6211270627478213E-4</v>
      </c>
      <c r="N563" s="5">
        <f t="shared" si="16"/>
        <v>38.570000000000142</v>
      </c>
    </row>
    <row r="564" spans="1:14" x14ac:dyDescent="0.3">
      <c r="A564" s="5">
        <v>2.76000000000001</v>
      </c>
      <c r="B564" s="5">
        <f t="shared" si="15"/>
        <v>38.640000000000143</v>
      </c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>
        <f>0.000001*('Design Worksheet_BAT'!B$88)*(B564-B563)/E$232+M563</f>
        <v>1.6231391400425073E-4</v>
      </c>
      <c r="N564" s="5">
        <f t="shared" si="16"/>
        <v>38.640000000000143</v>
      </c>
    </row>
    <row r="565" spans="1:14" x14ac:dyDescent="0.3">
      <c r="A565" s="5">
        <v>2.7650000000000099</v>
      </c>
      <c r="B565" s="5">
        <f t="shared" si="15"/>
        <v>38.710000000000136</v>
      </c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>
        <f>0.000001*('Design Worksheet_BAT'!B$88)*(B565-B564)/E$232+M564</f>
        <v>1.6251512173371931E-4</v>
      </c>
      <c r="N565" s="5">
        <f t="shared" si="16"/>
        <v>38.710000000000136</v>
      </c>
    </row>
    <row r="566" spans="1:14" x14ac:dyDescent="0.3">
      <c r="A566" s="5">
        <v>2.77</v>
      </c>
      <c r="B566" s="5">
        <f t="shared" si="15"/>
        <v>38.78</v>
      </c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>
        <f>0.000001*('Design Worksheet_BAT'!B$88)*(B566-B565)/E$232+M565</f>
        <v>1.6271632946318753E-4</v>
      </c>
      <c r="N566" s="5">
        <f t="shared" si="16"/>
        <v>38.78</v>
      </c>
    </row>
    <row r="567" spans="1:14" x14ac:dyDescent="0.3">
      <c r="A567" s="5">
        <v>2.7749999999999999</v>
      </c>
      <c r="B567" s="5">
        <f t="shared" si="15"/>
        <v>38.85</v>
      </c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>
        <f>0.000001*('Design Worksheet_BAT'!B$88)*(B567-B566)/E$232+M566</f>
        <v>1.6291753719265613E-4</v>
      </c>
      <c r="N567" s="5">
        <f t="shared" si="16"/>
        <v>38.85</v>
      </c>
    </row>
    <row r="568" spans="1:14" x14ac:dyDescent="0.3">
      <c r="A568" s="5">
        <v>2.78000000000001</v>
      </c>
      <c r="B568" s="5">
        <f t="shared" si="15"/>
        <v>38.920000000000144</v>
      </c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>
        <f>0.000001*('Design Worksheet_BAT'!B$88)*(B568-B567)/E$232+M567</f>
        <v>1.6311874492212514E-4</v>
      </c>
      <c r="N568" s="5">
        <f t="shared" si="16"/>
        <v>38.920000000000144</v>
      </c>
    </row>
    <row r="569" spans="1:14" x14ac:dyDescent="0.3">
      <c r="A569" s="5">
        <v>2.7850000000000099</v>
      </c>
      <c r="B569" s="5">
        <f t="shared" si="15"/>
        <v>38.990000000000137</v>
      </c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>
        <f>0.000001*('Design Worksheet_BAT'!B$88)*(B569-B568)/E$232+M568</f>
        <v>1.6331995265159372E-4</v>
      </c>
      <c r="N569" s="5">
        <f t="shared" si="16"/>
        <v>38.990000000000137</v>
      </c>
    </row>
    <row r="570" spans="1:14" x14ac:dyDescent="0.3">
      <c r="A570" s="5">
        <v>2.79</v>
      </c>
      <c r="B570" s="5">
        <f t="shared" si="15"/>
        <v>39.06</v>
      </c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>
        <f>0.000001*('Design Worksheet_BAT'!B$88)*(B570-B569)/E$232+M569</f>
        <v>1.6352116038106194E-4</v>
      </c>
      <c r="N570" s="5">
        <f t="shared" si="16"/>
        <v>39.06</v>
      </c>
    </row>
    <row r="571" spans="1:14" x14ac:dyDescent="0.3">
      <c r="A571" s="5">
        <v>2.7949999999999999</v>
      </c>
      <c r="B571" s="5">
        <f t="shared" si="15"/>
        <v>39.129999999999995</v>
      </c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>
        <f>0.000001*('Design Worksheet_BAT'!B$88)*(B571-B570)/E$232+M570</f>
        <v>1.6372236811053052E-4</v>
      </c>
      <c r="N571" s="5">
        <f t="shared" si="16"/>
        <v>39.129999999999995</v>
      </c>
    </row>
    <row r="572" spans="1:14" x14ac:dyDescent="0.3">
      <c r="A572" s="5">
        <v>2.8</v>
      </c>
      <c r="B572" s="5">
        <f t="shared" si="15"/>
        <v>39.199999999999996</v>
      </c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>
        <f>0.000001*('Design Worksheet_BAT'!B$88)*(B572-B571)/E$232+M571</f>
        <v>1.6392357583999912E-4</v>
      </c>
      <c r="N572" s="5">
        <f t="shared" si="16"/>
        <v>39.199999999999996</v>
      </c>
    </row>
    <row r="573" spans="1:14" x14ac:dyDescent="0.3">
      <c r="A573" s="5">
        <v>2.8050000000000002</v>
      </c>
      <c r="B573" s="5">
        <f t="shared" si="15"/>
        <v>39.270000000000003</v>
      </c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>
        <f>0.000001*('Design Worksheet_BAT'!B$88)*(B573-B572)/E$232+M572</f>
        <v>1.6412478356946775E-4</v>
      </c>
      <c r="N573" s="5">
        <f t="shared" si="16"/>
        <v>39.270000000000003</v>
      </c>
    </row>
    <row r="574" spans="1:14" x14ac:dyDescent="0.3">
      <c r="A574" s="5">
        <v>2.81</v>
      </c>
      <c r="B574" s="5">
        <f t="shared" si="15"/>
        <v>39.340000000000003</v>
      </c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>
        <f>0.000001*('Design Worksheet_BAT'!B$88)*(B574-B573)/E$232+M573</f>
        <v>1.6432599129893635E-4</v>
      </c>
      <c r="N574" s="5">
        <f t="shared" si="16"/>
        <v>39.340000000000003</v>
      </c>
    </row>
    <row r="575" spans="1:14" x14ac:dyDescent="0.3">
      <c r="A575" s="5">
        <v>2.8149999999999999</v>
      </c>
      <c r="B575" s="5">
        <f t="shared" si="15"/>
        <v>39.409999999999997</v>
      </c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>
        <f>0.000001*('Design Worksheet_BAT'!B$88)*(B575-B574)/E$232+M574</f>
        <v>1.6452719902840493E-4</v>
      </c>
      <c r="N575" s="5">
        <f t="shared" si="16"/>
        <v>39.409999999999997</v>
      </c>
    </row>
    <row r="576" spans="1:14" x14ac:dyDescent="0.3">
      <c r="A576" s="5">
        <v>2.82</v>
      </c>
      <c r="B576" s="5">
        <f t="shared" si="15"/>
        <v>39.479999999999997</v>
      </c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>
        <f>0.000001*('Design Worksheet_BAT'!B$88)*(B576-B575)/E$232+M575</f>
        <v>1.6472840675787353E-4</v>
      </c>
      <c r="N576" s="5">
        <f t="shared" si="16"/>
        <v>39.479999999999997</v>
      </c>
    </row>
    <row r="577" spans="1:14" x14ac:dyDescent="0.3">
      <c r="A577" s="5">
        <v>2.8250000000000002</v>
      </c>
      <c r="B577" s="5">
        <f t="shared" si="15"/>
        <v>39.550000000000004</v>
      </c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>
        <f>0.000001*('Design Worksheet_BAT'!B$88)*(B577-B576)/E$232+M576</f>
        <v>1.6492961448734216E-4</v>
      </c>
      <c r="N577" s="5">
        <f t="shared" si="16"/>
        <v>39.550000000000004</v>
      </c>
    </row>
    <row r="578" spans="1:14" x14ac:dyDescent="0.3">
      <c r="A578" s="5">
        <v>2.83</v>
      </c>
      <c r="B578" s="5">
        <f t="shared" si="15"/>
        <v>39.620000000000005</v>
      </c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>
        <f>0.000001*('Design Worksheet_BAT'!B$88)*(B578-B577)/E$232+M577</f>
        <v>1.6513082221681076E-4</v>
      </c>
      <c r="N578" s="5">
        <f t="shared" si="16"/>
        <v>39.620000000000005</v>
      </c>
    </row>
    <row r="579" spans="1:14" x14ac:dyDescent="0.3">
      <c r="A579" s="5">
        <v>2.835</v>
      </c>
      <c r="B579" s="5">
        <f t="shared" si="15"/>
        <v>39.69</v>
      </c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>
        <f>0.000001*('Design Worksheet_BAT'!B$88)*(B579-B578)/E$232+M578</f>
        <v>1.6533202994627934E-4</v>
      </c>
      <c r="N579" s="5">
        <f t="shared" si="16"/>
        <v>39.69</v>
      </c>
    </row>
    <row r="580" spans="1:14" x14ac:dyDescent="0.3">
      <c r="A580" s="5">
        <v>2.84</v>
      </c>
      <c r="B580" s="5">
        <f t="shared" si="15"/>
        <v>39.76</v>
      </c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>
        <f>0.000001*('Design Worksheet_BAT'!B$88)*(B580-B579)/E$232+M579</f>
        <v>1.6553323767574794E-4</v>
      </c>
      <c r="N580" s="5">
        <f t="shared" si="16"/>
        <v>39.76</v>
      </c>
    </row>
    <row r="581" spans="1:14" x14ac:dyDescent="0.3">
      <c r="A581" s="5">
        <v>2.8450000000000002</v>
      </c>
      <c r="B581" s="5">
        <f t="shared" si="15"/>
        <v>39.830000000000005</v>
      </c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>
        <f>0.000001*('Design Worksheet_BAT'!B$88)*(B581-B580)/E$232+M580</f>
        <v>1.6573444540521657E-4</v>
      </c>
      <c r="N581" s="5">
        <f t="shared" si="16"/>
        <v>39.830000000000005</v>
      </c>
    </row>
    <row r="582" spans="1:14" x14ac:dyDescent="0.3">
      <c r="A582" s="5">
        <v>2.85</v>
      </c>
      <c r="B582" s="5">
        <f t="shared" si="15"/>
        <v>39.9</v>
      </c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>
        <f>0.000001*('Design Worksheet_BAT'!B$88)*(B582-B581)/E$232+M581</f>
        <v>1.6593565313468515E-4</v>
      </c>
      <c r="N582" s="5">
        <f t="shared" si="16"/>
        <v>39.9</v>
      </c>
    </row>
    <row r="583" spans="1:14" x14ac:dyDescent="0.3">
      <c r="A583" s="5">
        <v>2.855</v>
      </c>
      <c r="B583" s="5">
        <f t="shared" si="15"/>
        <v>39.97</v>
      </c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>
        <f>0.000001*('Design Worksheet_BAT'!B$88)*(B583-B582)/E$232+M582</f>
        <v>1.6613686086415375E-4</v>
      </c>
      <c r="N583" s="5">
        <f t="shared" si="16"/>
        <v>39.97</v>
      </c>
    </row>
    <row r="584" spans="1:14" x14ac:dyDescent="0.3">
      <c r="A584" s="5">
        <v>2.86</v>
      </c>
      <c r="B584" s="5">
        <f t="shared" si="15"/>
        <v>40.04</v>
      </c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>
        <f>0.000001*('Design Worksheet_BAT'!B$88)*(B584-B583)/E$232+M583</f>
        <v>1.6633806859362235E-4</v>
      </c>
      <c r="N584" s="5">
        <f t="shared" si="16"/>
        <v>40.04</v>
      </c>
    </row>
    <row r="585" spans="1:14" x14ac:dyDescent="0.3">
      <c r="A585" s="5">
        <v>2.8650000000000002</v>
      </c>
      <c r="B585" s="5">
        <f t="shared" si="15"/>
        <v>40.11</v>
      </c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>
        <f>0.000001*('Design Worksheet_BAT'!B$88)*(B585-B584)/E$232+M584</f>
        <v>1.6653927632309095E-4</v>
      </c>
      <c r="N585" s="5">
        <f t="shared" si="16"/>
        <v>40.11</v>
      </c>
    </row>
    <row r="586" spans="1:14" x14ac:dyDescent="0.3">
      <c r="A586" s="5">
        <v>2.87</v>
      </c>
      <c r="B586" s="5">
        <f t="shared" si="15"/>
        <v>40.18</v>
      </c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>
        <f>0.000001*('Design Worksheet_BAT'!B$88)*(B586-B585)/E$232+M585</f>
        <v>1.6674048405255956E-4</v>
      </c>
      <c r="N586" s="5">
        <f t="shared" si="16"/>
        <v>40.18</v>
      </c>
    </row>
    <row r="587" spans="1:14" x14ac:dyDescent="0.3">
      <c r="A587" s="5">
        <v>2.875</v>
      </c>
      <c r="B587" s="5">
        <f t="shared" si="15"/>
        <v>40.25</v>
      </c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>
        <f>0.000001*('Design Worksheet_BAT'!B$88)*(B587-B586)/E$232+M586</f>
        <v>1.6694169178202816E-4</v>
      </c>
      <c r="N587" s="5">
        <f t="shared" si="16"/>
        <v>40.25</v>
      </c>
    </row>
    <row r="588" spans="1:14" x14ac:dyDescent="0.3">
      <c r="A588" s="5">
        <v>2.88</v>
      </c>
      <c r="B588" s="5">
        <f t="shared" si="15"/>
        <v>40.32</v>
      </c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>
        <f>0.000001*('Design Worksheet_BAT'!B$88)*(B588-B587)/E$232+M587</f>
        <v>1.6714289951149676E-4</v>
      </c>
      <c r="N588" s="5">
        <f t="shared" si="16"/>
        <v>40.32</v>
      </c>
    </row>
    <row r="589" spans="1:14" x14ac:dyDescent="0.3">
      <c r="A589" s="5">
        <v>2.8849999999999998</v>
      </c>
      <c r="B589" s="5">
        <f t="shared" si="15"/>
        <v>40.39</v>
      </c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>
        <f>0.000001*('Design Worksheet_BAT'!B$88)*(B589-B588)/E$232+M588</f>
        <v>1.6734410724096536E-4</v>
      </c>
      <c r="N589" s="5">
        <f t="shared" si="16"/>
        <v>40.39</v>
      </c>
    </row>
    <row r="590" spans="1:14" x14ac:dyDescent="0.3">
      <c r="A590" s="5">
        <v>2.89</v>
      </c>
      <c r="B590" s="5">
        <f t="shared" si="15"/>
        <v>40.46</v>
      </c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>
        <f>0.000001*('Design Worksheet_BAT'!B$88)*(B590-B589)/E$232+M589</f>
        <v>1.6754531497043397E-4</v>
      </c>
      <c r="N590" s="5">
        <f t="shared" si="16"/>
        <v>40.46</v>
      </c>
    </row>
    <row r="591" spans="1:14" x14ac:dyDescent="0.3">
      <c r="A591" s="5">
        <v>2.895</v>
      </c>
      <c r="B591" s="5">
        <f t="shared" si="15"/>
        <v>40.53</v>
      </c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>
        <f>0.000001*('Design Worksheet_BAT'!B$88)*(B591-B590)/E$232+M590</f>
        <v>1.6774652269990257E-4</v>
      </c>
      <c r="N591" s="5">
        <f t="shared" si="16"/>
        <v>40.53</v>
      </c>
    </row>
    <row r="592" spans="1:14" x14ac:dyDescent="0.3">
      <c r="A592" s="5">
        <v>2.9</v>
      </c>
      <c r="B592" s="5">
        <f t="shared" si="15"/>
        <v>40.6</v>
      </c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>
        <f>0.000001*('Design Worksheet_BAT'!B$88)*(B592-B591)/E$232+M591</f>
        <v>1.6794773042937117E-4</v>
      </c>
      <c r="N592" s="5">
        <f t="shared" si="16"/>
        <v>40.6</v>
      </c>
    </row>
    <row r="593" spans="1:14" x14ac:dyDescent="0.3">
      <c r="A593" s="5">
        <v>2.9049999999999998</v>
      </c>
      <c r="B593" s="5">
        <f t="shared" si="15"/>
        <v>40.669999999999995</v>
      </c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>
        <f>0.000001*('Design Worksheet_BAT'!B$88)*(B593-B592)/E$232+M592</f>
        <v>1.6814893815883975E-4</v>
      </c>
      <c r="N593" s="5">
        <f t="shared" si="16"/>
        <v>40.669999999999995</v>
      </c>
    </row>
    <row r="594" spans="1:14" x14ac:dyDescent="0.3">
      <c r="A594" s="5">
        <v>2.91</v>
      </c>
      <c r="B594" s="5">
        <f t="shared" si="15"/>
        <v>40.74</v>
      </c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>
        <f>0.000001*('Design Worksheet_BAT'!B$88)*(B594-B593)/E$232+M593</f>
        <v>1.6835014588830838E-4</v>
      </c>
      <c r="N594" s="5">
        <f t="shared" si="16"/>
        <v>40.74</v>
      </c>
    </row>
    <row r="595" spans="1:14" x14ac:dyDescent="0.3">
      <c r="A595" s="5">
        <v>2.915</v>
      </c>
      <c r="B595" s="5">
        <f t="shared" si="15"/>
        <v>40.81</v>
      </c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>
        <f>0.000001*('Design Worksheet_BAT'!B$88)*(B595-B594)/E$232+M594</f>
        <v>1.6855135361777698E-4</v>
      </c>
      <c r="N595" s="5">
        <f t="shared" si="16"/>
        <v>40.81</v>
      </c>
    </row>
    <row r="596" spans="1:14" x14ac:dyDescent="0.3">
      <c r="A596" s="5">
        <v>2.92</v>
      </c>
      <c r="B596" s="5">
        <f t="shared" si="15"/>
        <v>40.879999999999995</v>
      </c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>
        <f>0.000001*('Design Worksheet_BAT'!B$88)*(B596-B595)/E$232+M595</f>
        <v>1.6875256134724556E-4</v>
      </c>
      <c r="N596" s="5">
        <f t="shared" si="16"/>
        <v>40.879999999999995</v>
      </c>
    </row>
    <row r="597" spans="1:14" x14ac:dyDescent="0.3">
      <c r="A597" s="5">
        <v>2.9249999999999998</v>
      </c>
      <c r="B597" s="5">
        <f t="shared" si="15"/>
        <v>40.949999999999996</v>
      </c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>
        <f>0.000001*('Design Worksheet_BAT'!B$88)*(B597-B596)/E$232+M596</f>
        <v>1.6895376907671416E-4</v>
      </c>
      <c r="N597" s="5">
        <f t="shared" si="16"/>
        <v>40.949999999999996</v>
      </c>
    </row>
    <row r="598" spans="1:14" x14ac:dyDescent="0.3">
      <c r="A598" s="5">
        <v>2.93</v>
      </c>
      <c r="B598" s="5">
        <f t="shared" si="15"/>
        <v>41.02</v>
      </c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>
        <f>0.000001*('Design Worksheet_BAT'!B$88)*(B598-B597)/E$232+M597</f>
        <v>1.6915497680618279E-4</v>
      </c>
      <c r="N598" s="5">
        <f t="shared" si="16"/>
        <v>41.02</v>
      </c>
    </row>
    <row r="599" spans="1:14" x14ac:dyDescent="0.3">
      <c r="A599" s="5">
        <v>2.9350000000000001</v>
      </c>
      <c r="B599" s="5">
        <f t="shared" si="15"/>
        <v>41.09</v>
      </c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>
        <f>0.000001*('Design Worksheet_BAT'!B$88)*(B599-B598)/E$232+M598</f>
        <v>1.6935618453565139E-4</v>
      </c>
      <c r="N599" s="5">
        <f t="shared" si="16"/>
        <v>41.09</v>
      </c>
    </row>
    <row r="600" spans="1:14" x14ac:dyDescent="0.3">
      <c r="A600" s="5">
        <v>2.94</v>
      </c>
      <c r="B600" s="5">
        <f t="shared" si="15"/>
        <v>41.16</v>
      </c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>
        <f>0.000001*('Design Worksheet_BAT'!B$88)*(B600-B599)/E$232+M599</f>
        <v>1.6955739226511997E-4</v>
      </c>
      <c r="N600" s="5">
        <f t="shared" si="16"/>
        <v>41.16</v>
      </c>
    </row>
    <row r="601" spans="1:14" x14ac:dyDescent="0.3">
      <c r="A601" s="5">
        <v>2.9449999999999998</v>
      </c>
      <c r="B601" s="5">
        <f t="shared" si="15"/>
        <v>41.23</v>
      </c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>
        <f>0.000001*('Design Worksheet_BAT'!B$88)*(B601-B600)/E$232+M600</f>
        <v>1.6975859999458857E-4</v>
      </c>
      <c r="N601" s="5">
        <f t="shared" si="16"/>
        <v>41.23</v>
      </c>
    </row>
    <row r="602" spans="1:14" x14ac:dyDescent="0.3">
      <c r="A602" s="5">
        <v>2.95</v>
      </c>
      <c r="B602" s="5">
        <f t="shared" si="15"/>
        <v>41.300000000000004</v>
      </c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>
        <f>0.000001*('Design Worksheet_BAT'!B$88)*(B602-B601)/E$232+M601</f>
        <v>1.699598077240572E-4</v>
      </c>
      <c r="N602" s="5">
        <f t="shared" si="16"/>
        <v>41.300000000000004</v>
      </c>
    </row>
    <row r="603" spans="1:14" x14ac:dyDescent="0.3">
      <c r="A603" s="5">
        <v>2.9550000000000001</v>
      </c>
      <c r="B603" s="5">
        <f t="shared" si="15"/>
        <v>41.370000000000005</v>
      </c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>
        <f>0.000001*('Design Worksheet_BAT'!B$88)*(B603-B602)/E$232+M602</f>
        <v>1.701610154535258E-4</v>
      </c>
      <c r="N603" s="5">
        <f t="shared" si="16"/>
        <v>41.370000000000005</v>
      </c>
    </row>
    <row r="604" spans="1:14" x14ac:dyDescent="0.3">
      <c r="A604" s="5">
        <v>2.96</v>
      </c>
      <c r="B604" s="5">
        <f t="shared" si="15"/>
        <v>41.44</v>
      </c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>
        <f>0.000001*('Design Worksheet_BAT'!B$88)*(B604-B603)/E$232+M603</f>
        <v>1.7036222318299438E-4</v>
      </c>
      <c r="N604" s="5">
        <f t="shared" si="16"/>
        <v>41.44</v>
      </c>
    </row>
    <row r="605" spans="1:14" x14ac:dyDescent="0.3">
      <c r="A605" s="5">
        <v>2.9649999999999999</v>
      </c>
      <c r="B605" s="5">
        <f t="shared" si="15"/>
        <v>41.51</v>
      </c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>
        <f>0.000001*('Design Worksheet_BAT'!B$88)*(B605-B604)/E$232+M604</f>
        <v>1.7056343091246298E-4</v>
      </c>
      <c r="N605" s="5">
        <f t="shared" si="16"/>
        <v>41.51</v>
      </c>
    </row>
    <row r="606" spans="1:14" x14ac:dyDescent="0.3">
      <c r="A606" s="5">
        <v>2.97</v>
      </c>
      <c r="B606" s="5">
        <f t="shared" si="15"/>
        <v>41.580000000000005</v>
      </c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>
        <f>0.000001*('Design Worksheet_BAT'!B$88)*(B606-B605)/E$232+M605</f>
        <v>1.7076463864193161E-4</v>
      </c>
      <c r="N606" s="5">
        <f t="shared" si="16"/>
        <v>41.580000000000005</v>
      </c>
    </row>
    <row r="607" spans="1:14" x14ac:dyDescent="0.3">
      <c r="A607" s="5">
        <v>2.9750000000000001</v>
      </c>
      <c r="B607" s="5">
        <f t="shared" si="15"/>
        <v>41.65</v>
      </c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>
        <f>0.000001*('Design Worksheet_BAT'!B$88)*(B607-B606)/E$232+M606</f>
        <v>1.7096584637140018E-4</v>
      </c>
      <c r="N607" s="5">
        <f t="shared" si="16"/>
        <v>41.65</v>
      </c>
    </row>
    <row r="608" spans="1:14" x14ac:dyDescent="0.3">
      <c r="A608" s="5">
        <v>2.98</v>
      </c>
      <c r="B608" s="5">
        <f t="shared" si="15"/>
        <v>41.72</v>
      </c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>
        <f>0.000001*('Design Worksheet_BAT'!B$88)*(B608-B607)/E$232+M607</f>
        <v>1.7116705410086879E-4</v>
      </c>
      <c r="N608" s="5">
        <f t="shared" si="16"/>
        <v>41.72</v>
      </c>
    </row>
    <row r="609" spans="1:14" x14ac:dyDescent="0.3">
      <c r="A609" s="5">
        <v>2.9849999999999999</v>
      </c>
      <c r="B609" s="5">
        <f t="shared" si="15"/>
        <v>41.79</v>
      </c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>
        <f>0.000001*('Design Worksheet_BAT'!B$88)*(B609-B608)/E$232+M608</f>
        <v>1.7136826183033739E-4</v>
      </c>
      <c r="N609" s="5">
        <f t="shared" si="16"/>
        <v>41.79</v>
      </c>
    </row>
    <row r="610" spans="1:14" x14ac:dyDescent="0.3">
      <c r="A610" s="5">
        <v>2.99</v>
      </c>
      <c r="B610" s="5">
        <f t="shared" si="15"/>
        <v>41.86</v>
      </c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>
        <f>0.000001*('Design Worksheet_BAT'!B$88)*(B610-B609)/E$232+M609</f>
        <v>1.7156946955980599E-4</v>
      </c>
      <c r="N610" s="5">
        <f t="shared" si="16"/>
        <v>41.86</v>
      </c>
    </row>
    <row r="611" spans="1:14" x14ac:dyDescent="0.3">
      <c r="A611" s="5">
        <v>2.9950000000000001</v>
      </c>
      <c r="B611" s="5">
        <f t="shared" si="15"/>
        <v>41.93</v>
      </c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>
        <f>0.000001*('Design Worksheet_BAT'!B$88)*(B611-B610)/E$232+M610</f>
        <v>1.7177067728927459E-4</v>
      </c>
      <c r="N611" s="5">
        <f t="shared" si="16"/>
        <v>41.93</v>
      </c>
    </row>
    <row r="612" spans="1:14" x14ac:dyDescent="0.3">
      <c r="A612" s="5">
        <v>3</v>
      </c>
      <c r="B612" s="5">
        <f t="shared" si="15"/>
        <v>42</v>
      </c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>
        <f>0.000001*('Design Worksheet_BAT'!B$88)*(B612-B611)/E$232+M611</f>
        <v>1.719718850187432E-4</v>
      </c>
      <c r="N612" s="5">
        <f t="shared" si="16"/>
        <v>42</v>
      </c>
    </row>
    <row r="613" spans="1:14" x14ac:dyDescent="0.3">
      <c r="A613" s="5">
        <v>3.0049999999999999</v>
      </c>
      <c r="B613" s="5">
        <f t="shared" si="15"/>
        <v>42.07</v>
      </c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>
        <f>0.000001*('Design Worksheet_BAT'!B$88)*(B613-B612)/E$232+M612</f>
        <v>1.721730927482118E-4</v>
      </c>
      <c r="N613" s="5">
        <f t="shared" si="16"/>
        <v>42.07</v>
      </c>
    </row>
    <row r="614" spans="1:14" x14ac:dyDescent="0.3">
      <c r="A614" s="5">
        <v>3.01</v>
      </c>
      <c r="B614" s="5">
        <f t="shared" si="15"/>
        <v>42.14</v>
      </c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>
        <f>0.000001*('Design Worksheet_BAT'!B$88)*(B614-B613)/E$232+M613</f>
        <v>1.723743004776804E-4</v>
      </c>
      <c r="N614" s="5">
        <f t="shared" si="16"/>
        <v>42.14</v>
      </c>
    </row>
    <row r="615" spans="1:14" x14ac:dyDescent="0.3">
      <c r="A615" s="5">
        <v>3.0150000000000001</v>
      </c>
      <c r="B615" s="5">
        <f t="shared" si="15"/>
        <v>42.21</v>
      </c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>
        <f>0.000001*('Design Worksheet_BAT'!B$88)*(B615-B614)/E$232+M614</f>
        <v>1.7257550820714901E-4</v>
      </c>
      <c r="N615" s="5">
        <f t="shared" si="16"/>
        <v>42.21</v>
      </c>
    </row>
    <row r="616" spans="1:14" x14ac:dyDescent="0.3">
      <c r="A616" s="5">
        <v>3.02</v>
      </c>
      <c r="B616" s="5">
        <f t="shared" si="15"/>
        <v>42.28</v>
      </c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>
        <f>0.000001*('Design Worksheet_BAT'!B$88)*(B616-B615)/E$232+M615</f>
        <v>1.7277671593661761E-4</v>
      </c>
      <c r="N616" s="5">
        <f t="shared" si="16"/>
        <v>42.28</v>
      </c>
    </row>
    <row r="617" spans="1:14" x14ac:dyDescent="0.3">
      <c r="A617" s="5">
        <v>3.0249999999999999</v>
      </c>
      <c r="B617" s="5">
        <f t="shared" ref="B617:B680" si="17">A617*VOFLB</f>
        <v>42.35</v>
      </c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>
        <f>0.000001*('Design Worksheet_BAT'!B$88)*(B617-B616)/E$232+M616</f>
        <v>1.7297792366608621E-4</v>
      </c>
      <c r="N617" s="5">
        <f t="shared" si="16"/>
        <v>42.35</v>
      </c>
    </row>
    <row r="618" spans="1:14" x14ac:dyDescent="0.3">
      <c r="A618" s="5">
        <v>3.03</v>
      </c>
      <c r="B618" s="5">
        <f t="shared" si="17"/>
        <v>42.419999999999995</v>
      </c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>
        <f>0.000001*('Design Worksheet_BAT'!B$88)*(B618-B617)/E$232+M617</f>
        <v>1.7317913139555479E-4</v>
      </c>
      <c r="N618" s="5">
        <f t="shared" si="16"/>
        <v>42.419999999999995</v>
      </c>
    </row>
    <row r="619" spans="1:14" x14ac:dyDescent="0.3">
      <c r="A619" s="5">
        <v>3.0350000000000001</v>
      </c>
      <c r="B619" s="5">
        <f t="shared" si="17"/>
        <v>42.49</v>
      </c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>
        <f>0.000001*('Design Worksheet_BAT'!B$88)*(B619-B618)/E$232+M618</f>
        <v>1.7338033912502342E-4</v>
      </c>
      <c r="N619" s="5">
        <f t="shared" si="16"/>
        <v>42.49</v>
      </c>
    </row>
    <row r="620" spans="1:14" x14ac:dyDescent="0.3">
      <c r="A620" s="5">
        <v>3.04</v>
      </c>
      <c r="B620" s="5">
        <f t="shared" si="17"/>
        <v>42.56</v>
      </c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>
        <f>0.000001*('Design Worksheet_BAT'!B$88)*(B620-B619)/E$232+M619</f>
        <v>1.7358154685449202E-4</v>
      </c>
      <c r="N620" s="5">
        <f t="shared" ref="N620:N683" si="18">B620</f>
        <v>42.56</v>
      </c>
    </row>
    <row r="621" spans="1:14" x14ac:dyDescent="0.3">
      <c r="A621" s="5">
        <v>3.0449999999999999</v>
      </c>
      <c r="B621" s="5">
        <f t="shared" si="17"/>
        <v>42.629999999999995</v>
      </c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>
        <f>0.000001*('Design Worksheet_BAT'!B$88)*(B621-B620)/E$232+M620</f>
        <v>1.7378275458396059E-4</v>
      </c>
      <c r="N621" s="5">
        <f t="shared" si="18"/>
        <v>42.629999999999995</v>
      </c>
    </row>
    <row r="622" spans="1:14" x14ac:dyDescent="0.3">
      <c r="A622" s="5">
        <v>3.05</v>
      </c>
      <c r="B622" s="5">
        <f t="shared" si="17"/>
        <v>42.699999999999996</v>
      </c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>
        <f>0.000001*('Design Worksheet_BAT'!B$88)*(B622-B621)/E$232+M621</f>
        <v>1.739839623134292E-4</v>
      </c>
      <c r="N622" s="5">
        <f t="shared" si="18"/>
        <v>42.699999999999996</v>
      </c>
    </row>
    <row r="623" spans="1:14" x14ac:dyDescent="0.3">
      <c r="A623" s="5">
        <v>3.0550000000000002</v>
      </c>
      <c r="B623" s="5">
        <f t="shared" si="17"/>
        <v>42.77</v>
      </c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>
        <f>0.000001*('Design Worksheet_BAT'!B$88)*(B623-B622)/E$232+M622</f>
        <v>1.7418517004289783E-4</v>
      </c>
      <c r="N623" s="5">
        <f t="shared" si="18"/>
        <v>42.77</v>
      </c>
    </row>
    <row r="624" spans="1:14" x14ac:dyDescent="0.3">
      <c r="A624" s="5">
        <v>3.06</v>
      </c>
      <c r="B624" s="5">
        <f t="shared" si="17"/>
        <v>42.84</v>
      </c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>
        <f>0.000001*('Design Worksheet_BAT'!B$88)*(B624-B623)/E$232+M623</f>
        <v>1.7438637777236643E-4</v>
      </c>
      <c r="N624" s="5">
        <f t="shared" si="18"/>
        <v>42.84</v>
      </c>
    </row>
    <row r="625" spans="1:14" x14ac:dyDescent="0.3">
      <c r="A625" s="5">
        <v>3.0649999999999999</v>
      </c>
      <c r="B625" s="5">
        <f t="shared" si="17"/>
        <v>42.91</v>
      </c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>
        <f>0.000001*('Design Worksheet_BAT'!B$88)*(B625-B624)/E$232+M624</f>
        <v>1.74587585501835E-4</v>
      </c>
      <c r="N625" s="5">
        <f t="shared" si="18"/>
        <v>42.91</v>
      </c>
    </row>
    <row r="626" spans="1:14" x14ac:dyDescent="0.3">
      <c r="A626" s="5">
        <v>3.07</v>
      </c>
      <c r="B626" s="5">
        <f t="shared" si="17"/>
        <v>42.98</v>
      </c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>
        <f>0.000001*('Design Worksheet_BAT'!B$88)*(B626-B625)/E$232+M625</f>
        <v>1.7478879323130361E-4</v>
      </c>
      <c r="N626" s="5">
        <f t="shared" si="18"/>
        <v>42.98</v>
      </c>
    </row>
    <row r="627" spans="1:14" x14ac:dyDescent="0.3">
      <c r="A627" s="5">
        <v>3.0750000000000002</v>
      </c>
      <c r="B627" s="5">
        <f t="shared" si="17"/>
        <v>43.050000000000004</v>
      </c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>
        <f>0.000001*('Design Worksheet_BAT'!B$88)*(B627-B626)/E$232+M626</f>
        <v>1.7499000096077224E-4</v>
      </c>
      <c r="N627" s="5">
        <f t="shared" si="18"/>
        <v>43.050000000000004</v>
      </c>
    </row>
    <row r="628" spans="1:14" x14ac:dyDescent="0.3">
      <c r="A628" s="5">
        <v>3.08</v>
      </c>
      <c r="B628" s="5">
        <f t="shared" si="17"/>
        <v>43.120000000000005</v>
      </c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>
        <f>0.000001*('Design Worksheet_BAT'!B$88)*(B628-B627)/E$232+M627</f>
        <v>1.7519120869024084E-4</v>
      </c>
      <c r="N628" s="5">
        <f t="shared" si="18"/>
        <v>43.120000000000005</v>
      </c>
    </row>
    <row r="629" spans="1:14" x14ac:dyDescent="0.3">
      <c r="A629" s="5">
        <v>3.085</v>
      </c>
      <c r="B629" s="5">
        <f t="shared" si="17"/>
        <v>43.19</v>
      </c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>
        <f>0.000001*('Design Worksheet_BAT'!B$88)*(B629-B628)/E$232+M628</f>
        <v>1.7539241641970941E-4</v>
      </c>
      <c r="N629" s="5">
        <f t="shared" si="18"/>
        <v>43.19</v>
      </c>
    </row>
    <row r="630" spans="1:14" x14ac:dyDescent="0.3">
      <c r="A630" s="5">
        <v>3.09</v>
      </c>
      <c r="B630" s="5">
        <f t="shared" si="17"/>
        <v>43.26</v>
      </c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>
        <f>0.000001*('Design Worksheet_BAT'!B$88)*(B630-B629)/E$232+M629</f>
        <v>1.7559362414917802E-4</v>
      </c>
      <c r="N630" s="5">
        <f t="shared" si="18"/>
        <v>43.26</v>
      </c>
    </row>
    <row r="631" spans="1:14" x14ac:dyDescent="0.3">
      <c r="A631" s="5">
        <v>3.0950000000000002</v>
      </c>
      <c r="B631" s="5">
        <f t="shared" si="17"/>
        <v>43.330000000000005</v>
      </c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>
        <f>0.000001*('Design Worksheet_BAT'!B$88)*(B631-B630)/E$232+M630</f>
        <v>1.7579483187864665E-4</v>
      </c>
      <c r="N631" s="5">
        <f t="shared" si="18"/>
        <v>43.330000000000005</v>
      </c>
    </row>
    <row r="632" spans="1:14" x14ac:dyDescent="0.3">
      <c r="A632" s="5">
        <v>3.1</v>
      </c>
      <c r="B632" s="5">
        <f t="shared" si="17"/>
        <v>43.4</v>
      </c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>
        <f>0.000001*('Design Worksheet_BAT'!B$88)*(B632-B631)/E$232+M631</f>
        <v>1.7599603960811522E-4</v>
      </c>
      <c r="N632" s="5">
        <f t="shared" si="18"/>
        <v>43.4</v>
      </c>
    </row>
    <row r="633" spans="1:14" x14ac:dyDescent="0.3">
      <c r="A633" s="5">
        <v>3.105</v>
      </c>
      <c r="B633" s="5">
        <f t="shared" si="17"/>
        <v>43.47</v>
      </c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>
        <f>0.000001*('Design Worksheet_BAT'!B$88)*(B633-B632)/E$232+M632</f>
        <v>1.7619724733758383E-4</v>
      </c>
      <c r="N633" s="5">
        <f t="shared" si="18"/>
        <v>43.47</v>
      </c>
    </row>
    <row r="634" spans="1:14" x14ac:dyDescent="0.3">
      <c r="A634" s="5">
        <v>3.11</v>
      </c>
      <c r="B634" s="5">
        <f t="shared" si="17"/>
        <v>43.54</v>
      </c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>
        <f>0.000001*('Design Worksheet_BAT'!B$88)*(B634-B633)/E$232+M633</f>
        <v>1.7639845506705243E-4</v>
      </c>
      <c r="N634" s="5">
        <f t="shared" si="18"/>
        <v>43.54</v>
      </c>
    </row>
    <row r="635" spans="1:14" x14ac:dyDescent="0.3">
      <c r="A635" s="5">
        <v>3.1150000000000002</v>
      </c>
      <c r="B635" s="5">
        <f t="shared" si="17"/>
        <v>43.61</v>
      </c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>
        <f>0.000001*('Design Worksheet_BAT'!B$88)*(B635-B634)/E$232+M634</f>
        <v>1.7659966279652103E-4</v>
      </c>
      <c r="N635" s="5">
        <f t="shared" si="18"/>
        <v>43.61</v>
      </c>
    </row>
    <row r="636" spans="1:14" x14ac:dyDescent="0.3">
      <c r="A636" s="5">
        <v>3.12</v>
      </c>
      <c r="B636" s="5">
        <f t="shared" si="17"/>
        <v>43.68</v>
      </c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>
        <f>0.000001*('Design Worksheet_BAT'!B$88)*(B636-B635)/E$232+M635</f>
        <v>1.7680087052598963E-4</v>
      </c>
      <c r="N636" s="5">
        <f t="shared" si="18"/>
        <v>43.68</v>
      </c>
    </row>
    <row r="637" spans="1:14" x14ac:dyDescent="0.3">
      <c r="A637" s="5">
        <v>3.125</v>
      </c>
      <c r="B637" s="5">
        <f t="shared" si="17"/>
        <v>43.75</v>
      </c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>
        <f>0.000001*('Design Worksheet_BAT'!B$88)*(B637-B636)/E$232+M636</f>
        <v>1.7700207825545824E-4</v>
      </c>
      <c r="N637" s="5">
        <f t="shared" si="18"/>
        <v>43.75</v>
      </c>
    </row>
    <row r="638" spans="1:14" x14ac:dyDescent="0.3">
      <c r="A638" s="5">
        <v>3.13</v>
      </c>
      <c r="B638" s="5">
        <f t="shared" si="17"/>
        <v>43.82</v>
      </c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>
        <f>0.000001*('Design Worksheet_BAT'!B$88)*(B638-B637)/E$232+M637</f>
        <v>1.7720328598492684E-4</v>
      </c>
      <c r="N638" s="5">
        <f t="shared" si="18"/>
        <v>43.82</v>
      </c>
    </row>
    <row r="639" spans="1:14" x14ac:dyDescent="0.3">
      <c r="A639" s="5">
        <v>3.1349999999999998</v>
      </c>
      <c r="B639" s="5">
        <f t="shared" si="17"/>
        <v>43.89</v>
      </c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>
        <f>0.000001*('Design Worksheet_BAT'!B$88)*(B639-B638)/E$232+M638</f>
        <v>1.7740449371439544E-4</v>
      </c>
      <c r="N639" s="5">
        <f t="shared" si="18"/>
        <v>43.89</v>
      </c>
    </row>
    <row r="640" spans="1:14" x14ac:dyDescent="0.3">
      <c r="A640" s="5">
        <v>3.14</v>
      </c>
      <c r="B640" s="5">
        <f t="shared" si="17"/>
        <v>43.96</v>
      </c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>
        <f>0.000001*('Design Worksheet_BAT'!B$88)*(B640-B639)/E$232+M639</f>
        <v>1.7760570144386404E-4</v>
      </c>
      <c r="N640" s="5">
        <f t="shared" si="18"/>
        <v>43.96</v>
      </c>
    </row>
    <row r="641" spans="1:14" x14ac:dyDescent="0.3">
      <c r="A641" s="5">
        <v>3.145</v>
      </c>
      <c r="B641" s="5">
        <f t="shared" si="17"/>
        <v>44.03</v>
      </c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>
        <f>0.000001*('Design Worksheet_BAT'!B$88)*(B641-B640)/E$232+M640</f>
        <v>1.7780690917333265E-4</v>
      </c>
      <c r="N641" s="5">
        <f t="shared" si="18"/>
        <v>44.03</v>
      </c>
    </row>
    <row r="642" spans="1:14" x14ac:dyDescent="0.3">
      <c r="A642" s="5">
        <v>3.15</v>
      </c>
      <c r="B642" s="5">
        <f t="shared" si="17"/>
        <v>44.1</v>
      </c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>
        <f>0.000001*('Design Worksheet_BAT'!B$88)*(B642-B641)/E$232+M641</f>
        <v>1.7800811690280125E-4</v>
      </c>
      <c r="N642" s="5">
        <f t="shared" si="18"/>
        <v>44.1</v>
      </c>
    </row>
    <row r="643" spans="1:14" x14ac:dyDescent="0.3">
      <c r="A643" s="5">
        <v>3.1549999999999998</v>
      </c>
      <c r="B643" s="5">
        <f t="shared" si="17"/>
        <v>44.169999999999995</v>
      </c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>
        <f>0.000001*('Design Worksheet_BAT'!B$88)*(B643-B642)/E$232+M642</f>
        <v>1.7820932463226982E-4</v>
      </c>
      <c r="N643" s="5">
        <f t="shared" si="18"/>
        <v>44.169999999999995</v>
      </c>
    </row>
    <row r="644" spans="1:14" x14ac:dyDescent="0.3">
      <c r="A644" s="5">
        <v>3.16</v>
      </c>
      <c r="B644" s="5">
        <f t="shared" si="17"/>
        <v>44.24</v>
      </c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>
        <f>0.000001*('Design Worksheet_BAT'!B$88)*(B644-B643)/E$232+M643</f>
        <v>1.7841053236173845E-4</v>
      </c>
      <c r="N644" s="5">
        <f t="shared" si="18"/>
        <v>44.24</v>
      </c>
    </row>
    <row r="645" spans="1:14" x14ac:dyDescent="0.3">
      <c r="A645" s="5">
        <v>3.165</v>
      </c>
      <c r="B645" s="5">
        <f t="shared" si="17"/>
        <v>44.31</v>
      </c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>
        <f>0.000001*('Design Worksheet_BAT'!B$88)*(B645-B644)/E$232+M644</f>
        <v>1.7861174009120706E-4</v>
      </c>
      <c r="N645" s="5">
        <f t="shared" si="18"/>
        <v>44.31</v>
      </c>
    </row>
    <row r="646" spans="1:14" x14ac:dyDescent="0.3">
      <c r="A646" s="5">
        <v>3.17</v>
      </c>
      <c r="B646" s="5">
        <f t="shared" si="17"/>
        <v>44.379999999999995</v>
      </c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>
        <f>0.000001*('Design Worksheet_BAT'!B$88)*(B646-B645)/E$232+M645</f>
        <v>1.7881294782067563E-4</v>
      </c>
      <c r="N646" s="5">
        <f t="shared" si="18"/>
        <v>44.379999999999995</v>
      </c>
    </row>
    <row r="647" spans="1:14" x14ac:dyDescent="0.3">
      <c r="A647" s="5">
        <v>3.1749999999999998</v>
      </c>
      <c r="B647" s="5">
        <f t="shared" si="17"/>
        <v>44.449999999999996</v>
      </c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>
        <f>0.000001*('Design Worksheet_BAT'!B$88)*(B647-B646)/E$232+M646</f>
        <v>1.7901415555014423E-4</v>
      </c>
      <c r="N647" s="5">
        <f t="shared" si="18"/>
        <v>44.449999999999996</v>
      </c>
    </row>
    <row r="648" spans="1:14" x14ac:dyDescent="0.3">
      <c r="A648" s="5">
        <v>3.18</v>
      </c>
      <c r="B648" s="5">
        <f t="shared" si="17"/>
        <v>44.52</v>
      </c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>
        <f>0.000001*('Design Worksheet_BAT'!B$88)*(B648-B647)/E$232+M647</f>
        <v>1.7921536327961286E-4</v>
      </c>
      <c r="N648" s="5">
        <f t="shared" si="18"/>
        <v>44.52</v>
      </c>
    </row>
    <row r="649" spans="1:14" x14ac:dyDescent="0.3">
      <c r="A649" s="5">
        <v>3.1850000000000001</v>
      </c>
      <c r="B649" s="5">
        <f t="shared" si="17"/>
        <v>44.59</v>
      </c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>
        <f>0.000001*('Design Worksheet_BAT'!B$88)*(B649-B648)/E$232+M648</f>
        <v>1.7941657100908147E-4</v>
      </c>
      <c r="N649" s="5">
        <f t="shared" si="18"/>
        <v>44.59</v>
      </c>
    </row>
    <row r="650" spans="1:14" x14ac:dyDescent="0.3">
      <c r="A650" s="5">
        <v>3.19</v>
      </c>
      <c r="B650" s="5">
        <f t="shared" si="17"/>
        <v>44.66</v>
      </c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>
        <f>0.000001*('Design Worksheet_BAT'!B$88)*(B650-B649)/E$232+M649</f>
        <v>1.7961777873855004E-4</v>
      </c>
      <c r="N650" s="5">
        <f t="shared" si="18"/>
        <v>44.66</v>
      </c>
    </row>
    <row r="651" spans="1:14" x14ac:dyDescent="0.3">
      <c r="A651" s="5">
        <v>3.1949999999999998</v>
      </c>
      <c r="B651" s="5">
        <f t="shared" si="17"/>
        <v>44.73</v>
      </c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>
        <f>0.000001*('Design Worksheet_BAT'!B$88)*(B651-B650)/E$232+M650</f>
        <v>1.7981898646801865E-4</v>
      </c>
      <c r="N651" s="5">
        <f t="shared" si="18"/>
        <v>44.73</v>
      </c>
    </row>
    <row r="652" spans="1:14" x14ac:dyDescent="0.3">
      <c r="A652" s="5">
        <v>3.2</v>
      </c>
      <c r="B652" s="5">
        <f t="shared" si="17"/>
        <v>44.800000000000004</v>
      </c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>
        <f>0.000001*('Design Worksheet_BAT'!B$88)*(B652-B651)/E$232+M651</f>
        <v>1.8002019419748727E-4</v>
      </c>
      <c r="N652" s="5">
        <f t="shared" si="18"/>
        <v>44.800000000000004</v>
      </c>
    </row>
    <row r="653" spans="1:14" x14ac:dyDescent="0.3">
      <c r="A653" s="5">
        <v>3.2050000000000001</v>
      </c>
      <c r="B653" s="5">
        <f t="shared" si="17"/>
        <v>44.870000000000005</v>
      </c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>
        <f>0.000001*('Design Worksheet_BAT'!B$88)*(B653-B652)/E$232+M652</f>
        <v>1.8022140192695588E-4</v>
      </c>
      <c r="N653" s="5">
        <f t="shared" si="18"/>
        <v>44.870000000000005</v>
      </c>
    </row>
    <row r="654" spans="1:14" x14ac:dyDescent="0.3">
      <c r="A654" s="5">
        <v>3.21</v>
      </c>
      <c r="B654" s="5">
        <f t="shared" si="17"/>
        <v>44.94</v>
      </c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>
        <f>0.000001*('Design Worksheet_BAT'!B$88)*(B654-B653)/E$232+M653</f>
        <v>1.8042260965642445E-4</v>
      </c>
      <c r="N654" s="5">
        <f t="shared" si="18"/>
        <v>44.94</v>
      </c>
    </row>
    <row r="655" spans="1:14" x14ac:dyDescent="0.3">
      <c r="A655" s="5">
        <v>3.2149999999999999</v>
      </c>
      <c r="B655" s="5">
        <f t="shared" si="17"/>
        <v>45.01</v>
      </c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>
        <f>0.000001*('Design Worksheet_BAT'!B$88)*(B655-B654)/E$232+M654</f>
        <v>1.8062381738589306E-4</v>
      </c>
      <c r="N655" s="5">
        <f t="shared" si="18"/>
        <v>45.01</v>
      </c>
    </row>
    <row r="656" spans="1:14" x14ac:dyDescent="0.3">
      <c r="A656" s="5">
        <v>3.22</v>
      </c>
      <c r="B656" s="5">
        <f t="shared" si="17"/>
        <v>45.080000000000005</v>
      </c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>
        <f>0.000001*('Design Worksheet_BAT'!B$88)*(B656-B655)/E$232+M655</f>
        <v>1.8082502511536169E-4</v>
      </c>
      <c r="N656" s="5">
        <f t="shared" si="18"/>
        <v>45.080000000000005</v>
      </c>
    </row>
    <row r="657" spans="1:14" x14ac:dyDescent="0.3">
      <c r="A657" s="5">
        <v>3.2250000000000001</v>
      </c>
      <c r="B657" s="5">
        <f t="shared" si="17"/>
        <v>45.15</v>
      </c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>
        <f>0.000001*('Design Worksheet_BAT'!B$88)*(B657-B656)/E$232+M656</f>
        <v>1.8102623284483026E-4</v>
      </c>
      <c r="N657" s="5">
        <f t="shared" si="18"/>
        <v>45.15</v>
      </c>
    </row>
    <row r="658" spans="1:14" x14ac:dyDescent="0.3">
      <c r="A658" s="5">
        <v>3.23</v>
      </c>
      <c r="B658" s="5">
        <f t="shared" si="17"/>
        <v>45.22</v>
      </c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>
        <f>0.000001*('Design Worksheet_BAT'!B$88)*(B658-B657)/E$232+M657</f>
        <v>1.8122744057429886E-4</v>
      </c>
      <c r="N658" s="5">
        <f t="shared" si="18"/>
        <v>45.22</v>
      </c>
    </row>
    <row r="659" spans="1:14" x14ac:dyDescent="0.3">
      <c r="A659" s="5">
        <v>3.2349999999999901</v>
      </c>
      <c r="B659" s="5">
        <f t="shared" si="17"/>
        <v>45.289999999999864</v>
      </c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>
        <f>0.000001*('Design Worksheet_BAT'!B$88)*(B659-B658)/E$232+M658</f>
        <v>1.8142864830376709E-4</v>
      </c>
      <c r="N659" s="5">
        <f t="shared" si="18"/>
        <v>45.289999999999864</v>
      </c>
    </row>
    <row r="660" spans="1:14" x14ac:dyDescent="0.3">
      <c r="A660" s="5">
        <v>3.23999999999999</v>
      </c>
      <c r="B660" s="5">
        <f t="shared" si="17"/>
        <v>45.359999999999857</v>
      </c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>
        <f>0.000001*('Design Worksheet_BAT'!B$88)*(B660-B659)/E$232+M659</f>
        <v>1.8162985603323566E-4</v>
      </c>
      <c r="N660" s="5">
        <f t="shared" si="18"/>
        <v>45.359999999999857</v>
      </c>
    </row>
    <row r="661" spans="1:14" x14ac:dyDescent="0.3">
      <c r="A661" s="5">
        <v>3.2449999999999899</v>
      </c>
      <c r="B661" s="5">
        <f t="shared" si="17"/>
        <v>45.429999999999858</v>
      </c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>
        <f>0.000001*('Design Worksheet_BAT'!B$88)*(B661-B660)/E$232+M660</f>
        <v>1.8183106376270426E-4</v>
      </c>
      <c r="N661" s="5">
        <f t="shared" si="18"/>
        <v>45.429999999999858</v>
      </c>
    </row>
    <row r="662" spans="1:14" x14ac:dyDescent="0.3">
      <c r="A662" s="5">
        <v>3.2499999999999898</v>
      </c>
      <c r="B662" s="5">
        <f t="shared" si="17"/>
        <v>45.499999999999858</v>
      </c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>
        <f>0.000001*('Design Worksheet_BAT'!B$88)*(B662-B661)/E$232+M661</f>
        <v>1.8203227149217287E-4</v>
      </c>
      <c r="N662" s="5">
        <f t="shared" si="18"/>
        <v>45.499999999999858</v>
      </c>
    </row>
    <row r="663" spans="1:14" x14ac:dyDescent="0.3">
      <c r="A663" s="5">
        <v>3.2549999999999901</v>
      </c>
      <c r="B663" s="5">
        <f t="shared" si="17"/>
        <v>45.569999999999865</v>
      </c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>
        <f>0.000001*('Design Worksheet_BAT'!B$88)*(B663-B662)/E$232+M662</f>
        <v>1.822334792216415E-4</v>
      </c>
      <c r="N663" s="5">
        <f t="shared" si="18"/>
        <v>45.569999999999865</v>
      </c>
    </row>
    <row r="664" spans="1:14" x14ac:dyDescent="0.3">
      <c r="A664" s="5">
        <v>3.25999999999999</v>
      </c>
      <c r="B664" s="5">
        <f t="shared" si="17"/>
        <v>45.639999999999858</v>
      </c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>
        <f>0.000001*('Design Worksheet_BAT'!B$88)*(B664-B663)/E$232+M663</f>
        <v>1.8243468695111007E-4</v>
      </c>
      <c r="N664" s="5">
        <f t="shared" si="18"/>
        <v>45.639999999999858</v>
      </c>
    </row>
    <row r="665" spans="1:14" x14ac:dyDescent="0.3">
      <c r="A665" s="5">
        <v>3.2649999999999899</v>
      </c>
      <c r="B665" s="5">
        <f t="shared" si="17"/>
        <v>45.709999999999859</v>
      </c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>
        <f>0.000001*('Design Worksheet_BAT'!B$88)*(B665-B664)/E$232+M664</f>
        <v>1.8263589468057868E-4</v>
      </c>
      <c r="N665" s="5">
        <f t="shared" si="18"/>
        <v>45.709999999999859</v>
      </c>
    </row>
    <row r="666" spans="1:14" x14ac:dyDescent="0.3">
      <c r="A666" s="5">
        <v>3.2699999999999898</v>
      </c>
      <c r="B666" s="5">
        <f t="shared" si="17"/>
        <v>45.779999999999859</v>
      </c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>
        <f>0.000001*('Design Worksheet_BAT'!B$88)*(B666-B665)/E$232+M665</f>
        <v>1.8283710241004728E-4</v>
      </c>
      <c r="N666" s="5">
        <f t="shared" si="18"/>
        <v>45.779999999999859</v>
      </c>
    </row>
    <row r="667" spans="1:14" x14ac:dyDescent="0.3">
      <c r="A667" s="5">
        <v>3.2749999999999901</v>
      </c>
      <c r="B667" s="5">
        <f t="shared" si="17"/>
        <v>45.849999999999859</v>
      </c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>
        <f>0.000001*('Design Worksheet_BAT'!B$88)*(B667-B666)/E$232+M666</f>
        <v>1.8303831013951588E-4</v>
      </c>
      <c r="N667" s="5">
        <f t="shared" si="18"/>
        <v>45.849999999999859</v>
      </c>
    </row>
    <row r="668" spans="1:14" x14ac:dyDescent="0.3">
      <c r="A668" s="5">
        <v>3.27999999999999</v>
      </c>
      <c r="B668" s="5">
        <f t="shared" si="17"/>
        <v>45.91999999999986</v>
      </c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>
        <f>0.000001*('Design Worksheet_BAT'!B$88)*(B668-B667)/E$232+M667</f>
        <v>1.8323951786898448E-4</v>
      </c>
      <c r="N668" s="5">
        <f t="shared" si="18"/>
        <v>45.91999999999986</v>
      </c>
    </row>
    <row r="669" spans="1:14" x14ac:dyDescent="0.3">
      <c r="A669" s="5">
        <v>3.2849999999999899</v>
      </c>
      <c r="B669" s="5">
        <f t="shared" si="17"/>
        <v>45.98999999999986</v>
      </c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>
        <f>0.000001*('Design Worksheet_BAT'!B$88)*(B669-B668)/E$232+M668</f>
        <v>1.8344072559845309E-4</v>
      </c>
      <c r="N669" s="5">
        <f t="shared" si="18"/>
        <v>45.98999999999986</v>
      </c>
    </row>
    <row r="670" spans="1:14" x14ac:dyDescent="0.3">
      <c r="A670" s="5">
        <v>3.2899999999999898</v>
      </c>
      <c r="B670" s="5">
        <f t="shared" si="17"/>
        <v>46.05999999999986</v>
      </c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>
        <f>0.000001*('Design Worksheet_BAT'!B$88)*(B670-B669)/E$232+M669</f>
        <v>1.8364193332792169E-4</v>
      </c>
      <c r="N670" s="5">
        <f t="shared" si="18"/>
        <v>46.05999999999986</v>
      </c>
    </row>
    <row r="671" spans="1:14" x14ac:dyDescent="0.3">
      <c r="A671" s="5">
        <v>3.2949999999999902</v>
      </c>
      <c r="B671" s="5">
        <f t="shared" si="17"/>
        <v>46.12999999999986</v>
      </c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>
        <f>0.000001*('Design Worksheet_BAT'!B$88)*(B671-B670)/E$232+M670</f>
        <v>1.8384314105739029E-4</v>
      </c>
      <c r="N671" s="5">
        <f t="shared" si="18"/>
        <v>46.12999999999986</v>
      </c>
    </row>
    <row r="672" spans="1:14" x14ac:dyDescent="0.3">
      <c r="A672" s="5">
        <v>3.2999999999999901</v>
      </c>
      <c r="B672" s="5">
        <f t="shared" si="17"/>
        <v>46.199999999999861</v>
      </c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>
        <f>0.000001*('Design Worksheet_BAT'!B$88)*(B672-B671)/E$232+M671</f>
        <v>1.8404434878685889E-4</v>
      </c>
      <c r="N672" s="5">
        <f t="shared" si="18"/>
        <v>46.199999999999861</v>
      </c>
    </row>
    <row r="673" spans="1:14" x14ac:dyDescent="0.3">
      <c r="A673" s="5">
        <v>3.3049999999999899</v>
      </c>
      <c r="B673" s="5">
        <f t="shared" si="17"/>
        <v>46.269999999999861</v>
      </c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>
        <f>0.000001*('Design Worksheet_BAT'!B$88)*(B673-B672)/E$232+M672</f>
        <v>1.842455565163275E-4</v>
      </c>
      <c r="N673" s="5">
        <f t="shared" si="18"/>
        <v>46.269999999999861</v>
      </c>
    </row>
    <row r="674" spans="1:14" x14ac:dyDescent="0.3">
      <c r="A674" s="5">
        <v>3.3099999999999898</v>
      </c>
      <c r="B674" s="5">
        <f t="shared" si="17"/>
        <v>46.339999999999861</v>
      </c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>
        <f>0.000001*('Design Worksheet_BAT'!B$88)*(B674-B673)/E$232+M673</f>
        <v>1.844467642457961E-4</v>
      </c>
      <c r="N674" s="5">
        <f t="shared" si="18"/>
        <v>46.339999999999861</v>
      </c>
    </row>
    <row r="675" spans="1:14" x14ac:dyDescent="0.3">
      <c r="A675" s="5">
        <v>3.3149999999999902</v>
      </c>
      <c r="B675" s="5">
        <f t="shared" si="17"/>
        <v>46.409999999999862</v>
      </c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>
        <f>0.000001*('Design Worksheet_BAT'!B$88)*(B675-B674)/E$232+M674</f>
        <v>1.846479719752647E-4</v>
      </c>
      <c r="N675" s="5">
        <f t="shared" si="18"/>
        <v>46.409999999999862</v>
      </c>
    </row>
    <row r="676" spans="1:14" x14ac:dyDescent="0.3">
      <c r="A676" s="5">
        <v>3.3199999999999901</v>
      </c>
      <c r="B676" s="5">
        <f t="shared" si="17"/>
        <v>46.479999999999862</v>
      </c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>
        <f>0.000001*('Design Worksheet_BAT'!B$88)*(B676-B675)/E$232+M675</f>
        <v>1.848491797047333E-4</v>
      </c>
      <c r="N676" s="5">
        <f t="shared" si="18"/>
        <v>46.479999999999862</v>
      </c>
    </row>
    <row r="677" spans="1:14" x14ac:dyDescent="0.3">
      <c r="A677" s="5">
        <v>3.32499999999999</v>
      </c>
      <c r="B677" s="5">
        <f t="shared" si="17"/>
        <v>46.549999999999862</v>
      </c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>
        <f>0.000001*('Design Worksheet_BAT'!B$88)*(B677-B676)/E$232+M676</f>
        <v>1.8505038743420191E-4</v>
      </c>
      <c r="N677" s="5">
        <f t="shared" si="18"/>
        <v>46.549999999999862</v>
      </c>
    </row>
    <row r="678" spans="1:14" x14ac:dyDescent="0.3">
      <c r="A678" s="5">
        <v>3.3299999999999899</v>
      </c>
      <c r="B678" s="5">
        <f t="shared" si="17"/>
        <v>46.619999999999855</v>
      </c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>
        <f>0.000001*('Design Worksheet_BAT'!B$88)*(B678-B677)/E$232+M677</f>
        <v>1.8525159516367048E-4</v>
      </c>
      <c r="N678" s="5">
        <f t="shared" si="18"/>
        <v>46.619999999999855</v>
      </c>
    </row>
    <row r="679" spans="1:14" x14ac:dyDescent="0.3">
      <c r="A679" s="5">
        <v>3.3349999999999902</v>
      </c>
      <c r="B679" s="5">
        <f t="shared" si="17"/>
        <v>46.689999999999863</v>
      </c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>
        <f>0.000001*('Design Worksheet_BAT'!B$88)*(B679-B678)/E$232+M678</f>
        <v>1.8545280289313911E-4</v>
      </c>
      <c r="N679" s="5">
        <f t="shared" si="18"/>
        <v>46.689999999999863</v>
      </c>
    </row>
    <row r="680" spans="1:14" x14ac:dyDescent="0.3">
      <c r="A680" s="5">
        <v>3.3399999999999901</v>
      </c>
      <c r="B680" s="5">
        <f t="shared" si="17"/>
        <v>46.759999999999863</v>
      </c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>
        <f>0.000001*('Design Worksheet_BAT'!B$88)*(B680-B679)/E$232+M679</f>
        <v>1.8565401062260771E-4</v>
      </c>
      <c r="N680" s="5">
        <f t="shared" si="18"/>
        <v>46.759999999999863</v>
      </c>
    </row>
    <row r="681" spans="1:14" x14ac:dyDescent="0.3">
      <c r="A681" s="5">
        <v>3.34499999999999</v>
      </c>
      <c r="B681" s="5">
        <f t="shared" ref="B681:B744" si="19">A681*VOFLB</f>
        <v>46.829999999999856</v>
      </c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>
        <f>0.000001*('Design Worksheet_BAT'!B$88)*(B681-B680)/E$232+M680</f>
        <v>1.8585521835207629E-4</v>
      </c>
      <c r="N681" s="5">
        <f t="shared" si="18"/>
        <v>46.829999999999856</v>
      </c>
    </row>
    <row r="682" spans="1:14" x14ac:dyDescent="0.3">
      <c r="A682" s="5">
        <v>3.3499999999999899</v>
      </c>
      <c r="B682" s="5">
        <f t="shared" si="19"/>
        <v>46.899999999999856</v>
      </c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>
        <f>0.000001*('Design Worksheet_BAT'!B$88)*(B682-B681)/E$232+M681</f>
        <v>1.8605642608154489E-4</v>
      </c>
      <c r="N682" s="5">
        <f t="shared" si="18"/>
        <v>46.899999999999856</v>
      </c>
    </row>
    <row r="683" spans="1:14" x14ac:dyDescent="0.3">
      <c r="A683" s="5">
        <v>3.3549999999999902</v>
      </c>
      <c r="B683" s="5">
        <f t="shared" si="19"/>
        <v>46.969999999999864</v>
      </c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>
        <f>0.000001*('Design Worksheet_BAT'!B$88)*(B683-B682)/E$232+M682</f>
        <v>1.8625763381101352E-4</v>
      </c>
      <c r="N683" s="5">
        <f t="shared" si="18"/>
        <v>46.969999999999864</v>
      </c>
    </row>
    <row r="684" spans="1:14" x14ac:dyDescent="0.3">
      <c r="A684" s="5">
        <v>3.3599999999999901</v>
      </c>
      <c r="B684" s="5">
        <f t="shared" si="19"/>
        <v>47.039999999999864</v>
      </c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>
        <f>0.000001*('Design Worksheet_BAT'!B$88)*(B684-B683)/E$232+M683</f>
        <v>1.8645884154048212E-4</v>
      </c>
      <c r="N684" s="5">
        <f t="shared" ref="N684:N747" si="20">B684</f>
        <v>47.039999999999864</v>
      </c>
    </row>
    <row r="685" spans="1:14" x14ac:dyDescent="0.3">
      <c r="A685" s="5">
        <v>3.36499999999999</v>
      </c>
      <c r="B685" s="5">
        <f t="shared" si="19"/>
        <v>47.109999999999857</v>
      </c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>
        <f>0.000001*('Design Worksheet_BAT'!B$88)*(B685-B684)/E$232+M684</f>
        <v>1.866600492699507E-4</v>
      </c>
      <c r="N685" s="5">
        <f t="shared" si="20"/>
        <v>47.109999999999857</v>
      </c>
    </row>
    <row r="686" spans="1:14" x14ac:dyDescent="0.3">
      <c r="A686" s="5">
        <v>3.3699999999999899</v>
      </c>
      <c r="B686" s="5">
        <f t="shared" si="19"/>
        <v>47.179999999999858</v>
      </c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>
        <f>0.000001*('Design Worksheet_BAT'!B$88)*(B686-B685)/E$232+M685</f>
        <v>1.868612569994193E-4</v>
      </c>
      <c r="N686" s="5">
        <f t="shared" si="20"/>
        <v>47.179999999999858</v>
      </c>
    </row>
    <row r="687" spans="1:14" x14ac:dyDescent="0.3">
      <c r="A687" s="5">
        <v>3.3749999999999898</v>
      </c>
      <c r="B687" s="5">
        <f t="shared" si="19"/>
        <v>47.249999999999858</v>
      </c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>
        <f>0.000001*('Design Worksheet_BAT'!B$88)*(B687-B686)/E$232+M686</f>
        <v>1.8706246472888791E-4</v>
      </c>
      <c r="N687" s="5">
        <f t="shared" si="20"/>
        <v>47.249999999999858</v>
      </c>
    </row>
    <row r="688" spans="1:14" x14ac:dyDescent="0.3">
      <c r="A688" s="5">
        <v>3.3799999999999901</v>
      </c>
      <c r="B688" s="5">
        <f t="shared" si="19"/>
        <v>47.319999999999865</v>
      </c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>
        <f>0.000001*('Design Worksheet_BAT'!B$88)*(B688-B687)/E$232+M687</f>
        <v>1.8726367245835654E-4</v>
      </c>
      <c r="N688" s="5">
        <f t="shared" si="20"/>
        <v>47.319999999999865</v>
      </c>
    </row>
    <row r="689" spans="1:14" x14ac:dyDescent="0.3">
      <c r="A689" s="5">
        <v>3.38499999999999</v>
      </c>
      <c r="B689" s="5">
        <f t="shared" si="19"/>
        <v>47.389999999999858</v>
      </c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>
        <f>0.000001*('Design Worksheet_BAT'!B$88)*(B689-B688)/E$232+M688</f>
        <v>1.8746488018782511E-4</v>
      </c>
      <c r="N689" s="5">
        <f t="shared" si="20"/>
        <v>47.389999999999858</v>
      </c>
    </row>
    <row r="690" spans="1:14" x14ac:dyDescent="0.3">
      <c r="A690" s="5">
        <v>3.3899999999999899</v>
      </c>
      <c r="B690" s="5">
        <f t="shared" si="19"/>
        <v>47.459999999999859</v>
      </c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>
        <f>0.000001*('Design Worksheet_BAT'!B$88)*(B690-B689)/E$232+M689</f>
        <v>1.8766608791729371E-4</v>
      </c>
      <c r="N690" s="5">
        <f t="shared" si="20"/>
        <v>47.459999999999859</v>
      </c>
    </row>
    <row r="691" spans="1:14" x14ac:dyDescent="0.3">
      <c r="A691" s="5">
        <v>3.3949999999999898</v>
      </c>
      <c r="B691" s="5">
        <f t="shared" si="19"/>
        <v>47.529999999999859</v>
      </c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>
        <f>0.000001*('Design Worksheet_BAT'!B$88)*(B691-B690)/E$232+M690</f>
        <v>1.8786729564676232E-4</v>
      </c>
      <c r="N691" s="5">
        <f t="shared" si="20"/>
        <v>47.529999999999859</v>
      </c>
    </row>
    <row r="692" spans="1:14" x14ac:dyDescent="0.3">
      <c r="A692" s="5">
        <v>3.3999999999999901</v>
      </c>
      <c r="B692" s="5">
        <f t="shared" si="19"/>
        <v>47.599999999999859</v>
      </c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>
        <f>0.000001*('Design Worksheet_BAT'!B$88)*(B692-B691)/E$232+M691</f>
        <v>1.8806850337623092E-4</v>
      </c>
      <c r="N692" s="5">
        <f t="shared" si="20"/>
        <v>47.599999999999859</v>
      </c>
    </row>
    <row r="693" spans="1:14" x14ac:dyDescent="0.3">
      <c r="A693" s="5">
        <v>3.40499999999999</v>
      </c>
      <c r="B693" s="5">
        <f t="shared" si="19"/>
        <v>47.66999999999986</v>
      </c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>
        <f>0.000001*('Design Worksheet_BAT'!B$88)*(B693-B692)/E$232+M692</f>
        <v>1.8826971110569952E-4</v>
      </c>
      <c r="N693" s="5">
        <f t="shared" si="20"/>
        <v>47.66999999999986</v>
      </c>
    </row>
    <row r="694" spans="1:14" x14ac:dyDescent="0.3">
      <c r="A694" s="5">
        <v>3.4099999999999899</v>
      </c>
      <c r="B694" s="5">
        <f t="shared" si="19"/>
        <v>47.73999999999986</v>
      </c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>
        <f>0.000001*('Design Worksheet_BAT'!B$88)*(B694-B693)/E$232+M693</f>
        <v>1.8847091883516812E-4</v>
      </c>
      <c r="N694" s="5">
        <f t="shared" si="20"/>
        <v>47.73999999999986</v>
      </c>
    </row>
    <row r="695" spans="1:14" x14ac:dyDescent="0.3">
      <c r="A695" s="5">
        <v>3.4149999999999898</v>
      </c>
      <c r="B695" s="5">
        <f t="shared" si="19"/>
        <v>47.80999999999986</v>
      </c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>
        <f>0.000001*('Design Worksheet_BAT'!B$88)*(B695-B694)/E$232+M694</f>
        <v>1.8867212656463673E-4</v>
      </c>
      <c r="N695" s="5">
        <f t="shared" si="20"/>
        <v>47.80999999999986</v>
      </c>
    </row>
    <row r="696" spans="1:14" x14ac:dyDescent="0.3">
      <c r="A696" s="5">
        <v>3.4199999999999902</v>
      </c>
      <c r="B696" s="5">
        <f t="shared" si="19"/>
        <v>47.87999999999986</v>
      </c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>
        <f>0.000001*('Design Worksheet_BAT'!B$88)*(B696-B695)/E$232+M695</f>
        <v>1.8887333429410533E-4</v>
      </c>
      <c r="N696" s="5">
        <f t="shared" si="20"/>
        <v>47.87999999999986</v>
      </c>
    </row>
    <row r="697" spans="1:14" x14ac:dyDescent="0.3">
      <c r="A697" s="5">
        <v>3.4249999999999901</v>
      </c>
      <c r="B697" s="5">
        <f t="shared" si="19"/>
        <v>47.949999999999861</v>
      </c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>
        <f>0.000001*('Design Worksheet_BAT'!B$88)*(B697-B696)/E$232+M696</f>
        <v>1.8907454202357393E-4</v>
      </c>
      <c r="N697" s="5">
        <f t="shared" si="20"/>
        <v>47.949999999999861</v>
      </c>
    </row>
    <row r="698" spans="1:14" x14ac:dyDescent="0.3">
      <c r="A698" s="5">
        <v>3.4299999999999899</v>
      </c>
      <c r="B698" s="5">
        <f t="shared" si="19"/>
        <v>48.019999999999861</v>
      </c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>
        <f>0.000001*('Design Worksheet_BAT'!B$88)*(B698-B697)/E$232+M697</f>
        <v>1.8927574975304253E-4</v>
      </c>
      <c r="N698" s="5">
        <f t="shared" si="20"/>
        <v>48.019999999999861</v>
      </c>
    </row>
    <row r="699" spans="1:14" x14ac:dyDescent="0.3">
      <c r="A699" s="5">
        <v>3.4349999999999898</v>
      </c>
      <c r="B699" s="5">
        <f t="shared" si="19"/>
        <v>48.089999999999861</v>
      </c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>
        <f>0.000001*('Design Worksheet_BAT'!B$88)*(B699-B698)/E$232+M698</f>
        <v>1.8947695748251114E-4</v>
      </c>
      <c r="N699" s="5">
        <f t="shared" si="20"/>
        <v>48.089999999999861</v>
      </c>
    </row>
    <row r="700" spans="1:14" x14ac:dyDescent="0.3">
      <c r="A700" s="5">
        <v>3.4399999999999902</v>
      </c>
      <c r="B700" s="5">
        <f t="shared" si="19"/>
        <v>48.159999999999862</v>
      </c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>
        <f>0.000001*('Design Worksheet_BAT'!B$88)*(B700-B699)/E$232+M699</f>
        <v>1.8967816521197974E-4</v>
      </c>
      <c r="N700" s="5">
        <f t="shared" si="20"/>
        <v>48.159999999999862</v>
      </c>
    </row>
    <row r="701" spans="1:14" x14ac:dyDescent="0.3">
      <c r="A701" s="5">
        <v>3.4449999999999901</v>
      </c>
      <c r="B701" s="5">
        <f t="shared" si="19"/>
        <v>48.229999999999862</v>
      </c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>
        <f>0.000001*('Design Worksheet_BAT'!B$88)*(B701-B700)/E$232+M700</f>
        <v>1.8987937294144834E-4</v>
      </c>
      <c r="N701" s="5">
        <f t="shared" si="20"/>
        <v>48.229999999999862</v>
      </c>
    </row>
    <row r="702" spans="1:14" x14ac:dyDescent="0.3">
      <c r="A702" s="5">
        <v>3.44999999999999</v>
      </c>
      <c r="B702" s="5">
        <f t="shared" si="19"/>
        <v>48.299999999999862</v>
      </c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>
        <f>0.000001*('Design Worksheet_BAT'!B$88)*(B702-B701)/E$232+M701</f>
        <v>1.9008058067091694E-4</v>
      </c>
      <c r="N702" s="5">
        <f t="shared" si="20"/>
        <v>48.299999999999862</v>
      </c>
    </row>
    <row r="703" spans="1:14" x14ac:dyDescent="0.3">
      <c r="A703" s="5">
        <v>3.4549999999999899</v>
      </c>
      <c r="B703" s="5">
        <f t="shared" si="19"/>
        <v>48.369999999999855</v>
      </c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>
        <f>0.000001*('Design Worksheet_BAT'!B$88)*(B703-B702)/E$232+M702</f>
        <v>1.9028178840038552E-4</v>
      </c>
      <c r="N703" s="5">
        <f t="shared" si="20"/>
        <v>48.369999999999855</v>
      </c>
    </row>
    <row r="704" spans="1:14" x14ac:dyDescent="0.3">
      <c r="A704" s="5">
        <v>3.4599999999999902</v>
      </c>
      <c r="B704" s="5">
        <f t="shared" si="19"/>
        <v>48.439999999999863</v>
      </c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>
        <f>0.000001*('Design Worksheet_BAT'!B$88)*(B704-B703)/E$232+M703</f>
        <v>1.9048299612985415E-4</v>
      </c>
      <c r="N704" s="5">
        <f t="shared" si="20"/>
        <v>48.439999999999863</v>
      </c>
    </row>
    <row r="705" spans="1:14" x14ac:dyDescent="0.3">
      <c r="A705" s="5">
        <v>3.4649999999999901</v>
      </c>
      <c r="B705" s="5">
        <f t="shared" si="19"/>
        <v>48.509999999999863</v>
      </c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>
        <f>0.000001*('Design Worksheet_BAT'!B$88)*(B705-B704)/E$232+M704</f>
        <v>1.9068420385932275E-4</v>
      </c>
      <c r="N705" s="5">
        <f t="shared" si="20"/>
        <v>48.509999999999863</v>
      </c>
    </row>
    <row r="706" spans="1:14" x14ac:dyDescent="0.3">
      <c r="A706" s="5">
        <v>3.46999999999999</v>
      </c>
      <c r="B706" s="5">
        <f t="shared" si="19"/>
        <v>48.579999999999856</v>
      </c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>
        <f>0.000001*('Design Worksheet_BAT'!B$88)*(B706-B705)/E$232+M705</f>
        <v>1.9088541158879133E-4</v>
      </c>
      <c r="N706" s="5">
        <f t="shared" si="20"/>
        <v>48.579999999999856</v>
      </c>
    </row>
    <row r="707" spans="1:14" x14ac:dyDescent="0.3">
      <c r="A707" s="5">
        <v>3.4749999999999899</v>
      </c>
      <c r="B707" s="5">
        <f t="shared" si="19"/>
        <v>48.649999999999856</v>
      </c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>
        <f>0.000001*('Design Worksheet_BAT'!B$88)*(B707-B706)/E$232+M706</f>
        <v>1.9108661931825993E-4</v>
      </c>
      <c r="N707" s="5">
        <f t="shared" si="20"/>
        <v>48.649999999999856</v>
      </c>
    </row>
    <row r="708" spans="1:14" x14ac:dyDescent="0.3">
      <c r="A708" s="5">
        <v>3.4799999999999902</v>
      </c>
      <c r="B708" s="5">
        <f t="shared" si="19"/>
        <v>48.719999999999864</v>
      </c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>
        <f>0.000001*('Design Worksheet_BAT'!B$88)*(B708-B707)/E$232+M707</f>
        <v>1.9128782704772856E-4</v>
      </c>
      <c r="N708" s="5">
        <f t="shared" si="20"/>
        <v>48.719999999999864</v>
      </c>
    </row>
    <row r="709" spans="1:14" x14ac:dyDescent="0.3">
      <c r="A709" s="5">
        <v>3.4849999999999901</v>
      </c>
      <c r="B709" s="5">
        <f t="shared" si="19"/>
        <v>48.789999999999864</v>
      </c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>
        <f>0.000001*('Design Worksheet_BAT'!B$88)*(B709-B708)/E$232+M708</f>
        <v>1.9148903477719716E-4</v>
      </c>
      <c r="N709" s="5">
        <f t="shared" si="20"/>
        <v>48.789999999999864</v>
      </c>
    </row>
    <row r="710" spans="1:14" x14ac:dyDescent="0.3">
      <c r="A710" s="5">
        <v>3.48999999999999</v>
      </c>
      <c r="B710" s="5">
        <f t="shared" si="19"/>
        <v>48.859999999999857</v>
      </c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>
        <f>0.000001*('Design Worksheet_BAT'!B$88)*(B710-B709)/E$232+M709</f>
        <v>1.9169024250666574E-4</v>
      </c>
      <c r="N710" s="5">
        <f t="shared" si="20"/>
        <v>48.859999999999857</v>
      </c>
    </row>
    <row r="711" spans="1:14" x14ac:dyDescent="0.3">
      <c r="A711" s="5">
        <v>3.4949999999999899</v>
      </c>
      <c r="B711" s="5">
        <f t="shared" si="19"/>
        <v>48.929999999999858</v>
      </c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>
        <f>0.000001*('Design Worksheet_BAT'!B$88)*(B711-B710)/E$232+M710</f>
        <v>1.9189145023613434E-4</v>
      </c>
      <c r="N711" s="5">
        <f t="shared" si="20"/>
        <v>48.929999999999858</v>
      </c>
    </row>
    <row r="712" spans="1:14" x14ac:dyDescent="0.3">
      <c r="A712" s="5">
        <v>3.4999999999999898</v>
      </c>
      <c r="B712" s="5">
        <f t="shared" si="19"/>
        <v>48.999999999999858</v>
      </c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>
        <f>0.000001*('Design Worksheet_BAT'!B$88)*(B712-B711)/E$232+M711</f>
        <v>1.9209265796560294E-4</v>
      </c>
      <c r="N712" s="5">
        <f t="shared" si="20"/>
        <v>48.999999999999858</v>
      </c>
    </row>
    <row r="713" spans="1:14" x14ac:dyDescent="0.3">
      <c r="A713" s="5">
        <v>3.5049999999999901</v>
      </c>
      <c r="B713" s="5">
        <f t="shared" si="19"/>
        <v>49.069999999999865</v>
      </c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>
        <f>0.000001*('Design Worksheet_BAT'!B$88)*(B713-B712)/E$232+M712</f>
        <v>1.9229386569507157E-4</v>
      </c>
      <c r="N713" s="5">
        <f t="shared" si="20"/>
        <v>49.069999999999865</v>
      </c>
    </row>
    <row r="714" spans="1:14" x14ac:dyDescent="0.3">
      <c r="A714" s="5">
        <v>3.50999999999999</v>
      </c>
      <c r="B714" s="5">
        <f t="shared" si="19"/>
        <v>49.139999999999858</v>
      </c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>
        <f>0.000001*('Design Worksheet_BAT'!B$88)*(B714-B713)/E$232+M713</f>
        <v>1.9249507342454015E-4</v>
      </c>
      <c r="N714" s="5">
        <f t="shared" si="20"/>
        <v>49.139999999999858</v>
      </c>
    </row>
    <row r="715" spans="1:14" x14ac:dyDescent="0.3">
      <c r="A715" s="5">
        <v>3.5149999999999899</v>
      </c>
      <c r="B715" s="5">
        <f t="shared" si="19"/>
        <v>49.209999999999859</v>
      </c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>
        <f>0.000001*('Design Worksheet_BAT'!B$88)*(B715-B714)/E$232+M714</f>
        <v>1.9269628115400875E-4</v>
      </c>
      <c r="N715" s="5">
        <f t="shared" si="20"/>
        <v>49.209999999999859</v>
      </c>
    </row>
    <row r="716" spans="1:14" x14ac:dyDescent="0.3">
      <c r="A716" s="5">
        <v>3.5199999999999898</v>
      </c>
      <c r="B716" s="5">
        <f t="shared" si="19"/>
        <v>49.279999999999859</v>
      </c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>
        <f>0.000001*('Design Worksheet_BAT'!B$88)*(B716-B715)/E$232+M715</f>
        <v>1.9289748888347735E-4</v>
      </c>
      <c r="N716" s="5">
        <f t="shared" si="20"/>
        <v>49.279999999999859</v>
      </c>
    </row>
    <row r="717" spans="1:14" x14ac:dyDescent="0.3">
      <c r="A717" s="5">
        <v>3.5249999999999901</v>
      </c>
      <c r="B717" s="5">
        <f t="shared" si="19"/>
        <v>49.349999999999859</v>
      </c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>
        <f>0.000001*('Design Worksheet_BAT'!B$88)*(B717-B716)/E$232+M716</f>
        <v>1.9309869661294596E-4</v>
      </c>
      <c r="N717" s="5">
        <f t="shared" si="20"/>
        <v>49.349999999999859</v>
      </c>
    </row>
    <row r="718" spans="1:14" x14ac:dyDescent="0.3">
      <c r="A718" s="5">
        <v>3.52999999999999</v>
      </c>
      <c r="B718" s="5">
        <f t="shared" si="19"/>
        <v>49.41999999999986</v>
      </c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>
        <f>0.000001*('Design Worksheet_BAT'!B$88)*(B718-B717)/E$232+M717</f>
        <v>1.9329990434241456E-4</v>
      </c>
      <c r="N718" s="5">
        <f t="shared" si="20"/>
        <v>49.41999999999986</v>
      </c>
    </row>
    <row r="719" spans="1:14" x14ac:dyDescent="0.3">
      <c r="A719" s="5">
        <v>3.5349999999999899</v>
      </c>
      <c r="B719" s="5">
        <f t="shared" si="19"/>
        <v>49.48999999999986</v>
      </c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>
        <f>0.000001*('Design Worksheet_BAT'!B$88)*(B719-B718)/E$232+M718</f>
        <v>1.9350111207188316E-4</v>
      </c>
      <c r="N719" s="5">
        <f t="shared" si="20"/>
        <v>49.48999999999986</v>
      </c>
    </row>
    <row r="720" spans="1:14" x14ac:dyDescent="0.3">
      <c r="A720" s="5">
        <v>3.5399999999999898</v>
      </c>
      <c r="B720" s="5">
        <f t="shared" si="19"/>
        <v>49.55999999999986</v>
      </c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>
        <f>0.000001*('Design Worksheet_BAT'!B$88)*(B720-B719)/E$232+M719</f>
        <v>1.9370231980135176E-4</v>
      </c>
      <c r="N720" s="5">
        <f t="shared" si="20"/>
        <v>49.55999999999986</v>
      </c>
    </row>
    <row r="721" spans="1:14" x14ac:dyDescent="0.3">
      <c r="A721" s="5">
        <v>3.5449999999999902</v>
      </c>
      <c r="B721" s="5">
        <f t="shared" si="19"/>
        <v>49.62999999999986</v>
      </c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>
        <f>0.000001*('Design Worksheet_BAT'!B$88)*(B721-B720)/E$232+M720</f>
        <v>1.9390352753082037E-4</v>
      </c>
      <c r="N721" s="5">
        <f t="shared" si="20"/>
        <v>49.62999999999986</v>
      </c>
    </row>
    <row r="722" spans="1:14" x14ac:dyDescent="0.3">
      <c r="A722" s="5">
        <v>3.5499999999999901</v>
      </c>
      <c r="B722" s="5">
        <f t="shared" si="19"/>
        <v>49.699999999999861</v>
      </c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>
        <f>0.000001*('Design Worksheet_BAT'!B$88)*(B722-B721)/E$232+M721</f>
        <v>1.9410473526028897E-4</v>
      </c>
      <c r="N722" s="5">
        <f t="shared" si="20"/>
        <v>49.699999999999861</v>
      </c>
    </row>
    <row r="723" spans="1:14" x14ac:dyDescent="0.3">
      <c r="A723" s="5">
        <v>3.5549999999999899</v>
      </c>
      <c r="B723" s="5">
        <f t="shared" si="19"/>
        <v>49.769999999999861</v>
      </c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>
        <f>0.000001*('Design Worksheet_BAT'!B$88)*(B723-B722)/E$232+M722</f>
        <v>1.9430594298975757E-4</v>
      </c>
      <c r="N723" s="5">
        <f t="shared" si="20"/>
        <v>49.769999999999861</v>
      </c>
    </row>
    <row r="724" spans="1:14" x14ac:dyDescent="0.3">
      <c r="A724" s="5">
        <v>3.5599999999999898</v>
      </c>
      <c r="B724" s="5">
        <f t="shared" si="19"/>
        <v>49.839999999999861</v>
      </c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>
        <f>0.000001*('Design Worksheet_BAT'!B$88)*(B724-B723)/E$232+M723</f>
        <v>1.9450715071922618E-4</v>
      </c>
      <c r="N724" s="5">
        <f t="shared" si="20"/>
        <v>49.839999999999861</v>
      </c>
    </row>
    <row r="725" spans="1:14" x14ac:dyDescent="0.3">
      <c r="A725" s="5">
        <v>3.5649999999999902</v>
      </c>
      <c r="B725" s="5">
        <f t="shared" si="19"/>
        <v>49.909999999999862</v>
      </c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>
        <f>0.000001*('Design Worksheet_BAT'!B$88)*(B725-B724)/E$232+M724</f>
        <v>1.9470835844869478E-4</v>
      </c>
      <c r="N725" s="5">
        <f t="shared" si="20"/>
        <v>49.909999999999862</v>
      </c>
    </row>
    <row r="726" spans="1:14" x14ac:dyDescent="0.3">
      <c r="A726" s="5">
        <v>3.5699999999999901</v>
      </c>
      <c r="B726" s="5">
        <f t="shared" si="19"/>
        <v>49.979999999999862</v>
      </c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>
        <f>0.000001*('Design Worksheet_BAT'!B$88)*(B726-B725)/E$232+M725</f>
        <v>1.9490956617816338E-4</v>
      </c>
      <c r="N726" s="5">
        <f t="shared" si="20"/>
        <v>49.979999999999862</v>
      </c>
    </row>
    <row r="727" spans="1:14" x14ac:dyDescent="0.3">
      <c r="A727" s="5">
        <v>3.57499999999999</v>
      </c>
      <c r="B727" s="5">
        <f t="shared" si="19"/>
        <v>50.049999999999862</v>
      </c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>
        <f>0.000001*('Design Worksheet_BAT'!B$88)*(B727-B726)/E$232+M726</f>
        <v>1.9511077390763198E-4</v>
      </c>
      <c r="N727" s="5">
        <f t="shared" si="20"/>
        <v>50.049999999999862</v>
      </c>
    </row>
    <row r="728" spans="1:14" x14ac:dyDescent="0.3">
      <c r="A728" s="5">
        <v>3.5799999999999899</v>
      </c>
      <c r="B728" s="5">
        <f t="shared" si="19"/>
        <v>50.119999999999855</v>
      </c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>
        <f>0.000001*('Design Worksheet_BAT'!B$88)*(B728-B727)/E$232+M727</f>
        <v>1.9531198163710056E-4</v>
      </c>
      <c r="N728" s="5">
        <f t="shared" si="20"/>
        <v>50.119999999999855</v>
      </c>
    </row>
    <row r="729" spans="1:14" x14ac:dyDescent="0.3">
      <c r="A729" s="5">
        <v>3.5849999999999902</v>
      </c>
      <c r="B729" s="5">
        <f t="shared" si="19"/>
        <v>50.189999999999863</v>
      </c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>
        <f>0.000001*('Design Worksheet_BAT'!B$88)*(B729-B728)/E$232+M728</f>
        <v>1.9551318936656919E-4</v>
      </c>
      <c r="N729" s="5">
        <f t="shared" si="20"/>
        <v>50.189999999999863</v>
      </c>
    </row>
    <row r="730" spans="1:14" x14ac:dyDescent="0.3">
      <c r="A730" s="5">
        <v>3.5899999999999901</v>
      </c>
      <c r="B730" s="5">
        <f t="shared" si="19"/>
        <v>50.259999999999863</v>
      </c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>
        <f>0.000001*('Design Worksheet_BAT'!B$88)*(B730-B729)/E$232+M729</f>
        <v>1.9571439709603779E-4</v>
      </c>
      <c r="N730" s="5">
        <f t="shared" si="20"/>
        <v>50.259999999999863</v>
      </c>
    </row>
    <row r="731" spans="1:14" x14ac:dyDescent="0.3">
      <c r="A731" s="5">
        <v>3.59499999999999</v>
      </c>
      <c r="B731" s="5">
        <f t="shared" si="19"/>
        <v>50.329999999999856</v>
      </c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>
        <f>0.000001*('Design Worksheet_BAT'!B$88)*(B731-B730)/E$232+M730</f>
        <v>1.9591560482550637E-4</v>
      </c>
      <c r="N731" s="5">
        <f t="shared" si="20"/>
        <v>50.329999999999856</v>
      </c>
    </row>
    <row r="732" spans="1:14" x14ac:dyDescent="0.3">
      <c r="A732" s="5">
        <v>3.5999999999999899</v>
      </c>
      <c r="B732" s="5">
        <f t="shared" si="19"/>
        <v>50.399999999999856</v>
      </c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>
        <f>0.000001*('Design Worksheet_BAT'!B$88)*(B732-B731)/E$232+M731</f>
        <v>1.9611681255497497E-4</v>
      </c>
      <c r="N732" s="5">
        <f t="shared" si="20"/>
        <v>50.399999999999856</v>
      </c>
    </row>
    <row r="733" spans="1:14" x14ac:dyDescent="0.3">
      <c r="A733" s="5">
        <v>3.6049999999999902</v>
      </c>
      <c r="B733" s="5">
        <f t="shared" si="19"/>
        <v>50.469999999999864</v>
      </c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>
        <f>0.000001*('Design Worksheet_BAT'!B$88)*(B733-B732)/E$232+M732</f>
        <v>1.963180202844436E-4</v>
      </c>
      <c r="N733" s="5">
        <f t="shared" si="20"/>
        <v>50.469999999999864</v>
      </c>
    </row>
    <row r="734" spans="1:14" x14ac:dyDescent="0.3">
      <c r="A734" s="5">
        <v>3.6099999999999901</v>
      </c>
      <c r="B734" s="5">
        <f t="shared" si="19"/>
        <v>50.539999999999864</v>
      </c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>
        <f>0.000001*('Design Worksheet_BAT'!B$88)*(B734-B733)/E$232+M733</f>
        <v>1.965192280139122E-4</v>
      </c>
      <c r="N734" s="5">
        <f t="shared" si="20"/>
        <v>50.539999999999864</v>
      </c>
    </row>
    <row r="735" spans="1:14" x14ac:dyDescent="0.3">
      <c r="A735" s="5">
        <v>3.61499999999999</v>
      </c>
      <c r="B735" s="5">
        <f t="shared" si="19"/>
        <v>50.609999999999857</v>
      </c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>
        <f>0.000001*('Design Worksheet_BAT'!B$88)*(B735-B734)/E$232+M734</f>
        <v>1.9672043574338078E-4</v>
      </c>
      <c r="N735" s="5">
        <f t="shared" si="20"/>
        <v>50.609999999999857</v>
      </c>
    </row>
    <row r="736" spans="1:14" x14ac:dyDescent="0.3">
      <c r="A736" s="5">
        <v>3.6199999999999899</v>
      </c>
      <c r="B736" s="5">
        <f t="shared" si="19"/>
        <v>50.679999999999858</v>
      </c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>
        <f>0.000001*('Design Worksheet_BAT'!B$88)*(B736-B735)/E$232+M735</f>
        <v>1.9692164347284938E-4</v>
      </c>
      <c r="N736" s="5">
        <f t="shared" si="20"/>
        <v>50.679999999999858</v>
      </c>
    </row>
    <row r="737" spans="1:14" x14ac:dyDescent="0.3">
      <c r="A737" s="5">
        <v>3.6249999999999898</v>
      </c>
      <c r="B737" s="5">
        <f t="shared" si="19"/>
        <v>50.749999999999858</v>
      </c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>
        <f>0.000001*('Design Worksheet_BAT'!B$88)*(B737-B736)/E$232+M736</f>
        <v>1.9712285120231798E-4</v>
      </c>
      <c r="N737" s="5">
        <f t="shared" si="20"/>
        <v>50.749999999999858</v>
      </c>
    </row>
    <row r="738" spans="1:14" x14ac:dyDescent="0.3">
      <c r="A738" s="5">
        <v>3.6299999999999901</v>
      </c>
      <c r="B738" s="5">
        <f t="shared" si="19"/>
        <v>50.819999999999865</v>
      </c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>
        <f>0.000001*('Design Worksheet_BAT'!B$88)*(B738-B737)/E$232+M737</f>
        <v>1.9732405893178661E-4</v>
      </c>
      <c r="N738" s="5">
        <f t="shared" si="20"/>
        <v>50.819999999999865</v>
      </c>
    </row>
    <row r="739" spans="1:14" x14ac:dyDescent="0.3">
      <c r="A739" s="5">
        <v>3.63499999999999</v>
      </c>
      <c r="B739" s="5">
        <f t="shared" si="19"/>
        <v>50.889999999999858</v>
      </c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>
        <f>0.000001*('Design Worksheet_BAT'!B$88)*(B739-B738)/E$232+M738</f>
        <v>1.9752526666125519E-4</v>
      </c>
      <c r="N739" s="5">
        <f t="shared" si="20"/>
        <v>50.889999999999858</v>
      </c>
    </row>
    <row r="740" spans="1:14" x14ac:dyDescent="0.3">
      <c r="A740" s="5">
        <v>3.6399999999999899</v>
      </c>
      <c r="B740" s="5">
        <f t="shared" si="19"/>
        <v>50.959999999999859</v>
      </c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>
        <f>0.000001*('Design Worksheet_BAT'!B$88)*(B740-B739)/E$232+M739</f>
        <v>1.9772647439072379E-4</v>
      </c>
      <c r="N740" s="5">
        <f t="shared" si="20"/>
        <v>50.959999999999859</v>
      </c>
    </row>
    <row r="741" spans="1:14" x14ac:dyDescent="0.3">
      <c r="A741" s="5">
        <v>3.6449999999999898</v>
      </c>
      <c r="B741" s="5">
        <f t="shared" si="19"/>
        <v>51.029999999999859</v>
      </c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>
        <f>0.000001*('Design Worksheet_BAT'!B$88)*(B741-B740)/E$232+M740</f>
        <v>1.9792768212019239E-4</v>
      </c>
      <c r="N741" s="5">
        <f t="shared" si="20"/>
        <v>51.029999999999859</v>
      </c>
    </row>
    <row r="742" spans="1:14" x14ac:dyDescent="0.3">
      <c r="A742" s="5">
        <v>3.6499999999999901</v>
      </c>
      <c r="B742" s="5">
        <f t="shared" si="19"/>
        <v>51.099999999999859</v>
      </c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>
        <f>0.000001*('Design Worksheet_BAT'!B$88)*(B742-B741)/E$232+M741</f>
        <v>1.98128889849661E-4</v>
      </c>
      <c r="N742" s="5">
        <f t="shared" si="20"/>
        <v>51.099999999999859</v>
      </c>
    </row>
    <row r="743" spans="1:14" x14ac:dyDescent="0.3">
      <c r="A743" s="5">
        <v>3.65499999999999</v>
      </c>
      <c r="B743" s="5">
        <f t="shared" si="19"/>
        <v>51.16999999999986</v>
      </c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>
        <f>0.000001*('Design Worksheet_BAT'!B$88)*(B743-B742)/E$232+M742</f>
        <v>1.983300975791296E-4</v>
      </c>
      <c r="N743" s="5">
        <f t="shared" si="20"/>
        <v>51.16999999999986</v>
      </c>
    </row>
    <row r="744" spans="1:14" x14ac:dyDescent="0.3">
      <c r="A744" s="5">
        <v>3.6599999999999899</v>
      </c>
      <c r="B744" s="5">
        <f t="shared" si="19"/>
        <v>51.23999999999986</v>
      </c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>
        <f>0.000001*('Design Worksheet_BAT'!B$88)*(B744-B743)/E$232+M743</f>
        <v>1.985313053085982E-4</v>
      </c>
      <c r="N744" s="5">
        <f t="shared" si="20"/>
        <v>51.23999999999986</v>
      </c>
    </row>
    <row r="745" spans="1:14" x14ac:dyDescent="0.3">
      <c r="A745" s="5">
        <v>3.6649999999999898</v>
      </c>
      <c r="B745" s="5">
        <f t="shared" ref="B745:B808" si="21">A745*VOFLB</f>
        <v>51.30999999999986</v>
      </c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>
        <f>0.000001*('Design Worksheet_BAT'!B$88)*(B745-B744)/E$232+M744</f>
        <v>1.987325130380668E-4</v>
      </c>
      <c r="N745" s="5">
        <f t="shared" si="20"/>
        <v>51.30999999999986</v>
      </c>
    </row>
    <row r="746" spans="1:14" x14ac:dyDescent="0.3">
      <c r="A746" s="5">
        <v>3.6699999999999902</v>
      </c>
      <c r="B746" s="5">
        <f t="shared" si="21"/>
        <v>51.37999999999986</v>
      </c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>
        <f>0.000001*('Design Worksheet_BAT'!B$88)*(B746-B745)/E$232+M745</f>
        <v>1.9893372076753541E-4</v>
      </c>
      <c r="N746" s="5">
        <f t="shared" si="20"/>
        <v>51.37999999999986</v>
      </c>
    </row>
    <row r="747" spans="1:14" x14ac:dyDescent="0.3">
      <c r="A747" s="5">
        <v>3.6749999999999901</v>
      </c>
      <c r="B747" s="5">
        <f t="shared" si="21"/>
        <v>51.449999999999861</v>
      </c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>
        <f>0.000001*('Design Worksheet_BAT'!B$88)*(B747-B746)/E$232+M746</f>
        <v>1.9913492849700401E-4</v>
      </c>
      <c r="N747" s="5">
        <f t="shared" si="20"/>
        <v>51.449999999999861</v>
      </c>
    </row>
    <row r="748" spans="1:14" x14ac:dyDescent="0.3">
      <c r="A748" s="5">
        <v>3.6799999999999899</v>
      </c>
      <c r="B748" s="5">
        <f t="shared" si="21"/>
        <v>51.519999999999861</v>
      </c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>
        <f>0.000001*('Design Worksheet_BAT'!B$88)*(B748-B747)/E$232+M747</f>
        <v>1.9933613622647261E-4</v>
      </c>
      <c r="N748" s="5">
        <f t="shared" ref="N748:N811" si="22">B748</f>
        <v>51.519999999999861</v>
      </c>
    </row>
    <row r="749" spans="1:14" x14ac:dyDescent="0.3">
      <c r="A749" s="5">
        <v>3.6849999999999898</v>
      </c>
      <c r="B749" s="5">
        <f t="shared" si="21"/>
        <v>51.589999999999861</v>
      </c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>
        <f>0.000001*('Design Worksheet_BAT'!B$88)*(B749-B748)/E$232+M748</f>
        <v>1.9953734395594121E-4</v>
      </c>
      <c r="N749" s="5">
        <f t="shared" si="22"/>
        <v>51.589999999999861</v>
      </c>
    </row>
    <row r="750" spans="1:14" x14ac:dyDescent="0.3">
      <c r="A750" s="5">
        <v>3.6899999999999902</v>
      </c>
      <c r="B750" s="5">
        <f t="shared" si="21"/>
        <v>51.659999999999862</v>
      </c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>
        <f>0.000001*('Design Worksheet_BAT'!B$88)*(B750-B749)/E$232+M749</f>
        <v>1.9973855168540982E-4</v>
      </c>
      <c r="N750" s="5">
        <f t="shared" si="22"/>
        <v>51.659999999999862</v>
      </c>
    </row>
    <row r="751" spans="1:14" x14ac:dyDescent="0.3">
      <c r="A751" s="5">
        <v>3.6949999999999901</v>
      </c>
      <c r="B751" s="5">
        <f t="shared" si="21"/>
        <v>51.729999999999862</v>
      </c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>
        <f>0.000001*('Design Worksheet_BAT'!B$88)*(B751-B750)/E$232+M750</f>
        <v>1.9993975941487842E-4</v>
      </c>
      <c r="N751" s="5">
        <f t="shared" si="22"/>
        <v>51.729999999999862</v>
      </c>
    </row>
    <row r="752" spans="1:14" x14ac:dyDescent="0.3">
      <c r="A752" s="5">
        <v>3.69999999999999</v>
      </c>
      <c r="B752" s="5">
        <f t="shared" si="21"/>
        <v>51.799999999999862</v>
      </c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>
        <f>0.000001*('Design Worksheet_BAT'!B$88)*(B752-B751)/E$232+M751</f>
        <v>2.0014096714434702E-4</v>
      </c>
      <c r="N752" s="5">
        <f t="shared" si="22"/>
        <v>51.799999999999862</v>
      </c>
    </row>
    <row r="753" spans="1:14" x14ac:dyDescent="0.3">
      <c r="A753" s="5">
        <v>3.7049999999999801</v>
      </c>
      <c r="B753" s="5">
        <f t="shared" si="21"/>
        <v>51.86999999999972</v>
      </c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>
        <f>0.000001*('Design Worksheet_BAT'!B$88)*(B753-B752)/E$232+M752</f>
        <v>2.0034217487381522E-4</v>
      </c>
      <c r="N753" s="5">
        <f t="shared" si="22"/>
        <v>51.86999999999972</v>
      </c>
    </row>
    <row r="754" spans="1:14" x14ac:dyDescent="0.3">
      <c r="A754" s="5">
        <v>3.70999999999998</v>
      </c>
      <c r="B754" s="5">
        <f t="shared" si="21"/>
        <v>51.939999999999721</v>
      </c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>
        <f>0.000001*('Design Worksheet_BAT'!B$88)*(B754-B753)/E$232+M753</f>
        <v>2.0054338260328382E-4</v>
      </c>
      <c r="N754" s="5">
        <f t="shared" si="22"/>
        <v>51.939999999999721</v>
      </c>
    </row>
    <row r="755" spans="1:14" x14ac:dyDescent="0.3">
      <c r="A755" s="5">
        <v>3.7149999999999799</v>
      </c>
      <c r="B755" s="5">
        <f t="shared" si="21"/>
        <v>52.009999999999721</v>
      </c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>
        <f>0.000001*('Design Worksheet_BAT'!B$88)*(B755-B754)/E$232+M754</f>
        <v>2.0074459033275242E-4</v>
      </c>
      <c r="N755" s="5">
        <f t="shared" si="22"/>
        <v>52.009999999999721</v>
      </c>
    </row>
    <row r="756" spans="1:14" x14ac:dyDescent="0.3">
      <c r="A756" s="5">
        <v>3.7199999999999802</v>
      </c>
      <c r="B756" s="5">
        <f t="shared" si="21"/>
        <v>52.079999999999721</v>
      </c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>
        <f>0.000001*('Design Worksheet_BAT'!B$88)*(B756-B755)/E$232+M755</f>
        <v>2.0094579806222103E-4</v>
      </c>
      <c r="N756" s="5">
        <f t="shared" si="22"/>
        <v>52.079999999999721</v>
      </c>
    </row>
    <row r="757" spans="1:14" x14ac:dyDescent="0.3">
      <c r="A757" s="5">
        <v>3.7249999999999801</v>
      </c>
      <c r="B757" s="5">
        <f t="shared" si="21"/>
        <v>52.149999999999721</v>
      </c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>
        <f>0.000001*('Design Worksheet_BAT'!B$88)*(B757-B756)/E$232+M756</f>
        <v>2.0114700579168963E-4</v>
      </c>
      <c r="N757" s="5">
        <f t="shared" si="22"/>
        <v>52.149999999999721</v>
      </c>
    </row>
    <row r="758" spans="1:14" x14ac:dyDescent="0.3">
      <c r="A758" s="5">
        <v>3.72999999999998</v>
      </c>
      <c r="B758" s="5">
        <f t="shared" si="21"/>
        <v>52.219999999999722</v>
      </c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>
        <f>0.000001*('Design Worksheet_BAT'!B$88)*(B758-B757)/E$232+M757</f>
        <v>2.0134821352115823E-4</v>
      </c>
      <c r="N758" s="5">
        <f t="shared" si="22"/>
        <v>52.219999999999722</v>
      </c>
    </row>
    <row r="759" spans="1:14" x14ac:dyDescent="0.3">
      <c r="A759" s="5">
        <v>3.7349999999999799</v>
      </c>
      <c r="B759" s="5">
        <f t="shared" si="21"/>
        <v>52.289999999999722</v>
      </c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>
        <f>0.000001*('Design Worksheet_BAT'!B$88)*(B759-B758)/E$232+M758</f>
        <v>2.0154942125062683E-4</v>
      </c>
      <c r="N759" s="5">
        <f t="shared" si="22"/>
        <v>52.289999999999722</v>
      </c>
    </row>
    <row r="760" spans="1:14" x14ac:dyDescent="0.3">
      <c r="A760" s="5">
        <v>3.7399999999999798</v>
      </c>
      <c r="B760" s="5">
        <f t="shared" si="21"/>
        <v>52.359999999999715</v>
      </c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>
        <f>0.000001*('Design Worksheet_BAT'!B$88)*(B760-B759)/E$232+M759</f>
        <v>2.0175062898009541E-4</v>
      </c>
      <c r="N760" s="5">
        <f t="shared" si="22"/>
        <v>52.359999999999715</v>
      </c>
    </row>
    <row r="761" spans="1:14" x14ac:dyDescent="0.3">
      <c r="A761" s="5">
        <v>3.7449999999999801</v>
      </c>
      <c r="B761" s="5">
        <f t="shared" si="21"/>
        <v>52.429999999999723</v>
      </c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>
        <f>0.000001*('Design Worksheet_BAT'!B$88)*(B761-B760)/E$232+M760</f>
        <v>2.0195183670956404E-4</v>
      </c>
      <c r="N761" s="5">
        <f t="shared" si="22"/>
        <v>52.429999999999723</v>
      </c>
    </row>
    <row r="762" spans="1:14" x14ac:dyDescent="0.3">
      <c r="A762" s="5">
        <v>3.74999999999998</v>
      </c>
      <c r="B762" s="5">
        <f t="shared" si="21"/>
        <v>52.499999999999723</v>
      </c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>
        <f>0.000001*('Design Worksheet_BAT'!B$88)*(B762-B761)/E$232+M761</f>
        <v>2.0215304443903264E-4</v>
      </c>
      <c r="N762" s="5">
        <f t="shared" si="22"/>
        <v>52.499999999999723</v>
      </c>
    </row>
    <row r="763" spans="1:14" x14ac:dyDescent="0.3">
      <c r="A763" s="5">
        <v>3.7549999999999799</v>
      </c>
      <c r="B763" s="5">
        <f t="shared" si="21"/>
        <v>52.569999999999716</v>
      </c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>
        <f>0.000001*('Design Worksheet_BAT'!B$88)*(B763-B762)/E$232+M762</f>
        <v>2.0235425216850122E-4</v>
      </c>
      <c r="N763" s="5">
        <f t="shared" si="22"/>
        <v>52.569999999999716</v>
      </c>
    </row>
    <row r="764" spans="1:14" x14ac:dyDescent="0.3">
      <c r="A764" s="5">
        <v>3.7599999999999798</v>
      </c>
      <c r="B764" s="5">
        <f t="shared" si="21"/>
        <v>52.639999999999716</v>
      </c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>
        <f>0.000001*('Design Worksheet_BAT'!B$88)*(B764-B763)/E$232+M763</f>
        <v>2.0255545989796982E-4</v>
      </c>
      <c r="N764" s="5">
        <f t="shared" si="22"/>
        <v>52.639999999999716</v>
      </c>
    </row>
    <row r="765" spans="1:14" x14ac:dyDescent="0.3">
      <c r="A765" s="5">
        <v>3.7649999999999801</v>
      </c>
      <c r="B765" s="5">
        <f t="shared" si="21"/>
        <v>52.709999999999724</v>
      </c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>
        <f>0.000001*('Design Worksheet_BAT'!B$88)*(B765-B764)/E$232+M764</f>
        <v>2.0275666762743845E-4</v>
      </c>
      <c r="N765" s="5">
        <f t="shared" si="22"/>
        <v>52.709999999999724</v>
      </c>
    </row>
    <row r="766" spans="1:14" x14ac:dyDescent="0.3">
      <c r="A766" s="5">
        <v>3.76999999999998</v>
      </c>
      <c r="B766" s="5">
        <f t="shared" si="21"/>
        <v>52.779999999999717</v>
      </c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>
        <f>0.000001*('Design Worksheet_BAT'!B$88)*(B766-B765)/E$232+M765</f>
        <v>2.0295787535690702E-4</v>
      </c>
      <c r="N766" s="5">
        <f t="shared" si="22"/>
        <v>52.779999999999717</v>
      </c>
    </row>
    <row r="767" spans="1:14" x14ac:dyDescent="0.3">
      <c r="A767" s="5">
        <v>3.7749999999999799</v>
      </c>
      <c r="B767" s="5">
        <f t="shared" si="21"/>
        <v>52.849999999999717</v>
      </c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>
        <f>0.000001*('Design Worksheet_BAT'!B$88)*(B767-B766)/E$232+M766</f>
        <v>2.0315908308637563E-4</v>
      </c>
      <c r="N767" s="5">
        <f t="shared" si="22"/>
        <v>52.849999999999717</v>
      </c>
    </row>
    <row r="768" spans="1:14" x14ac:dyDescent="0.3">
      <c r="A768" s="5">
        <v>3.7799999999999798</v>
      </c>
      <c r="B768" s="5">
        <f t="shared" si="21"/>
        <v>52.919999999999717</v>
      </c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>
        <f>0.000001*('Design Worksheet_BAT'!B$88)*(B768-B767)/E$232+M767</f>
        <v>2.0336029081584423E-4</v>
      </c>
      <c r="N768" s="5">
        <f t="shared" si="22"/>
        <v>52.919999999999717</v>
      </c>
    </row>
    <row r="769" spans="1:14" x14ac:dyDescent="0.3">
      <c r="A769" s="5">
        <v>3.7849999999999802</v>
      </c>
      <c r="B769" s="5">
        <f t="shared" si="21"/>
        <v>52.989999999999725</v>
      </c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>
        <f>0.000001*('Design Worksheet_BAT'!B$88)*(B769-B768)/E$232+M768</f>
        <v>2.0356149854531286E-4</v>
      </c>
      <c r="N769" s="5">
        <f t="shared" si="22"/>
        <v>52.989999999999725</v>
      </c>
    </row>
    <row r="770" spans="1:14" x14ac:dyDescent="0.3">
      <c r="A770" s="5">
        <v>3.7899999999999801</v>
      </c>
      <c r="B770" s="5">
        <f t="shared" si="21"/>
        <v>53.059999999999718</v>
      </c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>
        <f>0.000001*('Design Worksheet_BAT'!B$88)*(B770-B769)/E$232+M769</f>
        <v>2.0376270627478143E-4</v>
      </c>
      <c r="N770" s="5">
        <f t="shared" si="22"/>
        <v>53.059999999999718</v>
      </c>
    </row>
    <row r="771" spans="1:14" x14ac:dyDescent="0.3">
      <c r="A771" s="5">
        <v>3.7949999999999799</v>
      </c>
      <c r="B771" s="5">
        <f t="shared" si="21"/>
        <v>53.129999999999718</v>
      </c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>
        <f>0.000001*('Design Worksheet_BAT'!B$88)*(B771-B770)/E$232+M770</f>
        <v>2.0396391400425004E-4</v>
      </c>
      <c r="N771" s="5">
        <f t="shared" si="22"/>
        <v>53.129999999999718</v>
      </c>
    </row>
    <row r="772" spans="1:14" x14ac:dyDescent="0.3">
      <c r="A772" s="5">
        <v>3.7999999999999798</v>
      </c>
      <c r="B772" s="5">
        <f t="shared" si="21"/>
        <v>53.199999999999719</v>
      </c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>
        <f>0.000001*('Design Worksheet_BAT'!B$88)*(B772-B771)/E$232+M771</f>
        <v>2.0416512173371864E-4</v>
      </c>
      <c r="N772" s="5">
        <f t="shared" si="22"/>
        <v>53.199999999999719</v>
      </c>
    </row>
    <row r="773" spans="1:14" x14ac:dyDescent="0.3">
      <c r="A773" s="5">
        <v>3.8049999999999802</v>
      </c>
      <c r="B773" s="5">
        <f t="shared" si="21"/>
        <v>53.269999999999726</v>
      </c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>
        <f>0.000001*('Design Worksheet_BAT'!B$88)*(B773-B772)/E$232+M772</f>
        <v>2.0436632946318727E-4</v>
      </c>
      <c r="N773" s="5">
        <f t="shared" si="22"/>
        <v>53.269999999999726</v>
      </c>
    </row>
    <row r="774" spans="1:14" x14ac:dyDescent="0.3">
      <c r="A774" s="5">
        <v>3.8099999999999801</v>
      </c>
      <c r="B774" s="5">
        <f t="shared" si="21"/>
        <v>53.339999999999719</v>
      </c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>
        <f>0.000001*('Design Worksheet_BAT'!B$88)*(B774-B773)/E$232+M773</f>
        <v>2.0456753719265585E-4</v>
      </c>
      <c r="N774" s="5">
        <f t="shared" si="22"/>
        <v>53.339999999999719</v>
      </c>
    </row>
    <row r="775" spans="1:14" x14ac:dyDescent="0.3">
      <c r="A775" s="5">
        <v>3.81499999999998</v>
      </c>
      <c r="B775" s="5">
        <f t="shared" si="21"/>
        <v>53.409999999999719</v>
      </c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>
        <f>0.000001*('Design Worksheet_BAT'!B$88)*(B775-B774)/E$232+M774</f>
        <v>2.0476874492212445E-4</v>
      </c>
      <c r="N775" s="5">
        <f t="shared" si="22"/>
        <v>53.409999999999719</v>
      </c>
    </row>
    <row r="776" spans="1:14" x14ac:dyDescent="0.3">
      <c r="A776" s="5">
        <v>3.8199999999999799</v>
      </c>
      <c r="B776" s="5">
        <f t="shared" si="21"/>
        <v>53.47999999999972</v>
      </c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>
        <f>0.000001*('Design Worksheet_BAT'!B$88)*(B776-B775)/E$232+M775</f>
        <v>2.0496995265159305E-4</v>
      </c>
      <c r="N776" s="5">
        <f t="shared" si="22"/>
        <v>53.47999999999972</v>
      </c>
    </row>
    <row r="777" spans="1:14" x14ac:dyDescent="0.3">
      <c r="A777" s="5">
        <v>3.8249999999999802</v>
      </c>
      <c r="B777" s="5">
        <f t="shared" si="21"/>
        <v>53.54999999999972</v>
      </c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>
        <f>0.000001*('Design Worksheet_BAT'!B$88)*(B777-B776)/E$232+M776</f>
        <v>2.0517116038106165E-4</v>
      </c>
      <c r="N777" s="5">
        <f t="shared" si="22"/>
        <v>53.54999999999972</v>
      </c>
    </row>
    <row r="778" spans="1:14" x14ac:dyDescent="0.3">
      <c r="A778" s="5">
        <v>3.8299999999999801</v>
      </c>
      <c r="B778" s="5">
        <f t="shared" si="21"/>
        <v>53.61999999999972</v>
      </c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>
        <f>0.000001*('Design Worksheet_BAT'!B$88)*(B778-B777)/E$232+M777</f>
        <v>2.0537236811053026E-4</v>
      </c>
      <c r="N778" s="5">
        <f t="shared" si="22"/>
        <v>53.61999999999972</v>
      </c>
    </row>
    <row r="779" spans="1:14" x14ac:dyDescent="0.3">
      <c r="A779" s="5">
        <v>3.83499999999998</v>
      </c>
      <c r="B779" s="5">
        <f t="shared" si="21"/>
        <v>53.689999999999721</v>
      </c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>
        <f>0.000001*('Design Worksheet_BAT'!B$88)*(B779-B778)/E$232+M778</f>
        <v>2.0557357583999886E-4</v>
      </c>
      <c r="N779" s="5">
        <f t="shared" si="22"/>
        <v>53.689999999999721</v>
      </c>
    </row>
    <row r="780" spans="1:14" x14ac:dyDescent="0.3">
      <c r="A780" s="5">
        <v>3.8399999999999799</v>
      </c>
      <c r="B780" s="5">
        <f t="shared" si="21"/>
        <v>53.759999999999721</v>
      </c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>
        <f>0.000001*('Design Worksheet_BAT'!B$88)*(B780-B779)/E$232+M779</f>
        <v>2.0577478356946746E-4</v>
      </c>
      <c r="N780" s="5">
        <f t="shared" si="22"/>
        <v>53.759999999999721</v>
      </c>
    </row>
    <row r="781" spans="1:14" x14ac:dyDescent="0.3">
      <c r="A781" s="5">
        <v>3.8449999999999802</v>
      </c>
      <c r="B781" s="5">
        <f t="shared" si="21"/>
        <v>53.829999999999721</v>
      </c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>
        <f>0.000001*('Design Worksheet_BAT'!B$88)*(B781-B780)/E$232+M780</f>
        <v>2.0597599129893606E-4</v>
      </c>
      <c r="N781" s="5">
        <f t="shared" si="22"/>
        <v>53.829999999999721</v>
      </c>
    </row>
    <row r="782" spans="1:14" x14ac:dyDescent="0.3">
      <c r="A782" s="5">
        <v>3.8499999999999801</v>
      </c>
      <c r="B782" s="5">
        <f t="shared" si="21"/>
        <v>53.899999999999721</v>
      </c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>
        <f>0.000001*('Design Worksheet_BAT'!B$88)*(B782-B781)/E$232+M781</f>
        <v>2.0617719902840467E-4</v>
      </c>
      <c r="N782" s="5">
        <f t="shared" si="22"/>
        <v>53.899999999999721</v>
      </c>
    </row>
    <row r="783" spans="1:14" x14ac:dyDescent="0.3">
      <c r="A783" s="5">
        <v>3.85499999999998</v>
      </c>
      <c r="B783" s="5">
        <f t="shared" si="21"/>
        <v>53.969999999999722</v>
      </c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>
        <f>0.000001*('Design Worksheet_BAT'!B$88)*(B783-B782)/E$232+M782</f>
        <v>2.0637840675787327E-4</v>
      </c>
      <c r="N783" s="5">
        <f t="shared" si="22"/>
        <v>53.969999999999722</v>
      </c>
    </row>
    <row r="784" spans="1:14" x14ac:dyDescent="0.3">
      <c r="A784" s="5">
        <v>3.8599999999999799</v>
      </c>
      <c r="B784" s="5">
        <f t="shared" si="21"/>
        <v>54.039999999999722</v>
      </c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>
        <f>0.000001*('Design Worksheet_BAT'!B$88)*(B784-B783)/E$232+M783</f>
        <v>2.0657961448734187E-4</v>
      </c>
      <c r="N784" s="5">
        <f t="shared" si="22"/>
        <v>54.039999999999722</v>
      </c>
    </row>
    <row r="785" spans="1:14" x14ac:dyDescent="0.3">
      <c r="A785" s="5">
        <v>3.8649999999999798</v>
      </c>
      <c r="B785" s="5">
        <f t="shared" si="21"/>
        <v>54.109999999999715</v>
      </c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>
        <f>0.000001*('Design Worksheet_BAT'!B$88)*(B785-B784)/E$232+M784</f>
        <v>2.0678082221681045E-4</v>
      </c>
      <c r="N785" s="5">
        <f t="shared" si="22"/>
        <v>54.109999999999715</v>
      </c>
    </row>
    <row r="786" spans="1:14" x14ac:dyDescent="0.3">
      <c r="A786" s="5">
        <v>3.8699999999999801</v>
      </c>
      <c r="B786" s="5">
        <f t="shared" si="21"/>
        <v>54.179999999999723</v>
      </c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>
        <f>0.000001*('Design Worksheet_BAT'!B$88)*(B786-B785)/E$232+M785</f>
        <v>2.0698202994627908E-4</v>
      </c>
      <c r="N786" s="5">
        <f t="shared" si="22"/>
        <v>54.179999999999723</v>
      </c>
    </row>
    <row r="787" spans="1:14" x14ac:dyDescent="0.3">
      <c r="A787" s="5">
        <v>3.87499999999998</v>
      </c>
      <c r="B787" s="5">
        <f t="shared" si="21"/>
        <v>54.249999999999723</v>
      </c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>
        <f>0.000001*('Design Worksheet_BAT'!B$88)*(B787-B786)/E$232+M786</f>
        <v>2.0718323767574768E-4</v>
      </c>
      <c r="N787" s="5">
        <f t="shared" si="22"/>
        <v>54.249999999999723</v>
      </c>
    </row>
    <row r="788" spans="1:14" x14ac:dyDescent="0.3">
      <c r="A788" s="5">
        <v>3.8799999999999799</v>
      </c>
      <c r="B788" s="5">
        <f t="shared" si="21"/>
        <v>54.319999999999716</v>
      </c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>
        <f>0.000001*('Design Worksheet_BAT'!B$88)*(B788-B787)/E$232+M787</f>
        <v>2.0738444540521625E-4</v>
      </c>
      <c r="N788" s="5">
        <f t="shared" si="22"/>
        <v>54.319999999999716</v>
      </c>
    </row>
    <row r="789" spans="1:14" x14ac:dyDescent="0.3">
      <c r="A789" s="5">
        <v>3.8849999999999798</v>
      </c>
      <c r="B789" s="5">
        <f t="shared" si="21"/>
        <v>54.389999999999716</v>
      </c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>
        <f>0.000001*('Design Worksheet_BAT'!B$88)*(B789-B788)/E$232+M788</f>
        <v>2.0758565313468486E-4</v>
      </c>
      <c r="N789" s="5">
        <f t="shared" si="22"/>
        <v>54.389999999999716</v>
      </c>
    </row>
    <row r="790" spans="1:14" x14ac:dyDescent="0.3">
      <c r="A790" s="5">
        <v>3.8899999999999801</v>
      </c>
      <c r="B790" s="5">
        <f t="shared" si="21"/>
        <v>54.459999999999724</v>
      </c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>
        <f>0.000001*('Design Worksheet_BAT'!B$88)*(B790-B789)/E$232+M789</f>
        <v>2.0778686086415349E-4</v>
      </c>
      <c r="N790" s="5">
        <f t="shared" si="22"/>
        <v>54.459999999999724</v>
      </c>
    </row>
    <row r="791" spans="1:14" x14ac:dyDescent="0.3">
      <c r="A791" s="5">
        <v>3.89499999999998</v>
      </c>
      <c r="B791" s="5">
        <f t="shared" si="21"/>
        <v>54.529999999999717</v>
      </c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>
        <f>0.000001*('Design Worksheet_BAT'!B$88)*(B791-B790)/E$232+M790</f>
        <v>2.0798806859362206E-4</v>
      </c>
      <c r="N791" s="5">
        <f t="shared" si="22"/>
        <v>54.529999999999717</v>
      </c>
    </row>
    <row r="792" spans="1:14" x14ac:dyDescent="0.3">
      <c r="A792" s="5">
        <v>3.8999999999999799</v>
      </c>
      <c r="B792" s="5">
        <f t="shared" si="21"/>
        <v>54.599999999999717</v>
      </c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>
        <f>0.000001*('Design Worksheet_BAT'!B$88)*(B792-B791)/E$232+M791</f>
        <v>2.0818927632309067E-4</v>
      </c>
      <c r="N792" s="5">
        <f t="shared" si="22"/>
        <v>54.599999999999717</v>
      </c>
    </row>
    <row r="793" spans="1:14" x14ac:dyDescent="0.3">
      <c r="A793" s="5">
        <v>3.9049999999999798</v>
      </c>
      <c r="B793" s="5">
        <f t="shared" si="21"/>
        <v>54.669999999999717</v>
      </c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>
        <f>0.000001*('Design Worksheet_BAT'!B$88)*(B793-B792)/E$232+M792</f>
        <v>2.0839048405255927E-4</v>
      </c>
      <c r="N793" s="5">
        <f t="shared" si="22"/>
        <v>54.669999999999717</v>
      </c>
    </row>
    <row r="794" spans="1:14" x14ac:dyDescent="0.3">
      <c r="A794" s="5">
        <v>3.9099999999999802</v>
      </c>
      <c r="B794" s="5">
        <f t="shared" si="21"/>
        <v>54.739999999999725</v>
      </c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>
        <f>0.000001*('Design Worksheet_BAT'!B$88)*(B794-B793)/E$232+M793</f>
        <v>2.085916917820279E-4</v>
      </c>
      <c r="N794" s="5">
        <f t="shared" si="22"/>
        <v>54.739999999999725</v>
      </c>
    </row>
    <row r="795" spans="1:14" x14ac:dyDescent="0.3">
      <c r="A795" s="5">
        <v>3.9149999999999801</v>
      </c>
      <c r="B795" s="5">
        <f t="shared" si="21"/>
        <v>54.809999999999718</v>
      </c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>
        <f>0.000001*('Design Worksheet_BAT'!B$88)*(B795-B794)/E$232+M794</f>
        <v>2.0879289951149647E-4</v>
      </c>
      <c r="N795" s="5">
        <f t="shared" si="22"/>
        <v>54.809999999999718</v>
      </c>
    </row>
    <row r="796" spans="1:14" x14ac:dyDescent="0.3">
      <c r="A796" s="5">
        <v>3.9199999999999799</v>
      </c>
      <c r="B796" s="5">
        <f t="shared" si="21"/>
        <v>54.879999999999718</v>
      </c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>
        <f>0.000001*('Design Worksheet_BAT'!B$88)*(B796-B795)/E$232+M795</f>
        <v>2.0899410724096508E-4</v>
      </c>
      <c r="N796" s="5">
        <f t="shared" si="22"/>
        <v>54.879999999999718</v>
      </c>
    </row>
    <row r="797" spans="1:14" x14ac:dyDescent="0.3">
      <c r="A797" s="5">
        <v>3.9249999999999798</v>
      </c>
      <c r="B797" s="5">
        <f t="shared" si="21"/>
        <v>54.949999999999719</v>
      </c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>
        <f>0.000001*('Design Worksheet_BAT'!B$88)*(B797-B796)/E$232+M796</f>
        <v>2.0919531497043368E-4</v>
      </c>
      <c r="N797" s="5">
        <f t="shared" si="22"/>
        <v>54.949999999999719</v>
      </c>
    </row>
    <row r="798" spans="1:14" x14ac:dyDescent="0.3">
      <c r="A798" s="5">
        <v>3.9299999999999802</v>
      </c>
      <c r="B798" s="5">
        <f t="shared" si="21"/>
        <v>55.019999999999726</v>
      </c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>
        <f>0.000001*('Design Worksheet_BAT'!B$88)*(B798-B797)/E$232+M797</f>
        <v>2.0939652269990231E-4</v>
      </c>
      <c r="N798" s="5">
        <f t="shared" si="22"/>
        <v>55.019999999999726</v>
      </c>
    </row>
    <row r="799" spans="1:14" x14ac:dyDescent="0.3">
      <c r="A799" s="5">
        <v>3.9349999999999801</v>
      </c>
      <c r="B799" s="5">
        <f t="shared" si="21"/>
        <v>55.089999999999719</v>
      </c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>
        <f>0.000001*('Design Worksheet_BAT'!B$88)*(B799-B798)/E$232+M798</f>
        <v>2.0959773042937088E-4</v>
      </c>
      <c r="N799" s="5">
        <f t="shared" si="22"/>
        <v>55.089999999999719</v>
      </c>
    </row>
    <row r="800" spans="1:14" x14ac:dyDescent="0.3">
      <c r="A800" s="5">
        <v>3.93999999999998</v>
      </c>
      <c r="B800" s="5">
        <f t="shared" si="21"/>
        <v>55.159999999999719</v>
      </c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>
        <f>0.000001*('Design Worksheet_BAT'!B$88)*(B800-B799)/E$232+M799</f>
        <v>2.0979893815883949E-4</v>
      </c>
      <c r="N800" s="5">
        <f t="shared" si="22"/>
        <v>55.159999999999719</v>
      </c>
    </row>
    <row r="801" spans="1:14" x14ac:dyDescent="0.3">
      <c r="A801" s="5">
        <v>3.9449999999999799</v>
      </c>
      <c r="B801" s="5">
        <f t="shared" si="21"/>
        <v>55.22999999999972</v>
      </c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>
        <f>0.000001*('Design Worksheet_BAT'!B$88)*(B801-B800)/E$232+M800</f>
        <v>2.1000014588830809E-4</v>
      </c>
      <c r="N801" s="5">
        <f t="shared" si="22"/>
        <v>55.22999999999972</v>
      </c>
    </row>
    <row r="802" spans="1:14" x14ac:dyDescent="0.3">
      <c r="A802" s="5">
        <v>3.9499999999999802</v>
      </c>
      <c r="B802" s="5">
        <f t="shared" si="21"/>
        <v>55.29999999999972</v>
      </c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>
        <f>0.000001*('Design Worksheet_BAT'!B$88)*(B802-B801)/E$232+M801</f>
        <v>2.1020135361777669E-4</v>
      </c>
      <c r="N802" s="5">
        <f t="shared" si="22"/>
        <v>55.29999999999972</v>
      </c>
    </row>
    <row r="803" spans="1:14" x14ac:dyDescent="0.3">
      <c r="A803" s="5">
        <v>3.9549999999999801</v>
      </c>
      <c r="B803" s="5">
        <f t="shared" si="21"/>
        <v>55.36999999999972</v>
      </c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>
        <f>0.000001*('Design Worksheet_BAT'!B$88)*(B803-B802)/E$232+M802</f>
        <v>2.1040256134724529E-4</v>
      </c>
      <c r="N803" s="5">
        <f t="shared" si="22"/>
        <v>55.36999999999972</v>
      </c>
    </row>
    <row r="804" spans="1:14" x14ac:dyDescent="0.3">
      <c r="A804" s="5">
        <v>3.95999999999998</v>
      </c>
      <c r="B804" s="5">
        <f t="shared" si="21"/>
        <v>55.439999999999721</v>
      </c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>
        <f>0.000001*('Design Worksheet_BAT'!B$88)*(B804-B803)/E$232+M803</f>
        <v>2.106037690767139E-4</v>
      </c>
      <c r="N804" s="5">
        <f t="shared" si="22"/>
        <v>55.439999999999721</v>
      </c>
    </row>
    <row r="805" spans="1:14" x14ac:dyDescent="0.3">
      <c r="A805" s="5">
        <v>3.9649999999999799</v>
      </c>
      <c r="B805" s="5">
        <f t="shared" si="21"/>
        <v>55.509999999999721</v>
      </c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>
        <f>0.000001*('Design Worksheet_BAT'!B$88)*(B805-B804)/E$232+M804</f>
        <v>2.108049768061825E-4</v>
      </c>
      <c r="N805" s="5">
        <f t="shared" si="22"/>
        <v>55.509999999999721</v>
      </c>
    </row>
    <row r="806" spans="1:14" x14ac:dyDescent="0.3">
      <c r="A806" s="5">
        <v>3.9699999999999802</v>
      </c>
      <c r="B806" s="5">
        <f t="shared" si="21"/>
        <v>55.579999999999721</v>
      </c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>
        <f>0.000001*('Design Worksheet_BAT'!B$88)*(B806-B805)/E$232+M805</f>
        <v>2.110061845356511E-4</v>
      </c>
      <c r="N806" s="5">
        <f t="shared" si="22"/>
        <v>55.579999999999721</v>
      </c>
    </row>
    <row r="807" spans="1:14" x14ac:dyDescent="0.3">
      <c r="A807" s="5">
        <v>3.9749999999999801</v>
      </c>
      <c r="B807" s="5">
        <f t="shared" si="21"/>
        <v>55.649999999999721</v>
      </c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>
        <f>0.000001*('Design Worksheet_BAT'!B$88)*(B807-B806)/E$232+M806</f>
        <v>2.112073922651197E-4</v>
      </c>
      <c r="N807" s="5">
        <f t="shared" si="22"/>
        <v>55.649999999999721</v>
      </c>
    </row>
    <row r="808" spans="1:14" x14ac:dyDescent="0.3">
      <c r="A808" s="5">
        <v>3.97999999999998</v>
      </c>
      <c r="B808" s="5">
        <f t="shared" si="21"/>
        <v>55.719999999999722</v>
      </c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>
        <f>0.000001*('Design Worksheet_BAT'!B$88)*(B808-B807)/E$232+M807</f>
        <v>2.1140859999458831E-4</v>
      </c>
      <c r="N808" s="5">
        <f t="shared" si="22"/>
        <v>55.719999999999722</v>
      </c>
    </row>
    <row r="809" spans="1:14" x14ac:dyDescent="0.3">
      <c r="A809" s="5">
        <v>3.9849999999999799</v>
      </c>
      <c r="B809" s="5">
        <f t="shared" ref="B809:B872" si="23">A809*VOFLB</f>
        <v>55.789999999999722</v>
      </c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>
        <f>0.000001*('Design Worksheet_BAT'!B$88)*(B809-B808)/E$232+M808</f>
        <v>2.1160980772405691E-4</v>
      </c>
      <c r="N809" s="5">
        <f t="shared" si="22"/>
        <v>55.789999999999722</v>
      </c>
    </row>
    <row r="810" spans="1:14" x14ac:dyDescent="0.3">
      <c r="A810" s="5">
        <v>3.9899999999999798</v>
      </c>
      <c r="B810" s="5">
        <f t="shared" si="23"/>
        <v>55.859999999999715</v>
      </c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>
        <f>0.000001*('Design Worksheet_BAT'!B$88)*(B810-B809)/E$232+M809</f>
        <v>2.1181101545352549E-4</v>
      </c>
      <c r="N810" s="5">
        <f t="shared" si="22"/>
        <v>55.859999999999715</v>
      </c>
    </row>
    <row r="811" spans="1:14" x14ac:dyDescent="0.3">
      <c r="A811" s="5">
        <v>3.9949999999999801</v>
      </c>
      <c r="B811" s="5">
        <f t="shared" si="23"/>
        <v>55.929999999999723</v>
      </c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>
        <f>0.000001*('Design Worksheet_BAT'!B$88)*(B811-B810)/E$232+M810</f>
        <v>2.1201222318299411E-4</v>
      </c>
      <c r="N811" s="5">
        <f t="shared" si="22"/>
        <v>55.929999999999723</v>
      </c>
    </row>
    <row r="812" spans="1:14" x14ac:dyDescent="0.3">
      <c r="A812" s="5">
        <v>3.99999999999998</v>
      </c>
      <c r="B812" s="5">
        <f t="shared" si="23"/>
        <v>55.999999999999723</v>
      </c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>
        <f>0.000001*('Design Worksheet_BAT'!B$88)*(B812-B811)/E$232+M811</f>
        <v>2.1221343091246272E-4</v>
      </c>
      <c r="N812" s="5">
        <f t="shared" ref="N812:N875" si="24">B812</f>
        <v>55.999999999999723</v>
      </c>
    </row>
    <row r="813" spans="1:14" x14ac:dyDescent="0.3">
      <c r="A813" s="5">
        <v>4.0049999999999804</v>
      </c>
      <c r="B813" s="5">
        <f t="shared" si="23"/>
        <v>56.069999999999723</v>
      </c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>
        <f>0.000001*('Design Worksheet_BAT'!B$88)*(B813-B812)/E$232+M812</f>
        <v>2.1241463864193132E-4</v>
      </c>
      <c r="N813" s="5">
        <f t="shared" si="24"/>
        <v>56.069999999999723</v>
      </c>
    </row>
    <row r="814" spans="1:14" x14ac:dyDescent="0.3">
      <c r="A814" s="5">
        <v>4.0099999999999802</v>
      </c>
      <c r="B814" s="5">
        <f t="shared" si="23"/>
        <v>56.139999999999723</v>
      </c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>
        <f>0.000001*('Design Worksheet_BAT'!B$88)*(B814-B813)/E$232+M813</f>
        <v>2.1261584637139992E-4</v>
      </c>
      <c r="N814" s="5">
        <f t="shared" si="24"/>
        <v>56.139999999999723</v>
      </c>
    </row>
    <row r="815" spans="1:14" x14ac:dyDescent="0.3">
      <c r="A815" s="5">
        <v>4.0149999999999801</v>
      </c>
      <c r="B815" s="5">
        <f t="shared" si="23"/>
        <v>56.209999999999724</v>
      </c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>
        <f>0.000001*('Design Worksheet_BAT'!B$88)*(B815-B814)/E$232+M814</f>
        <v>2.1281705410086853E-4</v>
      </c>
      <c r="N815" s="5">
        <f t="shared" si="24"/>
        <v>56.209999999999724</v>
      </c>
    </row>
    <row r="816" spans="1:14" x14ac:dyDescent="0.3">
      <c r="A816" s="5">
        <v>4.01999999999998</v>
      </c>
      <c r="B816" s="5">
        <f t="shared" si="23"/>
        <v>56.279999999999717</v>
      </c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>
        <f>0.000001*('Design Worksheet_BAT'!B$88)*(B816-B815)/E$232+M815</f>
        <v>2.130182618303371E-4</v>
      </c>
      <c r="N816" s="5">
        <f t="shared" si="24"/>
        <v>56.279999999999717</v>
      </c>
    </row>
    <row r="817" spans="1:14" x14ac:dyDescent="0.3">
      <c r="A817" s="5">
        <v>4.0249999999999799</v>
      </c>
      <c r="B817" s="5">
        <f t="shared" si="23"/>
        <v>56.349999999999717</v>
      </c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>
        <f>0.000001*('Design Worksheet_BAT'!B$88)*(B817-B816)/E$232+M816</f>
        <v>2.132194695598057E-4</v>
      </c>
      <c r="N817" s="5">
        <f t="shared" si="24"/>
        <v>56.349999999999717</v>
      </c>
    </row>
    <row r="818" spans="1:14" x14ac:dyDescent="0.3">
      <c r="A818" s="5">
        <v>4.0299999999999798</v>
      </c>
      <c r="B818" s="5">
        <f t="shared" si="23"/>
        <v>56.419999999999717</v>
      </c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>
        <f>0.000001*('Design Worksheet_BAT'!B$88)*(B818-B817)/E$232+M817</f>
        <v>2.1342067728927431E-4</v>
      </c>
      <c r="N818" s="5">
        <f t="shared" si="24"/>
        <v>56.419999999999717</v>
      </c>
    </row>
    <row r="819" spans="1:14" x14ac:dyDescent="0.3">
      <c r="A819" s="5">
        <v>4.0349999999999797</v>
      </c>
      <c r="B819" s="5">
        <f t="shared" si="23"/>
        <v>56.489999999999718</v>
      </c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>
        <f>0.000001*('Design Worksheet_BAT'!B$88)*(B819-B818)/E$232+M818</f>
        <v>2.1362188501874291E-4</v>
      </c>
      <c r="N819" s="5">
        <f t="shared" si="24"/>
        <v>56.489999999999718</v>
      </c>
    </row>
    <row r="820" spans="1:14" x14ac:dyDescent="0.3">
      <c r="A820" s="5">
        <v>4.0399999999999796</v>
      </c>
      <c r="B820" s="5">
        <f t="shared" si="23"/>
        <v>56.559999999999718</v>
      </c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>
        <f>0.000001*('Design Worksheet_BAT'!B$88)*(B820-B819)/E$232+M819</f>
        <v>2.1382309274821151E-4</v>
      </c>
      <c r="N820" s="5">
        <f t="shared" si="24"/>
        <v>56.559999999999718</v>
      </c>
    </row>
    <row r="821" spans="1:14" x14ac:dyDescent="0.3">
      <c r="A821" s="5">
        <v>4.0449999999999804</v>
      </c>
      <c r="B821" s="5">
        <f t="shared" si="23"/>
        <v>56.629999999999725</v>
      </c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>
        <f>0.000001*('Design Worksheet_BAT'!B$88)*(B821-B820)/E$232+M820</f>
        <v>2.1402430047768014E-4</v>
      </c>
      <c r="N821" s="5">
        <f t="shared" si="24"/>
        <v>56.629999999999725</v>
      </c>
    </row>
    <row r="822" spans="1:14" x14ac:dyDescent="0.3">
      <c r="A822" s="5">
        <v>4.0499999999999803</v>
      </c>
      <c r="B822" s="5">
        <f t="shared" si="23"/>
        <v>56.699999999999726</v>
      </c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>
        <f>0.000001*('Design Worksheet_BAT'!B$88)*(B822-B821)/E$232+M821</f>
        <v>2.1422550820714874E-4</v>
      </c>
      <c r="N822" s="5">
        <f t="shared" si="24"/>
        <v>56.699999999999726</v>
      </c>
    </row>
    <row r="823" spans="1:14" x14ac:dyDescent="0.3">
      <c r="A823" s="5">
        <v>4.0549999999999802</v>
      </c>
      <c r="B823" s="5">
        <f t="shared" si="23"/>
        <v>56.769999999999726</v>
      </c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>
        <f>0.000001*('Design Worksheet_BAT'!B$88)*(B823-B822)/E$232+M822</f>
        <v>2.1442671593661735E-4</v>
      </c>
      <c r="N823" s="5">
        <f t="shared" si="24"/>
        <v>56.769999999999726</v>
      </c>
    </row>
    <row r="824" spans="1:14" x14ac:dyDescent="0.3">
      <c r="A824" s="5">
        <v>4.0599999999999801</v>
      </c>
      <c r="B824" s="5">
        <f t="shared" si="23"/>
        <v>56.839999999999719</v>
      </c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>
        <f>0.000001*('Design Worksheet_BAT'!B$88)*(B824-B823)/E$232+M823</f>
        <v>2.1462792366608592E-4</v>
      </c>
      <c r="N824" s="5">
        <f t="shared" si="24"/>
        <v>56.839999999999719</v>
      </c>
    </row>
    <row r="825" spans="1:14" x14ac:dyDescent="0.3">
      <c r="A825" s="5">
        <v>4.06499999999998</v>
      </c>
      <c r="B825" s="5">
        <f t="shared" si="23"/>
        <v>56.909999999999719</v>
      </c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>
        <f>0.000001*('Design Worksheet_BAT'!B$88)*(B825-B824)/E$232+M824</f>
        <v>2.1482913139555452E-4</v>
      </c>
      <c r="N825" s="5">
        <f t="shared" si="24"/>
        <v>56.909999999999719</v>
      </c>
    </row>
    <row r="826" spans="1:14" x14ac:dyDescent="0.3">
      <c r="A826" s="5">
        <v>4.0699999999999799</v>
      </c>
      <c r="B826" s="5">
        <f t="shared" si="23"/>
        <v>56.97999999999972</v>
      </c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>
        <f>0.000001*('Design Worksheet_BAT'!B$88)*(B826-B825)/E$232+M825</f>
        <v>2.1503033912502313E-4</v>
      </c>
      <c r="N826" s="5">
        <f t="shared" si="24"/>
        <v>56.97999999999972</v>
      </c>
    </row>
    <row r="827" spans="1:14" x14ac:dyDescent="0.3">
      <c r="A827" s="5">
        <v>4.0749999999999797</v>
      </c>
      <c r="B827" s="5">
        <f t="shared" si="23"/>
        <v>57.049999999999713</v>
      </c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>
        <f>0.000001*('Design Worksheet_BAT'!B$88)*(B827-B826)/E$232+M826</f>
        <v>2.152315468544917E-4</v>
      </c>
      <c r="N827" s="5">
        <f t="shared" si="24"/>
        <v>57.049999999999713</v>
      </c>
    </row>
    <row r="828" spans="1:14" x14ac:dyDescent="0.3">
      <c r="A828" s="5">
        <v>4.0799999999999796</v>
      </c>
      <c r="B828" s="5">
        <f t="shared" si="23"/>
        <v>57.119999999999713</v>
      </c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>
        <f>0.000001*('Design Worksheet_BAT'!B$88)*(B828-B827)/E$232+M827</f>
        <v>2.1543275458396031E-4</v>
      </c>
      <c r="N828" s="5">
        <f t="shared" si="24"/>
        <v>57.119999999999713</v>
      </c>
    </row>
    <row r="829" spans="1:14" x14ac:dyDescent="0.3">
      <c r="A829" s="5">
        <v>4.0849999999999804</v>
      </c>
      <c r="B829" s="5">
        <f t="shared" si="23"/>
        <v>57.189999999999728</v>
      </c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>
        <f>0.000001*('Design Worksheet_BAT'!B$88)*(B829-B828)/E$232+M828</f>
        <v>2.1563396231342893E-4</v>
      </c>
      <c r="N829" s="5">
        <f t="shared" si="24"/>
        <v>57.189999999999728</v>
      </c>
    </row>
    <row r="830" spans="1:14" x14ac:dyDescent="0.3">
      <c r="A830" s="5">
        <v>4.0899999999999803</v>
      </c>
      <c r="B830" s="5">
        <f t="shared" si="23"/>
        <v>57.259999999999721</v>
      </c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>
        <f>0.000001*('Design Worksheet_BAT'!B$88)*(B830-B829)/E$232+M829</f>
        <v>2.1583517004289751E-4</v>
      </c>
      <c r="N830" s="5">
        <f t="shared" si="24"/>
        <v>57.259999999999721</v>
      </c>
    </row>
    <row r="831" spans="1:14" x14ac:dyDescent="0.3">
      <c r="A831" s="5">
        <v>4.0949999999999802</v>
      </c>
      <c r="B831" s="5">
        <f t="shared" si="23"/>
        <v>57.329999999999721</v>
      </c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>
        <f>0.000001*('Design Worksheet_BAT'!B$88)*(B831-B830)/E$232+M830</f>
        <v>2.1603637777236611E-4</v>
      </c>
      <c r="N831" s="5">
        <f t="shared" si="24"/>
        <v>57.329999999999721</v>
      </c>
    </row>
    <row r="832" spans="1:14" x14ac:dyDescent="0.3">
      <c r="A832" s="5">
        <v>4.0999999999999801</v>
      </c>
      <c r="B832" s="5">
        <f t="shared" si="23"/>
        <v>57.399999999999721</v>
      </c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>
        <f>0.000001*('Design Worksheet_BAT'!B$88)*(B832-B831)/E$232+M831</f>
        <v>2.1623758550183472E-4</v>
      </c>
      <c r="N832" s="5">
        <f t="shared" si="24"/>
        <v>57.399999999999721</v>
      </c>
    </row>
    <row r="833" spans="1:14" x14ac:dyDescent="0.3">
      <c r="A833" s="5">
        <v>4.10499999999998</v>
      </c>
      <c r="B833" s="5">
        <f t="shared" si="23"/>
        <v>57.469999999999722</v>
      </c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>
        <f>0.000001*('Design Worksheet_BAT'!B$88)*(B833-B832)/E$232+M832</f>
        <v>2.1643879323130332E-4</v>
      </c>
      <c r="N833" s="5">
        <f t="shared" si="24"/>
        <v>57.469999999999722</v>
      </c>
    </row>
    <row r="834" spans="1:14" x14ac:dyDescent="0.3">
      <c r="A834" s="5">
        <v>4.1099999999999799</v>
      </c>
      <c r="B834" s="5">
        <f t="shared" si="23"/>
        <v>57.539999999999722</v>
      </c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>
        <f>0.000001*('Design Worksheet_BAT'!B$88)*(B834-B833)/E$232+M833</f>
        <v>2.1664000096077192E-4</v>
      </c>
      <c r="N834" s="5">
        <f t="shared" si="24"/>
        <v>57.539999999999722</v>
      </c>
    </row>
    <row r="835" spans="1:14" x14ac:dyDescent="0.3">
      <c r="A835" s="5">
        <v>4.1149999999999798</v>
      </c>
      <c r="B835" s="5">
        <f t="shared" si="23"/>
        <v>57.609999999999715</v>
      </c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>
        <f>0.000001*('Design Worksheet_BAT'!B$88)*(B835-B834)/E$232+M834</f>
        <v>2.168412086902405E-4</v>
      </c>
      <c r="N835" s="5">
        <f t="shared" si="24"/>
        <v>57.609999999999715</v>
      </c>
    </row>
    <row r="836" spans="1:14" x14ac:dyDescent="0.3">
      <c r="A836" s="5">
        <v>4.1199999999999797</v>
      </c>
      <c r="B836" s="5">
        <f t="shared" si="23"/>
        <v>57.679999999999715</v>
      </c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>
        <f>0.000001*('Design Worksheet_BAT'!B$88)*(B836-B835)/E$232+M835</f>
        <v>2.170424164197091E-4</v>
      </c>
      <c r="N836" s="5">
        <f t="shared" si="24"/>
        <v>57.679999999999715</v>
      </c>
    </row>
    <row r="837" spans="1:14" x14ac:dyDescent="0.3">
      <c r="A837" s="5">
        <v>4.1249999999999796</v>
      </c>
      <c r="B837" s="5">
        <f t="shared" si="23"/>
        <v>57.749999999999716</v>
      </c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>
        <f>0.000001*('Design Worksheet_BAT'!B$88)*(B837-B836)/E$232+M836</f>
        <v>2.172436241491777E-4</v>
      </c>
      <c r="N837" s="5">
        <f t="shared" si="24"/>
        <v>57.749999999999716</v>
      </c>
    </row>
    <row r="838" spans="1:14" x14ac:dyDescent="0.3">
      <c r="A838" s="5">
        <v>4.1299999999999804</v>
      </c>
      <c r="B838" s="5">
        <f t="shared" si="23"/>
        <v>57.819999999999723</v>
      </c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>
        <f>0.000001*('Design Worksheet_BAT'!B$88)*(B838-B837)/E$232+M837</f>
        <v>2.1744483187864633E-4</v>
      </c>
      <c r="N838" s="5">
        <f t="shared" si="24"/>
        <v>57.819999999999723</v>
      </c>
    </row>
    <row r="839" spans="1:14" x14ac:dyDescent="0.3">
      <c r="A839" s="5">
        <v>4.1349999999999802</v>
      </c>
      <c r="B839" s="5">
        <f t="shared" si="23"/>
        <v>57.889999999999723</v>
      </c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>
        <f>0.000001*('Design Worksheet_BAT'!B$88)*(B839-B838)/E$232+M838</f>
        <v>2.1764603960811493E-4</v>
      </c>
      <c r="N839" s="5">
        <f t="shared" si="24"/>
        <v>57.889999999999723</v>
      </c>
    </row>
    <row r="840" spans="1:14" x14ac:dyDescent="0.3">
      <c r="A840" s="5">
        <v>4.1399999999999801</v>
      </c>
      <c r="B840" s="5">
        <f t="shared" si="23"/>
        <v>57.959999999999724</v>
      </c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>
        <f>0.000001*('Design Worksheet_BAT'!B$88)*(B840-B839)/E$232+M839</f>
        <v>2.1784724733758354E-4</v>
      </c>
      <c r="N840" s="5">
        <f t="shared" si="24"/>
        <v>57.959999999999724</v>
      </c>
    </row>
    <row r="841" spans="1:14" x14ac:dyDescent="0.3">
      <c r="A841" s="5">
        <v>4.14499999999998</v>
      </c>
      <c r="B841" s="5">
        <f t="shared" si="23"/>
        <v>58.029999999999717</v>
      </c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>
        <f>0.000001*('Design Worksheet_BAT'!B$88)*(B841-B840)/E$232+M840</f>
        <v>2.1804845506705211E-4</v>
      </c>
      <c r="N841" s="5">
        <f t="shared" si="24"/>
        <v>58.029999999999717</v>
      </c>
    </row>
    <row r="842" spans="1:14" x14ac:dyDescent="0.3">
      <c r="A842" s="5">
        <v>4.1499999999999799</v>
      </c>
      <c r="B842" s="5">
        <f t="shared" si="23"/>
        <v>58.099999999999717</v>
      </c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>
        <f>0.000001*('Design Worksheet_BAT'!B$88)*(B842-B841)/E$232+M841</f>
        <v>2.1824966279652071E-4</v>
      </c>
      <c r="N842" s="5">
        <f t="shared" si="24"/>
        <v>58.099999999999717</v>
      </c>
    </row>
    <row r="843" spans="1:14" x14ac:dyDescent="0.3">
      <c r="A843" s="5">
        <v>4.1549999999999798</v>
      </c>
      <c r="B843" s="5">
        <f t="shared" si="23"/>
        <v>58.169999999999717</v>
      </c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>
        <f>0.000001*('Design Worksheet_BAT'!B$88)*(B843-B842)/E$232+M842</f>
        <v>2.1845087052598932E-4</v>
      </c>
      <c r="N843" s="5">
        <f t="shared" si="24"/>
        <v>58.169999999999717</v>
      </c>
    </row>
    <row r="844" spans="1:14" x14ac:dyDescent="0.3">
      <c r="A844" s="5">
        <v>4.1599999999999797</v>
      </c>
      <c r="B844" s="5">
        <f t="shared" si="23"/>
        <v>58.239999999999718</v>
      </c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>
        <f>0.000001*('Design Worksheet_BAT'!B$88)*(B844-B843)/E$232+M843</f>
        <v>2.1865207825545792E-4</v>
      </c>
      <c r="N844" s="5">
        <f t="shared" si="24"/>
        <v>58.239999999999718</v>
      </c>
    </row>
    <row r="845" spans="1:14" x14ac:dyDescent="0.3">
      <c r="A845" s="5">
        <v>4.1649999999999796</v>
      </c>
      <c r="B845" s="5">
        <f t="shared" si="23"/>
        <v>58.309999999999718</v>
      </c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>
        <f>0.000001*('Design Worksheet_BAT'!B$88)*(B845-B844)/E$232+M844</f>
        <v>2.1885328598492652E-4</v>
      </c>
      <c r="N845" s="5">
        <f t="shared" si="24"/>
        <v>58.309999999999718</v>
      </c>
    </row>
    <row r="846" spans="1:14" x14ac:dyDescent="0.3">
      <c r="A846" s="5">
        <v>4.1699999999999804</v>
      </c>
      <c r="B846" s="5">
        <f t="shared" si="23"/>
        <v>58.379999999999725</v>
      </c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>
        <f>0.000001*('Design Worksheet_BAT'!B$88)*(B846-B845)/E$232+M845</f>
        <v>2.1905449371439515E-4</v>
      </c>
      <c r="N846" s="5">
        <f t="shared" si="24"/>
        <v>58.379999999999725</v>
      </c>
    </row>
    <row r="847" spans="1:14" x14ac:dyDescent="0.3">
      <c r="A847" s="5">
        <v>4.1749999999999696</v>
      </c>
      <c r="B847" s="5">
        <f t="shared" si="23"/>
        <v>58.449999999999577</v>
      </c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>
        <f>0.000001*('Design Worksheet_BAT'!B$88)*(B847-B846)/E$232+M846</f>
        <v>2.1925570144386332E-4</v>
      </c>
      <c r="N847" s="5">
        <f t="shared" si="24"/>
        <v>58.449999999999577</v>
      </c>
    </row>
    <row r="848" spans="1:14" x14ac:dyDescent="0.3">
      <c r="A848" s="5">
        <v>4.1799999999999704</v>
      </c>
      <c r="B848" s="5">
        <f t="shared" si="23"/>
        <v>58.519999999999584</v>
      </c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>
        <f>0.000001*('Design Worksheet_BAT'!B$88)*(B848-B847)/E$232+M847</f>
        <v>2.1945690917333195E-4</v>
      </c>
      <c r="N848" s="5">
        <f t="shared" si="24"/>
        <v>58.519999999999584</v>
      </c>
    </row>
    <row r="849" spans="1:14" x14ac:dyDescent="0.3">
      <c r="A849" s="5">
        <v>4.1849999999999703</v>
      </c>
      <c r="B849" s="5">
        <f t="shared" si="23"/>
        <v>58.589999999999584</v>
      </c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>
        <f>0.000001*('Design Worksheet_BAT'!B$88)*(B849-B848)/E$232+M848</f>
        <v>2.1965811690280055E-4</v>
      </c>
      <c r="N849" s="5">
        <f t="shared" si="24"/>
        <v>58.589999999999584</v>
      </c>
    </row>
    <row r="850" spans="1:14" x14ac:dyDescent="0.3">
      <c r="A850" s="5">
        <v>4.1899999999999702</v>
      </c>
      <c r="B850" s="5">
        <f t="shared" si="23"/>
        <v>58.659999999999584</v>
      </c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>
        <f>0.000001*('Design Worksheet_BAT'!B$88)*(B850-B849)/E$232+M849</f>
        <v>2.1985932463226916E-4</v>
      </c>
      <c r="N850" s="5">
        <f t="shared" si="24"/>
        <v>58.659999999999584</v>
      </c>
    </row>
    <row r="851" spans="1:14" x14ac:dyDescent="0.3">
      <c r="A851" s="5">
        <v>4.1949999999999701</v>
      </c>
      <c r="B851" s="5">
        <f t="shared" si="23"/>
        <v>58.729999999999578</v>
      </c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>
        <f>0.000001*('Design Worksheet_BAT'!B$88)*(B851-B850)/E$232+M850</f>
        <v>2.2006053236173773E-4</v>
      </c>
      <c r="N851" s="5">
        <f t="shared" si="24"/>
        <v>58.729999999999578</v>
      </c>
    </row>
    <row r="852" spans="1:14" x14ac:dyDescent="0.3">
      <c r="A852" s="5">
        <v>4.19999999999997</v>
      </c>
      <c r="B852" s="5">
        <f t="shared" si="23"/>
        <v>58.799999999999578</v>
      </c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>
        <f>0.000001*('Design Worksheet_BAT'!B$88)*(B852-B851)/E$232+M851</f>
        <v>2.2026174009120633E-4</v>
      </c>
      <c r="N852" s="5">
        <f t="shared" si="24"/>
        <v>58.799999999999578</v>
      </c>
    </row>
    <row r="853" spans="1:14" x14ac:dyDescent="0.3">
      <c r="A853" s="5">
        <v>4.2049999999999699</v>
      </c>
      <c r="B853" s="5">
        <f t="shared" si="23"/>
        <v>58.869999999999578</v>
      </c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>
        <f>0.000001*('Design Worksheet_BAT'!B$88)*(B853-B852)/E$232+M852</f>
        <v>2.2046294782067494E-4</v>
      </c>
      <c r="N853" s="5">
        <f t="shared" si="24"/>
        <v>58.869999999999578</v>
      </c>
    </row>
    <row r="854" spans="1:14" x14ac:dyDescent="0.3">
      <c r="A854" s="5">
        <v>4.2099999999999698</v>
      </c>
      <c r="B854" s="5">
        <f t="shared" si="23"/>
        <v>58.939999999999579</v>
      </c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>
        <f>0.000001*('Design Worksheet_BAT'!B$88)*(B854-B853)/E$232+M853</f>
        <v>2.2066415555014354E-4</v>
      </c>
      <c r="N854" s="5">
        <f t="shared" si="24"/>
        <v>58.939999999999579</v>
      </c>
    </row>
    <row r="855" spans="1:14" x14ac:dyDescent="0.3">
      <c r="A855" s="5">
        <v>4.2149999999999697</v>
      </c>
      <c r="B855" s="5">
        <f t="shared" si="23"/>
        <v>59.009999999999579</v>
      </c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>
        <f>0.000001*('Design Worksheet_BAT'!B$88)*(B855-B854)/E$232+M854</f>
        <v>2.2086536327961214E-4</v>
      </c>
      <c r="N855" s="5">
        <f t="shared" si="24"/>
        <v>59.009999999999579</v>
      </c>
    </row>
    <row r="856" spans="1:14" x14ac:dyDescent="0.3">
      <c r="A856" s="5">
        <v>4.2199999999999704</v>
      </c>
      <c r="B856" s="5">
        <f t="shared" si="23"/>
        <v>59.079999999999586</v>
      </c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>
        <f>0.000001*('Design Worksheet_BAT'!B$88)*(B856-B855)/E$232+M855</f>
        <v>2.2106657100908077E-4</v>
      </c>
      <c r="N856" s="5">
        <f t="shared" si="24"/>
        <v>59.079999999999586</v>
      </c>
    </row>
    <row r="857" spans="1:14" x14ac:dyDescent="0.3">
      <c r="A857" s="5">
        <v>4.2249999999999703</v>
      </c>
      <c r="B857" s="5">
        <f t="shared" si="23"/>
        <v>59.149999999999586</v>
      </c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>
        <f>0.000001*('Design Worksheet_BAT'!B$88)*(B857-B856)/E$232+M856</f>
        <v>2.2126777873854937E-4</v>
      </c>
      <c r="N857" s="5">
        <f t="shared" si="24"/>
        <v>59.149999999999586</v>
      </c>
    </row>
    <row r="858" spans="1:14" x14ac:dyDescent="0.3">
      <c r="A858" s="5">
        <v>4.2299999999999702</v>
      </c>
      <c r="B858" s="5">
        <f t="shared" si="23"/>
        <v>59.219999999999587</v>
      </c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>
        <f>0.000001*('Design Worksheet_BAT'!B$88)*(B858-B857)/E$232+M857</f>
        <v>2.2146898646801798E-4</v>
      </c>
      <c r="N858" s="5">
        <f t="shared" si="24"/>
        <v>59.219999999999587</v>
      </c>
    </row>
    <row r="859" spans="1:14" x14ac:dyDescent="0.3">
      <c r="A859" s="5">
        <v>4.2349999999999701</v>
      </c>
      <c r="B859" s="5">
        <f t="shared" si="23"/>
        <v>59.28999999999958</v>
      </c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>
        <f>0.000001*('Design Worksheet_BAT'!B$88)*(B859-B858)/E$232+M858</f>
        <v>2.2167019419748655E-4</v>
      </c>
      <c r="N859" s="5">
        <f t="shared" si="24"/>
        <v>59.28999999999958</v>
      </c>
    </row>
    <row r="860" spans="1:14" x14ac:dyDescent="0.3">
      <c r="A860" s="5">
        <v>4.23999999999997</v>
      </c>
      <c r="B860" s="5">
        <f t="shared" si="23"/>
        <v>59.35999999999958</v>
      </c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>
        <f>0.000001*('Design Worksheet_BAT'!B$88)*(B860-B859)/E$232+M859</f>
        <v>2.2187140192695516E-4</v>
      </c>
      <c r="N860" s="5">
        <f t="shared" si="24"/>
        <v>59.35999999999958</v>
      </c>
    </row>
    <row r="861" spans="1:14" x14ac:dyDescent="0.3">
      <c r="A861" s="5">
        <v>4.2449999999999699</v>
      </c>
      <c r="B861" s="5">
        <f t="shared" si="23"/>
        <v>59.42999999999958</v>
      </c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>
        <f>0.000001*('Design Worksheet_BAT'!B$88)*(B861-B860)/E$232+M860</f>
        <v>2.2207260965642376E-4</v>
      </c>
      <c r="N861" s="5">
        <f t="shared" si="24"/>
        <v>59.42999999999958</v>
      </c>
    </row>
    <row r="862" spans="1:14" x14ac:dyDescent="0.3">
      <c r="A862" s="5">
        <v>4.2499999999999698</v>
      </c>
      <c r="B862" s="5">
        <f t="shared" si="23"/>
        <v>59.499999999999574</v>
      </c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>
        <f>0.000001*('Design Worksheet_BAT'!B$88)*(B862-B861)/E$232+M861</f>
        <v>2.2227381738589233E-4</v>
      </c>
      <c r="N862" s="5">
        <f t="shared" si="24"/>
        <v>59.499999999999574</v>
      </c>
    </row>
    <row r="863" spans="1:14" x14ac:dyDescent="0.3">
      <c r="A863" s="5">
        <v>4.2549999999999697</v>
      </c>
      <c r="B863" s="5">
        <f t="shared" si="23"/>
        <v>59.569999999999574</v>
      </c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>
        <f>0.000001*('Design Worksheet_BAT'!B$88)*(B863-B862)/E$232+M862</f>
        <v>2.2247502511536094E-4</v>
      </c>
      <c r="N863" s="5">
        <f t="shared" si="24"/>
        <v>59.569999999999574</v>
      </c>
    </row>
    <row r="864" spans="1:14" x14ac:dyDescent="0.3">
      <c r="A864" s="5">
        <v>4.2599999999999696</v>
      </c>
      <c r="B864" s="5">
        <f t="shared" si="23"/>
        <v>59.639999999999574</v>
      </c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>
        <f>0.000001*('Design Worksheet_BAT'!B$88)*(B864-B863)/E$232+M863</f>
        <v>2.2267623284482954E-4</v>
      </c>
      <c r="N864" s="5">
        <f t="shared" si="24"/>
        <v>59.639999999999574</v>
      </c>
    </row>
    <row r="865" spans="1:14" x14ac:dyDescent="0.3">
      <c r="A865" s="5">
        <v>4.2649999999999704</v>
      </c>
      <c r="B865" s="5">
        <f t="shared" si="23"/>
        <v>59.709999999999582</v>
      </c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>
        <f>0.000001*('Design Worksheet_BAT'!B$88)*(B865-B864)/E$232+M864</f>
        <v>2.2287744057429817E-4</v>
      </c>
      <c r="N865" s="5">
        <f t="shared" si="24"/>
        <v>59.709999999999582</v>
      </c>
    </row>
    <row r="866" spans="1:14" x14ac:dyDescent="0.3">
      <c r="A866" s="5">
        <v>4.2699999999999703</v>
      </c>
      <c r="B866" s="5">
        <f t="shared" si="23"/>
        <v>59.779999999999582</v>
      </c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>
        <f>0.000001*('Design Worksheet_BAT'!B$88)*(B866-B865)/E$232+M865</f>
        <v>2.2307864830376677E-4</v>
      </c>
      <c r="N866" s="5">
        <f t="shared" si="24"/>
        <v>59.779999999999582</v>
      </c>
    </row>
    <row r="867" spans="1:14" x14ac:dyDescent="0.3">
      <c r="A867" s="5">
        <v>4.2749999999999702</v>
      </c>
      <c r="B867" s="5">
        <f t="shared" si="23"/>
        <v>59.849999999999582</v>
      </c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>
        <f>0.000001*('Design Worksheet_BAT'!B$88)*(B867-B866)/E$232+M866</f>
        <v>2.2327985603323537E-4</v>
      </c>
      <c r="N867" s="5">
        <f t="shared" si="24"/>
        <v>59.849999999999582</v>
      </c>
    </row>
    <row r="868" spans="1:14" x14ac:dyDescent="0.3">
      <c r="A868" s="5">
        <v>4.2799999999999701</v>
      </c>
      <c r="B868" s="5">
        <f t="shared" si="23"/>
        <v>59.919999999999582</v>
      </c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>
        <f>0.000001*('Design Worksheet_BAT'!B$88)*(B868-B867)/E$232+M867</f>
        <v>2.2348106376270398E-4</v>
      </c>
      <c r="N868" s="5">
        <f t="shared" si="24"/>
        <v>59.919999999999582</v>
      </c>
    </row>
    <row r="869" spans="1:14" x14ac:dyDescent="0.3">
      <c r="A869" s="5">
        <v>4.2849999999999699</v>
      </c>
      <c r="B869" s="5">
        <f t="shared" si="23"/>
        <v>59.989999999999583</v>
      </c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>
        <f>0.000001*('Design Worksheet_BAT'!B$88)*(B869-B868)/E$232+M868</f>
        <v>2.2368227149217258E-4</v>
      </c>
      <c r="N869" s="5">
        <f t="shared" si="24"/>
        <v>59.989999999999583</v>
      </c>
    </row>
    <row r="870" spans="1:14" x14ac:dyDescent="0.3">
      <c r="A870" s="5">
        <v>4.2899999999999698</v>
      </c>
      <c r="B870" s="5">
        <f t="shared" si="23"/>
        <v>60.059999999999576</v>
      </c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>
        <f>0.000001*('Design Worksheet_BAT'!B$88)*(B870-B869)/E$232+M869</f>
        <v>2.2388347922164115E-4</v>
      </c>
      <c r="N870" s="5">
        <f t="shared" si="24"/>
        <v>60.059999999999576</v>
      </c>
    </row>
    <row r="871" spans="1:14" x14ac:dyDescent="0.3">
      <c r="A871" s="5">
        <v>4.2949999999999697</v>
      </c>
      <c r="B871" s="5">
        <f t="shared" si="23"/>
        <v>60.129999999999576</v>
      </c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>
        <f>0.000001*('Design Worksheet_BAT'!B$88)*(B871-B870)/E$232+M870</f>
        <v>2.2408468695110976E-4</v>
      </c>
      <c r="N871" s="5">
        <f t="shared" si="24"/>
        <v>60.129999999999576</v>
      </c>
    </row>
    <row r="872" spans="1:14" x14ac:dyDescent="0.3">
      <c r="A872" s="5">
        <v>4.2999999999999696</v>
      </c>
      <c r="B872" s="5">
        <f t="shared" si="23"/>
        <v>60.199999999999577</v>
      </c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>
        <f>0.000001*('Design Worksheet_BAT'!B$88)*(B872-B871)/E$232+M871</f>
        <v>2.2428589468057836E-4</v>
      </c>
      <c r="N872" s="5">
        <f t="shared" si="24"/>
        <v>60.199999999999577</v>
      </c>
    </row>
    <row r="873" spans="1:14" x14ac:dyDescent="0.3">
      <c r="A873" s="5">
        <v>4.3049999999999704</v>
      </c>
      <c r="B873" s="5">
        <f t="shared" ref="B873:B936" si="25">A873*VOFLB</f>
        <v>60.269999999999584</v>
      </c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>
        <f>0.000001*('Design Worksheet_BAT'!B$88)*(B873-B872)/E$232+M872</f>
        <v>2.2448710241004699E-4</v>
      </c>
      <c r="N873" s="5">
        <f t="shared" si="24"/>
        <v>60.269999999999584</v>
      </c>
    </row>
    <row r="874" spans="1:14" x14ac:dyDescent="0.3">
      <c r="A874" s="5">
        <v>4.3099999999999703</v>
      </c>
      <c r="B874" s="5">
        <f t="shared" si="25"/>
        <v>60.339999999999584</v>
      </c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>
        <f>0.000001*('Design Worksheet_BAT'!B$88)*(B874-B873)/E$232+M873</f>
        <v>2.2468831013951559E-4</v>
      </c>
      <c r="N874" s="5">
        <f t="shared" si="24"/>
        <v>60.339999999999584</v>
      </c>
    </row>
    <row r="875" spans="1:14" x14ac:dyDescent="0.3">
      <c r="A875" s="5">
        <v>4.3149999999999702</v>
      </c>
      <c r="B875" s="5">
        <f t="shared" si="25"/>
        <v>60.409999999999584</v>
      </c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>
        <f>0.000001*('Design Worksheet_BAT'!B$88)*(B875-B874)/E$232+M874</f>
        <v>2.2488951786898419E-4</v>
      </c>
      <c r="N875" s="5">
        <f t="shared" si="24"/>
        <v>60.409999999999584</v>
      </c>
    </row>
    <row r="876" spans="1:14" x14ac:dyDescent="0.3">
      <c r="A876" s="5">
        <v>4.3199999999999701</v>
      </c>
      <c r="B876" s="5">
        <f t="shared" si="25"/>
        <v>60.479999999999578</v>
      </c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>
        <f>0.000001*('Design Worksheet_BAT'!B$88)*(B876-B875)/E$232+M875</f>
        <v>2.2509072559845277E-4</v>
      </c>
      <c r="N876" s="5">
        <f t="shared" ref="N876:N939" si="26">B876</f>
        <v>60.479999999999578</v>
      </c>
    </row>
    <row r="877" spans="1:14" x14ac:dyDescent="0.3">
      <c r="A877" s="5">
        <v>4.32499999999997</v>
      </c>
      <c r="B877" s="5">
        <f t="shared" si="25"/>
        <v>60.549999999999578</v>
      </c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>
        <f>0.000001*('Design Worksheet_BAT'!B$88)*(B877-B876)/E$232+M876</f>
        <v>2.2529193332792137E-4</v>
      </c>
      <c r="N877" s="5">
        <f t="shared" si="26"/>
        <v>60.549999999999578</v>
      </c>
    </row>
    <row r="878" spans="1:14" x14ac:dyDescent="0.3">
      <c r="A878" s="5">
        <v>4.3299999999999699</v>
      </c>
      <c r="B878" s="5">
        <f t="shared" si="25"/>
        <v>60.619999999999578</v>
      </c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>
        <f>0.000001*('Design Worksheet_BAT'!B$88)*(B878-B877)/E$232+M877</f>
        <v>2.2549314105738998E-4</v>
      </c>
      <c r="N878" s="5">
        <f t="shared" si="26"/>
        <v>60.619999999999578</v>
      </c>
    </row>
    <row r="879" spans="1:14" x14ac:dyDescent="0.3">
      <c r="A879" s="5">
        <v>4.3349999999999698</v>
      </c>
      <c r="B879" s="5">
        <f t="shared" si="25"/>
        <v>60.689999999999579</v>
      </c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>
        <f>0.000001*('Design Worksheet_BAT'!B$88)*(B879-B878)/E$232+M878</f>
        <v>2.2569434878685858E-4</v>
      </c>
      <c r="N879" s="5">
        <f t="shared" si="26"/>
        <v>60.689999999999579</v>
      </c>
    </row>
    <row r="880" spans="1:14" x14ac:dyDescent="0.3">
      <c r="A880" s="5">
        <v>4.3399999999999697</v>
      </c>
      <c r="B880" s="5">
        <f t="shared" si="25"/>
        <v>60.759999999999579</v>
      </c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>
        <f>0.000001*('Design Worksheet_BAT'!B$88)*(B880-B879)/E$232+M879</f>
        <v>2.2589555651632718E-4</v>
      </c>
      <c r="N880" s="5">
        <f t="shared" si="26"/>
        <v>60.759999999999579</v>
      </c>
    </row>
    <row r="881" spans="1:14" x14ac:dyDescent="0.3">
      <c r="A881" s="5">
        <v>4.3449999999999704</v>
      </c>
      <c r="B881" s="5">
        <f t="shared" si="25"/>
        <v>60.829999999999586</v>
      </c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>
        <f>0.000001*('Design Worksheet_BAT'!B$88)*(B881-B880)/E$232+M880</f>
        <v>2.2609676424579581E-4</v>
      </c>
      <c r="N881" s="5">
        <f t="shared" si="26"/>
        <v>60.829999999999586</v>
      </c>
    </row>
    <row r="882" spans="1:14" x14ac:dyDescent="0.3">
      <c r="A882" s="5">
        <v>4.3499999999999703</v>
      </c>
      <c r="B882" s="5">
        <f t="shared" si="25"/>
        <v>60.899999999999586</v>
      </c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>
        <f>0.000001*('Design Worksheet_BAT'!B$88)*(B882-B881)/E$232+M881</f>
        <v>2.2629797197526441E-4</v>
      </c>
      <c r="N882" s="5">
        <f t="shared" si="26"/>
        <v>60.899999999999586</v>
      </c>
    </row>
    <row r="883" spans="1:14" x14ac:dyDescent="0.3">
      <c r="A883" s="5">
        <v>4.3549999999999702</v>
      </c>
      <c r="B883" s="5">
        <f t="shared" si="25"/>
        <v>60.969999999999587</v>
      </c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>
        <f>0.000001*('Design Worksheet_BAT'!B$88)*(B883-B882)/E$232+M882</f>
        <v>2.2649917970473302E-4</v>
      </c>
      <c r="N883" s="5">
        <f t="shared" si="26"/>
        <v>60.969999999999587</v>
      </c>
    </row>
    <row r="884" spans="1:14" x14ac:dyDescent="0.3">
      <c r="A884" s="5">
        <v>4.3599999999999701</v>
      </c>
      <c r="B884" s="5">
        <f t="shared" si="25"/>
        <v>61.03999999999958</v>
      </c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>
        <f>0.000001*('Design Worksheet_BAT'!B$88)*(B884-B883)/E$232+M883</f>
        <v>2.2670038743420159E-4</v>
      </c>
      <c r="N884" s="5">
        <f t="shared" si="26"/>
        <v>61.03999999999958</v>
      </c>
    </row>
    <row r="885" spans="1:14" x14ac:dyDescent="0.3">
      <c r="A885" s="5">
        <v>4.36499999999997</v>
      </c>
      <c r="B885" s="5">
        <f t="shared" si="25"/>
        <v>61.10999999999958</v>
      </c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>
        <f>0.000001*('Design Worksheet_BAT'!B$88)*(B885-B884)/E$232+M884</f>
        <v>2.2690159516367019E-4</v>
      </c>
      <c r="N885" s="5">
        <f t="shared" si="26"/>
        <v>61.10999999999958</v>
      </c>
    </row>
    <row r="886" spans="1:14" x14ac:dyDescent="0.3">
      <c r="A886" s="5">
        <v>4.3699999999999699</v>
      </c>
      <c r="B886" s="5">
        <f t="shared" si="25"/>
        <v>61.17999999999958</v>
      </c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>
        <f>0.000001*('Design Worksheet_BAT'!B$88)*(B886-B885)/E$232+M885</f>
        <v>2.271028028931388E-4</v>
      </c>
      <c r="N886" s="5">
        <f t="shared" si="26"/>
        <v>61.17999999999958</v>
      </c>
    </row>
    <row r="887" spans="1:14" x14ac:dyDescent="0.3">
      <c r="A887" s="5">
        <v>4.3749999999999698</v>
      </c>
      <c r="B887" s="5">
        <f t="shared" si="25"/>
        <v>61.249999999999574</v>
      </c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>
        <f>0.000001*('Design Worksheet_BAT'!B$88)*(B887-B886)/E$232+M886</f>
        <v>2.2730401062260737E-4</v>
      </c>
      <c r="N887" s="5">
        <f t="shared" si="26"/>
        <v>61.249999999999574</v>
      </c>
    </row>
    <row r="888" spans="1:14" x14ac:dyDescent="0.3">
      <c r="A888" s="5">
        <v>4.3799999999999697</v>
      </c>
      <c r="B888" s="5">
        <f t="shared" si="25"/>
        <v>61.319999999999574</v>
      </c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>
        <f>0.000001*('Design Worksheet_BAT'!B$88)*(B888-B887)/E$232+M887</f>
        <v>2.2750521835207597E-4</v>
      </c>
      <c r="N888" s="5">
        <f t="shared" si="26"/>
        <v>61.319999999999574</v>
      </c>
    </row>
    <row r="889" spans="1:14" x14ac:dyDescent="0.3">
      <c r="A889" s="5">
        <v>4.3849999999999696</v>
      </c>
      <c r="B889" s="5">
        <f t="shared" si="25"/>
        <v>61.389999999999574</v>
      </c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>
        <f>0.000001*('Design Worksheet_BAT'!B$88)*(B889-B888)/E$232+M888</f>
        <v>2.2770642608154458E-4</v>
      </c>
      <c r="N889" s="5">
        <f t="shared" si="26"/>
        <v>61.389999999999574</v>
      </c>
    </row>
    <row r="890" spans="1:14" x14ac:dyDescent="0.3">
      <c r="A890" s="5">
        <v>4.3899999999999704</v>
      </c>
      <c r="B890" s="5">
        <f t="shared" si="25"/>
        <v>61.459999999999582</v>
      </c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>
        <f>0.000001*('Design Worksheet_BAT'!B$88)*(B890-B889)/E$232+M889</f>
        <v>2.2790763381101321E-4</v>
      </c>
      <c r="N890" s="5">
        <f t="shared" si="26"/>
        <v>61.459999999999582</v>
      </c>
    </row>
    <row r="891" spans="1:14" x14ac:dyDescent="0.3">
      <c r="A891" s="5">
        <v>4.3949999999999703</v>
      </c>
      <c r="B891" s="5">
        <f t="shared" si="25"/>
        <v>61.529999999999582</v>
      </c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>
        <f>0.000001*('Design Worksheet_BAT'!B$88)*(B891-B890)/E$232+M890</f>
        <v>2.2810884154048181E-4</v>
      </c>
      <c r="N891" s="5">
        <f t="shared" si="26"/>
        <v>61.529999999999582</v>
      </c>
    </row>
    <row r="892" spans="1:14" x14ac:dyDescent="0.3">
      <c r="A892" s="5">
        <v>4.3999999999999702</v>
      </c>
      <c r="B892" s="5">
        <f t="shared" si="25"/>
        <v>61.599999999999582</v>
      </c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>
        <f>0.000001*('Design Worksheet_BAT'!B$88)*(B892-B891)/E$232+M891</f>
        <v>2.2831004926995041E-4</v>
      </c>
      <c r="N892" s="5">
        <f t="shared" si="26"/>
        <v>61.599999999999582</v>
      </c>
    </row>
    <row r="893" spans="1:14" x14ac:dyDescent="0.3">
      <c r="A893" s="5">
        <v>4.4049999999999701</v>
      </c>
      <c r="B893" s="5">
        <f t="shared" si="25"/>
        <v>61.669999999999582</v>
      </c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>
        <f>0.000001*('Design Worksheet_BAT'!B$88)*(B893-B892)/E$232+M892</f>
        <v>2.2851125699941901E-4</v>
      </c>
      <c r="N893" s="5">
        <f t="shared" si="26"/>
        <v>61.669999999999582</v>
      </c>
    </row>
    <row r="894" spans="1:14" x14ac:dyDescent="0.3">
      <c r="A894" s="5">
        <v>4.4099999999999699</v>
      </c>
      <c r="B894" s="5">
        <f t="shared" si="25"/>
        <v>61.739999999999583</v>
      </c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>
        <f>0.000001*('Design Worksheet_BAT'!B$88)*(B894-B893)/E$232+M893</f>
        <v>2.2871246472888762E-4</v>
      </c>
      <c r="N894" s="5">
        <f t="shared" si="26"/>
        <v>61.739999999999583</v>
      </c>
    </row>
    <row r="895" spans="1:14" x14ac:dyDescent="0.3">
      <c r="A895" s="5">
        <v>4.4149999999999698</v>
      </c>
      <c r="B895" s="5">
        <f t="shared" si="25"/>
        <v>61.809999999999576</v>
      </c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>
        <f>0.000001*('Design Worksheet_BAT'!B$88)*(B895-B894)/E$232+M894</f>
        <v>2.2891367245835619E-4</v>
      </c>
      <c r="N895" s="5">
        <f t="shared" si="26"/>
        <v>61.809999999999576</v>
      </c>
    </row>
    <row r="896" spans="1:14" x14ac:dyDescent="0.3">
      <c r="A896" s="5">
        <v>4.4199999999999697</v>
      </c>
      <c r="B896" s="5">
        <f t="shared" si="25"/>
        <v>61.879999999999576</v>
      </c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>
        <f>0.000001*('Design Worksheet_BAT'!B$88)*(B896-B895)/E$232+M895</f>
        <v>2.291148801878248E-4</v>
      </c>
      <c r="N896" s="5">
        <f t="shared" si="26"/>
        <v>61.879999999999576</v>
      </c>
    </row>
    <row r="897" spans="1:14" x14ac:dyDescent="0.3">
      <c r="A897" s="5">
        <v>4.4249999999999696</v>
      </c>
      <c r="B897" s="5">
        <f t="shared" si="25"/>
        <v>61.949999999999577</v>
      </c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>
        <f>0.000001*('Design Worksheet_BAT'!B$88)*(B897-B896)/E$232+M896</f>
        <v>2.293160879172934E-4</v>
      </c>
      <c r="N897" s="5">
        <f t="shared" si="26"/>
        <v>61.949999999999577</v>
      </c>
    </row>
    <row r="898" spans="1:14" x14ac:dyDescent="0.3">
      <c r="A898" s="5">
        <v>4.4299999999999704</v>
      </c>
      <c r="B898" s="5">
        <f t="shared" si="25"/>
        <v>62.019999999999584</v>
      </c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>
        <f>0.000001*('Design Worksheet_BAT'!B$88)*(B898-B897)/E$232+M897</f>
        <v>2.2951729564676203E-4</v>
      </c>
      <c r="N898" s="5">
        <f t="shared" si="26"/>
        <v>62.019999999999584</v>
      </c>
    </row>
    <row r="899" spans="1:14" x14ac:dyDescent="0.3">
      <c r="A899" s="5">
        <v>4.4349999999999703</v>
      </c>
      <c r="B899" s="5">
        <f t="shared" si="25"/>
        <v>62.089999999999584</v>
      </c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>
        <f>0.000001*('Design Worksheet_BAT'!B$88)*(B899-B898)/E$232+M898</f>
        <v>2.2971850337623063E-4</v>
      </c>
      <c r="N899" s="5">
        <f t="shared" si="26"/>
        <v>62.089999999999584</v>
      </c>
    </row>
    <row r="900" spans="1:14" x14ac:dyDescent="0.3">
      <c r="A900" s="5">
        <v>4.4399999999999702</v>
      </c>
      <c r="B900" s="5">
        <f t="shared" si="25"/>
        <v>62.159999999999584</v>
      </c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>
        <f>0.000001*('Design Worksheet_BAT'!B$88)*(B900-B899)/E$232+M899</f>
        <v>2.2991971110569923E-4</v>
      </c>
      <c r="N900" s="5">
        <f t="shared" si="26"/>
        <v>62.159999999999584</v>
      </c>
    </row>
    <row r="901" spans="1:14" x14ac:dyDescent="0.3">
      <c r="A901" s="5">
        <v>4.4449999999999701</v>
      </c>
      <c r="B901" s="5">
        <f t="shared" si="25"/>
        <v>62.229999999999578</v>
      </c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>
        <f>0.000001*('Design Worksheet_BAT'!B$88)*(B901-B900)/E$232+M900</f>
        <v>2.3012091883516781E-4</v>
      </c>
      <c r="N901" s="5">
        <f t="shared" si="26"/>
        <v>62.229999999999578</v>
      </c>
    </row>
    <row r="902" spans="1:14" x14ac:dyDescent="0.3">
      <c r="A902" s="5">
        <v>4.44999999999997</v>
      </c>
      <c r="B902" s="5">
        <f t="shared" si="25"/>
        <v>62.299999999999578</v>
      </c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>
        <f>0.000001*('Design Worksheet_BAT'!B$88)*(B902-B901)/E$232+M901</f>
        <v>2.3032212656463641E-4</v>
      </c>
      <c r="N902" s="5">
        <f t="shared" si="26"/>
        <v>62.299999999999578</v>
      </c>
    </row>
    <row r="903" spans="1:14" x14ac:dyDescent="0.3">
      <c r="A903" s="5">
        <v>4.4549999999999699</v>
      </c>
      <c r="B903" s="5">
        <f t="shared" si="25"/>
        <v>62.369999999999578</v>
      </c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>
        <f>0.000001*('Design Worksheet_BAT'!B$88)*(B903-B902)/E$232+M902</f>
        <v>2.3052333429410501E-4</v>
      </c>
      <c r="N903" s="5">
        <f t="shared" si="26"/>
        <v>62.369999999999578</v>
      </c>
    </row>
    <row r="904" spans="1:14" x14ac:dyDescent="0.3">
      <c r="A904" s="5">
        <v>4.4599999999999698</v>
      </c>
      <c r="B904" s="5">
        <f t="shared" si="25"/>
        <v>62.439999999999579</v>
      </c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>
        <f>0.000001*('Design Worksheet_BAT'!B$88)*(B904-B903)/E$232+M903</f>
        <v>2.3072454202357362E-4</v>
      </c>
      <c r="N904" s="5">
        <f t="shared" si="26"/>
        <v>62.439999999999579</v>
      </c>
    </row>
    <row r="905" spans="1:14" x14ac:dyDescent="0.3">
      <c r="A905" s="5">
        <v>4.4649999999999697</v>
      </c>
      <c r="B905" s="5">
        <f t="shared" si="25"/>
        <v>62.509999999999579</v>
      </c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>
        <f>0.000001*('Design Worksheet_BAT'!B$88)*(B905-B904)/E$232+M904</f>
        <v>2.3092574975304222E-4</v>
      </c>
      <c r="N905" s="5">
        <f t="shared" si="26"/>
        <v>62.509999999999579</v>
      </c>
    </row>
    <row r="906" spans="1:14" x14ac:dyDescent="0.3">
      <c r="A906" s="5">
        <v>4.4699999999999704</v>
      </c>
      <c r="B906" s="5">
        <f t="shared" si="25"/>
        <v>62.579999999999586</v>
      </c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>
        <f>0.000001*('Design Worksheet_BAT'!B$88)*(B906-B905)/E$232+M905</f>
        <v>2.3112695748251085E-4</v>
      </c>
      <c r="N906" s="5">
        <f t="shared" si="26"/>
        <v>62.579999999999586</v>
      </c>
    </row>
    <row r="907" spans="1:14" x14ac:dyDescent="0.3">
      <c r="A907" s="5">
        <v>4.4749999999999703</v>
      </c>
      <c r="B907" s="5">
        <f t="shared" si="25"/>
        <v>62.649999999999586</v>
      </c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>
        <f>0.000001*('Design Worksheet_BAT'!B$88)*(B907-B906)/E$232+M906</f>
        <v>2.3132816521197945E-4</v>
      </c>
      <c r="N907" s="5">
        <f t="shared" si="26"/>
        <v>62.649999999999586</v>
      </c>
    </row>
    <row r="908" spans="1:14" x14ac:dyDescent="0.3">
      <c r="A908" s="5">
        <v>4.4799999999999702</v>
      </c>
      <c r="B908" s="5">
        <f t="shared" si="25"/>
        <v>62.719999999999587</v>
      </c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>
        <f>0.000001*('Design Worksheet_BAT'!B$88)*(B908-B907)/E$232+M907</f>
        <v>2.3152937294144805E-4</v>
      </c>
      <c r="N908" s="5">
        <f t="shared" si="26"/>
        <v>62.719999999999587</v>
      </c>
    </row>
    <row r="909" spans="1:14" x14ac:dyDescent="0.3">
      <c r="A909" s="5">
        <v>4.4849999999999701</v>
      </c>
      <c r="B909" s="5">
        <f t="shared" si="25"/>
        <v>62.78999999999958</v>
      </c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>
        <f>0.000001*('Design Worksheet_BAT'!B$88)*(B909-B908)/E$232+M908</f>
        <v>2.3173058067091663E-4</v>
      </c>
      <c r="N909" s="5">
        <f t="shared" si="26"/>
        <v>62.78999999999958</v>
      </c>
    </row>
    <row r="910" spans="1:14" x14ac:dyDescent="0.3">
      <c r="A910" s="5">
        <v>4.48999999999997</v>
      </c>
      <c r="B910" s="5">
        <f t="shared" si="25"/>
        <v>62.85999999999958</v>
      </c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>
        <f>0.000001*('Design Worksheet_BAT'!B$88)*(B910-B909)/E$232+M909</f>
        <v>2.3193178840038523E-4</v>
      </c>
      <c r="N910" s="5">
        <f t="shared" si="26"/>
        <v>62.85999999999958</v>
      </c>
    </row>
    <row r="911" spans="1:14" x14ac:dyDescent="0.3">
      <c r="A911" s="5">
        <v>4.4949999999999699</v>
      </c>
      <c r="B911" s="5">
        <f t="shared" si="25"/>
        <v>62.92999999999958</v>
      </c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>
        <f>0.000001*('Design Worksheet_BAT'!B$88)*(B911-B910)/E$232+M910</f>
        <v>2.3213299612985383E-4</v>
      </c>
      <c r="N911" s="5">
        <f t="shared" si="26"/>
        <v>62.92999999999958</v>
      </c>
    </row>
    <row r="912" spans="1:14" x14ac:dyDescent="0.3">
      <c r="A912" s="5">
        <v>4.4999999999999698</v>
      </c>
      <c r="B912" s="5">
        <f t="shared" si="25"/>
        <v>62.999999999999574</v>
      </c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>
        <f>0.000001*('Design Worksheet_BAT'!B$88)*(B912-B911)/E$232+M911</f>
        <v>2.3233420385932241E-4</v>
      </c>
      <c r="N912" s="5">
        <f t="shared" si="26"/>
        <v>62.999999999999574</v>
      </c>
    </row>
    <row r="913" spans="1:14" x14ac:dyDescent="0.3">
      <c r="A913" s="5">
        <v>4.5049999999999697</v>
      </c>
      <c r="B913" s="5">
        <f t="shared" si="25"/>
        <v>63.069999999999574</v>
      </c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>
        <f>0.000001*('Design Worksheet_BAT'!B$88)*(B913-B912)/E$232+M912</f>
        <v>2.3253541158879101E-4</v>
      </c>
      <c r="N913" s="5">
        <f t="shared" si="26"/>
        <v>63.069999999999574</v>
      </c>
    </row>
    <row r="914" spans="1:14" x14ac:dyDescent="0.3">
      <c r="A914" s="5">
        <v>4.5099999999999696</v>
      </c>
      <c r="B914" s="5">
        <f t="shared" si="25"/>
        <v>63.139999999999574</v>
      </c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>
        <f>0.000001*('Design Worksheet_BAT'!B$88)*(B914-B913)/E$232+M913</f>
        <v>2.3273661931825962E-4</v>
      </c>
      <c r="N914" s="5">
        <f t="shared" si="26"/>
        <v>63.139999999999574</v>
      </c>
    </row>
    <row r="915" spans="1:14" x14ac:dyDescent="0.3">
      <c r="A915" s="5">
        <v>4.5149999999999704</v>
      </c>
      <c r="B915" s="5">
        <f t="shared" si="25"/>
        <v>63.209999999999582</v>
      </c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>
        <f>0.000001*('Design Worksheet_BAT'!B$88)*(B915-B914)/E$232+M914</f>
        <v>2.3293782704772824E-4</v>
      </c>
      <c r="N915" s="5">
        <f t="shared" si="26"/>
        <v>63.209999999999582</v>
      </c>
    </row>
    <row r="916" spans="1:14" x14ac:dyDescent="0.3">
      <c r="A916" s="5">
        <v>4.5199999999999703</v>
      </c>
      <c r="B916" s="5">
        <f t="shared" si="25"/>
        <v>63.279999999999582</v>
      </c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>
        <f>0.000001*('Design Worksheet_BAT'!B$88)*(B916-B915)/E$232+M915</f>
        <v>2.3313903477719685E-4</v>
      </c>
      <c r="N916" s="5">
        <f t="shared" si="26"/>
        <v>63.279999999999582</v>
      </c>
    </row>
    <row r="917" spans="1:14" x14ac:dyDescent="0.3">
      <c r="A917" s="5">
        <v>4.5249999999999702</v>
      </c>
      <c r="B917" s="5">
        <f t="shared" si="25"/>
        <v>63.349999999999582</v>
      </c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>
        <f>0.000001*('Design Worksheet_BAT'!B$88)*(B917-B916)/E$232+M916</f>
        <v>2.3334024250666545E-4</v>
      </c>
      <c r="N917" s="5">
        <f t="shared" si="26"/>
        <v>63.349999999999582</v>
      </c>
    </row>
    <row r="918" spans="1:14" x14ac:dyDescent="0.3">
      <c r="A918" s="5">
        <v>4.5299999999999701</v>
      </c>
      <c r="B918" s="5">
        <f t="shared" si="25"/>
        <v>63.419999999999582</v>
      </c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>
        <f>0.000001*('Design Worksheet_BAT'!B$88)*(B918-B917)/E$232+M917</f>
        <v>2.3354145023613405E-4</v>
      </c>
      <c r="N918" s="5">
        <f t="shared" si="26"/>
        <v>63.419999999999582</v>
      </c>
    </row>
    <row r="919" spans="1:14" x14ac:dyDescent="0.3">
      <c r="A919" s="5">
        <v>4.5349999999999699</v>
      </c>
      <c r="B919" s="5">
        <f t="shared" si="25"/>
        <v>63.489999999999583</v>
      </c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>
        <f>0.000001*('Design Worksheet_BAT'!B$88)*(B919-B918)/E$232+M918</f>
        <v>2.3374265796560266E-4</v>
      </c>
      <c r="N919" s="5">
        <f t="shared" si="26"/>
        <v>63.489999999999583</v>
      </c>
    </row>
    <row r="920" spans="1:14" x14ac:dyDescent="0.3">
      <c r="A920" s="5">
        <v>4.5399999999999698</v>
      </c>
      <c r="B920" s="5">
        <f t="shared" si="25"/>
        <v>63.559999999999576</v>
      </c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>
        <f>0.000001*('Design Worksheet_BAT'!B$88)*(B920-B919)/E$232+M919</f>
        <v>2.3394386569507123E-4</v>
      </c>
      <c r="N920" s="5">
        <f t="shared" si="26"/>
        <v>63.559999999999576</v>
      </c>
    </row>
    <row r="921" spans="1:14" x14ac:dyDescent="0.3">
      <c r="A921" s="5">
        <v>4.5449999999999697</v>
      </c>
      <c r="B921" s="5">
        <f t="shared" si="25"/>
        <v>63.629999999999576</v>
      </c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>
        <f>0.000001*('Design Worksheet_BAT'!B$88)*(B921-B920)/E$232+M920</f>
        <v>2.3414507342453983E-4</v>
      </c>
      <c r="N921" s="5">
        <f t="shared" si="26"/>
        <v>63.629999999999576</v>
      </c>
    </row>
    <row r="922" spans="1:14" x14ac:dyDescent="0.3">
      <c r="A922" s="5">
        <v>4.5499999999999696</v>
      </c>
      <c r="B922" s="5">
        <f t="shared" si="25"/>
        <v>63.699999999999577</v>
      </c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>
        <f>0.000001*('Design Worksheet_BAT'!B$88)*(B922-B921)/E$232+M921</f>
        <v>2.3434628115400844E-4</v>
      </c>
      <c r="N922" s="5">
        <f t="shared" si="26"/>
        <v>63.699999999999577</v>
      </c>
    </row>
    <row r="923" spans="1:14" x14ac:dyDescent="0.3">
      <c r="A923" s="5">
        <v>4.5549999999999704</v>
      </c>
      <c r="B923" s="5">
        <f t="shared" si="25"/>
        <v>63.769999999999584</v>
      </c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>
        <f>0.000001*('Design Worksheet_BAT'!B$88)*(B923-B922)/E$232+M922</f>
        <v>2.3454748888347707E-4</v>
      </c>
      <c r="N923" s="5">
        <f t="shared" si="26"/>
        <v>63.769999999999584</v>
      </c>
    </row>
    <row r="924" spans="1:14" x14ac:dyDescent="0.3">
      <c r="A924" s="5">
        <v>4.5599999999999703</v>
      </c>
      <c r="B924" s="5">
        <f t="shared" si="25"/>
        <v>63.839999999999584</v>
      </c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>
        <f>0.000001*('Design Worksheet_BAT'!B$88)*(B924-B923)/E$232+M923</f>
        <v>2.3474869661294567E-4</v>
      </c>
      <c r="N924" s="5">
        <f t="shared" si="26"/>
        <v>63.839999999999584</v>
      </c>
    </row>
    <row r="925" spans="1:14" x14ac:dyDescent="0.3">
      <c r="A925" s="5">
        <v>4.5649999999999702</v>
      </c>
      <c r="B925" s="5">
        <f t="shared" si="25"/>
        <v>63.909999999999584</v>
      </c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>
        <f>0.000001*('Design Worksheet_BAT'!B$88)*(B925-B924)/E$232+M924</f>
        <v>2.3494990434241427E-4</v>
      </c>
      <c r="N925" s="5">
        <f t="shared" si="26"/>
        <v>63.909999999999584</v>
      </c>
    </row>
    <row r="926" spans="1:14" x14ac:dyDescent="0.3">
      <c r="A926" s="5">
        <v>4.5699999999999701</v>
      </c>
      <c r="B926" s="5">
        <f t="shared" si="25"/>
        <v>63.979999999999578</v>
      </c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>
        <f>0.000001*('Design Worksheet_BAT'!B$88)*(B926-B925)/E$232+M925</f>
        <v>2.3515111207188285E-4</v>
      </c>
      <c r="N926" s="5">
        <f t="shared" si="26"/>
        <v>63.979999999999578</v>
      </c>
    </row>
    <row r="927" spans="1:14" x14ac:dyDescent="0.3">
      <c r="A927" s="5">
        <v>4.57499999999997</v>
      </c>
      <c r="B927" s="5">
        <f t="shared" si="25"/>
        <v>64.049999999999585</v>
      </c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>
        <f>0.000001*('Design Worksheet_BAT'!B$88)*(B927-B926)/E$232+M926</f>
        <v>2.3535231980135148E-4</v>
      </c>
      <c r="N927" s="5">
        <f t="shared" si="26"/>
        <v>64.049999999999585</v>
      </c>
    </row>
    <row r="928" spans="1:14" x14ac:dyDescent="0.3">
      <c r="A928" s="5">
        <v>4.5799999999999699</v>
      </c>
      <c r="B928" s="5">
        <f t="shared" si="25"/>
        <v>64.119999999999578</v>
      </c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>
        <f>0.000001*('Design Worksheet_BAT'!B$88)*(B928-B927)/E$232+M927</f>
        <v>2.3555352753082005E-4</v>
      </c>
      <c r="N928" s="5">
        <f t="shared" si="26"/>
        <v>64.119999999999578</v>
      </c>
    </row>
    <row r="929" spans="1:14" x14ac:dyDescent="0.3">
      <c r="A929" s="5">
        <v>4.5849999999999698</v>
      </c>
      <c r="B929" s="5">
        <f t="shared" si="25"/>
        <v>64.189999999999571</v>
      </c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>
        <f>0.000001*('Design Worksheet_BAT'!B$88)*(B929-B928)/E$232+M928</f>
        <v>2.3575473526028863E-4</v>
      </c>
      <c r="N929" s="5">
        <f t="shared" si="26"/>
        <v>64.189999999999571</v>
      </c>
    </row>
    <row r="930" spans="1:14" x14ac:dyDescent="0.3">
      <c r="A930" s="5">
        <v>4.5899999999999697</v>
      </c>
      <c r="B930" s="5">
        <f t="shared" si="25"/>
        <v>64.259999999999579</v>
      </c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>
        <f>0.000001*('Design Worksheet_BAT'!B$88)*(B930-B929)/E$232+M929</f>
        <v>2.3595594298975726E-4</v>
      </c>
      <c r="N930" s="5">
        <f t="shared" si="26"/>
        <v>64.259999999999579</v>
      </c>
    </row>
    <row r="931" spans="1:14" x14ac:dyDescent="0.3">
      <c r="A931" s="5">
        <v>4.5949999999999704</v>
      </c>
      <c r="B931" s="5">
        <f t="shared" si="25"/>
        <v>64.329999999999586</v>
      </c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>
        <f>0.000001*('Design Worksheet_BAT'!B$88)*(B931-B930)/E$232+M930</f>
        <v>2.3615715071922589E-4</v>
      </c>
      <c r="N931" s="5">
        <f t="shared" si="26"/>
        <v>64.329999999999586</v>
      </c>
    </row>
    <row r="932" spans="1:14" x14ac:dyDescent="0.3">
      <c r="A932" s="5">
        <v>4.5999999999999703</v>
      </c>
      <c r="B932" s="5">
        <f t="shared" si="25"/>
        <v>64.399999999999579</v>
      </c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>
        <f>0.000001*('Design Worksheet_BAT'!B$88)*(B932-B931)/E$232+M931</f>
        <v>2.3635835844869446E-4</v>
      </c>
      <c r="N932" s="5">
        <f t="shared" si="26"/>
        <v>64.399999999999579</v>
      </c>
    </row>
    <row r="933" spans="1:14" x14ac:dyDescent="0.3">
      <c r="A933" s="5">
        <v>4.6049999999999702</v>
      </c>
      <c r="B933" s="5">
        <f t="shared" si="25"/>
        <v>64.469999999999587</v>
      </c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>
        <f>0.000001*('Design Worksheet_BAT'!B$88)*(B933-B932)/E$232+M932</f>
        <v>2.3655956617816309E-4</v>
      </c>
      <c r="N933" s="5">
        <f t="shared" si="26"/>
        <v>64.469999999999587</v>
      </c>
    </row>
    <row r="934" spans="1:14" x14ac:dyDescent="0.3">
      <c r="A934" s="5">
        <v>4.6099999999999701</v>
      </c>
      <c r="B934" s="5">
        <f t="shared" si="25"/>
        <v>64.53999999999958</v>
      </c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>
        <f>0.000001*('Design Worksheet_BAT'!B$88)*(B934-B933)/E$232+M933</f>
        <v>2.3676077390763167E-4</v>
      </c>
      <c r="N934" s="5">
        <f t="shared" si="26"/>
        <v>64.53999999999958</v>
      </c>
    </row>
    <row r="935" spans="1:14" x14ac:dyDescent="0.3">
      <c r="A935" s="5">
        <v>4.61499999999997</v>
      </c>
      <c r="B935" s="5">
        <f t="shared" si="25"/>
        <v>64.609999999999587</v>
      </c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>
        <f>0.000001*('Design Worksheet_BAT'!B$88)*(B935-B934)/E$232+M934</f>
        <v>2.369619816371003E-4</v>
      </c>
      <c r="N935" s="5">
        <f t="shared" si="26"/>
        <v>64.609999999999587</v>
      </c>
    </row>
    <row r="936" spans="1:14" x14ac:dyDescent="0.3">
      <c r="A936" s="5">
        <v>4.6199999999999699</v>
      </c>
      <c r="B936" s="5">
        <f t="shared" si="25"/>
        <v>64.67999999999958</v>
      </c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>
        <f>0.000001*('Design Worksheet_BAT'!B$88)*(B936-B935)/E$232+M935</f>
        <v>2.3716318936656887E-4</v>
      </c>
      <c r="N936" s="5">
        <f t="shared" si="26"/>
        <v>64.67999999999958</v>
      </c>
    </row>
    <row r="937" spans="1:14" x14ac:dyDescent="0.3">
      <c r="A937" s="5">
        <v>4.6249999999999698</v>
      </c>
      <c r="B937" s="5">
        <f t="shared" ref="B937:B1000" si="27">A937*VOFLB</f>
        <v>64.749999999999574</v>
      </c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>
        <f>0.000001*('Design Worksheet_BAT'!B$88)*(B937-B936)/E$232+M936</f>
        <v>2.3736439709603745E-4</v>
      </c>
      <c r="N937" s="5">
        <f t="shared" si="26"/>
        <v>64.749999999999574</v>
      </c>
    </row>
    <row r="938" spans="1:14" x14ac:dyDescent="0.3">
      <c r="A938" s="5">
        <v>4.6299999999999697</v>
      </c>
      <c r="B938" s="5">
        <f t="shared" si="27"/>
        <v>64.819999999999581</v>
      </c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>
        <f>0.000001*('Design Worksheet_BAT'!B$88)*(B938-B937)/E$232+M937</f>
        <v>2.3756560482550608E-4</v>
      </c>
      <c r="N938" s="5">
        <f t="shared" si="26"/>
        <v>64.819999999999581</v>
      </c>
    </row>
    <row r="939" spans="1:14" x14ac:dyDescent="0.3">
      <c r="A939" s="5">
        <v>4.6349999999999696</v>
      </c>
      <c r="B939" s="5">
        <f t="shared" si="27"/>
        <v>64.889999999999574</v>
      </c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>
        <f>0.000001*('Design Worksheet_BAT'!B$88)*(B939-B938)/E$232+M938</f>
        <v>2.3776681255497465E-4</v>
      </c>
      <c r="N939" s="5">
        <f t="shared" si="26"/>
        <v>64.889999999999574</v>
      </c>
    </row>
    <row r="940" spans="1:14" x14ac:dyDescent="0.3">
      <c r="A940" s="5">
        <v>4.6399999999999704</v>
      </c>
      <c r="B940" s="5">
        <f t="shared" si="27"/>
        <v>64.959999999999582</v>
      </c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>
        <f>0.000001*('Design Worksheet_BAT'!B$88)*(B940-B939)/E$232+M939</f>
        <v>2.3796802028444328E-4</v>
      </c>
      <c r="N940" s="5">
        <f t="shared" ref="N940:N999" si="28">B940</f>
        <v>64.959999999999582</v>
      </c>
    </row>
    <row r="941" spans="1:14" x14ac:dyDescent="0.3">
      <c r="A941" s="5">
        <v>4.6449999999999596</v>
      </c>
      <c r="B941" s="5">
        <f t="shared" si="27"/>
        <v>65.029999999999433</v>
      </c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>
        <f>0.000001*('Design Worksheet_BAT'!B$88)*(B941-B940)/E$232+M940</f>
        <v>2.3816922801391145E-4</v>
      </c>
      <c r="N941" s="5">
        <f t="shared" si="28"/>
        <v>65.029999999999433</v>
      </c>
    </row>
    <row r="942" spans="1:14" x14ac:dyDescent="0.3">
      <c r="A942" s="5">
        <v>4.6499999999999604</v>
      </c>
      <c r="B942" s="5">
        <f t="shared" si="27"/>
        <v>65.09999999999944</v>
      </c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>
        <f>0.000001*('Design Worksheet_BAT'!B$88)*(B942-B941)/E$232+M941</f>
        <v>2.3837043574338008E-4</v>
      </c>
      <c r="N942" s="5">
        <f t="shared" si="28"/>
        <v>65.09999999999944</v>
      </c>
    </row>
    <row r="943" spans="1:14" x14ac:dyDescent="0.3">
      <c r="A943" s="5">
        <v>4.6549999999999603</v>
      </c>
      <c r="B943" s="5">
        <f t="shared" si="27"/>
        <v>65.169999999999447</v>
      </c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>
        <f>0.000001*('Design Worksheet_BAT'!B$88)*(B943-B942)/E$232+M942</f>
        <v>2.3857164347284871E-4</v>
      </c>
      <c r="N943" s="5">
        <f t="shared" si="28"/>
        <v>65.169999999999447</v>
      </c>
    </row>
    <row r="944" spans="1:14" x14ac:dyDescent="0.3">
      <c r="A944" s="5">
        <v>4.6599999999999602</v>
      </c>
      <c r="B944" s="5">
        <f t="shared" si="27"/>
        <v>65.239999999999441</v>
      </c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>
        <f>0.000001*('Design Worksheet_BAT'!B$88)*(B944-B943)/E$232+M943</f>
        <v>2.3877285120231729E-4</v>
      </c>
      <c r="N944" s="5">
        <f t="shared" si="28"/>
        <v>65.239999999999441</v>
      </c>
    </row>
    <row r="945" spans="1:14" x14ac:dyDescent="0.3">
      <c r="A945" s="5">
        <v>4.6649999999999601</v>
      </c>
      <c r="B945" s="5">
        <f t="shared" si="27"/>
        <v>65.309999999999434</v>
      </c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>
        <f>0.000001*('Design Worksheet_BAT'!B$88)*(B945-B944)/E$232+M944</f>
        <v>2.3897405893178586E-4</v>
      </c>
      <c r="N945" s="5">
        <f t="shared" si="28"/>
        <v>65.309999999999434</v>
      </c>
    </row>
    <row r="946" spans="1:14" x14ac:dyDescent="0.3">
      <c r="A946" s="5">
        <v>4.66999999999996</v>
      </c>
      <c r="B946" s="5">
        <f t="shared" si="27"/>
        <v>65.379999999999441</v>
      </c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>
        <f>0.000001*('Design Worksheet_BAT'!B$88)*(B946-B945)/E$232+M945</f>
        <v>2.3917526666125449E-4</v>
      </c>
      <c r="N946" s="5">
        <f t="shared" si="28"/>
        <v>65.379999999999441</v>
      </c>
    </row>
    <row r="947" spans="1:14" x14ac:dyDescent="0.3">
      <c r="A947" s="5">
        <v>4.6749999999999599</v>
      </c>
      <c r="B947" s="5">
        <f t="shared" si="27"/>
        <v>65.449999999999434</v>
      </c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>
        <f>0.000001*('Design Worksheet_BAT'!B$88)*(B947-B946)/E$232+M946</f>
        <v>2.3937647439072307E-4</v>
      </c>
      <c r="N947" s="5">
        <f t="shared" si="28"/>
        <v>65.449999999999434</v>
      </c>
    </row>
    <row r="948" spans="1:14" x14ac:dyDescent="0.3">
      <c r="A948" s="5">
        <v>4.6799999999999597</v>
      </c>
      <c r="B948" s="5">
        <f t="shared" si="27"/>
        <v>65.519999999999442</v>
      </c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>
        <f>0.000001*('Design Worksheet_BAT'!B$88)*(B948-B947)/E$232+M947</f>
        <v>2.395776821201917E-4</v>
      </c>
      <c r="N948" s="5">
        <f t="shared" si="28"/>
        <v>65.519999999999442</v>
      </c>
    </row>
    <row r="949" spans="1:14" x14ac:dyDescent="0.3">
      <c r="A949" s="5">
        <v>4.6849999999999596</v>
      </c>
      <c r="B949" s="5">
        <f t="shared" si="27"/>
        <v>65.589999999999435</v>
      </c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>
        <f>0.000001*('Design Worksheet_BAT'!B$88)*(B949-B948)/E$232+M948</f>
        <v>2.3977888984966027E-4</v>
      </c>
      <c r="N949" s="5">
        <f t="shared" si="28"/>
        <v>65.589999999999435</v>
      </c>
    </row>
    <row r="950" spans="1:14" x14ac:dyDescent="0.3">
      <c r="A950" s="5">
        <v>4.6899999999999604</v>
      </c>
      <c r="B950" s="5">
        <f t="shared" si="27"/>
        <v>65.659999999999442</v>
      </c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>
        <f>0.000001*('Design Worksheet_BAT'!B$88)*(B950-B949)/E$232+M949</f>
        <v>2.399800975791289E-4</v>
      </c>
      <c r="N950" s="5">
        <f t="shared" si="28"/>
        <v>65.659999999999442</v>
      </c>
    </row>
    <row r="951" spans="1:14" x14ac:dyDescent="0.3">
      <c r="A951" s="5">
        <v>4.6949999999999603</v>
      </c>
      <c r="B951" s="5">
        <f t="shared" si="27"/>
        <v>65.72999999999945</v>
      </c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>
        <f>0.000001*('Design Worksheet_BAT'!B$88)*(B951-B950)/E$232+M950</f>
        <v>2.4018130530859753E-4</v>
      </c>
      <c r="N951" s="5">
        <f t="shared" si="28"/>
        <v>65.72999999999945</v>
      </c>
    </row>
    <row r="952" spans="1:14" x14ac:dyDescent="0.3">
      <c r="A952" s="5">
        <v>4.6999999999999602</v>
      </c>
      <c r="B952" s="5">
        <f t="shared" si="27"/>
        <v>65.799999999999443</v>
      </c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>
        <f>0.000001*('Design Worksheet_BAT'!B$88)*(B952-B951)/E$232+M951</f>
        <v>2.4038251303806611E-4</v>
      </c>
      <c r="N952" s="5">
        <f t="shared" si="28"/>
        <v>65.799999999999443</v>
      </c>
    </row>
    <row r="953" spans="1:14" x14ac:dyDescent="0.3">
      <c r="A953" s="5">
        <v>4.7049999999999601</v>
      </c>
      <c r="B953" s="5">
        <f t="shared" si="27"/>
        <v>65.869999999999436</v>
      </c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>
        <f>0.000001*('Design Worksheet_BAT'!B$88)*(B953-B952)/E$232+M952</f>
        <v>2.4058372076753468E-4</v>
      </c>
      <c r="N953" s="5">
        <f t="shared" si="28"/>
        <v>65.869999999999436</v>
      </c>
    </row>
    <row r="954" spans="1:14" x14ac:dyDescent="0.3">
      <c r="A954" s="5">
        <v>4.70999999999996</v>
      </c>
      <c r="B954" s="5">
        <f t="shared" si="27"/>
        <v>65.939999999999444</v>
      </c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>
        <f>0.000001*('Design Worksheet_BAT'!B$88)*(B954-B953)/E$232+M953</f>
        <v>2.4078492849700331E-4</v>
      </c>
      <c r="N954" s="5">
        <f t="shared" si="28"/>
        <v>65.939999999999444</v>
      </c>
    </row>
    <row r="955" spans="1:14" x14ac:dyDescent="0.3">
      <c r="A955" s="5">
        <v>4.7149999999999599</v>
      </c>
      <c r="B955" s="5">
        <f t="shared" si="27"/>
        <v>66.009999999999437</v>
      </c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>
        <f>0.000001*('Design Worksheet_BAT'!B$88)*(B955-B954)/E$232+M954</f>
        <v>2.4098613622647189E-4</v>
      </c>
      <c r="N955" s="5">
        <f t="shared" si="28"/>
        <v>66.009999999999437</v>
      </c>
    </row>
    <row r="956" spans="1:14" x14ac:dyDescent="0.3">
      <c r="A956" s="5">
        <v>4.7199999999999598</v>
      </c>
      <c r="B956" s="5">
        <f t="shared" si="27"/>
        <v>66.079999999999444</v>
      </c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>
        <f>0.000001*('Design Worksheet_BAT'!B$88)*(B956-B955)/E$232+M955</f>
        <v>2.4118734395594052E-4</v>
      </c>
      <c r="N956" s="5">
        <f t="shared" si="28"/>
        <v>66.079999999999444</v>
      </c>
    </row>
    <row r="957" spans="1:14" x14ac:dyDescent="0.3">
      <c r="A957" s="5">
        <v>4.7249999999999597</v>
      </c>
      <c r="B957" s="5">
        <f t="shared" si="27"/>
        <v>66.149999999999437</v>
      </c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>
        <f>0.000001*('Design Worksheet_BAT'!B$88)*(B957-B956)/E$232+M956</f>
        <v>2.4138855168540909E-4</v>
      </c>
      <c r="N957" s="5">
        <f t="shared" si="28"/>
        <v>66.149999999999437</v>
      </c>
    </row>
    <row r="958" spans="1:14" x14ac:dyDescent="0.3">
      <c r="A958" s="5">
        <v>4.7299999999999596</v>
      </c>
      <c r="B958" s="5">
        <f t="shared" si="27"/>
        <v>66.21999999999943</v>
      </c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>
        <f>0.000001*('Design Worksheet_BAT'!B$88)*(B958-B957)/E$232+M957</f>
        <v>2.4158975941487767E-4</v>
      </c>
      <c r="N958" s="5">
        <f t="shared" si="28"/>
        <v>66.21999999999943</v>
      </c>
    </row>
    <row r="959" spans="1:14" x14ac:dyDescent="0.3">
      <c r="A959" s="5">
        <v>4.7349999999999604</v>
      </c>
      <c r="B959" s="5">
        <f t="shared" si="27"/>
        <v>66.289999999999452</v>
      </c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>
        <f>0.000001*('Design Worksheet_BAT'!B$88)*(B959-B958)/E$232+M958</f>
        <v>2.4179096714434633E-4</v>
      </c>
      <c r="N959" s="5">
        <f t="shared" si="28"/>
        <v>66.289999999999452</v>
      </c>
    </row>
    <row r="960" spans="1:14" x14ac:dyDescent="0.3">
      <c r="A960" s="5">
        <v>4.7399999999999602</v>
      </c>
      <c r="B960" s="5">
        <f t="shared" si="27"/>
        <v>66.359999999999445</v>
      </c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>
        <f>0.000001*('Design Worksheet_BAT'!B$88)*(B960-B959)/E$232+M959</f>
        <v>2.419921748738149E-4</v>
      </c>
      <c r="N960" s="5">
        <f t="shared" si="28"/>
        <v>66.359999999999445</v>
      </c>
    </row>
    <row r="961" spans="1:14" x14ac:dyDescent="0.3">
      <c r="A961" s="5">
        <v>4.7449999999999601</v>
      </c>
      <c r="B961" s="5">
        <f t="shared" si="27"/>
        <v>66.429999999999438</v>
      </c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>
        <f>0.000001*('Design Worksheet_BAT'!B$88)*(B961-B960)/E$232+M960</f>
        <v>2.4219338260328348E-4</v>
      </c>
      <c r="N961" s="5">
        <f t="shared" si="28"/>
        <v>66.429999999999438</v>
      </c>
    </row>
    <row r="962" spans="1:14" x14ac:dyDescent="0.3">
      <c r="A962" s="5">
        <v>4.74999999999996</v>
      </c>
      <c r="B962" s="5">
        <f t="shared" si="27"/>
        <v>66.499999999999446</v>
      </c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>
        <f>0.000001*('Design Worksheet_BAT'!B$88)*(B962-B961)/E$232+M961</f>
        <v>2.4239459033275211E-4</v>
      </c>
      <c r="N962" s="5">
        <f t="shared" si="28"/>
        <v>66.499999999999446</v>
      </c>
    </row>
    <row r="963" spans="1:14" x14ac:dyDescent="0.3">
      <c r="A963" s="5">
        <v>4.7549999999999599</v>
      </c>
      <c r="B963" s="5">
        <f t="shared" si="27"/>
        <v>66.569999999999439</v>
      </c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>
        <f>0.000001*('Design Worksheet_BAT'!B$88)*(B963-B962)/E$232+M962</f>
        <v>2.4259579806222068E-4</v>
      </c>
      <c r="N963" s="5">
        <f t="shared" si="28"/>
        <v>66.569999999999439</v>
      </c>
    </row>
    <row r="964" spans="1:14" x14ac:dyDescent="0.3">
      <c r="A964" s="5">
        <v>4.7599999999999598</v>
      </c>
      <c r="B964" s="5">
        <f t="shared" si="27"/>
        <v>66.639999999999432</v>
      </c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>
        <f>0.000001*('Design Worksheet_BAT'!B$88)*(B964-B963)/E$232+M963</f>
        <v>2.4279700579168926E-4</v>
      </c>
      <c r="N964" s="5">
        <f t="shared" si="28"/>
        <v>66.639999999999432</v>
      </c>
    </row>
    <row r="965" spans="1:14" x14ac:dyDescent="0.3">
      <c r="A965" s="5">
        <v>4.7649999999999597</v>
      </c>
      <c r="B965" s="5">
        <f t="shared" si="27"/>
        <v>66.70999999999944</v>
      </c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>
        <f>0.000001*('Design Worksheet_BAT'!B$88)*(B965-B964)/E$232+M964</f>
        <v>2.4299821352115789E-4</v>
      </c>
      <c r="N965" s="5">
        <f t="shared" si="28"/>
        <v>66.70999999999944</v>
      </c>
    </row>
    <row r="966" spans="1:14" x14ac:dyDescent="0.3">
      <c r="A966" s="5">
        <v>4.7699999999999596</v>
      </c>
      <c r="B966" s="5">
        <f t="shared" si="27"/>
        <v>66.779999999999433</v>
      </c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>
        <f>0.000001*('Design Worksheet_BAT'!B$88)*(B966-B965)/E$232+M965</f>
        <v>2.4319942125062646E-4</v>
      </c>
      <c r="N966" s="5">
        <f t="shared" si="28"/>
        <v>66.779999999999433</v>
      </c>
    </row>
    <row r="967" spans="1:14" x14ac:dyDescent="0.3">
      <c r="A967" s="5">
        <v>4.7749999999999604</v>
      </c>
      <c r="B967" s="5">
        <f t="shared" si="27"/>
        <v>66.84999999999944</v>
      </c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>
        <f>0.000001*('Design Worksheet_BAT'!B$88)*(B967-B966)/E$232+M966</f>
        <v>2.4340062898009509E-4</v>
      </c>
      <c r="N967" s="5">
        <f t="shared" si="28"/>
        <v>66.84999999999944</v>
      </c>
    </row>
    <row r="968" spans="1:14" x14ac:dyDescent="0.3">
      <c r="A968" s="5">
        <v>4.7799999999999603</v>
      </c>
      <c r="B968" s="5">
        <f t="shared" si="27"/>
        <v>66.919999999999447</v>
      </c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>
        <f>0.000001*('Design Worksheet_BAT'!B$88)*(B968-B967)/E$232+M967</f>
        <v>2.4360183670956372E-4</v>
      </c>
      <c r="N968" s="5">
        <f t="shared" si="28"/>
        <v>66.919999999999447</v>
      </c>
    </row>
    <row r="969" spans="1:14" x14ac:dyDescent="0.3">
      <c r="A969" s="5">
        <v>4.7849999999999602</v>
      </c>
      <c r="B969" s="5">
        <f t="shared" si="27"/>
        <v>66.989999999999441</v>
      </c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>
        <f>0.000001*('Design Worksheet_BAT'!B$88)*(B969-B968)/E$232+M968</f>
        <v>2.438030444390323E-4</v>
      </c>
      <c r="N969" s="5">
        <f t="shared" si="28"/>
        <v>66.989999999999441</v>
      </c>
    </row>
    <row r="970" spans="1:14" x14ac:dyDescent="0.3">
      <c r="A970" s="5">
        <v>4.7899999999999601</v>
      </c>
      <c r="B970" s="5">
        <f t="shared" si="27"/>
        <v>67.059999999999434</v>
      </c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>
        <f>0.000001*('Design Worksheet_BAT'!B$88)*(B970-B969)/E$232+M969</f>
        <v>2.4400425216850087E-4</v>
      </c>
      <c r="N970" s="5">
        <f t="shared" si="28"/>
        <v>67.059999999999434</v>
      </c>
    </row>
    <row r="971" spans="1:14" x14ac:dyDescent="0.3">
      <c r="A971" s="5">
        <v>4.79499999999996</v>
      </c>
      <c r="B971" s="5">
        <f t="shared" si="27"/>
        <v>67.129999999999441</v>
      </c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>
        <f>0.000001*('Design Worksheet_BAT'!B$88)*(B971-B970)/E$232+M970</f>
        <v>2.4420545989796948E-4</v>
      </c>
      <c r="N971" s="5">
        <f t="shared" si="28"/>
        <v>67.129999999999441</v>
      </c>
    </row>
    <row r="972" spans="1:14" x14ac:dyDescent="0.3">
      <c r="A972" s="5">
        <v>4.7999999999999599</v>
      </c>
      <c r="B972" s="5">
        <f t="shared" si="27"/>
        <v>67.199999999999434</v>
      </c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>
        <f>0.000001*('Design Worksheet_BAT'!B$88)*(B972-B971)/E$232+M971</f>
        <v>2.4440666762743805E-4</v>
      </c>
      <c r="N972" s="5">
        <f t="shared" si="28"/>
        <v>67.199999999999434</v>
      </c>
    </row>
    <row r="973" spans="1:14" x14ac:dyDescent="0.3">
      <c r="A973" s="5">
        <v>4.8049999999999597</v>
      </c>
      <c r="B973" s="5">
        <f t="shared" si="27"/>
        <v>67.269999999999442</v>
      </c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>
        <f>0.000001*('Design Worksheet_BAT'!B$88)*(B973-B972)/E$232+M972</f>
        <v>2.4460787535690668E-4</v>
      </c>
      <c r="N973" s="5">
        <f t="shared" si="28"/>
        <v>67.269999999999442</v>
      </c>
    </row>
    <row r="974" spans="1:14" x14ac:dyDescent="0.3">
      <c r="A974" s="5">
        <v>4.8099999999999596</v>
      </c>
      <c r="B974" s="5">
        <f t="shared" si="27"/>
        <v>67.339999999999435</v>
      </c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>
        <f>0.000001*('Design Worksheet_BAT'!B$88)*(B974-B973)/E$232+M973</f>
        <v>2.4480908308637526E-4</v>
      </c>
      <c r="N974" s="5">
        <f t="shared" si="28"/>
        <v>67.339999999999435</v>
      </c>
    </row>
    <row r="975" spans="1:14" x14ac:dyDescent="0.3">
      <c r="A975" s="5">
        <v>4.8149999999999604</v>
      </c>
      <c r="B975" s="5">
        <f t="shared" si="27"/>
        <v>67.409999999999442</v>
      </c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>
        <f>0.000001*('Design Worksheet_BAT'!B$88)*(B975-B974)/E$232+M974</f>
        <v>2.4501029081584389E-4</v>
      </c>
      <c r="N975" s="5">
        <f t="shared" si="28"/>
        <v>67.409999999999442</v>
      </c>
    </row>
    <row r="976" spans="1:14" x14ac:dyDescent="0.3">
      <c r="A976" s="5">
        <v>4.8199999999999603</v>
      </c>
      <c r="B976" s="5">
        <f t="shared" si="27"/>
        <v>67.47999999999945</v>
      </c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>
        <f>0.000001*('Design Worksheet_BAT'!B$88)*(B976-B975)/E$232+M975</f>
        <v>2.4521149854531252E-4</v>
      </c>
      <c r="N976" s="5">
        <f t="shared" si="28"/>
        <v>67.47999999999945</v>
      </c>
    </row>
    <row r="977" spans="1:14" x14ac:dyDescent="0.3">
      <c r="A977" s="5">
        <v>4.8249999999999602</v>
      </c>
      <c r="B977" s="5">
        <f t="shared" si="27"/>
        <v>67.549999999999443</v>
      </c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>
        <f>0.000001*('Design Worksheet_BAT'!B$88)*(B977-B976)/E$232+M976</f>
        <v>2.4541270627478109E-4</v>
      </c>
      <c r="N977" s="5">
        <f t="shared" si="28"/>
        <v>67.549999999999443</v>
      </c>
    </row>
    <row r="978" spans="1:14" x14ac:dyDescent="0.3">
      <c r="A978" s="5">
        <v>4.8299999999999601</v>
      </c>
      <c r="B978" s="5">
        <f t="shared" si="27"/>
        <v>67.619999999999436</v>
      </c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>
        <f>0.000001*('Design Worksheet_BAT'!B$88)*(B978-B977)/E$232+M977</f>
        <v>2.4561391400424967E-4</v>
      </c>
      <c r="N978" s="5">
        <f t="shared" si="28"/>
        <v>67.619999999999436</v>
      </c>
    </row>
    <row r="979" spans="1:14" x14ac:dyDescent="0.3">
      <c r="A979" s="5">
        <v>4.83499999999996</v>
      </c>
      <c r="B979" s="5">
        <f t="shared" si="27"/>
        <v>67.689999999999444</v>
      </c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>
        <f>0.000001*('Design Worksheet_BAT'!B$88)*(B979-B978)/E$232+M978</f>
        <v>2.458151217337183E-4</v>
      </c>
      <c r="N979" s="5">
        <f t="shared" si="28"/>
        <v>67.689999999999444</v>
      </c>
    </row>
    <row r="980" spans="1:14" x14ac:dyDescent="0.3">
      <c r="A980" s="5">
        <v>4.8399999999999599</v>
      </c>
      <c r="B980" s="5">
        <f t="shared" si="27"/>
        <v>67.759999999999437</v>
      </c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>
        <f>0.000001*('Design Worksheet_BAT'!B$88)*(B980-B979)/E$232+M979</f>
        <v>2.4601632946318687E-4</v>
      </c>
      <c r="N980" s="5">
        <f t="shared" si="28"/>
        <v>67.759999999999437</v>
      </c>
    </row>
    <row r="981" spans="1:14" x14ac:dyDescent="0.3">
      <c r="A981" s="5">
        <v>4.8449999999999598</v>
      </c>
      <c r="B981" s="5">
        <f t="shared" si="27"/>
        <v>67.829999999999444</v>
      </c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>
        <f>0.000001*('Design Worksheet_BAT'!B$88)*(B981-B980)/E$232+M980</f>
        <v>2.462175371926555E-4</v>
      </c>
      <c r="N981" s="5">
        <f t="shared" si="28"/>
        <v>67.829999999999444</v>
      </c>
    </row>
    <row r="982" spans="1:14" x14ac:dyDescent="0.3">
      <c r="A982" s="5">
        <v>4.8499999999999597</v>
      </c>
      <c r="B982" s="5">
        <f t="shared" si="27"/>
        <v>67.899999999999437</v>
      </c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>
        <f>0.000001*('Design Worksheet_BAT'!B$88)*(B982-B981)/E$232+M981</f>
        <v>2.4641874492212408E-4</v>
      </c>
      <c r="N982" s="5">
        <f t="shared" si="28"/>
        <v>67.899999999999437</v>
      </c>
    </row>
    <row r="983" spans="1:14" x14ac:dyDescent="0.3">
      <c r="A983" s="5">
        <v>4.8549999999999596</v>
      </c>
      <c r="B983" s="5">
        <f t="shared" si="27"/>
        <v>67.96999999999943</v>
      </c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>
        <f>0.000001*('Design Worksheet_BAT'!B$88)*(B983-B982)/E$232+M982</f>
        <v>2.4661995265159265E-4</v>
      </c>
      <c r="N983" s="5">
        <f t="shared" si="28"/>
        <v>67.96999999999943</v>
      </c>
    </row>
    <row r="984" spans="1:14" x14ac:dyDescent="0.3">
      <c r="A984" s="5">
        <v>4.8599999999999604</v>
      </c>
      <c r="B984" s="5">
        <f t="shared" si="27"/>
        <v>68.039999999999452</v>
      </c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>
        <f>0.000001*('Design Worksheet_BAT'!B$88)*(B984-B983)/E$232+M983</f>
        <v>2.4682116038106134E-4</v>
      </c>
      <c r="N984" s="5">
        <f t="shared" si="28"/>
        <v>68.039999999999452</v>
      </c>
    </row>
    <row r="985" spans="1:14" x14ac:dyDescent="0.3">
      <c r="A985" s="5">
        <v>4.8649999999999602</v>
      </c>
      <c r="B985" s="5">
        <f t="shared" si="27"/>
        <v>68.109999999999445</v>
      </c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>
        <f>0.000001*('Design Worksheet_BAT'!B$88)*(B985-B984)/E$232+M984</f>
        <v>2.4702236811052991E-4</v>
      </c>
      <c r="N985" s="5">
        <f t="shared" si="28"/>
        <v>68.109999999999445</v>
      </c>
    </row>
    <row r="986" spans="1:14" x14ac:dyDescent="0.3">
      <c r="A986" s="5">
        <v>4.8699999999999601</v>
      </c>
      <c r="B986" s="5">
        <f t="shared" si="27"/>
        <v>68.179999999999438</v>
      </c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>
        <f>0.000001*('Design Worksheet_BAT'!B$88)*(B986-B985)/E$232+M985</f>
        <v>2.4722357583999849E-4</v>
      </c>
      <c r="N986" s="5">
        <f t="shared" si="28"/>
        <v>68.179999999999438</v>
      </c>
    </row>
    <row r="987" spans="1:14" x14ac:dyDescent="0.3">
      <c r="A987" s="5">
        <v>4.87499999999996</v>
      </c>
      <c r="B987" s="5">
        <f t="shared" si="27"/>
        <v>68.249999999999446</v>
      </c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>
        <f>0.000001*('Design Worksheet_BAT'!B$88)*(B987-B986)/E$232+M986</f>
        <v>2.4742478356946712E-4</v>
      </c>
      <c r="N987" s="5">
        <f t="shared" si="28"/>
        <v>68.249999999999446</v>
      </c>
    </row>
    <row r="988" spans="1:14" x14ac:dyDescent="0.3">
      <c r="A988" s="5">
        <v>4.8799999999999599</v>
      </c>
      <c r="B988" s="5">
        <f t="shared" si="27"/>
        <v>68.319999999999439</v>
      </c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>
        <f>0.000001*('Design Worksheet_BAT'!B$88)*(B988-B987)/E$232+M987</f>
        <v>2.4762599129893569E-4</v>
      </c>
      <c r="N988" s="5">
        <f t="shared" si="28"/>
        <v>68.319999999999439</v>
      </c>
    </row>
    <row r="989" spans="1:14" x14ac:dyDescent="0.3">
      <c r="A989" s="5">
        <v>4.8849999999999598</v>
      </c>
      <c r="B989" s="5">
        <f t="shared" si="27"/>
        <v>68.389999999999432</v>
      </c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>
        <f>0.000001*('Design Worksheet_BAT'!B$88)*(B989-B988)/E$232+M988</f>
        <v>2.4782719902840427E-4</v>
      </c>
      <c r="N989" s="5">
        <f t="shared" si="28"/>
        <v>68.389999999999432</v>
      </c>
    </row>
    <row r="990" spans="1:14" x14ac:dyDescent="0.3">
      <c r="A990" s="5">
        <v>4.8899999999999597</v>
      </c>
      <c r="B990" s="5">
        <f t="shared" si="27"/>
        <v>68.45999999999944</v>
      </c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>
        <f>0.000001*('Design Worksheet_BAT'!B$88)*(B990-B989)/E$232+M989</f>
        <v>2.480284067578729E-4</v>
      </c>
      <c r="N990" s="5">
        <f t="shared" si="28"/>
        <v>68.45999999999944</v>
      </c>
    </row>
    <row r="991" spans="1:14" x14ac:dyDescent="0.3">
      <c r="A991" s="5">
        <v>4.8949999999999596</v>
      </c>
      <c r="B991" s="5">
        <f t="shared" si="27"/>
        <v>68.529999999999433</v>
      </c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>
        <f>0.000001*('Design Worksheet_BAT'!B$88)*(B991-B990)/E$232+M990</f>
        <v>2.4822961448734147E-4</v>
      </c>
      <c r="N991" s="5">
        <f t="shared" si="28"/>
        <v>68.529999999999433</v>
      </c>
    </row>
    <row r="992" spans="1:14" x14ac:dyDescent="0.3">
      <c r="A992" s="5">
        <v>4.8999999999999604</v>
      </c>
      <c r="B992" s="5">
        <f t="shared" si="27"/>
        <v>68.59999999999944</v>
      </c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>
        <f>0.000001*('Design Worksheet_BAT'!B$88)*(B992-B991)/E$232+M991</f>
        <v>2.484308222168101E-4</v>
      </c>
      <c r="N992" s="5">
        <f t="shared" si="28"/>
        <v>68.59999999999944</v>
      </c>
    </row>
    <row r="993" spans="1:14" x14ac:dyDescent="0.3">
      <c r="A993" s="5">
        <v>4.9049999999999603</v>
      </c>
      <c r="B993" s="5">
        <f t="shared" si="27"/>
        <v>68.669999999999447</v>
      </c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>
        <f>0.000001*('Design Worksheet_BAT'!B$88)*(B993-B992)/E$232+M992</f>
        <v>2.4863202994627873E-4</v>
      </c>
      <c r="N993" s="5">
        <f t="shared" si="28"/>
        <v>68.669999999999447</v>
      </c>
    </row>
    <row r="994" spans="1:14" x14ac:dyDescent="0.3">
      <c r="A994" s="5">
        <v>4.9099999999999602</v>
      </c>
      <c r="B994" s="5">
        <f t="shared" si="27"/>
        <v>68.739999999999441</v>
      </c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>
        <f>0.000001*('Design Worksheet_BAT'!B$88)*(B994-B993)/E$232+M993</f>
        <v>2.4883323767574731E-4</v>
      </c>
      <c r="N994" s="5">
        <f t="shared" si="28"/>
        <v>68.739999999999441</v>
      </c>
    </row>
    <row r="995" spans="1:14" x14ac:dyDescent="0.3">
      <c r="A995" s="5">
        <v>4.9149999999999601</v>
      </c>
      <c r="B995" s="5">
        <f t="shared" si="27"/>
        <v>68.809999999999434</v>
      </c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>
        <f>0.000001*('Design Worksheet_BAT'!B$88)*(B995-B994)/E$232+M994</f>
        <v>2.4903444540521588E-4</v>
      </c>
      <c r="N995" s="5">
        <f t="shared" si="28"/>
        <v>68.809999999999434</v>
      </c>
    </row>
    <row r="996" spans="1:14" x14ac:dyDescent="0.3">
      <c r="A996" s="5">
        <v>4.91999999999996</v>
      </c>
      <c r="B996" s="5">
        <f t="shared" si="27"/>
        <v>68.879999999999441</v>
      </c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>
        <f>0.000001*('Design Worksheet_BAT'!B$88)*(B996-B995)/E$232+M995</f>
        <v>2.4923565313468451E-4</v>
      </c>
      <c r="N996" s="5">
        <f t="shared" si="28"/>
        <v>68.879999999999441</v>
      </c>
    </row>
    <row r="997" spans="1:14" x14ac:dyDescent="0.3">
      <c r="A997" s="5">
        <v>4.9249999999999599</v>
      </c>
      <c r="B997" s="5">
        <f t="shared" si="27"/>
        <v>68.949999999999434</v>
      </c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>
        <f>0.000001*('Design Worksheet_BAT'!B$88)*(B997-B996)/E$232+M996</f>
        <v>2.4943686086415309E-4</v>
      </c>
      <c r="N997" s="5">
        <f t="shared" si="28"/>
        <v>68.949999999999434</v>
      </c>
    </row>
    <row r="998" spans="1:14" x14ac:dyDescent="0.3">
      <c r="A998" s="5">
        <v>4.9299999999999597</v>
      </c>
      <c r="B998" s="5">
        <f t="shared" si="27"/>
        <v>69.019999999999442</v>
      </c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>
        <f>0.000001*('Design Worksheet_BAT'!B$88)*(B998-B997)/E$232+M997</f>
        <v>2.4963806859362172E-4</v>
      </c>
      <c r="N998" s="5">
        <f t="shared" si="28"/>
        <v>69.019999999999442</v>
      </c>
    </row>
    <row r="999" spans="1:14" x14ac:dyDescent="0.3">
      <c r="A999" s="5">
        <v>4.9349999999999596</v>
      </c>
      <c r="B999" s="5">
        <f t="shared" si="27"/>
        <v>69.089999999999435</v>
      </c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>
        <f>0.000001*('Design Worksheet_BAT'!B$88)*(B999-B998)/E$232+M998</f>
        <v>2.498392763230903E-4</v>
      </c>
      <c r="N999" s="5">
        <f t="shared" si="28"/>
        <v>69.089999999999435</v>
      </c>
    </row>
    <row r="1000" spans="1:14" x14ac:dyDescent="0.3">
      <c r="A1000" s="5">
        <v>4.9399999999999604</v>
      </c>
      <c r="B1000" s="5">
        <f t="shared" si="27"/>
        <v>69.159999999999442</v>
      </c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>
        <f>0.000001*('Design Worksheet_BAT'!B$88)*(B1000-B999)/E$232+M999</f>
        <v>2.5004048405255893E-4</v>
      </c>
      <c r="N1000" s="5">
        <f t="shared" ref="N1000:N1063" si="29">B1000</f>
        <v>69.159999999999442</v>
      </c>
    </row>
    <row r="1001" spans="1:14" x14ac:dyDescent="0.3">
      <c r="A1001" s="5">
        <v>4.9449999999999603</v>
      </c>
      <c r="B1001" s="5">
        <f t="shared" ref="B1001:B1064" si="30">A1001*VOFLB</f>
        <v>69.22999999999945</v>
      </c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>
        <f>0.000001*('Design Worksheet_BAT'!B$88)*(B1001-B1000)/E$232+M1000</f>
        <v>2.5024169178202755E-4</v>
      </c>
      <c r="N1001" s="5">
        <f t="shared" si="29"/>
        <v>69.22999999999945</v>
      </c>
    </row>
    <row r="1002" spans="1:14" x14ac:dyDescent="0.3">
      <c r="A1002" s="5">
        <v>4.9499999999999602</v>
      </c>
      <c r="B1002" s="5">
        <f t="shared" si="30"/>
        <v>69.299999999999443</v>
      </c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>
        <f>0.000001*('Design Worksheet_BAT'!B$88)*(B1002-B1001)/E$232+M1001</f>
        <v>2.5044289951149613E-4</v>
      </c>
      <c r="N1002" s="5">
        <f t="shared" si="29"/>
        <v>69.299999999999443</v>
      </c>
    </row>
    <row r="1003" spans="1:14" x14ac:dyDescent="0.3">
      <c r="A1003" s="5">
        <v>4.9549999999999601</v>
      </c>
      <c r="B1003" s="5">
        <f t="shared" si="30"/>
        <v>69.369999999999436</v>
      </c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>
        <f>0.000001*('Design Worksheet_BAT'!B$88)*(B1003-B1002)/E$232+M1002</f>
        <v>2.5064410724096471E-4</v>
      </c>
      <c r="N1003" s="5">
        <f t="shared" si="29"/>
        <v>69.369999999999436</v>
      </c>
    </row>
    <row r="1004" spans="1:14" x14ac:dyDescent="0.3">
      <c r="A1004" s="5">
        <v>4.95999999999996</v>
      </c>
      <c r="B1004" s="5">
        <f t="shared" si="30"/>
        <v>69.439999999999444</v>
      </c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>
        <f>0.000001*('Design Worksheet_BAT'!B$88)*(B1004-B1003)/E$232+M1003</f>
        <v>2.5084531497043334E-4</v>
      </c>
      <c r="N1004" s="5">
        <f t="shared" si="29"/>
        <v>69.439999999999444</v>
      </c>
    </row>
    <row r="1005" spans="1:14" x14ac:dyDescent="0.3">
      <c r="A1005" s="5">
        <v>4.9649999999999599</v>
      </c>
      <c r="B1005" s="5">
        <f t="shared" si="30"/>
        <v>69.509999999999437</v>
      </c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>
        <f>0.000001*('Design Worksheet_BAT'!B$88)*(B1005-B1004)/E$232+M1004</f>
        <v>2.5104652269990191E-4</v>
      </c>
      <c r="N1005" s="5">
        <f t="shared" si="29"/>
        <v>69.509999999999437</v>
      </c>
    </row>
    <row r="1006" spans="1:14" x14ac:dyDescent="0.3">
      <c r="A1006" s="5">
        <v>4.9699999999999598</v>
      </c>
      <c r="B1006" s="5">
        <f t="shared" si="30"/>
        <v>69.579999999999444</v>
      </c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>
        <f>0.000001*('Design Worksheet_BAT'!B$88)*(B1006-B1005)/E$232+M1005</f>
        <v>2.5124773042937054E-4</v>
      </c>
      <c r="N1006" s="5">
        <f t="shared" si="29"/>
        <v>69.579999999999444</v>
      </c>
    </row>
    <row r="1007" spans="1:14" x14ac:dyDescent="0.3">
      <c r="A1007" s="5">
        <v>4.9749999999999597</v>
      </c>
      <c r="B1007" s="5">
        <f t="shared" si="30"/>
        <v>69.649999999999437</v>
      </c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>
        <f>0.000001*('Design Worksheet_BAT'!B$88)*(B1007-B1006)/E$232+M1006</f>
        <v>2.5144893815883912E-4</v>
      </c>
      <c r="N1007" s="5">
        <f t="shared" si="29"/>
        <v>69.649999999999437</v>
      </c>
    </row>
    <row r="1008" spans="1:14" x14ac:dyDescent="0.3">
      <c r="A1008" s="5">
        <v>4.9799999999999596</v>
      </c>
      <c r="B1008" s="5">
        <f t="shared" si="30"/>
        <v>69.71999999999943</v>
      </c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>
        <f>0.000001*('Design Worksheet_BAT'!B$88)*(B1008-B1007)/E$232+M1007</f>
        <v>2.5165014588830769E-4</v>
      </c>
      <c r="N1008" s="5">
        <f t="shared" si="29"/>
        <v>69.71999999999943</v>
      </c>
    </row>
    <row r="1009" spans="1:14" x14ac:dyDescent="0.3">
      <c r="A1009" s="5">
        <v>4.9849999999999604</v>
      </c>
      <c r="B1009" s="5">
        <f t="shared" si="30"/>
        <v>69.789999999999452</v>
      </c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>
        <f>0.000001*('Design Worksheet_BAT'!B$88)*(B1009-B1008)/E$232+M1008</f>
        <v>2.5185135361777638E-4</v>
      </c>
      <c r="N1009" s="5">
        <f t="shared" si="29"/>
        <v>69.789999999999452</v>
      </c>
    </row>
    <row r="1010" spans="1:14" x14ac:dyDescent="0.3">
      <c r="A1010" s="5">
        <v>4.9899999999999602</v>
      </c>
      <c r="B1010" s="5">
        <f t="shared" si="30"/>
        <v>69.859999999999445</v>
      </c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>
        <f>0.000001*('Design Worksheet_BAT'!B$88)*(B1010-B1009)/E$232+M1009</f>
        <v>2.5205256134724495E-4</v>
      </c>
      <c r="N1010" s="5">
        <f t="shared" si="29"/>
        <v>69.859999999999445</v>
      </c>
    </row>
    <row r="1011" spans="1:14" x14ac:dyDescent="0.3">
      <c r="A1011" s="5">
        <v>4.9949999999999601</v>
      </c>
      <c r="B1011" s="5">
        <f t="shared" si="30"/>
        <v>69.929999999999438</v>
      </c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>
        <f>0.000001*('Design Worksheet_BAT'!B$88)*(B1011-B1010)/E$232+M1010</f>
        <v>2.5225376907671353E-4</v>
      </c>
      <c r="N1011" s="5">
        <f t="shared" si="29"/>
        <v>69.929999999999438</v>
      </c>
    </row>
    <row r="1012" spans="1:14" x14ac:dyDescent="0.3">
      <c r="A1012" s="5">
        <v>4.99999999999996</v>
      </c>
      <c r="B1012" s="5">
        <f t="shared" si="30"/>
        <v>69.999999999999446</v>
      </c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>
        <f>0.000001*('Design Worksheet_BAT'!B$88)*(B1012-B1011)/E$232+M1011</f>
        <v>2.5245497680618216E-4</v>
      </c>
      <c r="N1012" s="5">
        <f t="shared" si="29"/>
        <v>69.999999999999446</v>
      </c>
    </row>
    <row r="1013" spans="1:14" x14ac:dyDescent="0.3">
      <c r="A1013" s="5">
        <v>5.0049999999999599</v>
      </c>
      <c r="B1013" s="5">
        <f t="shared" si="30"/>
        <v>70.069999999999439</v>
      </c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>
        <f>0.000001*('Design Worksheet_BAT'!B$88)*(B1013-B1012)/E$232+M1012</f>
        <v>2.5265618453565073E-4</v>
      </c>
      <c r="N1013" s="5">
        <f t="shared" si="29"/>
        <v>70.069999999999439</v>
      </c>
    </row>
    <row r="1014" spans="1:14" x14ac:dyDescent="0.3">
      <c r="A1014" s="5">
        <v>5.0099999999999598</v>
      </c>
      <c r="B1014" s="5">
        <f t="shared" si="30"/>
        <v>70.139999999999432</v>
      </c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>
        <f>0.000001*('Design Worksheet_BAT'!B$88)*(B1014-B1013)/E$232+M1013</f>
        <v>2.5285739226511931E-4</v>
      </c>
      <c r="N1014" s="5">
        <f t="shared" si="29"/>
        <v>70.139999999999432</v>
      </c>
    </row>
    <row r="1015" spans="1:14" x14ac:dyDescent="0.3">
      <c r="A1015" s="5">
        <v>5.0149999999999597</v>
      </c>
      <c r="B1015" s="5">
        <f t="shared" si="30"/>
        <v>70.20999999999944</v>
      </c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>
        <f>0.000001*('Design Worksheet_BAT'!B$88)*(B1015-B1014)/E$232+M1014</f>
        <v>2.5305859999458794E-4</v>
      </c>
      <c r="N1015" s="5">
        <f t="shared" si="29"/>
        <v>70.20999999999944</v>
      </c>
    </row>
    <row r="1016" spans="1:14" x14ac:dyDescent="0.3">
      <c r="A1016" s="5">
        <v>5.0199999999999596</v>
      </c>
      <c r="B1016" s="5">
        <f t="shared" si="30"/>
        <v>70.279999999999433</v>
      </c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>
        <f>0.000001*('Design Worksheet_BAT'!B$88)*(B1016-B1015)/E$232+M1015</f>
        <v>2.5325980772405651E-4</v>
      </c>
      <c r="N1016" s="5">
        <f t="shared" si="29"/>
        <v>70.279999999999433</v>
      </c>
    </row>
    <row r="1017" spans="1:14" x14ac:dyDescent="0.3">
      <c r="A1017" s="5">
        <v>5.0249999999999604</v>
      </c>
      <c r="B1017" s="5">
        <f t="shared" si="30"/>
        <v>70.34999999999944</v>
      </c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>
        <f>0.000001*('Design Worksheet_BAT'!B$88)*(B1017-B1016)/E$232+M1016</f>
        <v>2.5346101545352514E-4</v>
      </c>
      <c r="N1017" s="5">
        <f t="shared" si="29"/>
        <v>70.34999999999944</v>
      </c>
    </row>
    <row r="1018" spans="1:14" x14ac:dyDescent="0.3">
      <c r="A1018" s="5">
        <v>5.0299999999999603</v>
      </c>
      <c r="B1018" s="5">
        <f t="shared" si="30"/>
        <v>70.419999999999447</v>
      </c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>
        <f>0.000001*('Design Worksheet_BAT'!B$88)*(B1018-B1017)/E$232+M1017</f>
        <v>2.5366222318299377E-4</v>
      </c>
      <c r="N1018" s="5">
        <f t="shared" si="29"/>
        <v>70.419999999999447</v>
      </c>
    </row>
    <row r="1019" spans="1:14" x14ac:dyDescent="0.3">
      <c r="A1019" s="5">
        <v>5.0349999999999602</v>
      </c>
      <c r="B1019" s="5">
        <f t="shared" si="30"/>
        <v>70.489999999999441</v>
      </c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>
        <f>0.000001*('Design Worksheet_BAT'!B$88)*(B1019-B1018)/E$232+M1018</f>
        <v>2.5386343091246235E-4</v>
      </c>
      <c r="N1019" s="5">
        <f t="shared" si="29"/>
        <v>70.489999999999441</v>
      </c>
    </row>
    <row r="1020" spans="1:14" x14ac:dyDescent="0.3">
      <c r="A1020" s="5">
        <v>5.0399999999999601</v>
      </c>
      <c r="B1020" s="5">
        <f t="shared" si="30"/>
        <v>70.559999999999434</v>
      </c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>
        <f>0.000001*('Design Worksheet_BAT'!B$88)*(B1020-B1019)/E$232+M1019</f>
        <v>2.5406463864193092E-4</v>
      </c>
      <c r="N1020" s="5">
        <f t="shared" si="29"/>
        <v>70.559999999999434</v>
      </c>
    </row>
    <row r="1021" spans="1:14" x14ac:dyDescent="0.3">
      <c r="A1021" s="5">
        <v>5.04499999999996</v>
      </c>
      <c r="B1021" s="5">
        <f t="shared" si="30"/>
        <v>70.629999999999441</v>
      </c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>
        <f>0.000001*('Design Worksheet_BAT'!B$88)*(B1021-B1020)/E$232+M1020</f>
        <v>2.5426584637139955E-4</v>
      </c>
      <c r="N1021" s="5">
        <f t="shared" si="29"/>
        <v>70.629999999999441</v>
      </c>
    </row>
    <row r="1022" spans="1:14" x14ac:dyDescent="0.3">
      <c r="A1022" s="5">
        <v>5.0499999999999599</v>
      </c>
      <c r="B1022" s="5">
        <f t="shared" si="30"/>
        <v>70.699999999999434</v>
      </c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>
        <f>0.000001*('Design Worksheet_BAT'!B$88)*(B1022-B1021)/E$232+M1021</f>
        <v>2.5446705410086813E-4</v>
      </c>
      <c r="N1022" s="5">
        <f t="shared" si="29"/>
        <v>70.699999999999434</v>
      </c>
    </row>
    <row r="1023" spans="1:14" x14ac:dyDescent="0.3">
      <c r="A1023" s="5">
        <v>5.0549999999999597</v>
      </c>
      <c r="B1023" s="5">
        <f t="shared" si="30"/>
        <v>70.769999999999442</v>
      </c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>
        <f>0.000001*('Design Worksheet_BAT'!B$88)*(B1023-B1022)/E$232+M1022</f>
        <v>2.5466826183033676E-4</v>
      </c>
      <c r="N1023" s="5">
        <f t="shared" si="29"/>
        <v>70.769999999999442</v>
      </c>
    </row>
    <row r="1024" spans="1:14" x14ac:dyDescent="0.3">
      <c r="A1024" s="5">
        <v>5.0599999999999596</v>
      </c>
      <c r="B1024" s="5">
        <f t="shared" si="30"/>
        <v>70.839999999999435</v>
      </c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>
        <f>0.000001*('Design Worksheet_BAT'!B$88)*(B1024-B1023)/E$232+M1023</f>
        <v>2.5486946955980533E-4</v>
      </c>
      <c r="N1024" s="5">
        <f t="shared" si="29"/>
        <v>70.839999999999435</v>
      </c>
    </row>
    <row r="1025" spans="1:14" x14ac:dyDescent="0.3">
      <c r="A1025" s="5">
        <v>5.0649999999999604</v>
      </c>
      <c r="B1025" s="5">
        <f t="shared" si="30"/>
        <v>70.909999999999442</v>
      </c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>
        <f>0.000001*('Design Worksheet_BAT'!B$88)*(B1025-B1024)/E$232+M1024</f>
        <v>2.5507067728927396E-4</v>
      </c>
      <c r="N1025" s="5">
        <f t="shared" si="29"/>
        <v>70.909999999999442</v>
      </c>
    </row>
    <row r="1026" spans="1:14" x14ac:dyDescent="0.3">
      <c r="A1026" s="5">
        <v>5.0699999999999603</v>
      </c>
      <c r="B1026" s="5">
        <f t="shared" si="30"/>
        <v>70.97999999999945</v>
      </c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>
        <f>0.000001*('Design Worksheet_BAT'!B$88)*(B1026-B1025)/E$232+M1025</f>
        <v>2.5527188501874259E-4</v>
      </c>
      <c r="N1026" s="5">
        <f t="shared" si="29"/>
        <v>70.97999999999945</v>
      </c>
    </row>
    <row r="1027" spans="1:14" x14ac:dyDescent="0.3">
      <c r="A1027" s="5">
        <v>5.0749999999999602</v>
      </c>
      <c r="B1027" s="5">
        <f t="shared" si="30"/>
        <v>71.049999999999443</v>
      </c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>
        <f>0.000001*('Design Worksheet_BAT'!B$88)*(B1027-B1026)/E$232+M1026</f>
        <v>2.5547309274821117E-4</v>
      </c>
      <c r="N1027" s="5">
        <f t="shared" si="29"/>
        <v>71.049999999999443</v>
      </c>
    </row>
    <row r="1028" spans="1:14" x14ac:dyDescent="0.3">
      <c r="A1028" s="5">
        <v>5.0799999999999601</v>
      </c>
      <c r="B1028" s="5">
        <f t="shared" si="30"/>
        <v>71.119999999999436</v>
      </c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>
        <f>0.000001*('Design Worksheet_BAT'!B$88)*(B1028-B1027)/E$232+M1027</f>
        <v>2.5567430047767974E-4</v>
      </c>
      <c r="N1028" s="5">
        <f t="shared" si="29"/>
        <v>71.119999999999436</v>
      </c>
    </row>
    <row r="1029" spans="1:14" x14ac:dyDescent="0.3">
      <c r="A1029" s="5">
        <v>5.08499999999996</v>
      </c>
      <c r="B1029" s="5">
        <f t="shared" si="30"/>
        <v>71.189999999999444</v>
      </c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>
        <f>0.000001*('Design Worksheet_BAT'!B$88)*(B1029-B1028)/E$232+M1028</f>
        <v>2.5587550820714837E-4</v>
      </c>
      <c r="N1029" s="5">
        <f t="shared" si="29"/>
        <v>71.189999999999444</v>
      </c>
    </row>
    <row r="1030" spans="1:14" x14ac:dyDescent="0.3">
      <c r="A1030" s="5">
        <v>5.0899999999999599</v>
      </c>
      <c r="B1030" s="5">
        <f t="shared" si="30"/>
        <v>71.259999999999437</v>
      </c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>
        <f>0.000001*('Design Worksheet_BAT'!B$88)*(B1030-B1029)/E$232+M1029</f>
        <v>2.5607671593661695E-4</v>
      </c>
      <c r="N1030" s="5">
        <f t="shared" si="29"/>
        <v>71.259999999999437</v>
      </c>
    </row>
    <row r="1031" spans="1:14" x14ac:dyDescent="0.3">
      <c r="A1031" s="5">
        <v>5.0949999999999598</v>
      </c>
      <c r="B1031" s="5">
        <f t="shared" si="30"/>
        <v>71.329999999999444</v>
      </c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>
        <f>0.000001*('Design Worksheet_BAT'!B$88)*(B1031-B1030)/E$232+M1030</f>
        <v>2.5627792366608558E-4</v>
      </c>
      <c r="N1031" s="5">
        <f t="shared" si="29"/>
        <v>71.329999999999444</v>
      </c>
    </row>
    <row r="1032" spans="1:14" x14ac:dyDescent="0.3">
      <c r="A1032" s="5">
        <v>5.0999999999999597</v>
      </c>
      <c r="B1032" s="5">
        <f t="shared" si="30"/>
        <v>71.399999999999437</v>
      </c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>
        <f>0.000001*('Design Worksheet_BAT'!B$88)*(B1032-B1031)/E$232+M1031</f>
        <v>2.5647913139555415E-4</v>
      </c>
      <c r="N1032" s="5">
        <f t="shared" si="29"/>
        <v>71.399999999999437</v>
      </c>
    </row>
    <row r="1033" spans="1:14" x14ac:dyDescent="0.3">
      <c r="A1033" s="5">
        <v>5.1049999999999596</v>
      </c>
      <c r="B1033" s="5">
        <f t="shared" si="30"/>
        <v>71.46999999999943</v>
      </c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>
        <f>0.000001*('Design Worksheet_BAT'!B$88)*(B1033-B1032)/E$232+M1032</f>
        <v>2.5668033912502273E-4</v>
      </c>
      <c r="N1033" s="5">
        <f t="shared" si="29"/>
        <v>71.46999999999943</v>
      </c>
    </row>
    <row r="1034" spans="1:14" x14ac:dyDescent="0.3">
      <c r="A1034" s="5">
        <v>5.1099999999999604</v>
      </c>
      <c r="B1034" s="5">
        <f t="shared" si="30"/>
        <v>71.539999999999452</v>
      </c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>
        <f>0.000001*('Design Worksheet_BAT'!B$88)*(B1034-B1033)/E$232+M1033</f>
        <v>2.5688154685449141E-4</v>
      </c>
      <c r="N1034" s="5">
        <f t="shared" si="29"/>
        <v>71.539999999999452</v>
      </c>
    </row>
    <row r="1035" spans="1:14" x14ac:dyDescent="0.3">
      <c r="A1035" s="5">
        <v>5.1149999999999602</v>
      </c>
      <c r="B1035" s="5">
        <f t="shared" si="30"/>
        <v>71.609999999999445</v>
      </c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>
        <f>0.000001*('Design Worksheet_BAT'!B$88)*(B1035-B1034)/E$232+M1034</f>
        <v>2.5708275458395999E-4</v>
      </c>
      <c r="N1035" s="5">
        <f t="shared" si="29"/>
        <v>71.609999999999445</v>
      </c>
    </row>
    <row r="1036" spans="1:14" x14ac:dyDescent="0.3">
      <c r="A1036" s="5">
        <v>5.1199999999999601</v>
      </c>
      <c r="B1036" s="5">
        <f t="shared" si="30"/>
        <v>71.679999999999438</v>
      </c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>
        <f>0.000001*('Design Worksheet_BAT'!B$88)*(B1036-B1035)/E$232+M1035</f>
        <v>2.5728396231342856E-4</v>
      </c>
      <c r="N1036" s="5">
        <f t="shared" si="29"/>
        <v>71.679999999999438</v>
      </c>
    </row>
    <row r="1037" spans="1:14" x14ac:dyDescent="0.3">
      <c r="A1037" s="5">
        <v>5.12499999999996</v>
      </c>
      <c r="B1037" s="5">
        <f t="shared" si="30"/>
        <v>71.749999999999446</v>
      </c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>
        <f>0.000001*('Design Worksheet_BAT'!B$88)*(B1037-B1036)/E$232+M1036</f>
        <v>2.5748517004289719E-4</v>
      </c>
      <c r="N1037" s="5">
        <f t="shared" si="29"/>
        <v>71.749999999999446</v>
      </c>
    </row>
    <row r="1038" spans="1:14" x14ac:dyDescent="0.3">
      <c r="A1038" s="5">
        <v>5.1299999999999599</v>
      </c>
      <c r="B1038" s="5">
        <f t="shared" si="30"/>
        <v>71.819999999999439</v>
      </c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>
        <f>0.000001*('Design Worksheet_BAT'!B$88)*(B1038-B1037)/E$232+M1037</f>
        <v>2.5768637777236577E-4</v>
      </c>
      <c r="N1038" s="5">
        <f t="shared" si="29"/>
        <v>71.819999999999439</v>
      </c>
    </row>
    <row r="1039" spans="1:14" x14ac:dyDescent="0.3">
      <c r="A1039" s="5">
        <v>5.1349999999999598</v>
      </c>
      <c r="B1039" s="5">
        <f t="shared" si="30"/>
        <v>71.889999999999432</v>
      </c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>
        <f>0.000001*('Design Worksheet_BAT'!B$88)*(B1039-B1038)/E$232+M1038</f>
        <v>2.5788758550183435E-4</v>
      </c>
      <c r="N1039" s="5">
        <f t="shared" si="29"/>
        <v>71.889999999999432</v>
      </c>
    </row>
    <row r="1040" spans="1:14" x14ac:dyDescent="0.3">
      <c r="A1040" s="5">
        <v>5.1399999999999597</v>
      </c>
      <c r="B1040" s="5">
        <f t="shared" si="30"/>
        <v>71.95999999999944</v>
      </c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>
        <f>0.000001*('Design Worksheet_BAT'!B$88)*(B1040-B1039)/E$232+M1039</f>
        <v>2.5808879323130298E-4</v>
      </c>
      <c r="N1040" s="5">
        <f t="shared" si="29"/>
        <v>71.95999999999944</v>
      </c>
    </row>
    <row r="1041" spans="1:14" x14ac:dyDescent="0.3">
      <c r="A1041" s="5">
        <v>5.1449999999999596</v>
      </c>
      <c r="B1041" s="5">
        <f t="shared" si="30"/>
        <v>72.029999999999433</v>
      </c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>
        <f>0.000001*('Design Worksheet_BAT'!B$88)*(B1041-B1040)/E$232+M1040</f>
        <v>2.5829000096077155E-4</v>
      </c>
      <c r="N1041" s="5">
        <f t="shared" si="29"/>
        <v>72.029999999999433</v>
      </c>
    </row>
    <row r="1042" spans="1:14" x14ac:dyDescent="0.3">
      <c r="A1042" s="5">
        <v>5.1499999999999604</v>
      </c>
      <c r="B1042" s="5">
        <f t="shared" si="30"/>
        <v>72.09999999999944</v>
      </c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>
        <f>0.000001*('Design Worksheet_BAT'!B$88)*(B1042-B1041)/E$232+M1041</f>
        <v>2.5849120869024018E-4</v>
      </c>
      <c r="N1042" s="5">
        <f t="shared" si="29"/>
        <v>72.09999999999944</v>
      </c>
    </row>
    <row r="1043" spans="1:14" x14ac:dyDescent="0.3">
      <c r="A1043" s="5">
        <v>5.1549999999999496</v>
      </c>
      <c r="B1043" s="5">
        <f t="shared" si="30"/>
        <v>72.169999999999291</v>
      </c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>
        <f>0.000001*('Design Worksheet_BAT'!B$88)*(B1043-B1042)/E$232+M1042</f>
        <v>2.5869241641970838E-4</v>
      </c>
      <c r="N1043" s="5">
        <f t="shared" si="29"/>
        <v>72.169999999999291</v>
      </c>
    </row>
    <row r="1044" spans="1:14" x14ac:dyDescent="0.3">
      <c r="A1044" s="5">
        <v>5.1599999999999504</v>
      </c>
      <c r="B1044" s="5">
        <f t="shared" si="30"/>
        <v>72.239999999999299</v>
      </c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>
        <f>0.000001*('Design Worksheet_BAT'!B$88)*(B1044-B1043)/E$232+M1043</f>
        <v>2.5889362414917701E-4</v>
      </c>
      <c r="N1044" s="5">
        <f t="shared" si="29"/>
        <v>72.239999999999299</v>
      </c>
    </row>
    <row r="1045" spans="1:14" x14ac:dyDescent="0.3">
      <c r="A1045" s="5">
        <v>5.1649999999999503</v>
      </c>
      <c r="B1045" s="5">
        <f t="shared" si="30"/>
        <v>72.309999999999306</v>
      </c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>
        <f>0.000001*('Design Worksheet_BAT'!B$88)*(B1045-B1044)/E$232+M1044</f>
        <v>2.5909483187864564E-4</v>
      </c>
      <c r="N1045" s="5">
        <f t="shared" si="29"/>
        <v>72.309999999999306</v>
      </c>
    </row>
    <row r="1046" spans="1:14" x14ac:dyDescent="0.3">
      <c r="A1046" s="5">
        <v>5.16999999999996</v>
      </c>
      <c r="B1046" s="5">
        <f t="shared" si="30"/>
        <v>72.379999999999441</v>
      </c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>
        <f>0.000001*('Design Worksheet_BAT'!B$88)*(B1046-B1045)/E$232+M1045</f>
        <v>2.5929603960811465E-4</v>
      </c>
      <c r="N1046" s="5">
        <f t="shared" si="29"/>
        <v>72.379999999999441</v>
      </c>
    </row>
    <row r="1047" spans="1:14" x14ac:dyDescent="0.3">
      <c r="A1047" s="5">
        <v>5.1749999999999501</v>
      </c>
      <c r="B1047" s="5">
        <f t="shared" si="30"/>
        <v>72.449999999999307</v>
      </c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>
        <f>0.000001*('Design Worksheet_BAT'!B$88)*(B1047-B1046)/E$232+M1046</f>
        <v>2.5949724733758284E-4</v>
      </c>
      <c r="N1047" s="5">
        <f t="shared" si="29"/>
        <v>72.449999999999307</v>
      </c>
    </row>
    <row r="1048" spans="1:14" x14ac:dyDescent="0.3">
      <c r="A1048" s="5">
        <v>5.17999999999995</v>
      </c>
      <c r="B1048" s="5">
        <f t="shared" si="30"/>
        <v>72.5199999999993</v>
      </c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>
        <f>0.000001*('Design Worksheet_BAT'!B$88)*(B1048-B1047)/E$232+M1047</f>
        <v>2.5969845506705142E-4</v>
      </c>
      <c r="N1048" s="5">
        <f t="shared" si="29"/>
        <v>72.5199999999993</v>
      </c>
    </row>
    <row r="1049" spans="1:14" x14ac:dyDescent="0.3">
      <c r="A1049" s="5">
        <v>5.1849999999999499</v>
      </c>
      <c r="B1049" s="5">
        <f t="shared" si="30"/>
        <v>72.589999999999293</v>
      </c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>
        <f>0.000001*('Design Worksheet_BAT'!B$88)*(B1049-B1048)/E$232+M1048</f>
        <v>2.5989966279651999E-4</v>
      </c>
      <c r="N1049" s="5">
        <f t="shared" si="29"/>
        <v>72.589999999999293</v>
      </c>
    </row>
    <row r="1050" spans="1:14" x14ac:dyDescent="0.3">
      <c r="A1050" s="5">
        <v>5.1899999999999498</v>
      </c>
      <c r="B1050" s="5">
        <f t="shared" si="30"/>
        <v>72.6599999999993</v>
      </c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>
        <f>0.000001*('Design Worksheet_BAT'!B$88)*(B1050-B1049)/E$232+M1049</f>
        <v>2.6010087052598862E-4</v>
      </c>
      <c r="N1050" s="5">
        <f t="shared" si="29"/>
        <v>72.6599999999993</v>
      </c>
    </row>
    <row r="1051" spans="1:14" x14ac:dyDescent="0.3">
      <c r="A1051" s="5">
        <v>5.1949999999999497</v>
      </c>
      <c r="B1051" s="5">
        <f t="shared" si="30"/>
        <v>72.729999999999293</v>
      </c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>
        <f>0.000001*('Design Worksheet_BAT'!B$88)*(B1051-B1050)/E$232+M1050</f>
        <v>2.603020782554572E-4</v>
      </c>
      <c r="N1051" s="5">
        <f t="shared" si="29"/>
        <v>72.729999999999293</v>
      </c>
    </row>
    <row r="1052" spans="1:14" x14ac:dyDescent="0.3">
      <c r="A1052" s="5">
        <v>5.1999999999999504</v>
      </c>
      <c r="B1052" s="5">
        <f t="shared" si="30"/>
        <v>72.799999999999301</v>
      </c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>
        <f>0.000001*('Design Worksheet_BAT'!B$88)*(B1052-B1051)/E$232+M1051</f>
        <v>2.6050328598492583E-4</v>
      </c>
      <c r="N1052" s="5">
        <f t="shared" si="29"/>
        <v>72.799999999999301</v>
      </c>
    </row>
    <row r="1053" spans="1:14" x14ac:dyDescent="0.3">
      <c r="A1053" s="5">
        <v>5.2049999999999503</v>
      </c>
      <c r="B1053" s="5">
        <f t="shared" si="30"/>
        <v>72.869999999999308</v>
      </c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>
        <f>0.000001*('Design Worksheet_BAT'!B$88)*(B1053-B1052)/E$232+M1052</f>
        <v>2.6070449371439446E-4</v>
      </c>
      <c r="N1053" s="5">
        <f t="shared" si="29"/>
        <v>72.869999999999308</v>
      </c>
    </row>
    <row r="1054" spans="1:14" x14ac:dyDescent="0.3">
      <c r="A1054" s="5">
        <v>5.2099999999999502</v>
      </c>
      <c r="B1054" s="5">
        <f t="shared" si="30"/>
        <v>72.939999999999301</v>
      </c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>
        <f>0.000001*('Design Worksheet_BAT'!B$88)*(B1054-B1053)/E$232+M1053</f>
        <v>2.6090570144386303E-4</v>
      </c>
      <c r="N1054" s="5">
        <f t="shared" si="29"/>
        <v>72.939999999999301</v>
      </c>
    </row>
    <row r="1055" spans="1:14" x14ac:dyDescent="0.3">
      <c r="A1055" s="5">
        <v>5.2149999999999501</v>
      </c>
      <c r="B1055" s="5">
        <f t="shared" si="30"/>
        <v>73.009999999999309</v>
      </c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>
        <f>0.000001*('Design Worksheet_BAT'!B$88)*(B1055-B1054)/E$232+M1054</f>
        <v>2.6110690917333166E-4</v>
      </c>
      <c r="N1055" s="5">
        <f t="shared" si="29"/>
        <v>73.009999999999309</v>
      </c>
    </row>
    <row r="1056" spans="1:14" x14ac:dyDescent="0.3">
      <c r="A1056" s="5">
        <v>5.21999999999995</v>
      </c>
      <c r="B1056" s="5">
        <f t="shared" si="30"/>
        <v>73.079999999999302</v>
      </c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>
        <f>0.000001*('Design Worksheet_BAT'!B$88)*(B1056-B1055)/E$232+M1055</f>
        <v>2.6130811690280024E-4</v>
      </c>
      <c r="N1056" s="5">
        <f t="shared" si="29"/>
        <v>73.079999999999302</v>
      </c>
    </row>
    <row r="1057" spans="1:14" x14ac:dyDescent="0.3">
      <c r="A1057" s="5">
        <v>5.2249999999999499</v>
      </c>
      <c r="B1057" s="5">
        <f t="shared" si="30"/>
        <v>73.149999999999295</v>
      </c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>
        <f>0.000001*('Design Worksheet_BAT'!B$88)*(B1057-B1056)/E$232+M1056</f>
        <v>2.6150932463226881E-4</v>
      </c>
      <c r="N1057" s="5">
        <f t="shared" si="29"/>
        <v>73.149999999999295</v>
      </c>
    </row>
    <row r="1058" spans="1:14" x14ac:dyDescent="0.3">
      <c r="A1058" s="5">
        <v>5.2299999999999498</v>
      </c>
      <c r="B1058" s="5">
        <f t="shared" si="30"/>
        <v>73.219999999999303</v>
      </c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>
        <f>0.000001*('Design Worksheet_BAT'!B$88)*(B1058-B1057)/E$232+M1057</f>
        <v>2.6171053236173744E-4</v>
      </c>
      <c r="N1058" s="5">
        <f t="shared" si="29"/>
        <v>73.219999999999303</v>
      </c>
    </row>
    <row r="1059" spans="1:14" x14ac:dyDescent="0.3">
      <c r="A1059" s="5">
        <v>5.2349999999999497</v>
      </c>
      <c r="B1059" s="5">
        <f t="shared" si="30"/>
        <v>73.289999999999296</v>
      </c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>
        <f>0.000001*('Design Worksheet_BAT'!B$88)*(B1059-B1058)/E$232+M1058</f>
        <v>2.6191174009120602E-4</v>
      </c>
      <c r="N1059" s="5">
        <f t="shared" si="29"/>
        <v>73.289999999999296</v>
      </c>
    </row>
    <row r="1060" spans="1:14" x14ac:dyDescent="0.3">
      <c r="A1060" s="5">
        <v>5.2399999999999496</v>
      </c>
      <c r="B1060" s="5">
        <f t="shared" si="30"/>
        <v>73.359999999999289</v>
      </c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>
        <f>0.000001*('Design Worksheet_BAT'!B$88)*(B1060-B1059)/E$232+M1059</f>
        <v>2.6211294782067459E-4</v>
      </c>
      <c r="N1060" s="5">
        <f t="shared" si="29"/>
        <v>73.359999999999289</v>
      </c>
    </row>
    <row r="1061" spans="1:14" x14ac:dyDescent="0.3">
      <c r="A1061" s="5">
        <v>5.2449999999999504</v>
      </c>
      <c r="B1061" s="5">
        <f t="shared" si="30"/>
        <v>73.42999999999931</v>
      </c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>
        <f>0.000001*('Design Worksheet_BAT'!B$88)*(B1061-B1060)/E$232+M1060</f>
        <v>2.6231415555014328E-4</v>
      </c>
      <c r="N1061" s="5">
        <f t="shared" si="29"/>
        <v>73.42999999999931</v>
      </c>
    </row>
    <row r="1062" spans="1:14" x14ac:dyDescent="0.3">
      <c r="A1062" s="5">
        <v>5.2499999999999503</v>
      </c>
      <c r="B1062" s="5">
        <f t="shared" si="30"/>
        <v>73.499999999999304</v>
      </c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>
        <f>0.000001*('Design Worksheet_BAT'!B$88)*(B1062-B1061)/E$232+M1061</f>
        <v>2.6251536327961185E-4</v>
      </c>
      <c r="N1062" s="5">
        <f t="shared" si="29"/>
        <v>73.499999999999304</v>
      </c>
    </row>
    <row r="1063" spans="1:14" x14ac:dyDescent="0.3">
      <c r="A1063" s="5">
        <v>5.2549999999999502</v>
      </c>
      <c r="B1063" s="5">
        <f t="shared" si="30"/>
        <v>73.569999999999297</v>
      </c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>
        <f>0.000001*('Design Worksheet_BAT'!B$88)*(B1063-B1062)/E$232+M1062</f>
        <v>2.6271657100908043E-4</v>
      </c>
      <c r="N1063" s="5">
        <f t="shared" si="29"/>
        <v>73.569999999999297</v>
      </c>
    </row>
    <row r="1064" spans="1:14" x14ac:dyDescent="0.3">
      <c r="A1064" s="5">
        <v>5.25999999999995</v>
      </c>
      <c r="B1064" s="5">
        <f t="shared" si="30"/>
        <v>73.639999999999304</v>
      </c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>
        <f>0.000001*('Design Worksheet_BAT'!B$88)*(B1064-B1063)/E$232+M1063</f>
        <v>2.6291777873854906E-4</v>
      </c>
      <c r="N1064" s="5">
        <f t="shared" ref="N1064:N1127" si="31">B1064</f>
        <v>73.639999999999304</v>
      </c>
    </row>
    <row r="1065" spans="1:14" x14ac:dyDescent="0.3">
      <c r="A1065" s="5">
        <v>5.2649999999999499</v>
      </c>
      <c r="B1065" s="5">
        <f t="shared" ref="B1065:B1128" si="32">A1065*VOFLB</f>
        <v>73.709999999999297</v>
      </c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>
        <f>0.000001*('Design Worksheet_BAT'!B$88)*(B1065-B1064)/E$232+M1064</f>
        <v>2.6311898646801763E-4</v>
      </c>
      <c r="N1065" s="5">
        <f t="shared" si="31"/>
        <v>73.709999999999297</v>
      </c>
    </row>
    <row r="1066" spans="1:14" x14ac:dyDescent="0.3">
      <c r="A1066" s="5">
        <v>5.2699999999999498</v>
      </c>
      <c r="B1066" s="5">
        <f t="shared" si="32"/>
        <v>73.779999999999291</v>
      </c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>
        <f>0.000001*('Design Worksheet_BAT'!B$88)*(B1066-B1065)/E$232+M1065</f>
        <v>2.6332019419748621E-4</v>
      </c>
      <c r="N1066" s="5">
        <f t="shared" si="31"/>
        <v>73.779999999999291</v>
      </c>
    </row>
    <row r="1067" spans="1:14" x14ac:dyDescent="0.3">
      <c r="A1067" s="5">
        <v>5.2749999999999497</v>
      </c>
      <c r="B1067" s="5">
        <f t="shared" si="32"/>
        <v>73.849999999999298</v>
      </c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>
        <f>0.000001*('Design Worksheet_BAT'!B$88)*(B1067-B1066)/E$232+M1066</f>
        <v>2.6352140192695484E-4</v>
      </c>
      <c r="N1067" s="5">
        <f t="shared" si="31"/>
        <v>73.849999999999298</v>
      </c>
    </row>
    <row r="1068" spans="1:14" x14ac:dyDescent="0.3">
      <c r="A1068" s="5">
        <v>5.2799999999999496</v>
      </c>
      <c r="B1068" s="5">
        <f t="shared" si="32"/>
        <v>73.919999999999291</v>
      </c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>
        <f>0.000001*('Design Worksheet_BAT'!B$88)*(B1068-B1067)/E$232+M1067</f>
        <v>2.6372260965642341E-4</v>
      </c>
      <c r="N1068" s="5">
        <f t="shared" si="31"/>
        <v>73.919999999999291</v>
      </c>
    </row>
    <row r="1069" spans="1:14" x14ac:dyDescent="0.3">
      <c r="A1069" s="5">
        <v>5.2849999999999504</v>
      </c>
      <c r="B1069" s="5">
        <f t="shared" si="32"/>
        <v>73.989999999999299</v>
      </c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>
        <f>0.000001*('Design Worksheet_BAT'!B$88)*(B1069-B1068)/E$232+M1068</f>
        <v>2.6392381738589204E-4</v>
      </c>
      <c r="N1069" s="5">
        <f t="shared" si="31"/>
        <v>73.989999999999299</v>
      </c>
    </row>
    <row r="1070" spans="1:14" x14ac:dyDescent="0.3">
      <c r="A1070" s="5">
        <v>5.2899999999999503</v>
      </c>
      <c r="B1070" s="5">
        <f t="shared" si="32"/>
        <v>74.059999999999306</v>
      </c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>
        <f>0.000001*('Design Worksheet_BAT'!B$88)*(B1070-B1069)/E$232+M1069</f>
        <v>2.6412502511536067E-4</v>
      </c>
      <c r="N1070" s="5">
        <f t="shared" si="31"/>
        <v>74.059999999999306</v>
      </c>
    </row>
    <row r="1071" spans="1:14" x14ac:dyDescent="0.3">
      <c r="A1071" s="5">
        <v>5.2949999999999502</v>
      </c>
      <c r="B1071" s="5">
        <f t="shared" si="32"/>
        <v>74.129999999999299</v>
      </c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>
        <f>0.000001*('Design Worksheet_BAT'!B$88)*(B1071-B1070)/E$232+M1070</f>
        <v>2.6432623284482925E-4</v>
      </c>
      <c r="N1071" s="5">
        <f t="shared" si="31"/>
        <v>74.129999999999299</v>
      </c>
    </row>
    <row r="1072" spans="1:14" x14ac:dyDescent="0.3">
      <c r="A1072" s="5">
        <v>5.2999999999999501</v>
      </c>
      <c r="B1072" s="5">
        <f t="shared" si="32"/>
        <v>74.199999999999307</v>
      </c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>
        <f>0.000001*('Design Worksheet_BAT'!B$88)*(B1072-B1071)/E$232+M1071</f>
        <v>2.6452744057429788E-4</v>
      </c>
      <c r="N1072" s="5">
        <f t="shared" si="31"/>
        <v>74.199999999999307</v>
      </c>
    </row>
    <row r="1073" spans="1:14" x14ac:dyDescent="0.3">
      <c r="A1073" s="5">
        <v>5.30499999999995</v>
      </c>
      <c r="B1073" s="5">
        <f t="shared" si="32"/>
        <v>74.2699999999993</v>
      </c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>
        <f>0.000001*('Design Worksheet_BAT'!B$88)*(B1073-B1072)/E$232+M1072</f>
        <v>2.6472864830376646E-4</v>
      </c>
      <c r="N1073" s="5">
        <f t="shared" si="31"/>
        <v>74.2699999999993</v>
      </c>
    </row>
    <row r="1074" spans="1:14" x14ac:dyDescent="0.3">
      <c r="A1074" s="5">
        <v>5.3099999999999499</v>
      </c>
      <c r="B1074" s="5">
        <f t="shared" si="32"/>
        <v>74.339999999999293</v>
      </c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>
        <f>0.000001*('Design Worksheet_BAT'!B$88)*(B1074-B1073)/E$232+M1073</f>
        <v>2.6492985603323503E-4</v>
      </c>
      <c r="N1074" s="5">
        <f t="shared" si="31"/>
        <v>74.339999999999293</v>
      </c>
    </row>
    <row r="1075" spans="1:14" x14ac:dyDescent="0.3">
      <c r="A1075" s="5">
        <v>5.3149999999999498</v>
      </c>
      <c r="B1075" s="5">
        <f t="shared" si="32"/>
        <v>74.4099999999993</v>
      </c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>
        <f>0.000001*('Design Worksheet_BAT'!B$88)*(B1075-B1074)/E$232+M1074</f>
        <v>2.6513106376270366E-4</v>
      </c>
      <c r="N1075" s="5">
        <f t="shared" si="31"/>
        <v>74.4099999999993</v>
      </c>
    </row>
    <row r="1076" spans="1:14" x14ac:dyDescent="0.3">
      <c r="A1076" s="5">
        <v>5.3199999999999497</v>
      </c>
      <c r="B1076" s="5">
        <f t="shared" si="32"/>
        <v>74.479999999999293</v>
      </c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>
        <f>0.000001*('Design Worksheet_BAT'!B$88)*(B1076-B1075)/E$232+M1075</f>
        <v>2.6533227149217224E-4</v>
      </c>
      <c r="N1076" s="5">
        <f t="shared" si="31"/>
        <v>74.479999999999293</v>
      </c>
    </row>
    <row r="1077" spans="1:14" x14ac:dyDescent="0.3">
      <c r="A1077" s="5">
        <v>5.3249999999999504</v>
      </c>
      <c r="B1077" s="5">
        <f t="shared" si="32"/>
        <v>74.549999999999301</v>
      </c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>
        <f>0.000001*('Design Worksheet_BAT'!B$88)*(B1077-B1076)/E$232+M1076</f>
        <v>2.6553347922164087E-4</v>
      </c>
      <c r="N1077" s="5">
        <f t="shared" si="31"/>
        <v>74.549999999999301</v>
      </c>
    </row>
    <row r="1078" spans="1:14" x14ac:dyDescent="0.3">
      <c r="A1078" s="5">
        <v>5.3299999999999503</v>
      </c>
      <c r="B1078" s="5">
        <f t="shared" si="32"/>
        <v>74.619999999999308</v>
      </c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>
        <f>0.000001*('Design Worksheet_BAT'!B$88)*(B1078-B1077)/E$232+M1077</f>
        <v>2.657346869511095E-4</v>
      </c>
      <c r="N1078" s="5">
        <f t="shared" si="31"/>
        <v>74.619999999999308</v>
      </c>
    </row>
    <row r="1079" spans="1:14" x14ac:dyDescent="0.3">
      <c r="A1079" s="5">
        <v>5.3349999999999502</v>
      </c>
      <c r="B1079" s="5">
        <f t="shared" si="32"/>
        <v>74.689999999999301</v>
      </c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>
        <f>0.000001*('Design Worksheet_BAT'!B$88)*(B1079-B1078)/E$232+M1078</f>
        <v>2.6593589468057807E-4</v>
      </c>
      <c r="N1079" s="5">
        <f t="shared" si="31"/>
        <v>74.689999999999301</v>
      </c>
    </row>
    <row r="1080" spans="1:14" x14ac:dyDescent="0.3">
      <c r="A1080" s="5">
        <v>5.3399999999999501</v>
      </c>
      <c r="B1080" s="5">
        <f t="shared" si="32"/>
        <v>74.759999999999309</v>
      </c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>
        <f>0.000001*('Design Worksheet_BAT'!B$88)*(B1080-B1079)/E$232+M1079</f>
        <v>2.661371024100467E-4</v>
      </c>
      <c r="N1080" s="5">
        <f t="shared" si="31"/>
        <v>74.759999999999309</v>
      </c>
    </row>
    <row r="1081" spans="1:14" x14ac:dyDescent="0.3">
      <c r="A1081" s="5">
        <v>5.34499999999995</v>
      </c>
      <c r="B1081" s="5">
        <f t="shared" si="32"/>
        <v>74.829999999999302</v>
      </c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>
        <f>0.000001*('Design Worksheet_BAT'!B$88)*(B1081-B1080)/E$232+M1080</f>
        <v>2.6633831013951528E-4</v>
      </c>
      <c r="N1081" s="5">
        <f t="shared" si="31"/>
        <v>74.829999999999302</v>
      </c>
    </row>
    <row r="1082" spans="1:14" x14ac:dyDescent="0.3">
      <c r="A1082" s="5">
        <v>5.3499999999999499</v>
      </c>
      <c r="B1082" s="5">
        <f t="shared" si="32"/>
        <v>74.899999999999295</v>
      </c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>
        <f>0.000001*('Design Worksheet_BAT'!B$88)*(B1082-B1081)/E$232+M1081</f>
        <v>2.6653951786898385E-4</v>
      </c>
      <c r="N1082" s="5">
        <f t="shared" si="31"/>
        <v>74.899999999999295</v>
      </c>
    </row>
    <row r="1083" spans="1:14" x14ac:dyDescent="0.3">
      <c r="A1083" s="5">
        <v>5.3549999999999498</v>
      </c>
      <c r="B1083" s="5">
        <f t="shared" si="32"/>
        <v>74.969999999999303</v>
      </c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>
        <f>0.000001*('Design Worksheet_BAT'!B$88)*(B1083-B1082)/E$232+M1082</f>
        <v>2.6674072559845248E-4</v>
      </c>
      <c r="N1083" s="5">
        <f t="shared" si="31"/>
        <v>74.969999999999303</v>
      </c>
    </row>
    <row r="1084" spans="1:14" x14ac:dyDescent="0.3">
      <c r="A1084" s="5">
        <v>5.3599999999999497</v>
      </c>
      <c r="B1084" s="5">
        <f t="shared" si="32"/>
        <v>75.039999999999296</v>
      </c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>
        <f>0.000001*('Design Worksheet_BAT'!B$88)*(B1084-B1083)/E$232+M1083</f>
        <v>2.6694193332792106E-4</v>
      </c>
      <c r="N1084" s="5">
        <f t="shared" si="31"/>
        <v>75.039999999999296</v>
      </c>
    </row>
    <row r="1085" spans="1:14" x14ac:dyDescent="0.3">
      <c r="A1085" s="5">
        <v>5.3649999999999496</v>
      </c>
      <c r="B1085" s="5">
        <f t="shared" si="32"/>
        <v>75.109999999999289</v>
      </c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>
        <f>0.000001*('Design Worksheet_BAT'!B$88)*(B1085-B1084)/E$232+M1084</f>
        <v>2.6714314105738963E-4</v>
      </c>
      <c r="N1085" s="5">
        <f t="shared" si="31"/>
        <v>75.109999999999289</v>
      </c>
    </row>
    <row r="1086" spans="1:14" x14ac:dyDescent="0.3">
      <c r="A1086" s="5">
        <v>5.3699999999999504</v>
      </c>
      <c r="B1086" s="5">
        <f t="shared" si="32"/>
        <v>75.17999999999931</v>
      </c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>
        <f>0.000001*('Design Worksheet_BAT'!B$88)*(B1086-B1085)/E$232+M1085</f>
        <v>2.6734434878685832E-4</v>
      </c>
      <c r="N1086" s="5">
        <f t="shared" si="31"/>
        <v>75.17999999999931</v>
      </c>
    </row>
    <row r="1087" spans="1:14" x14ac:dyDescent="0.3">
      <c r="A1087" s="5">
        <v>5.3749999999999503</v>
      </c>
      <c r="B1087" s="5">
        <f t="shared" si="32"/>
        <v>75.249999999999304</v>
      </c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>
        <f>0.000001*('Design Worksheet_BAT'!B$88)*(B1087-B1086)/E$232+M1086</f>
        <v>2.6754555651632689E-4</v>
      </c>
      <c r="N1087" s="5">
        <f t="shared" si="31"/>
        <v>75.249999999999304</v>
      </c>
    </row>
    <row r="1088" spans="1:14" x14ac:dyDescent="0.3">
      <c r="A1088" s="5">
        <v>5.3799999999999502</v>
      </c>
      <c r="B1088" s="5">
        <f t="shared" si="32"/>
        <v>75.319999999999297</v>
      </c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>
        <f>0.000001*('Design Worksheet_BAT'!B$88)*(B1088-B1087)/E$232+M1087</f>
        <v>2.6774676424579547E-4</v>
      </c>
      <c r="N1088" s="5">
        <f t="shared" si="31"/>
        <v>75.319999999999297</v>
      </c>
    </row>
    <row r="1089" spans="1:14" x14ac:dyDescent="0.3">
      <c r="A1089" s="5">
        <v>5.38499999999995</v>
      </c>
      <c r="B1089" s="5">
        <f t="shared" si="32"/>
        <v>75.389999999999304</v>
      </c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>
        <f>0.000001*('Design Worksheet_BAT'!B$88)*(B1089-B1088)/E$232+M1088</f>
        <v>2.679479719752641E-4</v>
      </c>
      <c r="N1089" s="5">
        <f t="shared" si="31"/>
        <v>75.389999999999304</v>
      </c>
    </row>
    <row r="1090" spans="1:14" x14ac:dyDescent="0.3">
      <c r="A1090" s="5">
        <v>5.3899999999999499</v>
      </c>
      <c r="B1090" s="5">
        <f t="shared" si="32"/>
        <v>75.459999999999297</v>
      </c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>
        <f>0.000001*('Design Worksheet_BAT'!B$88)*(B1090-B1089)/E$232+M1089</f>
        <v>2.6814917970473267E-4</v>
      </c>
      <c r="N1090" s="5">
        <f t="shared" si="31"/>
        <v>75.459999999999297</v>
      </c>
    </row>
    <row r="1091" spans="1:14" x14ac:dyDescent="0.3">
      <c r="A1091" s="5">
        <v>5.3949999999999498</v>
      </c>
      <c r="B1091" s="5">
        <f t="shared" si="32"/>
        <v>75.529999999999291</v>
      </c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>
        <f>0.000001*('Design Worksheet_BAT'!B$88)*(B1091-B1090)/E$232+M1090</f>
        <v>2.6835038743420125E-4</v>
      </c>
      <c r="N1091" s="5">
        <f t="shared" si="31"/>
        <v>75.529999999999291</v>
      </c>
    </row>
    <row r="1092" spans="1:14" x14ac:dyDescent="0.3">
      <c r="A1092" s="5">
        <v>5.3999999999999497</v>
      </c>
      <c r="B1092" s="5">
        <f t="shared" si="32"/>
        <v>75.599999999999298</v>
      </c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>
        <f>0.000001*('Design Worksheet_BAT'!B$88)*(B1092-B1091)/E$232+M1091</f>
        <v>2.6855159516366988E-4</v>
      </c>
      <c r="N1092" s="5">
        <f t="shared" si="31"/>
        <v>75.599999999999298</v>
      </c>
    </row>
    <row r="1093" spans="1:14" x14ac:dyDescent="0.3">
      <c r="A1093" s="5">
        <v>5.4049999999999496</v>
      </c>
      <c r="B1093" s="5">
        <f t="shared" si="32"/>
        <v>75.669999999999291</v>
      </c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>
        <f>0.000001*('Design Worksheet_BAT'!B$88)*(B1093-B1092)/E$232+M1092</f>
        <v>2.6875280289313845E-4</v>
      </c>
      <c r="N1093" s="5">
        <f t="shared" si="31"/>
        <v>75.669999999999291</v>
      </c>
    </row>
    <row r="1094" spans="1:14" x14ac:dyDescent="0.3">
      <c r="A1094" s="5">
        <v>5.4099999999999504</v>
      </c>
      <c r="B1094" s="5">
        <f t="shared" si="32"/>
        <v>75.739999999999299</v>
      </c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>
        <f>0.000001*('Design Worksheet_BAT'!B$88)*(B1094-B1093)/E$232+M1093</f>
        <v>2.6895401062260708E-4</v>
      </c>
      <c r="N1094" s="5">
        <f t="shared" si="31"/>
        <v>75.739999999999299</v>
      </c>
    </row>
    <row r="1095" spans="1:14" x14ac:dyDescent="0.3">
      <c r="A1095" s="5">
        <v>5.4149999999999503</v>
      </c>
      <c r="B1095" s="5">
        <f t="shared" si="32"/>
        <v>75.809999999999306</v>
      </c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>
        <f>0.000001*('Design Worksheet_BAT'!B$88)*(B1095-B1094)/E$232+M1094</f>
        <v>2.6915521835207571E-4</v>
      </c>
      <c r="N1095" s="5">
        <f t="shared" si="31"/>
        <v>75.809999999999306</v>
      </c>
    </row>
    <row r="1096" spans="1:14" x14ac:dyDescent="0.3">
      <c r="A1096" s="5">
        <v>5.4199999999999502</v>
      </c>
      <c r="B1096" s="5">
        <f t="shared" si="32"/>
        <v>75.879999999999299</v>
      </c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>
        <f>0.000001*('Design Worksheet_BAT'!B$88)*(B1096-B1095)/E$232+M1095</f>
        <v>2.6935642608154429E-4</v>
      </c>
      <c r="N1096" s="5">
        <f t="shared" si="31"/>
        <v>75.879999999999299</v>
      </c>
    </row>
    <row r="1097" spans="1:14" x14ac:dyDescent="0.3">
      <c r="A1097" s="5">
        <v>5.4249999999999501</v>
      </c>
      <c r="B1097" s="5">
        <f t="shared" si="32"/>
        <v>75.949999999999307</v>
      </c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>
        <f>0.000001*('Design Worksheet_BAT'!B$88)*(B1097-B1096)/E$232+M1096</f>
        <v>2.6955763381101292E-4</v>
      </c>
      <c r="N1097" s="5">
        <f t="shared" si="31"/>
        <v>75.949999999999307</v>
      </c>
    </row>
    <row r="1098" spans="1:14" x14ac:dyDescent="0.3">
      <c r="A1098" s="5">
        <v>5.42999999999995</v>
      </c>
      <c r="B1098" s="5">
        <f t="shared" si="32"/>
        <v>76.0199999999993</v>
      </c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>
        <f>0.000001*('Design Worksheet_BAT'!B$88)*(B1098-B1097)/E$232+M1097</f>
        <v>2.6975884154048149E-4</v>
      </c>
      <c r="N1098" s="5">
        <f t="shared" si="31"/>
        <v>76.0199999999993</v>
      </c>
    </row>
    <row r="1099" spans="1:14" x14ac:dyDescent="0.3">
      <c r="A1099" s="5">
        <v>5.4349999999999499</v>
      </c>
      <c r="B1099" s="5">
        <f t="shared" si="32"/>
        <v>76.089999999999293</v>
      </c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>
        <f>0.000001*('Design Worksheet_BAT'!B$88)*(B1099-B1098)/E$232+M1098</f>
        <v>2.6996004926995007E-4</v>
      </c>
      <c r="N1099" s="5">
        <f t="shared" si="31"/>
        <v>76.089999999999293</v>
      </c>
    </row>
    <row r="1100" spans="1:14" x14ac:dyDescent="0.3">
      <c r="A1100" s="5">
        <v>5.4399999999999498</v>
      </c>
      <c r="B1100" s="5">
        <f t="shared" si="32"/>
        <v>76.1599999999993</v>
      </c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>
        <f>0.000001*('Design Worksheet_BAT'!B$88)*(B1100-B1099)/E$232+M1099</f>
        <v>2.701612569994187E-4</v>
      </c>
      <c r="N1100" s="5">
        <f t="shared" si="31"/>
        <v>76.1599999999993</v>
      </c>
    </row>
    <row r="1101" spans="1:14" x14ac:dyDescent="0.3">
      <c r="A1101" s="5">
        <v>5.4449999999999497</v>
      </c>
      <c r="B1101" s="5">
        <f t="shared" si="32"/>
        <v>76.229999999999293</v>
      </c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>
        <f>0.000001*('Design Worksheet_BAT'!B$88)*(B1101-B1100)/E$232+M1100</f>
        <v>2.7036246472888727E-4</v>
      </c>
      <c r="N1101" s="5">
        <f t="shared" si="31"/>
        <v>76.229999999999293</v>
      </c>
    </row>
    <row r="1102" spans="1:14" x14ac:dyDescent="0.3">
      <c r="A1102" s="5">
        <v>5.4499999999999504</v>
      </c>
      <c r="B1102" s="5">
        <f t="shared" si="32"/>
        <v>76.299999999999301</v>
      </c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>
        <f>0.000001*('Design Worksheet_BAT'!B$88)*(B1102-B1101)/E$232+M1101</f>
        <v>2.705636724583559E-4</v>
      </c>
      <c r="N1102" s="5">
        <f t="shared" si="31"/>
        <v>76.299999999999301</v>
      </c>
    </row>
    <row r="1103" spans="1:14" x14ac:dyDescent="0.3">
      <c r="A1103" s="5">
        <v>5.4549999999999503</v>
      </c>
      <c r="B1103" s="5">
        <f t="shared" si="32"/>
        <v>76.369999999999308</v>
      </c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>
        <f>0.000001*('Design Worksheet_BAT'!B$88)*(B1103-B1102)/E$232+M1102</f>
        <v>2.7076488018782453E-4</v>
      </c>
      <c r="N1103" s="5">
        <f t="shared" si="31"/>
        <v>76.369999999999308</v>
      </c>
    </row>
    <row r="1104" spans="1:14" x14ac:dyDescent="0.3">
      <c r="A1104" s="5">
        <v>5.4599999999999502</v>
      </c>
      <c r="B1104" s="5">
        <f t="shared" si="32"/>
        <v>76.439999999999301</v>
      </c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>
        <f>0.000001*('Design Worksheet_BAT'!B$88)*(B1104-B1103)/E$232+M1103</f>
        <v>2.7096608791729311E-4</v>
      </c>
      <c r="N1104" s="5">
        <f t="shared" si="31"/>
        <v>76.439999999999301</v>
      </c>
    </row>
    <row r="1105" spans="1:14" x14ac:dyDescent="0.3">
      <c r="A1105" s="5">
        <v>5.4649999999999501</v>
      </c>
      <c r="B1105" s="5">
        <f t="shared" si="32"/>
        <v>76.509999999999309</v>
      </c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>
        <f>0.000001*('Design Worksheet_BAT'!B$88)*(B1105-B1104)/E$232+M1104</f>
        <v>2.7116729564676174E-4</v>
      </c>
      <c r="N1105" s="5">
        <f t="shared" si="31"/>
        <v>76.509999999999309</v>
      </c>
    </row>
    <row r="1106" spans="1:14" x14ac:dyDescent="0.3">
      <c r="A1106" s="5">
        <v>5.46999999999995</v>
      </c>
      <c r="B1106" s="5">
        <f t="shared" si="32"/>
        <v>76.579999999999302</v>
      </c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>
        <f>0.000001*('Design Worksheet_BAT'!B$88)*(B1106-B1105)/E$232+M1105</f>
        <v>2.7136850337623031E-4</v>
      </c>
      <c r="N1106" s="5">
        <f t="shared" si="31"/>
        <v>76.579999999999302</v>
      </c>
    </row>
    <row r="1107" spans="1:14" x14ac:dyDescent="0.3">
      <c r="A1107" s="5">
        <v>5.4749999999999499</v>
      </c>
      <c r="B1107" s="5">
        <f t="shared" si="32"/>
        <v>76.649999999999295</v>
      </c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>
        <f>0.000001*('Design Worksheet_BAT'!B$88)*(B1107-B1106)/E$232+M1106</f>
        <v>2.7156971110569889E-4</v>
      </c>
      <c r="N1107" s="5">
        <f t="shared" si="31"/>
        <v>76.649999999999295</v>
      </c>
    </row>
    <row r="1108" spans="1:14" x14ac:dyDescent="0.3">
      <c r="A1108" s="5">
        <v>5.4799999999999498</v>
      </c>
      <c r="B1108" s="5">
        <f t="shared" si="32"/>
        <v>76.719999999999303</v>
      </c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>
        <f>0.000001*('Design Worksheet_BAT'!B$88)*(B1108-B1107)/E$232+M1107</f>
        <v>2.7177091883516752E-4</v>
      </c>
      <c r="N1108" s="5">
        <f t="shared" si="31"/>
        <v>76.719999999999303</v>
      </c>
    </row>
    <row r="1109" spans="1:14" x14ac:dyDescent="0.3">
      <c r="A1109" s="5">
        <v>5.4849999999999497</v>
      </c>
      <c r="B1109" s="5">
        <f t="shared" si="32"/>
        <v>76.789999999999296</v>
      </c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>
        <f>0.000001*('Design Worksheet_BAT'!B$88)*(B1109-B1108)/E$232+M1108</f>
        <v>2.719721265646361E-4</v>
      </c>
      <c r="N1109" s="5">
        <f t="shared" si="31"/>
        <v>76.789999999999296</v>
      </c>
    </row>
    <row r="1110" spans="1:14" x14ac:dyDescent="0.3">
      <c r="A1110" s="5">
        <v>5.4899999999999496</v>
      </c>
      <c r="B1110" s="5">
        <f t="shared" si="32"/>
        <v>76.859999999999289</v>
      </c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>
        <f>0.000001*('Design Worksheet_BAT'!B$88)*(B1110-B1109)/E$232+M1109</f>
        <v>2.7217333429410467E-4</v>
      </c>
      <c r="N1110" s="5">
        <f t="shared" si="31"/>
        <v>76.859999999999289</v>
      </c>
    </row>
    <row r="1111" spans="1:14" x14ac:dyDescent="0.3">
      <c r="A1111" s="5">
        <v>5.4949999999999504</v>
      </c>
      <c r="B1111" s="5">
        <f t="shared" si="32"/>
        <v>76.92999999999931</v>
      </c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>
        <f>0.000001*('Design Worksheet_BAT'!B$88)*(B1111-B1110)/E$232+M1110</f>
        <v>2.7237454202357335E-4</v>
      </c>
      <c r="N1111" s="5">
        <f t="shared" si="31"/>
        <v>76.92999999999931</v>
      </c>
    </row>
    <row r="1112" spans="1:14" x14ac:dyDescent="0.3">
      <c r="A1112" s="5">
        <v>5.4999999999999503</v>
      </c>
      <c r="B1112" s="5">
        <f t="shared" si="32"/>
        <v>76.999999999999304</v>
      </c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>
        <f>0.000001*('Design Worksheet_BAT'!B$88)*(B1112-B1111)/E$232+M1111</f>
        <v>2.7257574975304193E-4</v>
      </c>
      <c r="N1112" s="5">
        <f t="shared" si="31"/>
        <v>76.999999999999304</v>
      </c>
    </row>
    <row r="1113" spans="1:14" x14ac:dyDescent="0.3">
      <c r="A1113" s="5">
        <v>5.5049999999999502</v>
      </c>
      <c r="B1113" s="5">
        <f t="shared" si="32"/>
        <v>77.069999999999297</v>
      </c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>
        <f>0.000001*('Design Worksheet_BAT'!B$88)*(B1113-B1112)/E$232+M1112</f>
        <v>2.7277695748251051E-4</v>
      </c>
      <c r="N1113" s="5">
        <f t="shared" si="31"/>
        <v>77.069999999999297</v>
      </c>
    </row>
    <row r="1114" spans="1:14" x14ac:dyDescent="0.3">
      <c r="A1114" s="5">
        <v>5.50999999999995</v>
      </c>
      <c r="B1114" s="5">
        <f t="shared" si="32"/>
        <v>77.139999999999304</v>
      </c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>
        <f>0.000001*('Design Worksheet_BAT'!B$88)*(B1114-B1113)/E$232+M1113</f>
        <v>2.7297816521197914E-4</v>
      </c>
      <c r="N1114" s="5">
        <f t="shared" si="31"/>
        <v>77.139999999999304</v>
      </c>
    </row>
    <row r="1115" spans="1:14" x14ac:dyDescent="0.3">
      <c r="A1115" s="5">
        <v>5.5149999999999499</v>
      </c>
      <c r="B1115" s="5">
        <f t="shared" si="32"/>
        <v>77.209999999999297</v>
      </c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>
        <f>0.000001*('Design Worksheet_BAT'!B$88)*(B1115-B1114)/E$232+M1114</f>
        <v>2.7317937294144771E-4</v>
      </c>
      <c r="N1115" s="5">
        <f t="shared" si="31"/>
        <v>77.209999999999297</v>
      </c>
    </row>
    <row r="1116" spans="1:14" x14ac:dyDescent="0.3">
      <c r="A1116" s="5">
        <v>5.5199999999999498</v>
      </c>
      <c r="B1116" s="5">
        <f t="shared" si="32"/>
        <v>77.279999999999291</v>
      </c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>
        <f>0.000001*('Design Worksheet_BAT'!B$88)*(B1116-B1115)/E$232+M1115</f>
        <v>2.7338058067091629E-4</v>
      </c>
      <c r="N1116" s="5">
        <f t="shared" si="31"/>
        <v>77.279999999999291</v>
      </c>
    </row>
    <row r="1117" spans="1:14" x14ac:dyDescent="0.3">
      <c r="A1117" s="5">
        <v>5.5249999999999497</v>
      </c>
      <c r="B1117" s="5">
        <f t="shared" si="32"/>
        <v>77.349999999999298</v>
      </c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>
        <f>0.000001*('Design Worksheet_BAT'!B$88)*(B1117-B1116)/E$232+M1116</f>
        <v>2.7358178840038492E-4</v>
      </c>
      <c r="N1117" s="5">
        <f t="shared" si="31"/>
        <v>77.349999999999298</v>
      </c>
    </row>
    <row r="1118" spans="1:14" x14ac:dyDescent="0.3">
      <c r="A1118" s="5">
        <v>5.5299999999999496</v>
      </c>
      <c r="B1118" s="5">
        <f t="shared" si="32"/>
        <v>77.419999999999291</v>
      </c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>
        <f>0.000001*('Design Worksheet_BAT'!B$88)*(B1118-B1117)/E$232+M1117</f>
        <v>2.7378299612985349E-4</v>
      </c>
      <c r="N1118" s="5">
        <f t="shared" si="31"/>
        <v>77.419999999999291</v>
      </c>
    </row>
    <row r="1119" spans="1:14" x14ac:dyDescent="0.3">
      <c r="A1119" s="5">
        <v>5.5349999999999504</v>
      </c>
      <c r="B1119" s="5">
        <f t="shared" si="32"/>
        <v>77.489999999999299</v>
      </c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>
        <f>0.000001*('Design Worksheet_BAT'!B$88)*(B1119-B1118)/E$232+M1118</f>
        <v>2.7398420385932212E-4</v>
      </c>
      <c r="N1119" s="5">
        <f t="shared" si="31"/>
        <v>77.489999999999299</v>
      </c>
    </row>
    <row r="1120" spans="1:14" x14ac:dyDescent="0.3">
      <c r="A1120" s="5">
        <v>5.5399999999999503</v>
      </c>
      <c r="B1120" s="5">
        <f t="shared" si="32"/>
        <v>77.559999999999306</v>
      </c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>
        <f>0.000001*('Design Worksheet_BAT'!B$88)*(B1120-B1119)/E$232+M1119</f>
        <v>2.7418541158879075E-4</v>
      </c>
      <c r="N1120" s="5">
        <f t="shared" si="31"/>
        <v>77.559999999999306</v>
      </c>
    </row>
    <row r="1121" spans="1:14" x14ac:dyDescent="0.3">
      <c r="A1121" s="5">
        <v>5.5449999999999502</v>
      </c>
      <c r="B1121" s="5">
        <f t="shared" si="32"/>
        <v>77.629999999999299</v>
      </c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>
        <f>0.000001*('Design Worksheet_BAT'!B$88)*(B1121-B1120)/E$232+M1120</f>
        <v>2.7438661931825933E-4</v>
      </c>
      <c r="N1121" s="5">
        <f t="shared" si="31"/>
        <v>77.629999999999299</v>
      </c>
    </row>
    <row r="1122" spans="1:14" x14ac:dyDescent="0.3">
      <c r="A1122" s="5">
        <v>5.5499999999999501</v>
      </c>
      <c r="B1122" s="5">
        <f t="shared" si="32"/>
        <v>77.699999999999307</v>
      </c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>
        <f>0.000001*('Design Worksheet_BAT'!B$88)*(B1122-B1121)/E$232+M1121</f>
        <v>2.7458782704772796E-4</v>
      </c>
      <c r="N1122" s="5">
        <f t="shared" si="31"/>
        <v>77.699999999999307</v>
      </c>
    </row>
    <row r="1123" spans="1:14" x14ac:dyDescent="0.3">
      <c r="A1123" s="5">
        <v>5.55499999999995</v>
      </c>
      <c r="B1123" s="5">
        <f t="shared" si="32"/>
        <v>77.7699999999993</v>
      </c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>
        <f>0.000001*('Design Worksheet_BAT'!B$88)*(B1123-B1122)/E$232+M1122</f>
        <v>2.7478903477719653E-4</v>
      </c>
      <c r="N1123" s="5">
        <f t="shared" si="31"/>
        <v>77.7699999999993</v>
      </c>
    </row>
    <row r="1124" spans="1:14" x14ac:dyDescent="0.3">
      <c r="A1124" s="5">
        <v>5.5599999999999499</v>
      </c>
      <c r="B1124" s="5">
        <f t="shared" si="32"/>
        <v>77.839999999999293</v>
      </c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>
        <f>0.000001*('Design Worksheet_BAT'!B$88)*(B1124-B1123)/E$232+M1123</f>
        <v>2.7499024250666511E-4</v>
      </c>
      <c r="N1124" s="5">
        <f t="shared" si="31"/>
        <v>77.839999999999293</v>
      </c>
    </row>
    <row r="1125" spans="1:14" x14ac:dyDescent="0.3">
      <c r="A1125" s="5">
        <v>5.5649999999999498</v>
      </c>
      <c r="B1125" s="5">
        <f t="shared" si="32"/>
        <v>77.9099999999993</v>
      </c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>
        <f>0.000001*('Design Worksheet_BAT'!B$88)*(B1125-B1124)/E$232+M1124</f>
        <v>2.7519145023613374E-4</v>
      </c>
      <c r="N1125" s="5">
        <f t="shared" si="31"/>
        <v>77.9099999999993</v>
      </c>
    </row>
    <row r="1126" spans="1:14" x14ac:dyDescent="0.3">
      <c r="A1126" s="5">
        <v>5.5699999999999497</v>
      </c>
      <c r="B1126" s="5">
        <f t="shared" si="32"/>
        <v>77.979999999999293</v>
      </c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>
        <f>0.000001*('Design Worksheet_BAT'!B$88)*(B1126-B1125)/E$232+M1125</f>
        <v>2.7539265796560231E-4</v>
      </c>
      <c r="N1126" s="5">
        <f t="shared" si="31"/>
        <v>77.979999999999293</v>
      </c>
    </row>
    <row r="1127" spans="1:14" x14ac:dyDescent="0.3">
      <c r="A1127" s="5">
        <v>5.5749999999999504</v>
      </c>
      <c r="B1127" s="5">
        <f t="shared" si="32"/>
        <v>78.049999999999301</v>
      </c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>
        <f>0.000001*('Design Worksheet_BAT'!B$88)*(B1127-B1126)/E$232+M1126</f>
        <v>2.7559386569507094E-4</v>
      </c>
      <c r="N1127" s="5">
        <f t="shared" si="31"/>
        <v>78.049999999999301</v>
      </c>
    </row>
    <row r="1128" spans="1:14" x14ac:dyDescent="0.3">
      <c r="A1128" s="5">
        <v>5.5799999999999503</v>
      </c>
      <c r="B1128" s="5">
        <f t="shared" si="32"/>
        <v>78.119999999999308</v>
      </c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>
        <f>0.000001*('Design Worksheet_BAT'!B$88)*(B1128-B1127)/E$232+M1127</f>
        <v>2.7579507342453957E-4</v>
      </c>
      <c r="N1128" s="5">
        <f t="shared" ref="N1128:N1191" si="33">B1128</f>
        <v>78.119999999999308</v>
      </c>
    </row>
    <row r="1129" spans="1:14" x14ac:dyDescent="0.3">
      <c r="A1129" s="5">
        <v>5.5849999999999502</v>
      </c>
      <c r="B1129" s="5">
        <f t="shared" ref="B1129:B1192" si="34">A1129*VOFLB</f>
        <v>78.189999999999301</v>
      </c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>
        <f>0.000001*('Design Worksheet_BAT'!B$88)*(B1129-B1128)/E$232+M1128</f>
        <v>2.7599628115400815E-4</v>
      </c>
      <c r="N1129" s="5">
        <f t="shared" si="33"/>
        <v>78.189999999999301</v>
      </c>
    </row>
    <row r="1130" spans="1:14" x14ac:dyDescent="0.3">
      <c r="A1130" s="5">
        <v>5.5899999999999501</v>
      </c>
      <c r="B1130" s="5">
        <f t="shared" si="34"/>
        <v>78.259999999999309</v>
      </c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>
        <f>0.000001*('Design Worksheet_BAT'!B$88)*(B1130-B1129)/E$232+M1129</f>
        <v>2.7619748888347678E-4</v>
      </c>
      <c r="N1130" s="5">
        <f t="shared" si="33"/>
        <v>78.259999999999309</v>
      </c>
    </row>
    <row r="1131" spans="1:14" x14ac:dyDescent="0.3">
      <c r="A1131" s="5">
        <v>5.59499999999995</v>
      </c>
      <c r="B1131" s="5">
        <f t="shared" si="34"/>
        <v>78.329999999999302</v>
      </c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>
        <f>0.000001*('Design Worksheet_BAT'!B$88)*(B1131-B1130)/E$232+M1130</f>
        <v>2.7639869661294535E-4</v>
      </c>
      <c r="N1131" s="5">
        <f t="shared" si="33"/>
        <v>78.329999999999302</v>
      </c>
    </row>
    <row r="1132" spans="1:14" x14ac:dyDescent="0.3">
      <c r="A1132" s="5">
        <v>5.5999999999999401</v>
      </c>
      <c r="B1132" s="5">
        <f t="shared" si="34"/>
        <v>78.399999999999167</v>
      </c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>
        <f>0.000001*('Design Worksheet_BAT'!B$88)*(B1132-B1131)/E$232+M1131</f>
        <v>2.7659990434241355E-4</v>
      </c>
      <c r="N1132" s="5">
        <f t="shared" si="33"/>
        <v>78.399999999999167</v>
      </c>
    </row>
    <row r="1133" spans="1:14" x14ac:dyDescent="0.3">
      <c r="A1133" s="5">
        <v>5.6049999999999498</v>
      </c>
      <c r="B1133" s="5">
        <f t="shared" si="34"/>
        <v>78.469999999999303</v>
      </c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>
        <f>0.000001*('Design Worksheet_BAT'!B$88)*(B1133-B1132)/E$232+M1132</f>
        <v>2.7680111207188256E-4</v>
      </c>
      <c r="N1133" s="5">
        <f t="shared" si="33"/>
        <v>78.469999999999303</v>
      </c>
    </row>
    <row r="1134" spans="1:14" x14ac:dyDescent="0.3">
      <c r="A1134" s="5">
        <v>5.6099999999999497</v>
      </c>
      <c r="B1134" s="5">
        <f t="shared" si="34"/>
        <v>78.539999999999296</v>
      </c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>
        <f>0.000001*('Design Worksheet_BAT'!B$88)*(B1134-B1133)/E$232+M1133</f>
        <v>2.7700231980135113E-4</v>
      </c>
      <c r="N1134" s="5">
        <f t="shared" si="33"/>
        <v>78.539999999999296</v>
      </c>
    </row>
    <row r="1135" spans="1:14" x14ac:dyDescent="0.3">
      <c r="A1135" s="5">
        <v>5.6149999999999496</v>
      </c>
      <c r="B1135" s="5">
        <f t="shared" si="34"/>
        <v>78.609999999999289</v>
      </c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>
        <f>0.000001*('Design Worksheet_BAT'!B$88)*(B1135-B1134)/E$232+M1134</f>
        <v>2.7720352753081971E-4</v>
      </c>
      <c r="N1135" s="5">
        <f t="shared" si="33"/>
        <v>78.609999999999289</v>
      </c>
    </row>
    <row r="1136" spans="1:14" x14ac:dyDescent="0.3">
      <c r="A1136" s="5">
        <v>5.6199999999999504</v>
      </c>
      <c r="B1136" s="5">
        <f t="shared" si="34"/>
        <v>78.67999999999931</v>
      </c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>
        <f>0.000001*('Design Worksheet_BAT'!B$88)*(B1136-B1135)/E$232+M1135</f>
        <v>2.7740473526028839E-4</v>
      </c>
      <c r="N1136" s="5">
        <f t="shared" si="33"/>
        <v>78.67999999999931</v>
      </c>
    </row>
    <row r="1137" spans="1:14" x14ac:dyDescent="0.3">
      <c r="A1137" s="5">
        <v>5.6249999999999396</v>
      </c>
      <c r="B1137" s="5">
        <f t="shared" si="34"/>
        <v>78.749999999999147</v>
      </c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>
        <f>0.000001*('Design Worksheet_BAT'!B$88)*(B1137-B1136)/E$232+M1136</f>
        <v>2.7760594298975653E-4</v>
      </c>
      <c r="N1137" s="5">
        <f t="shared" si="33"/>
        <v>78.749999999999147</v>
      </c>
    </row>
    <row r="1138" spans="1:14" x14ac:dyDescent="0.3">
      <c r="A1138" s="5">
        <v>5.6299999999999404</v>
      </c>
      <c r="B1138" s="5">
        <f t="shared" si="34"/>
        <v>78.819999999999169</v>
      </c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>
        <f>0.000001*('Design Worksheet_BAT'!B$88)*(B1138-B1137)/E$232+M1137</f>
        <v>2.7780715071922522E-4</v>
      </c>
      <c r="N1138" s="5">
        <f t="shared" si="33"/>
        <v>78.819999999999169</v>
      </c>
    </row>
    <row r="1139" spans="1:14" x14ac:dyDescent="0.3">
      <c r="A1139" s="5">
        <v>5.6349999999999403</v>
      </c>
      <c r="B1139" s="5">
        <f t="shared" si="34"/>
        <v>78.889999999999162</v>
      </c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>
        <f>0.000001*('Design Worksheet_BAT'!B$88)*(B1139-B1138)/E$232+M1138</f>
        <v>2.7800835844869379E-4</v>
      </c>
      <c r="N1139" s="5">
        <f t="shared" si="33"/>
        <v>78.889999999999162</v>
      </c>
    </row>
    <row r="1140" spans="1:14" x14ac:dyDescent="0.3">
      <c r="A1140" s="5">
        <v>5.6399999999999499</v>
      </c>
      <c r="B1140" s="5">
        <f t="shared" si="34"/>
        <v>78.959999999999297</v>
      </c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>
        <f>0.000001*('Design Worksheet_BAT'!B$88)*(B1140-B1139)/E$232+M1139</f>
        <v>2.782095661781628E-4</v>
      </c>
      <c r="N1140" s="5">
        <f t="shared" si="33"/>
        <v>78.959999999999297</v>
      </c>
    </row>
    <row r="1141" spans="1:14" x14ac:dyDescent="0.3">
      <c r="A1141" s="5">
        <v>5.6449999999999401</v>
      </c>
      <c r="B1141" s="5">
        <f t="shared" si="34"/>
        <v>79.029999999999163</v>
      </c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>
        <f>0.000001*('Design Worksheet_BAT'!B$88)*(B1141-B1140)/E$232+M1140</f>
        <v>2.78410773907631E-4</v>
      </c>
      <c r="N1141" s="5">
        <f t="shared" si="33"/>
        <v>79.029999999999163</v>
      </c>
    </row>
    <row r="1142" spans="1:14" x14ac:dyDescent="0.3">
      <c r="A1142" s="5">
        <v>5.64999999999994</v>
      </c>
      <c r="B1142" s="5">
        <f t="shared" si="34"/>
        <v>79.099999999999156</v>
      </c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>
        <f>0.000001*('Design Worksheet_BAT'!B$88)*(B1142-B1141)/E$232+M1141</f>
        <v>2.7861198163709957E-4</v>
      </c>
      <c r="N1142" s="5">
        <f t="shared" si="33"/>
        <v>79.099999999999156</v>
      </c>
    </row>
    <row r="1143" spans="1:14" x14ac:dyDescent="0.3">
      <c r="A1143" s="5">
        <v>5.6549999999999399</v>
      </c>
      <c r="B1143" s="5">
        <f t="shared" si="34"/>
        <v>79.169999999999163</v>
      </c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>
        <f>0.000001*('Design Worksheet_BAT'!B$88)*(B1143-B1142)/E$232+M1142</f>
        <v>2.788131893665682E-4</v>
      </c>
      <c r="N1143" s="5">
        <f t="shared" si="33"/>
        <v>79.169999999999163</v>
      </c>
    </row>
    <row r="1144" spans="1:14" x14ac:dyDescent="0.3">
      <c r="A1144" s="5">
        <v>5.6599999999999397</v>
      </c>
      <c r="B1144" s="5">
        <f t="shared" si="34"/>
        <v>79.239999999999156</v>
      </c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>
        <f>0.000001*('Design Worksheet_BAT'!B$88)*(B1144-B1143)/E$232+M1143</f>
        <v>2.7901439709603678E-4</v>
      </c>
      <c r="N1144" s="5">
        <f t="shared" si="33"/>
        <v>79.239999999999156</v>
      </c>
    </row>
    <row r="1145" spans="1:14" x14ac:dyDescent="0.3">
      <c r="A1145" s="5">
        <v>5.6649999999999396</v>
      </c>
      <c r="B1145" s="5">
        <f t="shared" si="34"/>
        <v>79.30999999999915</v>
      </c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>
        <f>0.000001*('Design Worksheet_BAT'!B$88)*(B1145-B1144)/E$232+M1144</f>
        <v>2.7921560482550536E-4</v>
      </c>
      <c r="N1145" s="5">
        <f t="shared" si="33"/>
        <v>79.30999999999915</v>
      </c>
    </row>
    <row r="1146" spans="1:14" x14ac:dyDescent="0.3">
      <c r="A1146" s="5">
        <v>5.6699999999999404</v>
      </c>
      <c r="B1146" s="5">
        <f t="shared" si="34"/>
        <v>79.379999999999171</v>
      </c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>
        <f>0.000001*('Design Worksheet_BAT'!B$88)*(B1146-B1145)/E$232+M1145</f>
        <v>2.7941681255497404E-4</v>
      </c>
      <c r="N1146" s="5">
        <f t="shared" si="33"/>
        <v>79.379999999999171</v>
      </c>
    </row>
    <row r="1147" spans="1:14" x14ac:dyDescent="0.3">
      <c r="A1147" s="5">
        <v>5.6749999999999403</v>
      </c>
      <c r="B1147" s="5">
        <f t="shared" si="34"/>
        <v>79.449999999999164</v>
      </c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>
        <f>0.000001*('Design Worksheet_BAT'!B$88)*(B1147-B1146)/E$232+M1146</f>
        <v>2.7961802028444261E-4</v>
      </c>
      <c r="N1147" s="5">
        <f t="shared" si="33"/>
        <v>79.449999999999164</v>
      </c>
    </row>
    <row r="1148" spans="1:14" x14ac:dyDescent="0.3">
      <c r="A1148" s="5">
        <v>5.6799999999999402</v>
      </c>
      <c r="B1148" s="5">
        <f t="shared" si="34"/>
        <v>79.519999999999158</v>
      </c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>
        <f>0.000001*('Design Worksheet_BAT'!B$88)*(B1148-B1147)/E$232+M1147</f>
        <v>2.7981922801391119E-4</v>
      </c>
      <c r="N1148" s="5">
        <f t="shared" si="33"/>
        <v>79.519999999999158</v>
      </c>
    </row>
    <row r="1149" spans="1:14" x14ac:dyDescent="0.3">
      <c r="A1149" s="5">
        <v>5.6849999999999401</v>
      </c>
      <c r="B1149" s="5">
        <f t="shared" si="34"/>
        <v>79.589999999999165</v>
      </c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>
        <f>0.000001*('Design Worksheet_BAT'!B$88)*(B1149-B1148)/E$232+M1148</f>
        <v>2.8002043574337982E-4</v>
      </c>
      <c r="N1149" s="5">
        <f t="shared" si="33"/>
        <v>79.589999999999165</v>
      </c>
    </row>
    <row r="1150" spans="1:14" x14ac:dyDescent="0.3">
      <c r="A1150" s="5">
        <v>5.68999999999994</v>
      </c>
      <c r="B1150" s="5">
        <f t="shared" si="34"/>
        <v>79.659999999999158</v>
      </c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>
        <f>0.000001*('Design Worksheet_BAT'!B$88)*(B1150-B1149)/E$232+M1149</f>
        <v>2.802216434728484E-4</v>
      </c>
      <c r="N1150" s="5">
        <f t="shared" si="33"/>
        <v>79.659999999999158</v>
      </c>
    </row>
    <row r="1151" spans="1:14" x14ac:dyDescent="0.3">
      <c r="A1151" s="5">
        <v>5.6949999999999399</v>
      </c>
      <c r="B1151" s="5">
        <f t="shared" si="34"/>
        <v>79.729999999999166</v>
      </c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>
        <f>0.000001*('Design Worksheet_BAT'!B$88)*(B1151-B1150)/E$232+M1150</f>
        <v>2.8042285120231703E-4</v>
      </c>
      <c r="N1151" s="5">
        <f t="shared" si="33"/>
        <v>79.729999999999166</v>
      </c>
    </row>
    <row r="1152" spans="1:14" x14ac:dyDescent="0.3">
      <c r="A1152" s="5">
        <v>5.6999999999999398</v>
      </c>
      <c r="B1152" s="5">
        <f t="shared" si="34"/>
        <v>79.799999999999159</v>
      </c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>
        <f>0.000001*('Design Worksheet_BAT'!B$88)*(B1152-B1151)/E$232+M1151</f>
        <v>2.806240589317856E-4</v>
      </c>
      <c r="N1152" s="5">
        <f t="shared" si="33"/>
        <v>79.799999999999159</v>
      </c>
    </row>
    <row r="1153" spans="1:14" x14ac:dyDescent="0.3">
      <c r="A1153" s="5">
        <v>5.7049999999999397</v>
      </c>
      <c r="B1153" s="5">
        <f t="shared" si="34"/>
        <v>79.869999999999152</v>
      </c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>
        <f>0.000001*('Design Worksheet_BAT'!B$88)*(B1153-B1152)/E$232+M1152</f>
        <v>2.8082526666125418E-4</v>
      </c>
      <c r="N1153" s="5">
        <f t="shared" si="33"/>
        <v>79.869999999999152</v>
      </c>
    </row>
    <row r="1154" spans="1:14" x14ac:dyDescent="0.3">
      <c r="A1154" s="5">
        <v>5.7099999999999396</v>
      </c>
      <c r="B1154" s="5">
        <f t="shared" si="34"/>
        <v>79.939999999999159</v>
      </c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>
        <f>0.000001*('Design Worksheet_BAT'!B$88)*(B1154-B1153)/E$232+M1153</f>
        <v>2.8102647439072281E-4</v>
      </c>
      <c r="N1154" s="5">
        <f t="shared" si="33"/>
        <v>79.939999999999159</v>
      </c>
    </row>
    <row r="1155" spans="1:14" x14ac:dyDescent="0.3">
      <c r="A1155" s="5">
        <v>5.7149999999999403</v>
      </c>
      <c r="B1155" s="5">
        <f t="shared" si="34"/>
        <v>80.009999999999167</v>
      </c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>
        <f>0.000001*('Design Worksheet_BAT'!B$88)*(B1155-B1154)/E$232+M1154</f>
        <v>2.8122768212019144E-4</v>
      </c>
      <c r="N1155" s="5">
        <f t="shared" si="33"/>
        <v>80.009999999999167</v>
      </c>
    </row>
    <row r="1156" spans="1:14" x14ac:dyDescent="0.3">
      <c r="A1156" s="5">
        <v>5.7199999999999402</v>
      </c>
      <c r="B1156" s="5">
        <f t="shared" si="34"/>
        <v>80.07999999999916</v>
      </c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>
        <f>0.000001*('Design Worksheet_BAT'!B$88)*(B1156-B1155)/E$232+M1155</f>
        <v>2.8142888984966001E-4</v>
      </c>
      <c r="N1156" s="5">
        <f t="shared" si="33"/>
        <v>80.07999999999916</v>
      </c>
    </row>
    <row r="1157" spans="1:14" x14ac:dyDescent="0.3">
      <c r="A1157" s="5">
        <v>5.7249999999999401</v>
      </c>
      <c r="B1157" s="5">
        <f t="shared" si="34"/>
        <v>80.149999999999167</v>
      </c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>
        <f>0.000001*('Design Worksheet_BAT'!B$88)*(B1157-B1156)/E$232+M1156</f>
        <v>2.8163009757912864E-4</v>
      </c>
      <c r="N1157" s="5">
        <f t="shared" si="33"/>
        <v>80.149999999999167</v>
      </c>
    </row>
    <row r="1158" spans="1:14" x14ac:dyDescent="0.3">
      <c r="A1158" s="5">
        <v>5.72999999999994</v>
      </c>
      <c r="B1158" s="5">
        <f t="shared" si="34"/>
        <v>80.21999999999916</v>
      </c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>
        <f>0.000001*('Design Worksheet_BAT'!B$88)*(B1158-B1157)/E$232+M1157</f>
        <v>2.8183130530859722E-4</v>
      </c>
      <c r="N1158" s="5">
        <f t="shared" si="33"/>
        <v>80.21999999999916</v>
      </c>
    </row>
    <row r="1159" spans="1:14" x14ac:dyDescent="0.3">
      <c r="A1159" s="5">
        <v>5.7349999999999399</v>
      </c>
      <c r="B1159" s="5">
        <f t="shared" si="34"/>
        <v>80.289999999999154</v>
      </c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>
        <f>0.000001*('Design Worksheet_BAT'!B$88)*(B1159-B1158)/E$232+M1158</f>
        <v>2.8203251303806579E-4</v>
      </c>
      <c r="N1159" s="5">
        <f t="shared" si="33"/>
        <v>80.289999999999154</v>
      </c>
    </row>
    <row r="1160" spans="1:14" x14ac:dyDescent="0.3">
      <c r="A1160" s="5">
        <v>5.7399999999999398</v>
      </c>
      <c r="B1160" s="5">
        <f t="shared" si="34"/>
        <v>80.359999999999161</v>
      </c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>
        <f>0.000001*('Design Worksheet_BAT'!B$88)*(B1160-B1159)/E$232+M1159</f>
        <v>2.8223372076753442E-4</v>
      </c>
      <c r="N1160" s="5">
        <f t="shared" si="33"/>
        <v>80.359999999999161</v>
      </c>
    </row>
    <row r="1161" spans="1:14" x14ac:dyDescent="0.3">
      <c r="A1161" s="5">
        <v>5.7449999999999397</v>
      </c>
      <c r="B1161" s="5">
        <f t="shared" si="34"/>
        <v>80.429999999999154</v>
      </c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>
        <f>0.000001*('Design Worksheet_BAT'!B$88)*(B1161-B1160)/E$232+M1160</f>
        <v>2.82434928497003E-4</v>
      </c>
      <c r="N1161" s="5">
        <f t="shared" si="33"/>
        <v>80.429999999999154</v>
      </c>
    </row>
    <row r="1162" spans="1:14" x14ac:dyDescent="0.3">
      <c r="A1162" s="5">
        <v>5.7499999999999396</v>
      </c>
      <c r="B1162" s="5">
        <f t="shared" si="34"/>
        <v>80.499999999999147</v>
      </c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>
        <f>0.000001*('Design Worksheet_BAT'!B$88)*(B1162-B1161)/E$232+M1161</f>
        <v>2.8263613622647157E-4</v>
      </c>
      <c r="N1162" s="5">
        <f t="shared" si="33"/>
        <v>80.499999999999147</v>
      </c>
    </row>
    <row r="1163" spans="1:14" x14ac:dyDescent="0.3">
      <c r="A1163" s="5">
        <v>5.7549999999999404</v>
      </c>
      <c r="B1163" s="5">
        <f t="shared" si="34"/>
        <v>80.569999999999169</v>
      </c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>
        <f>0.000001*('Design Worksheet_BAT'!B$88)*(B1163-B1162)/E$232+M1162</f>
        <v>2.8283734395594026E-4</v>
      </c>
      <c r="N1163" s="5">
        <f t="shared" si="33"/>
        <v>80.569999999999169</v>
      </c>
    </row>
    <row r="1164" spans="1:14" x14ac:dyDescent="0.3">
      <c r="A1164" s="5">
        <v>5.7599999999999403</v>
      </c>
      <c r="B1164" s="5">
        <f t="shared" si="34"/>
        <v>80.639999999999162</v>
      </c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>
        <f>0.000001*('Design Worksheet_BAT'!B$88)*(B1164-B1163)/E$232+M1163</f>
        <v>2.8303855168540883E-4</v>
      </c>
      <c r="N1164" s="5">
        <f t="shared" si="33"/>
        <v>80.639999999999162</v>
      </c>
    </row>
    <row r="1165" spans="1:14" x14ac:dyDescent="0.3">
      <c r="A1165" s="5">
        <v>5.7649999999999402</v>
      </c>
      <c r="B1165" s="5">
        <f t="shared" si="34"/>
        <v>80.709999999999155</v>
      </c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>
        <f>0.000001*('Design Worksheet_BAT'!B$88)*(B1165-B1164)/E$232+M1164</f>
        <v>2.8323975941487741E-4</v>
      </c>
      <c r="N1165" s="5">
        <f t="shared" si="33"/>
        <v>80.709999999999155</v>
      </c>
    </row>
    <row r="1166" spans="1:14" x14ac:dyDescent="0.3">
      <c r="A1166" s="5">
        <v>5.7699999999999401</v>
      </c>
      <c r="B1166" s="5">
        <f t="shared" si="34"/>
        <v>80.779999999999163</v>
      </c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>
        <f>0.000001*('Design Worksheet_BAT'!B$88)*(B1166-B1165)/E$232+M1165</f>
        <v>2.8344096714434604E-4</v>
      </c>
      <c r="N1166" s="5">
        <f t="shared" si="33"/>
        <v>80.779999999999163</v>
      </c>
    </row>
    <row r="1167" spans="1:14" x14ac:dyDescent="0.3">
      <c r="A1167" s="5">
        <v>5.77499999999994</v>
      </c>
      <c r="B1167" s="5">
        <f t="shared" si="34"/>
        <v>80.849999999999156</v>
      </c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>
        <f>0.000001*('Design Worksheet_BAT'!B$88)*(B1167-B1166)/E$232+M1166</f>
        <v>2.8364217487381461E-4</v>
      </c>
      <c r="N1167" s="5">
        <f t="shared" si="33"/>
        <v>80.849999999999156</v>
      </c>
    </row>
    <row r="1168" spans="1:14" x14ac:dyDescent="0.3">
      <c r="A1168" s="5">
        <v>5.7799999999999399</v>
      </c>
      <c r="B1168" s="5">
        <f t="shared" si="34"/>
        <v>80.919999999999163</v>
      </c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>
        <f>0.000001*('Design Worksheet_BAT'!B$88)*(B1168-B1167)/E$232+M1167</f>
        <v>2.8384338260328324E-4</v>
      </c>
      <c r="N1168" s="5">
        <f t="shared" si="33"/>
        <v>80.919999999999163</v>
      </c>
    </row>
    <row r="1169" spans="1:14" x14ac:dyDescent="0.3">
      <c r="A1169" s="5">
        <v>5.7849999999999397</v>
      </c>
      <c r="B1169" s="5">
        <f t="shared" si="34"/>
        <v>80.989999999999156</v>
      </c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>
        <f>0.000001*('Design Worksheet_BAT'!B$88)*(B1169-B1168)/E$232+M1168</f>
        <v>2.8404459033275182E-4</v>
      </c>
      <c r="N1169" s="5">
        <f t="shared" si="33"/>
        <v>80.989999999999156</v>
      </c>
    </row>
    <row r="1170" spans="1:14" x14ac:dyDescent="0.3">
      <c r="A1170" s="5">
        <v>5.7899999999999396</v>
      </c>
      <c r="B1170" s="5">
        <f t="shared" si="34"/>
        <v>81.05999999999915</v>
      </c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>
        <f>0.000001*('Design Worksheet_BAT'!B$88)*(B1170-B1169)/E$232+M1169</f>
        <v>2.8424579806222039E-4</v>
      </c>
      <c r="N1170" s="5">
        <f t="shared" si="33"/>
        <v>81.05999999999915</v>
      </c>
    </row>
    <row r="1171" spans="1:14" x14ac:dyDescent="0.3">
      <c r="A1171" s="5">
        <v>5.7949999999999404</v>
      </c>
      <c r="B1171" s="5">
        <f t="shared" si="34"/>
        <v>81.129999999999171</v>
      </c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>
        <f>0.000001*('Design Worksheet_BAT'!B$88)*(B1171-B1170)/E$232+M1170</f>
        <v>2.8444700579168908E-4</v>
      </c>
      <c r="N1171" s="5">
        <f t="shared" si="33"/>
        <v>81.129999999999171</v>
      </c>
    </row>
    <row r="1172" spans="1:14" x14ac:dyDescent="0.3">
      <c r="A1172" s="5">
        <v>5.7999999999999403</v>
      </c>
      <c r="B1172" s="5">
        <f t="shared" si="34"/>
        <v>81.199999999999164</v>
      </c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>
        <f>0.000001*('Design Worksheet_BAT'!B$88)*(B1172-B1171)/E$232+M1171</f>
        <v>2.8464821352115765E-4</v>
      </c>
      <c r="N1172" s="5">
        <f t="shared" si="33"/>
        <v>81.199999999999164</v>
      </c>
    </row>
    <row r="1173" spans="1:14" x14ac:dyDescent="0.3">
      <c r="A1173" s="5">
        <v>5.8049999999999402</v>
      </c>
      <c r="B1173" s="5">
        <f t="shared" si="34"/>
        <v>81.269999999999158</v>
      </c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>
        <f>0.000001*('Design Worksheet_BAT'!B$88)*(B1173-B1172)/E$232+M1172</f>
        <v>2.8484942125062623E-4</v>
      </c>
      <c r="N1173" s="5">
        <f t="shared" si="33"/>
        <v>81.269999999999158</v>
      </c>
    </row>
    <row r="1174" spans="1:14" x14ac:dyDescent="0.3">
      <c r="A1174" s="5">
        <v>5.8099999999999401</v>
      </c>
      <c r="B1174" s="5">
        <f t="shared" si="34"/>
        <v>81.339999999999165</v>
      </c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>
        <f>0.000001*('Design Worksheet_BAT'!B$88)*(B1174-B1173)/E$232+M1173</f>
        <v>2.8505062898009486E-4</v>
      </c>
      <c r="N1174" s="5">
        <f t="shared" si="33"/>
        <v>81.339999999999165</v>
      </c>
    </row>
    <row r="1175" spans="1:14" x14ac:dyDescent="0.3">
      <c r="A1175" s="5">
        <v>5.81499999999994</v>
      </c>
      <c r="B1175" s="5">
        <f t="shared" si="34"/>
        <v>81.409999999999158</v>
      </c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>
        <f>0.000001*('Design Worksheet_BAT'!B$88)*(B1175-B1174)/E$232+M1174</f>
        <v>2.8525183670956343E-4</v>
      </c>
      <c r="N1175" s="5">
        <f t="shared" si="33"/>
        <v>81.409999999999158</v>
      </c>
    </row>
    <row r="1176" spans="1:14" x14ac:dyDescent="0.3">
      <c r="A1176" s="5">
        <v>5.8199999999999399</v>
      </c>
      <c r="B1176" s="5">
        <f t="shared" si="34"/>
        <v>81.479999999999166</v>
      </c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>
        <f>0.000001*('Design Worksheet_BAT'!B$88)*(B1176-B1175)/E$232+M1175</f>
        <v>2.8545304443903206E-4</v>
      </c>
      <c r="N1176" s="5">
        <f t="shared" si="33"/>
        <v>81.479999999999166</v>
      </c>
    </row>
    <row r="1177" spans="1:14" x14ac:dyDescent="0.3">
      <c r="A1177" s="5">
        <v>5.8249999999999398</v>
      </c>
      <c r="B1177" s="5">
        <f t="shared" si="34"/>
        <v>81.549999999999159</v>
      </c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>
        <f>0.000001*('Design Worksheet_BAT'!B$88)*(B1177-B1176)/E$232+M1176</f>
        <v>2.8565425216850064E-4</v>
      </c>
      <c r="N1177" s="5">
        <f t="shared" si="33"/>
        <v>81.549999999999159</v>
      </c>
    </row>
    <row r="1178" spans="1:14" x14ac:dyDescent="0.3">
      <c r="A1178" s="5">
        <v>5.8299999999999397</v>
      </c>
      <c r="B1178" s="5">
        <f t="shared" si="34"/>
        <v>81.619999999999152</v>
      </c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>
        <f>0.000001*('Design Worksheet_BAT'!B$88)*(B1178-B1177)/E$232+M1177</f>
        <v>2.8585545989796921E-4</v>
      </c>
      <c r="N1178" s="5">
        <f t="shared" si="33"/>
        <v>81.619999999999152</v>
      </c>
    </row>
    <row r="1179" spans="1:14" x14ac:dyDescent="0.3">
      <c r="A1179" s="5">
        <v>5.8349999999999396</v>
      </c>
      <c r="B1179" s="5">
        <f t="shared" si="34"/>
        <v>81.689999999999159</v>
      </c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>
        <f>0.000001*('Design Worksheet_BAT'!B$88)*(B1179-B1178)/E$232+M1178</f>
        <v>2.8605666762743784E-4</v>
      </c>
      <c r="N1179" s="5">
        <f t="shared" si="33"/>
        <v>81.689999999999159</v>
      </c>
    </row>
    <row r="1180" spans="1:14" x14ac:dyDescent="0.3">
      <c r="A1180" s="5">
        <v>5.8399999999999403</v>
      </c>
      <c r="B1180" s="5">
        <f t="shared" si="34"/>
        <v>81.759999999999167</v>
      </c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>
        <f>0.000001*('Design Worksheet_BAT'!B$88)*(B1180-B1179)/E$232+M1179</f>
        <v>2.8625787535690647E-4</v>
      </c>
      <c r="N1180" s="5">
        <f t="shared" si="33"/>
        <v>81.759999999999167</v>
      </c>
    </row>
    <row r="1181" spans="1:14" x14ac:dyDescent="0.3">
      <c r="A1181" s="5">
        <v>5.8449999999999402</v>
      </c>
      <c r="B1181" s="5">
        <f t="shared" si="34"/>
        <v>81.82999999999916</v>
      </c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>
        <f>0.000001*('Design Worksheet_BAT'!B$88)*(B1181-B1180)/E$232+M1180</f>
        <v>2.8645908308637505E-4</v>
      </c>
      <c r="N1181" s="5">
        <f t="shared" si="33"/>
        <v>81.82999999999916</v>
      </c>
    </row>
    <row r="1182" spans="1:14" x14ac:dyDescent="0.3">
      <c r="A1182" s="5">
        <v>5.8499999999999401</v>
      </c>
      <c r="B1182" s="5">
        <f t="shared" si="34"/>
        <v>81.899999999999167</v>
      </c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>
        <f>0.000001*('Design Worksheet_BAT'!B$88)*(B1182-B1181)/E$232+M1181</f>
        <v>2.8666029081584368E-4</v>
      </c>
      <c r="N1182" s="5">
        <f t="shared" si="33"/>
        <v>81.899999999999167</v>
      </c>
    </row>
    <row r="1183" spans="1:14" x14ac:dyDescent="0.3">
      <c r="A1183" s="5">
        <v>5.85499999999994</v>
      </c>
      <c r="B1183" s="5">
        <f t="shared" si="34"/>
        <v>81.96999999999916</v>
      </c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>
        <f>0.000001*('Design Worksheet_BAT'!B$88)*(B1183-B1182)/E$232+M1182</f>
        <v>2.8686149854531225E-4</v>
      </c>
      <c r="N1183" s="5">
        <f t="shared" si="33"/>
        <v>81.96999999999916</v>
      </c>
    </row>
    <row r="1184" spans="1:14" x14ac:dyDescent="0.3">
      <c r="A1184" s="5">
        <v>5.8599999999999399</v>
      </c>
      <c r="B1184" s="5">
        <f t="shared" si="34"/>
        <v>82.039999999999154</v>
      </c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>
        <f>0.000001*('Design Worksheet_BAT'!B$88)*(B1184-B1183)/E$232+M1183</f>
        <v>2.8706270627478083E-4</v>
      </c>
      <c r="N1184" s="5">
        <f t="shared" si="33"/>
        <v>82.039999999999154</v>
      </c>
    </row>
    <row r="1185" spans="1:14" x14ac:dyDescent="0.3">
      <c r="A1185" s="5">
        <v>5.8649999999999398</v>
      </c>
      <c r="B1185" s="5">
        <f t="shared" si="34"/>
        <v>82.109999999999161</v>
      </c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>
        <f>0.000001*('Design Worksheet_BAT'!B$88)*(B1185-B1184)/E$232+M1184</f>
        <v>2.8726391400424946E-4</v>
      </c>
      <c r="N1185" s="5">
        <f t="shared" si="33"/>
        <v>82.109999999999161</v>
      </c>
    </row>
    <row r="1186" spans="1:14" x14ac:dyDescent="0.3">
      <c r="A1186" s="5">
        <v>5.8699999999999397</v>
      </c>
      <c r="B1186" s="5">
        <f t="shared" si="34"/>
        <v>82.179999999999154</v>
      </c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>
        <f>0.000001*('Design Worksheet_BAT'!B$88)*(B1186-B1185)/E$232+M1185</f>
        <v>2.8746512173371804E-4</v>
      </c>
      <c r="N1186" s="5">
        <f t="shared" si="33"/>
        <v>82.179999999999154</v>
      </c>
    </row>
    <row r="1187" spans="1:14" x14ac:dyDescent="0.3">
      <c r="A1187" s="5">
        <v>5.8749999999999396</v>
      </c>
      <c r="B1187" s="5">
        <f t="shared" si="34"/>
        <v>82.249999999999147</v>
      </c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>
        <f>0.000001*('Design Worksheet_BAT'!B$88)*(B1187-B1186)/E$232+M1186</f>
        <v>2.8766632946318661E-4</v>
      </c>
      <c r="N1187" s="5">
        <f t="shared" si="33"/>
        <v>82.249999999999147</v>
      </c>
    </row>
    <row r="1188" spans="1:14" x14ac:dyDescent="0.3">
      <c r="A1188" s="5">
        <v>5.8799999999999404</v>
      </c>
      <c r="B1188" s="5">
        <f t="shared" si="34"/>
        <v>82.319999999999169</v>
      </c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>
        <f>0.000001*('Design Worksheet_BAT'!B$88)*(B1188-B1187)/E$232+M1187</f>
        <v>2.878675371926553E-4</v>
      </c>
      <c r="N1188" s="5">
        <f t="shared" si="33"/>
        <v>82.319999999999169</v>
      </c>
    </row>
    <row r="1189" spans="1:14" x14ac:dyDescent="0.3">
      <c r="A1189" s="5">
        <v>5.8849999999999403</v>
      </c>
      <c r="B1189" s="5">
        <f t="shared" si="34"/>
        <v>82.389999999999162</v>
      </c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>
        <f>0.000001*('Design Worksheet_BAT'!B$88)*(B1189-B1188)/E$232+M1188</f>
        <v>2.8806874492212387E-4</v>
      </c>
      <c r="N1189" s="5">
        <f t="shared" si="33"/>
        <v>82.389999999999162</v>
      </c>
    </row>
    <row r="1190" spans="1:14" x14ac:dyDescent="0.3">
      <c r="A1190" s="5">
        <v>5.8899999999999402</v>
      </c>
      <c r="B1190" s="5">
        <f t="shared" si="34"/>
        <v>82.459999999999155</v>
      </c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>
        <f>0.000001*('Design Worksheet_BAT'!B$88)*(B1190-B1189)/E$232+M1189</f>
        <v>2.8826995265159245E-4</v>
      </c>
      <c r="N1190" s="5">
        <f t="shared" si="33"/>
        <v>82.459999999999155</v>
      </c>
    </row>
    <row r="1191" spans="1:14" x14ac:dyDescent="0.3">
      <c r="A1191" s="5">
        <v>5.8949999999999401</v>
      </c>
      <c r="B1191" s="5">
        <f t="shared" si="34"/>
        <v>82.529999999999163</v>
      </c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>
        <f>0.000001*('Design Worksheet_BAT'!B$88)*(B1191-B1190)/E$232+M1190</f>
        <v>2.8847116038106108E-4</v>
      </c>
      <c r="N1191" s="5">
        <f t="shared" si="33"/>
        <v>82.529999999999163</v>
      </c>
    </row>
    <row r="1192" spans="1:14" x14ac:dyDescent="0.3">
      <c r="A1192" s="5">
        <v>5.89999999999994</v>
      </c>
      <c r="B1192" s="5">
        <f t="shared" si="34"/>
        <v>82.599999999999156</v>
      </c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>
        <f>0.000001*('Design Worksheet_BAT'!B$88)*(B1192-B1191)/E$232+M1191</f>
        <v>2.8867236811052965E-4</v>
      </c>
      <c r="N1192" s="5">
        <f t="shared" ref="N1192:N1255" si="35">B1192</f>
        <v>82.599999999999156</v>
      </c>
    </row>
    <row r="1193" spans="1:14" x14ac:dyDescent="0.3">
      <c r="A1193" s="5">
        <v>5.9049999999999399</v>
      </c>
      <c r="B1193" s="5">
        <f t="shared" ref="B1193:B1256" si="36">A1193*VOFLB</f>
        <v>82.669999999999163</v>
      </c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>
        <f>0.000001*('Design Worksheet_BAT'!B$88)*(B1193-B1192)/E$232+M1192</f>
        <v>2.8887357583999828E-4</v>
      </c>
      <c r="N1193" s="5">
        <f t="shared" si="35"/>
        <v>82.669999999999163</v>
      </c>
    </row>
    <row r="1194" spans="1:14" x14ac:dyDescent="0.3">
      <c r="A1194" s="5">
        <v>5.9099999999999397</v>
      </c>
      <c r="B1194" s="5">
        <f t="shared" si="36"/>
        <v>82.739999999999156</v>
      </c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>
        <f>0.000001*('Design Worksheet_BAT'!B$88)*(B1194-B1193)/E$232+M1193</f>
        <v>2.8907478356946686E-4</v>
      </c>
      <c r="N1194" s="5">
        <f t="shared" si="35"/>
        <v>82.739999999999156</v>
      </c>
    </row>
    <row r="1195" spans="1:14" x14ac:dyDescent="0.3">
      <c r="A1195" s="5">
        <v>5.9149999999999396</v>
      </c>
      <c r="B1195" s="5">
        <f t="shared" si="36"/>
        <v>82.80999999999915</v>
      </c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>
        <f>0.000001*('Design Worksheet_BAT'!B$88)*(B1195-B1194)/E$232+M1194</f>
        <v>2.8927599129893543E-4</v>
      </c>
      <c r="N1195" s="5">
        <f t="shared" si="35"/>
        <v>82.80999999999915</v>
      </c>
    </row>
    <row r="1196" spans="1:14" x14ac:dyDescent="0.3">
      <c r="A1196" s="5">
        <v>5.9199999999999404</v>
      </c>
      <c r="B1196" s="5">
        <f t="shared" si="36"/>
        <v>82.879999999999171</v>
      </c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>
        <f>0.000001*('Design Worksheet_BAT'!B$88)*(B1196-B1195)/E$232+M1195</f>
        <v>2.8947719902840412E-4</v>
      </c>
      <c r="N1196" s="5">
        <f t="shared" si="35"/>
        <v>82.879999999999171</v>
      </c>
    </row>
    <row r="1197" spans="1:14" x14ac:dyDescent="0.3">
      <c r="A1197" s="5">
        <v>5.9249999999999403</v>
      </c>
      <c r="B1197" s="5">
        <f t="shared" si="36"/>
        <v>82.949999999999164</v>
      </c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>
        <f>0.000001*('Design Worksheet_BAT'!B$88)*(B1197-B1196)/E$232+M1196</f>
        <v>2.8967840675787269E-4</v>
      </c>
      <c r="N1197" s="5">
        <f t="shared" si="35"/>
        <v>82.949999999999164</v>
      </c>
    </row>
    <row r="1198" spans="1:14" x14ac:dyDescent="0.3">
      <c r="A1198" s="5">
        <v>5.9299999999999402</v>
      </c>
      <c r="B1198" s="5">
        <f t="shared" si="36"/>
        <v>83.019999999999158</v>
      </c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>
        <f>0.000001*('Design Worksheet_BAT'!B$88)*(B1198-B1197)/E$232+M1197</f>
        <v>2.8987961448734127E-4</v>
      </c>
      <c r="N1198" s="5">
        <f t="shared" si="35"/>
        <v>83.019999999999158</v>
      </c>
    </row>
    <row r="1199" spans="1:14" x14ac:dyDescent="0.3">
      <c r="A1199" s="5">
        <v>5.9349999999999401</v>
      </c>
      <c r="B1199" s="5">
        <f t="shared" si="36"/>
        <v>83.089999999999165</v>
      </c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>
        <f>0.000001*('Design Worksheet_BAT'!B$88)*(B1199-B1198)/E$232+M1198</f>
        <v>2.900808222168099E-4</v>
      </c>
      <c r="N1199" s="5">
        <f t="shared" si="35"/>
        <v>83.089999999999165</v>
      </c>
    </row>
    <row r="1200" spans="1:14" x14ac:dyDescent="0.3">
      <c r="A1200" s="5">
        <v>5.93999999999994</v>
      </c>
      <c r="B1200" s="5">
        <f t="shared" si="36"/>
        <v>83.159999999999158</v>
      </c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>
        <f>0.000001*('Design Worksheet_BAT'!B$88)*(B1200-B1199)/E$232+M1199</f>
        <v>2.9028202994627847E-4</v>
      </c>
      <c r="N1200" s="5">
        <f t="shared" si="35"/>
        <v>83.159999999999158</v>
      </c>
    </row>
    <row r="1201" spans="1:14" x14ac:dyDescent="0.3">
      <c r="A1201" s="5">
        <v>5.9449999999999399</v>
      </c>
      <c r="B1201" s="5">
        <f t="shared" si="36"/>
        <v>83.229999999999166</v>
      </c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>
        <f>0.000001*('Design Worksheet_BAT'!B$88)*(B1201-B1200)/E$232+M1200</f>
        <v>2.904832376757471E-4</v>
      </c>
      <c r="N1201" s="5">
        <f t="shared" si="35"/>
        <v>83.229999999999166</v>
      </c>
    </row>
    <row r="1202" spans="1:14" x14ac:dyDescent="0.3">
      <c r="A1202" s="5">
        <v>5.9499999999999398</v>
      </c>
      <c r="B1202" s="5">
        <f t="shared" si="36"/>
        <v>83.299999999999159</v>
      </c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>
        <f>0.000001*('Design Worksheet_BAT'!B$88)*(B1202-B1201)/E$232+M1201</f>
        <v>2.9068444540521568E-4</v>
      </c>
      <c r="N1202" s="5">
        <f t="shared" si="35"/>
        <v>83.299999999999159</v>
      </c>
    </row>
    <row r="1203" spans="1:14" x14ac:dyDescent="0.3">
      <c r="A1203" s="5">
        <v>5.9549999999999397</v>
      </c>
      <c r="B1203" s="5">
        <f t="shared" si="36"/>
        <v>83.369999999999152</v>
      </c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>
        <f>0.000001*('Design Worksheet_BAT'!B$88)*(B1203-B1202)/E$232+M1202</f>
        <v>2.9088565313468425E-4</v>
      </c>
      <c r="N1203" s="5">
        <f t="shared" si="35"/>
        <v>83.369999999999152</v>
      </c>
    </row>
    <row r="1204" spans="1:14" x14ac:dyDescent="0.3">
      <c r="A1204" s="5">
        <v>5.9599999999999396</v>
      </c>
      <c r="B1204" s="5">
        <f t="shared" si="36"/>
        <v>83.439999999999159</v>
      </c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>
        <f>0.000001*('Design Worksheet_BAT'!B$88)*(B1204-B1203)/E$232+M1203</f>
        <v>2.9108686086415288E-4</v>
      </c>
      <c r="N1204" s="5">
        <f t="shared" si="35"/>
        <v>83.439999999999159</v>
      </c>
    </row>
    <row r="1205" spans="1:14" x14ac:dyDescent="0.3">
      <c r="A1205" s="5">
        <v>5.9649999999999403</v>
      </c>
      <c r="B1205" s="5">
        <f t="shared" si="36"/>
        <v>83.509999999999167</v>
      </c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>
        <f>0.000001*('Design Worksheet_BAT'!B$88)*(B1205-B1204)/E$232+M1204</f>
        <v>2.9128806859362151E-4</v>
      </c>
      <c r="N1205" s="5">
        <f t="shared" si="35"/>
        <v>83.509999999999167</v>
      </c>
    </row>
    <row r="1206" spans="1:14" x14ac:dyDescent="0.3">
      <c r="A1206" s="5">
        <v>5.9699999999999402</v>
      </c>
      <c r="B1206" s="5">
        <f t="shared" si="36"/>
        <v>83.57999999999916</v>
      </c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>
        <f>0.000001*('Design Worksheet_BAT'!B$88)*(B1206-B1205)/E$232+M1205</f>
        <v>2.9148927632309009E-4</v>
      </c>
      <c r="N1206" s="5">
        <f t="shared" si="35"/>
        <v>83.57999999999916</v>
      </c>
    </row>
    <row r="1207" spans="1:14" x14ac:dyDescent="0.3">
      <c r="A1207" s="5">
        <v>5.9749999999999401</v>
      </c>
      <c r="B1207" s="5">
        <f t="shared" si="36"/>
        <v>83.649999999999167</v>
      </c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>
        <f>0.000001*('Design Worksheet_BAT'!B$88)*(B1207-B1206)/E$232+M1206</f>
        <v>2.9169048405255872E-4</v>
      </c>
      <c r="N1207" s="5">
        <f t="shared" si="35"/>
        <v>83.649999999999167</v>
      </c>
    </row>
    <row r="1208" spans="1:14" x14ac:dyDescent="0.3">
      <c r="A1208" s="5">
        <v>5.97999999999994</v>
      </c>
      <c r="B1208" s="5">
        <f t="shared" si="36"/>
        <v>83.71999999999916</v>
      </c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>
        <f>0.000001*('Design Worksheet_BAT'!B$88)*(B1208-B1207)/E$232+M1207</f>
        <v>2.9189169178202729E-4</v>
      </c>
      <c r="N1208" s="5">
        <f t="shared" si="35"/>
        <v>83.71999999999916</v>
      </c>
    </row>
    <row r="1209" spans="1:14" x14ac:dyDescent="0.3">
      <c r="A1209" s="5">
        <v>5.9849999999999399</v>
      </c>
      <c r="B1209" s="5">
        <f t="shared" si="36"/>
        <v>83.789999999999154</v>
      </c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>
        <f>0.000001*('Design Worksheet_BAT'!B$88)*(B1209-B1208)/E$232+M1208</f>
        <v>2.9209289951149587E-4</v>
      </c>
      <c r="N1209" s="5">
        <f t="shared" si="35"/>
        <v>83.789999999999154</v>
      </c>
    </row>
    <row r="1210" spans="1:14" x14ac:dyDescent="0.3">
      <c r="A1210" s="5">
        <v>5.9899999999999398</v>
      </c>
      <c r="B1210" s="5">
        <f t="shared" si="36"/>
        <v>83.859999999999161</v>
      </c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>
        <f>0.000001*('Design Worksheet_BAT'!B$88)*(B1210-B1209)/E$232+M1209</f>
        <v>2.922941072409645E-4</v>
      </c>
      <c r="N1210" s="5">
        <f t="shared" si="35"/>
        <v>83.859999999999161</v>
      </c>
    </row>
    <row r="1211" spans="1:14" x14ac:dyDescent="0.3">
      <c r="A1211" s="5">
        <v>5.9949999999999397</v>
      </c>
      <c r="B1211" s="5">
        <f t="shared" si="36"/>
        <v>83.929999999999154</v>
      </c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>
        <f>0.000001*('Design Worksheet_BAT'!B$88)*(B1211-B1210)/E$232+M1210</f>
        <v>2.9249531497043307E-4</v>
      </c>
      <c r="N1211" s="5">
        <f t="shared" si="35"/>
        <v>83.929999999999154</v>
      </c>
    </row>
    <row r="1212" spans="1:14" x14ac:dyDescent="0.3">
      <c r="A1212" s="5">
        <v>5.9999999999999396</v>
      </c>
      <c r="B1212" s="5">
        <f t="shared" si="36"/>
        <v>83.999999999999147</v>
      </c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>
        <f>0.000001*('Design Worksheet_BAT'!B$88)*(B1212-B1211)/E$232+M1211</f>
        <v>2.9269652269990165E-4</v>
      </c>
      <c r="N1212" s="5">
        <f t="shared" si="35"/>
        <v>83.999999999999147</v>
      </c>
    </row>
    <row r="1213" spans="1:14" x14ac:dyDescent="0.3">
      <c r="A1213" s="5">
        <v>6.0049999999999404</v>
      </c>
      <c r="B1213" s="5">
        <f t="shared" si="36"/>
        <v>84.069999999999169</v>
      </c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>
        <f>0.000001*('Design Worksheet_BAT'!B$88)*(B1213-B1212)/E$232+M1212</f>
        <v>2.9289773042937033E-4</v>
      </c>
      <c r="N1213" s="5">
        <f t="shared" si="35"/>
        <v>84.069999999999169</v>
      </c>
    </row>
    <row r="1214" spans="1:14" x14ac:dyDescent="0.3">
      <c r="A1214" s="5">
        <v>6.0099999999999403</v>
      </c>
      <c r="B1214" s="5">
        <f t="shared" si="36"/>
        <v>84.139999999999162</v>
      </c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>
        <f>0.000001*('Design Worksheet_BAT'!B$88)*(B1214-B1213)/E$232+M1213</f>
        <v>2.9309893815883891E-4</v>
      </c>
      <c r="N1214" s="5">
        <f t="shared" si="35"/>
        <v>84.139999999999162</v>
      </c>
    </row>
    <row r="1215" spans="1:14" x14ac:dyDescent="0.3">
      <c r="A1215" s="5">
        <v>6.0149999999999402</v>
      </c>
      <c r="B1215" s="5">
        <f t="shared" si="36"/>
        <v>84.209999999999155</v>
      </c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>
        <f>0.000001*('Design Worksheet_BAT'!B$88)*(B1215-B1214)/E$232+M1214</f>
        <v>2.9330014588830748E-4</v>
      </c>
      <c r="N1215" s="5">
        <f t="shared" si="35"/>
        <v>84.209999999999155</v>
      </c>
    </row>
    <row r="1216" spans="1:14" x14ac:dyDescent="0.3">
      <c r="A1216" s="5">
        <v>6.0199999999999401</v>
      </c>
      <c r="B1216" s="5">
        <f t="shared" si="36"/>
        <v>84.279999999999163</v>
      </c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>
        <f>0.000001*('Design Worksheet_BAT'!B$88)*(B1216-B1215)/E$232+M1215</f>
        <v>2.9350135361777611E-4</v>
      </c>
      <c r="N1216" s="5">
        <f t="shared" si="35"/>
        <v>84.279999999999163</v>
      </c>
    </row>
    <row r="1217" spans="1:14" x14ac:dyDescent="0.3">
      <c r="A1217" s="5">
        <v>6.02499999999994</v>
      </c>
      <c r="B1217" s="5">
        <f t="shared" si="36"/>
        <v>84.349999999999156</v>
      </c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>
        <f>0.000001*('Design Worksheet_BAT'!B$88)*(B1217-B1216)/E$232+M1216</f>
        <v>2.9370256134724469E-4</v>
      </c>
      <c r="N1217" s="5">
        <f t="shared" si="35"/>
        <v>84.349999999999156</v>
      </c>
    </row>
    <row r="1218" spans="1:14" x14ac:dyDescent="0.3">
      <c r="A1218" s="5">
        <v>6.0299999999999399</v>
      </c>
      <c r="B1218" s="5">
        <f t="shared" si="36"/>
        <v>84.419999999999163</v>
      </c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>
        <f>0.000001*('Design Worksheet_BAT'!B$88)*(B1218-B1217)/E$232+M1217</f>
        <v>2.9390376907671332E-4</v>
      </c>
      <c r="N1218" s="5">
        <f t="shared" si="35"/>
        <v>84.419999999999163</v>
      </c>
    </row>
    <row r="1219" spans="1:14" x14ac:dyDescent="0.3">
      <c r="A1219" s="5">
        <v>6.0349999999999397</v>
      </c>
      <c r="B1219" s="5">
        <f t="shared" si="36"/>
        <v>84.489999999999156</v>
      </c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>
        <f>0.000001*('Design Worksheet_BAT'!B$88)*(B1219-B1218)/E$232+M1218</f>
        <v>2.9410497680618189E-4</v>
      </c>
      <c r="N1219" s="5">
        <f t="shared" si="35"/>
        <v>84.489999999999156</v>
      </c>
    </row>
    <row r="1220" spans="1:14" x14ac:dyDescent="0.3">
      <c r="A1220" s="5">
        <v>6.0399999999999396</v>
      </c>
      <c r="B1220" s="5">
        <f t="shared" si="36"/>
        <v>84.55999999999915</v>
      </c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>
        <f>0.000001*('Design Worksheet_BAT'!B$88)*(B1220-B1219)/E$232+M1219</f>
        <v>2.9430618453565047E-4</v>
      </c>
      <c r="N1220" s="5">
        <f t="shared" si="35"/>
        <v>84.55999999999915</v>
      </c>
    </row>
    <row r="1221" spans="1:14" x14ac:dyDescent="0.3">
      <c r="A1221" s="5">
        <v>6.0449999999999404</v>
      </c>
      <c r="B1221" s="5">
        <f t="shared" si="36"/>
        <v>84.629999999999171</v>
      </c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>
        <f>0.000001*('Design Worksheet_BAT'!B$88)*(B1221-B1220)/E$232+M1220</f>
        <v>2.9450739226511915E-4</v>
      </c>
      <c r="N1221" s="5">
        <f t="shared" si="35"/>
        <v>84.629999999999171</v>
      </c>
    </row>
    <row r="1222" spans="1:14" x14ac:dyDescent="0.3">
      <c r="A1222" s="5">
        <v>6.0499999999999403</v>
      </c>
      <c r="B1222" s="5">
        <f t="shared" si="36"/>
        <v>84.699999999999164</v>
      </c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>
        <f>0.000001*('Design Worksheet_BAT'!B$88)*(B1222-B1221)/E$232+M1221</f>
        <v>2.9470859999458773E-4</v>
      </c>
      <c r="N1222" s="5">
        <f t="shared" si="35"/>
        <v>84.699999999999164</v>
      </c>
    </row>
    <row r="1223" spans="1:14" x14ac:dyDescent="0.3">
      <c r="A1223" s="5">
        <v>6.0549999999999402</v>
      </c>
      <c r="B1223" s="5">
        <f t="shared" si="36"/>
        <v>84.769999999999158</v>
      </c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>
        <f>0.000001*('Design Worksheet_BAT'!B$88)*(B1223-B1222)/E$232+M1222</f>
        <v>2.9490980772405631E-4</v>
      </c>
      <c r="N1223" s="5">
        <f t="shared" si="35"/>
        <v>84.769999999999158</v>
      </c>
    </row>
    <row r="1224" spans="1:14" x14ac:dyDescent="0.3">
      <c r="A1224" s="5">
        <v>6.0599999999999401</v>
      </c>
      <c r="B1224" s="5">
        <f t="shared" si="36"/>
        <v>84.839999999999165</v>
      </c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>
        <f>0.000001*('Design Worksheet_BAT'!B$88)*(B1224-B1223)/E$232+M1223</f>
        <v>2.9511101545352494E-4</v>
      </c>
      <c r="N1224" s="5">
        <f t="shared" si="35"/>
        <v>84.839999999999165</v>
      </c>
    </row>
    <row r="1225" spans="1:14" x14ac:dyDescent="0.3">
      <c r="A1225" s="5">
        <v>6.06499999999994</v>
      </c>
      <c r="B1225" s="5">
        <f t="shared" si="36"/>
        <v>84.909999999999158</v>
      </c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>
        <f>0.000001*('Design Worksheet_BAT'!B$88)*(B1225-B1224)/E$232+M1224</f>
        <v>2.9531222318299351E-4</v>
      </c>
      <c r="N1225" s="5">
        <f t="shared" si="35"/>
        <v>84.909999999999158</v>
      </c>
    </row>
    <row r="1226" spans="1:14" x14ac:dyDescent="0.3">
      <c r="A1226" s="5">
        <v>6.0699999999999399</v>
      </c>
      <c r="B1226" s="5">
        <f t="shared" si="36"/>
        <v>84.979999999999166</v>
      </c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>
        <f>0.000001*('Design Worksheet_BAT'!B$88)*(B1226-B1225)/E$232+M1225</f>
        <v>2.9551343091246214E-4</v>
      </c>
      <c r="N1226" s="5">
        <f t="shared" si="35"/>
        <v>84.979999999999166</v>
      </c>
    </row>
    <row r="1227" spans="1:14" x14ac:dyDescent="0.3">
      <c r="A1227" s="5">
        <v>6.0749999999999398</v>
      </c>
      <c r="B1227" s="5">
        <f t="shared" si="36"/>
        <v>85.049999999999159</v>
      </c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>
        <f>0.000001*('Design Worksheet_BAT'!B$88)*(B1227-B1226)/E$232+M1226</f>
        <v>2.9571463864193072E-4</v>
      </c>
      <c r="N1227" s="5">
        <f t="shared" si="35"/>
        <v>85.049999999999159</v>
      </c>
    </row>
    <row r="1228" spans="1:14" x14ac:dyDescent="0.3">
      <c r="A1228" s="5">
        <v>6.0799999999999397</v>
      </c>
      <c r="B1228" s="5">
        <f t="shared" si="36"/>
        <v>85.119999999999152</v>
      </c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>
        <f>0.000001*('Design Worksheet_BAT'!B$88)*(B1228-B1227)/E$232+M1227</f>
        <v>2.9591584637139929E-4</v>
      </c>
      <c r="N1228" s="5">
        <f t="shared" si="35"/>
        <v>85.119999999999152</v>
      </c>
    </row>
    <row r="1229" spans="1:14" x14ac:dyDescent="0.3">
      <c r="A1229" s="5">
        <v>6.0849999999999396</v>
      </c>
      <c r="B1229" s="5">
        <f t="shared" si="36"/>
        <v>85.189999999999159</v>
      </c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>
        <f>0.000001*('Design Worksheet_BAT'!B$88)*(B1229-B1228)/E$232+M1228</f>
        <v>2.9611705410086792E-4</v>
      </c>
      <c r="N1229" s="5">
        <f t="shared" si="35"/>
        <v>85.189999999999159</v>
      </c>
    </row>
    <row r="1230" spans="1:14" x14ac:dyDescent="0.3">
      <c r="A1230" s="5">
        <v>6.0899999999999297</v>
      </c>
      <c r="B1230" s="5">
        <f t="shared" si="36"/>
        <v>85.25999999999901</v>
      </c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>
        <f>0.000001*('Design Worksheet_BAT'!B$88)*(B1230-B1229)/E$232+M1229</f>
        <v>2.9631826183033612E-4</v>
      </c>
      <c r="N1230" s="5">
        <f t="shared" si="35"/>
        <v>85.25999999999901</v>
      </c>
    </row>
    <row r="1231" spans="1:14" x14ac:dyDescent="0.3">
      <c r="A1231" s="5">
        <v>6.0949999999999296</v>
      </c>
      <c r="B1231" s="5">
        <f t="shared" si="36"/>
        <v>85.329999999999018</v>
      </c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>
        <f>0.000001*('Design Worksheet_BAT'!B$88)*(B1231-B1230)/E$232+M1230</f>
        <v>2.9651946955980475E-4</v>
      </c>
      <c r="N1231" s="5">
        <f t="shared" si="35"/>
        <v>85.329999999999018</v>
      </c>
    </row>
    <row r="1232" spans="1:14" x14ac:dyDescent="0.3">
      <c r="A1232" s="5">
        <v>6.0999999999999304</v>
      </c>
      <c r="B1232" s="5">
        <f t="shared" si="36"/>
        <v>85.399999999999025</v>
      </c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>
        <f>0.000001*('Design Worksheet_BAT'!B$88)*(B1232-B1231)/E$232+M1231</f>
        <v>2.9672067728927338E-4</v>
      </c>
      <c r="N1232" s="5">
        <f t="shared" si="35"/>
        <v>85.399999999999025</v>
      </c>
    </row>
    <row r="1233" spans="1:14" x14ac:dyDescent="0.3">
      <c r="A1233" s="5">
        <v>6.1049999999999303</v>
      </c>
      <c r="B1233" s="5">
        <f t="shared" si="36"/>
        <v>85.469999999999018</v>
      </c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>
        <f>0.000001*('Design Worksheet_BAT'!B$88)*(B1233-B1232)/E$232+M1232</f>
        <v>2.9692188501874195E-4</v>
      </c>
      <c r="N1233" s="5">
        <f t="shared" si="35"/>
        <v>85.469999999999018</v>
      </c>
    </row>
    <row r="1234" spans="1:14" x14ac:dyDescent="0.3">
      <c r="A1234" s="5">
        <v>6.1099999999999302</v>
      </c>
      <c r="B1234" s="5">
        <f t="shared" si="36"/>
        <v>85.539999999999026</v>
      </c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>
        <f>0.000001*('Design Worksheet_BAT'!B$88)*(B1234-B1233)/E$232+M1233</f>
        <v>2.9712309274821058E-4</v>
      </c>
      <c r="N1234" s="5">
        <f t="shared" si="35"/>
        <v>85.539999999999026</v>
      </c>
    </row>
    <row r="1235" spans="1:14" x14ac:dyDescent="0.3">
      <c r="A1235" s="5">
        <v>6.11499999999993</v>
      </c>
      <c r="B1235" s="5">
        <f t="shared" si="36"/>
        <v>85.609999999999019</v>
      </c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>
        <f>0.000001*('Design Worksheet_BAT'!B$88)*(B1235-B1234)/E$232+M1234</f>
        <v>2.9732430047767916E-4</v>
      </c>
      <c r="N1235" s="5">
        <f t="shared" si="35"/>
        <v>85.609999999999019</v>
      </c>
    </row>
    <row r="1236" spans="1:14" x14ac:dyDescent="0.3">
      <c r="A1236" s="5">
        <v>6.1199999999999299</v>
      </c>
      <c r="B1236" s="5">
        <f t="shared" si="36"/>
        <v>85.679999999999012</v>
      </c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>
        <f>0.000001*('Design Worksheet_BAT'!B$88)*(B1236-B1235)/E$232+M1235</f>
        <v>2.9752550820714773E-4</v>
      </c>
      <c r="N1236" s="5">
        <f t="shared" si="35"/>
        <v>85.679999999999012</v>
      </c>
    </row>
    <row r="1237" spans="1:14" x14ac:dyDescent="0.3">
      <c r="A1237" s="5">
        <v>6.1249999999999298</v>
      </c>
      <c r="B1237" s="5">
        <f t="shared" si="36"/>
        <v>85.749999999999019</v>
      </c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>
        <f>0.000001*('Design Worksheet_BAT'!B$88)*(B1237-B1236)/E$232+M1236</f>
        <v>2.9772671593661636E-4</v>
      </c>
      <c r="N1237" s="5">
        <f t="shared" si="35"/>
        <v>85.749999999999019</v>
      </c>
    </row>
    <row r="1238" spans="1:14" x14ac:dyDescent="0.3">
      <c r="A1238" s="5">
        <v>6.1299999999999297</v>
      </c>
      <c r="B1238" s="5">
        <f t="shared" si="36"/>
        <v>85.819999999999013</v>
      </c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>
        <f>0.000001*('Design Worksheet_BAT'!B$88)*(B1238-B1237)/E$232+M1237</f>
        <v>2.9792792366608494E-4</v>
      </c>
      <c r="N1238" s="5">
        <f t="shared" si="35"/>
        <v>85.819999999999013</v>
      </c>
    </row>
    <row r="1239" spans="1:14" x14ac:dyDescent="0.3">
      <c r="A1239" s="5">
        <v>6.1349999999999296</v>
      </c>
      <c r="B1239" s="5">
        <f t="shared" si="36"/>
        <v>85.88999999999902</v>
      </c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>
        <f>0.000001*('Design Worksheet_BAT'!B$88)*(B1239-B1238)/E$232+M1238</f>
        <v>2.9812913139555357E-4</v>
      </c>
      <c r="N1239" s="5">
        <f t="shared" si="35"/>
        <v>85.88999999999902</v>
      </c>
    </row>
    <row r="1240" spans="1:14" x14ac:dyDescent="0.3">
      <c r="A1240" s="5">
        <v>6.1399999999999304</v>
      </c>
      <c r="B1240" s="5">
        <f t="shared" si="36"/>
        <v>85.959999999999027</v>
      </c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>
        <f>0.000001*('Design Worksheet_BAT'!B$88)*(B1240-B1239)/E$232+M1239</f>
        <v>2.983303391250222E-4</v>
      </c>
      <c r="N1240" s="5">
        <f t="shared" si="35"/>
        <v>85.959999999999027</v>
      </c>
    </row>
    <row r="1241" spans="1:14" x14ac:dyDescent="0.3">
      <c r="A1241" s="5">
        <v>6.1449999999999303</v>
      </c>
      <c r="B1241" s="5">
        <f t="shared" si="36"/>
        <v>86.029999999999021</v>
      </c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>
        <f>0.000001*('Design Worksheet_BAT'!B$88)*(B1241-B1240)/E$232+M1240</f>
        <v>2.9853154685449077E-4</v>
      </c>
      <c r="N1241" s="5">
        <f t="shared" si="35"/>
        <v>86.029999999999021</v>
      </c>
    </row>
    <row r="1242" spans="1:14" x14ac:dyDescent="0.3">
      <c r="A1242" s="5">
        <v>6.1499999999999302</v>
      </c>
      <c r="B1242" s="5">
        <f t="shared" si="36"/>
        <v>86.099999999999028</v>
      </c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>
        <f>0.000001*('Design Worksheet_BAT'!B$88)*(B1242-B1241)/E$232+M1241</f>
        <v>2.987327545839594E-4</v>
      </c>
      <c r="N1242" s="5">
        <f t="shared" si="35"/>
        <v>86.099999999999028</v>
      </c>
    </row>
    <row r="1243" spans="1:14" x14ac:dyDescent="0.3">
      <c r="A1243" s="5">
        <v>6.1549999999999301</v>
      </c>
      <c r="B1243" s="5">
        <f t="shared" si="36"/>
        <v>86.169999999999021</v>
      </c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>
        <f>0.000001*('Design Worksheet_BAT'!B$88)*(B1243-B1242)/E$232+M1242</f>
        <v>2.9893396231342798E-4</v>
      </c>
      <c r="N1243" s="5">
        <f t="shared" si="35"/>
        <v>86.169999999999021</v>
      </c>
    </row>
    <row r="1244" spans="1:14" x14ac:dyDescent="0.3">
      <c r="A1244" s="5">
        <v>6.15999999999993</v>
      </c>
      <c r="B1244" s="5">
        <f t="shared" si="36"/>
        <v>86.239999999999014</v>
      </c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>
        <f>0.000001*('Design Worksheet_BAT'!B$88)*(B1244-B1243)/E$232+M1243</f>
        <v>2.9913517004289655E-4</v>
      </c>
      <c r="N1244" s="5">
        <f t="shared" si="35"/>
        <v>86.239999999999014</v>
      </c>
    </row>
    <row r="1245" spans="1:14" x14ac:dyDescent="0.3">
      <c r="A1245" s="5">
        <v>6.1649999999999299</v>
      </c>
      <c r="B1245" s="5">
        <f t="shared" si="36"/>
        <v>86.309999999999022</v>
      </c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>
        <f>0.000001*('Design Worksheet_BAT'!B$88)*(B1245-B1244)/E$232+M1244</f>
        <v>2.9933637777236518E-4</v>
      </c>
      <c r="N1245" s="5">
        <f t="shared" si="35"/>
        <v>86.309999999999022</v>
      </c>
    </row>
    <row r="1246" spans="1:14" x14ac:dyDescent="0.3">
      <c r="A1246" s="5">
        <v>6.1699999999999298</v>
      </c>
      <c r="B1246" s="5">
        <f t="shared" si="36"/>
        <v>86.379999999999015</v>
      </c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>
        <f>0.000001*('Design Worksheet_BAT'!B$88)*(B1246-B1245)/E$232+M1245</f>
        <v>2.9953758550183376E-4</v>
      </c>
      <c r="N1246" s="5">
        <f t="shared" si="35"/>
        <v>86.379999999999015</v>
      </c>
    </row>
    <row r="1247" spans="1:14" x14ac:dyDescent="0.3">
      <c r="A1247" s="5">
        <v>6.1749999999999297</v>
      </c>
      <c r="B1247" s="5">
        <f t="shared" si="36"/>
        <v>86.449999999999022</v>
      </c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>
        <f>0.000001*('Design Worksheet_BAT'!B$88)*(B1247-B1246)/E$232+M1246</f>
        <v>2.9973879323130239E-4</v>
      </c>
      <c r="N1247" s="5">
        <f t="shared" si="35"/>
        <v>86.449999999999022</v>
      </c>
    </row>
    <row r="1248" spans="1:14" x14ac:dyDescent="0.3">
      <c r="A1248" s="5">
        <v>6.1799999999999304</v>
      </c>
      <c r="B1248" s="5">
        <f t="shared" si="36"/>
        <v>86.51999999999903</v>
      </c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>
        <f>0.000001*('Design Worksheet_BAT'!B$88)*(B1248-B1247)/E$232+M1247</f>
        <v>2.9994000096077102E-4</v>
      </c>
      <c r="N1248" s="5">
        <f t="shared" si="35"/>
        <v>86.51999999999903</v>
      </c>
    </row>
    <row r="1249" spans="1:14" x14ac:dyDescent="0.3">
      <c r="A1249" s="5">
        <v>6.1849999999999303</v>
      </c>
      <c r="B1249" s="5">
        <f t="shared" si="36"/>
        <v>86.589999999999023</v>
      </c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>
        <f>0.000001*('Design Worksheet_BAT'!B$88)*(B1249-B1248)/E$232+M1248</f>
        <v>3.0014120869023959E-4</v>
      </c>
      <c r="N1249" s="5">
        <f t="shared" si="35"/>
        <v>86.589999999999023</v>
      </c>
    </row>
    <row r="1250" spans="1:14" x14ac:dyDescent="0.3">
      <c r="A1250" s="5">
        <v>6.1899999999999302</v>
      </c>
      <c r="B1250" s="5">
        <f t="shared" si="36"/>
        <v>86.65999999999903</v>
      </c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>
        <f>0.000001*('Design Worksheet_BAT'!B$88)*(B1250-B1249)/E$232+M1249</f>
        <v>3.0034241641970822E-4</v>
      </c>
      <c r="N1250" s="5">
        <f t="shared" si="35"/>
        <v>86.65999999999903</v>
      </c>
    </row>
    <row r="1251" spans="1:14" x14ac:dyDescent="0.3">
      <c r="A1251" s="5">
        <v>6.1949999999999301</v>
      </c>
      <c r="B1251" s="5">
        <f t="shared" si="36"/>
        <v>86.729999999999023</v>
      </c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>
        <f>0.000001*('Design Worksheet_BAT'!B$88)*(B1251-B1250)/E$232+M1250</f>
        <v>3.005436241491768E-4</v>
      </c>
      <c r="N1251" s="5">
        <f t="shared" si="35"/>
        <v>86.729999999999023</v>
      </c>
    </row>
    <row r="1252" spans="1:14" x14ac:dyDescent="0.3">
      <c r="A1252" s="5">
        <v>6.19999999999993</v>
      </c>
      <c r="B1252" s="5">
        <f t="shared" si="36"/>
        <v>86.799999999999017</v>
      </c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>
        <f>0.000001*('Design Worksheet_BAT'!B$88)*(B1252-B1251)/E$232+M1251</f>
        <v>3.0074483187864537E-4</v>
      </c>
      <c r="N1252" s="5">
        <f t="shared" si="35"/>
        <v>86.799999999999017</v>
      </c>
    </row>
    <row r="1253" spans="1:14" x14ac:dyDescent="0.3">
      <c r="A1253" s="5">
        <v>6.2049999999999299</v>
      </c>
      <c r="B1253" s="5">
        <f t="shared" si="36"/>
        <v>86.869999999999024</v>
      </c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>
        <f>0.000001*('Design Worksheet_BAT'!B$88)*(B1253-B1252)/E$232+M1252</f>
        <v>3.00946039608114E-4</v>
      </c>
      <c r="N1253" s="5">
        <f t="shared" si="35"/>
        <v>86.869999999999024</v>
      </c>
    </row>
    <row r="1254" spans="1:14" x14ac:dyDescent="0.3">
      <c r="A1254" s="5">
        <v>6.2099999999999298</v>
      </c>
      <c r="B1254" s="5">
        <f t="shared" si="36"/>
        <v>86.939999999999017</v>
      </c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>
        <f>0.000001*('Design Worksheet_BAT'!B$88)*(B1254-B1253)/E$232+M1253</f>
        <v>3.0114724733758258E-4</v>
      </c>
      <c r="N1254" s="5">
        <f t="shared" si="35"/>
        <v>86.939999999999017</v>
      </c>
    </row>
    <row r="1255" spans="1:14" x14ac:dyDescent="0.3">
      <c r="A1255" s="5">
        <v>6.2149999999999297</v>
      </c>
      <c r="B1255" s="5">
        <f t="shared" si="36"/>
        <v>87.00999999999901</v>
      </c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>
        <f>0.000001*('Design Worksheet_BAT'!B$88)*(B1255-B1254)/E$232+M1254</f>
        <v>3.0134845506705116E-4</v>
      </c>
      <c r="N1255" s="5">
        <f t="shared" si="35"/>
        <v>87.00999999999901</v>
      </c>
    </row>
    <row r="1256" spans="1:14" x14ac:dyDescent="0.3">
      <c r="A1256" s="5">
        <v>6.2199999999999296</v>
      </c>
      <c r="B1256" s="5">
        <f t="shared" si="36"/>
        <v>87.079999999999018</v>
      </c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>
        <f>0.000001*('Design Worksheet_BAT'!B$88)*(B1256-B1255)/E$232+M1255</f>
        <v>3.0154966279651979E-4</v>
      </c>
      <c r="N1256" s="5">
        <f t="shared" ref="N1256:N1319" si="37">B1256</f>
        <v>87.079999999999018</v>
      </c>
    </row>
    <row r="1257" spans="1:14" x14ac:dyDescent="0.3">
      <c r="A1257" s="5">
        <v>6.2249999999999304</v>
      </c>
      <c r="B1257" s="5">
        <f t="shared" ref="B1257:B1320" si="38">A1257*VOFLB</f>
        <v>87.149999999999025</v>
      </c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>
        <f>0.000001*('Design Worksheet_BAT'!B$88)*(B1257-B1256)/E$232+M1256</f>
        <v>3.0175087052598841E-4</v>
      </c>
      <c r="N1257" s="5">
        <f t="shared" si="37"/>
        <v>87.149999999999025</v>
      </c>
    </row>
    <row r="1258" spans="1:14" x14ac:dyDescent="0.3">
      <c r="A1258" s="5">
        <v>6.2299999999999303</v>
      </c>
      <c r="B1258" s="5">
        <f t="shared" si="38"/>
        <v>87.219999999999018</v>
      </c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>
        <f>0.000001*('Design Worksheet_BAT'!B$88)*(B1258-B1257)/E$232+M1257</f>
        <v>3.0195207825545699E-4</v>
      </c>
      <c r="N1258" s="5">
        <f t="shared" si="37"/>
        <v>87.219999999999018</v>
      </c>
    </row>
    <row r="1259" spans="1:14" x14ac:dyDescent="0.3">
      <c r="A1259" s="5">
        <v>6.2349999999999302</v>
      </c>
      <c r="B1259" s="5">
        <f t="shared" si="38"/>
        <v>87.289999999999026</v>
      </c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>
        <f>0.000001*('Design Worksheet_BAT'!B$88)*(B1259-B1258)/E$232+M1258</f>
        <v>3.0215328598492562E-4</v>
      </c>
      <c r="N1259" s="5">
        <f t="shared" si="37"/>
        <v>87.289999999999026</v>
      </c>
    </row>
    <row r="1260" spans="1:14" x14ac:dyDescent="0.3">
      <c r="A1260" s="5">
        <v>6.23999999999993</v>
      </c>
      <c r="B1260" s="5">
        <f t="shared" si="38"/>
        <v>87.359999999999019</v>
      </c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>
        <f>0.000001*('Design Worksheet_BAT'!B$88)*(B1260-B1259)/E$232+M1259</f>
        <v>3.023544937143942E-4</v>
      </c>
      <c r="N1260" s="5">
        <f t="shared" si="37"/>
        <v>87.359999999999019</v>
      </c>
    </row>
    <row r="1261" spans="1:14" x14ac:dyDescent="0.3">
      <c r="A1261" s="5">
        <v>6.2449999999999299</v>
      </c>
      <c r="B1261" s="5">
        <f t="shared" si="38"/>
        <v>87.429999999999012</v>
      </c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>
        <f>0.000001*('Design Worksheet_BAT'!B$88)*(B1261-B1260)/E$232+M1260</f>
        <v>3.0255570144386277E-4</v>
      </c>
      <c r="N1261" s="5">
        <f t="shared" si="37"/>
        <v>87.429999999999012</v>
      </c>
    </row>
    <row r="1262" spans="1:14" x14ac:dyDescent="0.3">
      <c r="A1262" s="5">
        <v>6.2499999999999298</v>
      </c>
      <c r="B1262" s="5">
        <f t="shared" si="38"/>
        <v>87.499999999999019</v>
      </c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>
        <f>0.000001*('Design Worksheet_BAT'!B$88)*(B1262-B1261)/E$232+M1261</f>
        <v>3.027569091733314E-4</v>
      </c>
      <c r="N1262" s="5">
        <f t="shared" si="37"/>
        <v>87.499999999999019</v>
      </c>
    </row>
    <row r="1263" spans="1:14" x14ac:dyDescent="0.3">
      <c r="A1263" s="5">
        <v>6.2549999999999297</v>
      </c>
      <c r="B1263" s="5">
        <f t="shared" si="38"/>
        <v>87.569999999999013</v>
      </c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>
        <f>0.000001*('Design Worksheet_BAT'!B$88)*(B1263-B1262)/E$232+M1262</f>
        <v>3.0295811690279998E-4</v>
      </c>
      <c r="N1263" s="5">
        <f t="shared" si="37"/>
        <v>87.569999999999013</v>
      </c>
    </row>
    <row r="1264" spans="1:14" x14ac:dyDescent="0.3">
      <c r="A1264" s="5">
        <v>6.2599999999999296</v>
      </c>
      <c r="B1264" s="5">
        <f t="shared" si="38"/>
        <v>87.63999999999902</v>
      </c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>
        <f>0.000001*('Design Worksheet_BAT'!B$88)*(B1264-B1263)/E$232+M1263</f>
        <v>3.0315932463226861E-4</v>
      </c>
      <c r="N1264" s="5">
        <f t="shared" si="37"/>
        <v>87.63999999999902</v>
      </c>
    </row>
    <row r="1265" spans="1:14" x14ac:dyDescent="0.3">
      <c r="A1265" s="5">
        <v>6.2649999999999304</v>
      </c>
      <c r="B1265" s="5">
        <f t="shared" si="38"/>
        <v>87.709999999999027</v>
      </c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>
        <f>0.000001*('Design Worksheet_BAT'!B$88)*(B1265-B1264)/E$232+M1264</f>
        <v>3.0336053236173724E-4</v>
      </c>
      <c r="N1265" s="5">
        <f t="shared" si="37"/>
        <v>87.709999999999027</v>
      </c>
    </row>
    <row r="1266" spans="1:14" x14ac:dyDescent="0.3">
      <c r="A1266" s="5">
        <v>6.2699999999999303</v>
      </c>
      <c r="B1266" s="5">
        <f t="shared" si="38"/>
        <v>87.779999999999021</v>
      </c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>
        <f>0.000001*('Design Worksheet_BAT'!B$88)*(B1266-B1265)/E$232+M1265</f>
        <v>3.0356174009120581E-4</v>
      </c>
      <c r="N1266" s="5">
        <f t="shared" si="37"/>
        <v>87.779999999999021</v>
      </c>
    </row>
    <row r="1267" spans="1:14" x14ac:dyDescent="0.3">
      <c r="A1267" s="5">
        <v>6.2749999999999302</v>
      </c>
      <c r="B1267" s="5">
        <f t="shared" si="38"/>
        <v>87.849999999999028</v>
      </c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>
        <f>0.000001*('Design Worksheet_BAT'!B$88)*(B1267-B1266)/E$232+M1266</f>
        <v>3.0376294782067444E-4</v>
      </c>
      <c r="N1267" s="5">
        <f t="shared" si="37"/>
        <v>87.849999999999028</v>
      </c>
    </row>
    <row r="1268" spans="1:14" x14ac:dyDescent="0.3">
      <c r="A1268" s="5">
        <v>6.2799999999999301</v>
      </c>
      <c r="B1268" s="5">
        <f t="shared" si="38"/>
        <v>87.919999999999021</v>
      </c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>
        <f>0.000001*('Design Worksheet_BAT'!B$88)*(B1268-B1267)/E$232+M1267</f>
        <v>3.0396415555014302E-4</v>
      </c>
      <c r="N1268" s="5">
        <f t="shared" si="37"/>
        <v>87.919999999999021</v>
      </c>
    </row>
    <row r="1269" spans="1:14" x14ac:dyDescent="0.3">
      <c r="A1269" s="5">
        <v>6.28499999999993</v>
      </c>
      <c r="B1269" s="5">
        <f t="shared" si="38"/>
        <v>87.989999999999014</v>
      </c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>
        <f>0.000001*('Design Worksheet_BAT'!B$88)*(B1269-B1268)/E$232+M1268</f>
        <v>3.0416536327961159E-4</v>
      </c>
      <c r="N1269" s="5">
        <f t="shared" si="37"/>
        <v>87.989999999999014</v>
      </c>
    </row>
    <row r="1270" spans="1:14" x14ac:dyDescent="0.3">
      <c r="A1270" s="5">
        <v>6.2899999999999299</v>
      </c>
      <c r="B1270" s="5">
        <f t="shared" si="38"/>
        <v>88.059999999999022</v>
      </c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>
        <f>0.000001*('Design Worksheet_BAT'!B$88)*(B1270-B1269)/E$232+M1269</f>
        <v>3.0436657100908022E-4</v>
      </c>
      <c r="N1270" s="5">
        <f t="shared" si="37"/>
        <v>88.059999999999022</v>
      </c>
    </row>
    <row r="1271" spans="1:14" x14ac:dyDescent="0.3">
      <c r="A1271" s="5">
        <v>6.2949999999999298</v>
      </c>
      <c r="B1271" s="5">
        <f t="shared" si="38"/>
        <v>88.129999999999015</v>
      </c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>
        <f>0.000001*('Design Worksheet_BAT'!B$88)*(B1271-B1270)/E$232+M1270</f>
        <v>3.045677787385488E-4</v>
      </c>
      <c r="N1271" s="5">
        <f t="shared" si="37"/>
        <v>88.129999999999015</v>
      </c>
    </row>
    <row r="1272" spans="1:14" x14ac:dyDescent="0.3">
      <c r="A1272" s="5">
        <v>6.2999999999999297</v>
      </c>
      <c r="B1272" s="5">
        <f t="shared" si="38"/>
        <v>88.199999999999022</v>
      </c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>
        <f>0.000001*('Design Worksheet_BAT'!B$88)*(B1272-B1271)/E$232+M1271</f>
        <v>3.0476898646801743E-4</v>
      </c>
      <c r="N1272" s="5">
        <f t="shared" si="37"/>
        <v>88.199999999999022</v>
      </c>
    </row>
    <row r="1273" spans="1:14" x14ac:dyDescent="0.3">
      <c r="A1273" s="5">
        <v>6.3049999999999304</v>
      </c>
      <c r="B1273" s="5">
        <f t="shared" si="38"/>
        <v>88.26999999999903</v>
      </c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>
        <f>0.000001*('Design Worksheet_BAT'!B$88)*(B1273-B1272)/E$232+M1272</f>
        <v>3.0497019419748606E-4</v>
      </c>
      <c r="N1273" s="5">
        <f t="shared" si="37"/>
        <v>88.26999999999903</v>
      </c>
    </row>
    <row r="1274" spans="1:14" x14ac:dyDescent="0.3">
      <c r="A1274" s="5">
        <v>6.3099999999999303</v>
      </c>
      <c r="B1274" s="5">
        <f t="shared" si="38"/>
        <v>88.339999999999023</v>
      </c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>
        <f>0.000001*('Design Worksheet_BAT'!B$88)*(B1274-B1273)/E$232+M1273</f>
        <v>3.0517140192695463E-4</v>
      </c>
      <c r="N1274" s="5">
        <f t="shared" si="37"/>
        <v>88.339999999999023</v>
      </c>
    </row>
    <row r="1275" spans="1:14" x14ac:dyDescent="0.3">
      <c r="A1275" s="5">
        <v>6.3149999999999302</v>
      </c>
      <c r="B1275" s="5">
        <f t="shared" si="38"/>
        <v>88.40999999999903</v>
      </c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>
        <f>0.000001*('Design Worksheet_BAT'!B$88)*(B1275-B1274)/E$232+M1274</f>
        <v>3.0537260965642326E-4</v>
      </c>
      <c r="N1275" s="5">
        <f t="shared" si="37"/>
        <v>88.40999999999903</v>
      </c>
    </row>
    <row r="1276" spans="1:14" x14ac:dyDescent="0.3">
      <c r="A1276" s="5">
        <v>6.3199999999999301</v>
      </c>
      <c r="B1276" s="5">
        <f t="shared" si="38"/>
        <v>88.479999999999023</v>
      </c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>
        <f>0.000001*('Design Worksheet_BAT'!B$88)*(B1276-B1275)/E$232+M1275</f>
        <v>3.0557381738589184E-4</v>
      </c>
      <c r="N1276" s="5">
        <f t="shared" si="37"/>
        <v>88.479999999999023</v>
      </c>
    </row>
    <row r="1277" spans="1:14" x14ac:dyDescent="0.3">
      <c r="A1277" s="5">
        <v>6.32499999999993</v>
      </c>
      <c r="B1277" s="5">
        <f t="shared" si="38"/>
        <v>88.549999999999017</v>
      </c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>
        <f>0.000001*('Design Worksheet_BAT'!B$88)*(B1277-B1276)/E$232+M1276</f>
        <v>3.0577502511536041E-4</v>
      </c>
      <c r="N1277" s="5">
        <f t="shared" si="37"/>
        <v>88.549999999999017</v>
      </c>
    </row>
    <row r="1278" spans="1:14" x14ac:dyDescent="0.3">
      <c r="A1278" s="5">
        <v>6.3299999999999299</v>
      </c>
      <c r="B1278" s="5">
        <f t="shared" si="38"/>
        <v>88.619999999999024</v>
      </c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>
        <f>0.000001*('Design Worksheet_BAT'!B$88)*(B1278-B1277)/E$232+M1277</f>
        <v>3.0597623284482904E-4</v>
      </c>
      <c r="N1278" s="5">
        <f t="shared" si="37"/>
        <v>88.619999999999024</v>
      </c>
    </row>
    <row r="1279" spans="1:14" x14ac:dyDescent="0.3">
      <c r="A1279" s="5">
        <v>6.3349999999999298</v>
      </c>
      <c r="B1279" s="5">
        <f t="shared" si="38"/>
        <v>88.689999999999017</v>
      </c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>
        <f>0.000001*('Design Worksheet_BAT'!B$88)*(B1279-B1278)/E$232+M1278</f>
        <v>3.0617744057429762E-4</v>
      </c>
      <c r="N1279" s="5">
        <f t="shared" si="37"/>
        <v>88.689999999999017</v>
      </c>
    </row>
    <row r="1280" spans="1:14" x14ac:dyDescent="0.3">
      <c r="A1280" s="5">
        <v>6.3399999999999297</v>
      </c>
      <c r="B1280" s="5">
        <f t="shared" si="38"/>
        <v>88.75999999999901</v>
      </c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>
        <f>0.000001*('Design Worksheet_BAT'!B$88)*(B1280-B1279)/E$232+M1279</f>
        <v>3.0637864830376619E-4</v>
      </c>
      <c r="N1280" s="5">
        <f t="shared" si="37"/>
        <v>88.75999999999901</v>
      </c>
    </row>
    <row r="1281" spans="1:14" x14ac:dyDescent="0.3">
      <c r="A1281" s="5">
        <v>6.3449999999999296</v>
      </c>
      <c r="B1281" s="5">
        <f t="shared" si="38"/>
        <v>88.829999999999018</v>
      </c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>
        <f>0.000001*('Design Worksheet_BAT'!B$88)*(B1281-B1280)/E$232+M1280</f>
        <v>3.0657985603323482E-4</v>
      </c>
      <c r="N1281" s="5">
        <f t="shared" si="37"/>
        <v>88.829999999999018</v>
      </c>
    </row>
    <row r="1282" spans="1:14" x14ac:dyDescent="0.3">
      <c r="A1282" s="5">
        <v>6.3499999999999304</v>
      </c>
      <c r="B1282" s="5">
        <f t="shared" si="38"/>
        <v>88.899999999999025</v>
      </c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>
        <f>0.000001*('Design Worksheet_BAT'!B$88)*(B1282-B1281)/E$232+M1281</f>
        <v>3.0678106376270345E-4</v>
      </c>
      <c r="N1282" s="5">
        <f t="shared" si="37"/>
        <v>88.899999999999025</v>
      </c>
    </row>
    <row r="1283" spans="1:14" x14ac:dyDescent="0.3">
      <c r="A1283" s="5">
        <v>6.3549999999999303</v>
      </c>
      <c r="B1283" s="5">
        <f t="shared" si="38"/>
        <v>88.969999999999018</v>
      </c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>
        <f>0.000001*('Design Worksheet_BAT'!B$88)*(B1283-B1282)/E$232+M1282</f>
        <v>3.0698227149217203E-4</v>
      </c>
      <c r="N1283" s="5">
        <f t="shared" si="37"/>
        <v>88.969999999999018</v>
      </c>
    </row>
    <row r="1284" spans="1:14" x14ac:dyDescent="0.3">
      <c r="A1284" s="5">
        <v>6.3599999999999302</v>
      </c>
      <c r="B1284" s="5">
        <f t="shared" si="38"/>
        <v>89.039999999999026</v>
      </c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>
        <f>0.000001*('Design Worksheet_BAT'!B$88)*(B1284-B1283)/E$232+M1283</f>
        <v>3.0718347922164066E-4</v>
      </c>
      <c r="N1284" s="5">
        <f t="shared" si="37"/>
        <v>89.039999999999026</v>
      </c>
    </row>
    <row r="1285" spans="1:14" x14ac:dyDescent="0.3">
      <c r="A1285" s="5">
        <v>6.36499999999993</v>
      </c>
      <c r="B1285" s="5">
        <f t="shared" si="38"/>
        <v>89.109999999999019</v>
      </c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>
        <f>0.000001*('Design Worksheet_BAT'!B$88)*(B1285-B1284)/E$232+M1284</f>
        <v>3.0738468695110923E-4</v>
      </c>
      <c r="N1285" s="5">
        <f t="shared" si="37"/>
        <v>89.109999999999019</v>
      </c>
    </row>
    <row r="1286" spans="1:14" x14ac:dyDescent="0.3">
      <c r="A1286" s="5">
        <v>6.3699999999999299</v>
      </c>
      <c r="B1286" s="5">
        <f t="shared" si="38"/>
        <v>89.179999999999012</v>
      </c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>
        <f>0.000001*('Design Worksheet_BAT'!B$88)*(B1286-B1285)/E$232+M1285</f>
        <v>3.0758589468057781E-4</v>
      </c>
      <c r="N1286" s="5">
        <f t="shared" si="37"/>
        <v>89.179999999999012</v>
      </c>
    </row>
    <row r="1287" spans="1:14" x14ac:dyDescent="0.3">
      <c r="A1287" s="5">
        <v>6.3749999999999298</v>
      </c>
      <c r="B1287" s="5">
        <f t="shared" si="38"/>
        <v>89.249999999999019</v>
      </c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>
        <f>0.000001*('Design Worksheet_BAT'!B$88)*(B1287-B1286)/E$232+M1286</f>
        <v>3.0778710241004644E-4</v>
      </c>
      <c r="N1287" s="5">
        <f t="shared" si="37"/>
        <v>89.249999999999019</v>
      </c>
    </row>
    <row r="1288" spans="1:14" x14ac:dyDescent="0.3">
      <c r="A1288" s="5">
        <v>6.3799999999999297</v>
      </c>
      <c r="B1288" s="5">
        <f t="shared" si="38"/>
        <v>89.319999999999013</v>
      </c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>
        <f>0.000001*('Design Worksheet_BAT'!B$88)*(B1288-B1287)/E$232+M1287</f>
        <v>3.0798831013951501E-4</v>
      </c>
      <c r="N1288" s="5">
        <f t="shared" si="37"/>
        <v>89.319999999999013</v>
      </c>
    </row>
    <row r="1289" spans="1:14" x14ac:dyDescent="0.3">
      <c r="A1289" s="5">
        <v>6.3849999999999296</v>
      </c>
      <c r="B1289" s="5">
        <f t="shared" si="38"/>
        <v>89.38999999999902</v>
      </c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>
        <f>0.000001*('Design Worksheet_BAT'!B$88)*(B1289-B1288)/E$232+M1288</f>
        <v>3.0818951786898364E-4</v>
      </c>
      <c r="N1289" s="5">
        <f t="shared" si="37"/>
        <v>89.38999999999902</v>
      </c>
    </row>
    <row r="1290" spans="1:14" x14ac:dyDescent="0.3">
      <c r="A1290" s="5">
        <v>6.3899999999999304</v>
      </c>
      <c r="B1290" s="5">
        <f t="shared" si="38"/>
        <v>89.459999999999027</v>
      </c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>
        <f>0.000001*('Design Worksheet_BAT'!B$88)*(B1290-B1289)/E$232+M1289</f>
        <v>3.0839072559845227E-4</v>
      </c>
      <c r="N1290" s="5">
        <f t="shared" si="37"/>
        <v>89.459999999999027</v>
      </c>
    </row>
    <row r="1291" spans="1:14" x14ac:dyDescent="0.3">
      <c r="A1291" s="5">
        <v>6.3949999999999303</v>
      </c>
      <c r="B1291" s="5">
        <f t="shared" si="38"/>
        <v>89.529999999999021</v>
      </c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>
        <f>0.000001*('Design Worksheet_BAT'!B$88)*(B1291-B1290)/E$232+M1290</f>
        <v>3.0859193332792085E-4</v>
      </c>
      <c r="N1291" s="5">
        <f t="shared" si="37"/>
        <v>89.529999999999021</v>
      </c>
    </row>
    <row r="1292" spans="1:14" x14ac:dyDescent="0.3">
      <c r="A1292" s="5">
        <v>6.3999999999999302</v>
      </c>
      <c r="B1292" s="5">
        <f t="shared" si="38"/>
        <v>89.599999999999028</v>
      </c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>
        <f>0.000001*('Design Worksheet_BAT'!B$88)*(B1292-B1291)/E$232+M1291</f>
        <v>3.0879314105738948E-4</v>
      </c>
      <c r="N1292" s="5">
        <f t="shared" si="37"/>
        <v>89.599999999999028</v>
      </c>
    </row>
    <row r="1293" spans="1:14" x14ac:dyDescent="0.3">
      <c r="A1293" s="5">
        <v>6.4049999999999301</v>
      </c>
      <c r="B1293" s="5">
        <f t="shared" si="38"/>
        <v>89.669999999999021</v>
      </c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>
        <f>0.000001*('Design Worksheet_BAT'!B$88)*(B1293-B1292)/E$232+M1292</f>
        <v>3.0899434878685805E-4</v>
      </c>
      <c r="N1293" s="5">
        <f t="shared" si="37"/>
        <v>89.669999999999021</v>
      </c>
    </row>
    <row r="1294" spans="1:14" x14ac:dyDescent="0.3">
      <c r="A1294" s="5">
        <v>6.40999999999993</v>
      </c>
      <c r="B1294" s="5">
        <f t="shared" si="38"/>
        <v>89.739999999999014</v>
      </c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>
        <f>0.000001*('Design Worksheet_BAT'!B$88)*(B1294-B1293)/E$232+M1293</f>
        <v>3.0919555651632663E-4</v>
      </c>
      <c r="N1294" s="5">
        <f t="shared" si="37"/>
        <v>89.739999999999014</v>
      </c>
    </row>
    <row r="1295" spans="1:14" x14ac:dyDescent="0.3">
      <c r="A1295" s="5">
        <v>6.4149999999999299</v>
      </c>
      <c r="B1295" s="5">
        <f t="shared" si="38"/>
        <v>89.809999999999022</v>
      </c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>
        <f>0.000001*('Design Worksheet_BAT'!B$88)*(B1295-B1294)/E$232+M1294</f>
        <v>3.0939676424579526E-4</v>
      </c>
      <c r="N1295" s="5">
        <f t="shared" si="37"/>
        <v>89.809999999999022</v>
      </c>
    </row>
    <row r="1296" spans="1:14" x14ac:dyDescent="0.3">
      <c r="A1296" s="5">
        <v>6.4199999999999298</v>
      </c>
      <c r="B1296" s="5">
        <f t="shared" si="38"/>
        <v>89.879999999999015</v>
      </c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>
        <f>0.000001*('Design Worksheet_BAT'!B$88)*(B1296-B1295)/E$232+M1295</f>
        <v>3.0959797197526384E-4</v>
      </c>
      <c r="N1296" s="5">
        <f t="shared" si="37"/>
        <v>89.879999999999015</v>
      </c>
    </row>
    <row r="1297" spans="1:14" x14ac:dyDescent="0.3">
      <c r="A1297" s="5">
        <v>6.4249999999999297</v>
      </c>
      <c r="B1297" s="5">
        <f t="shared" si="38"/>
        <v>89.949999999999022</v>
      </c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>
        <f>0.000001*('Design Worksheet_BAT'!B$88)*(B1297-B1296)/E$232+M1296</f>
        <v>3.0979917970473247E-4</v>
      </c>
      <c r="N1297" s="5">
        <f t="shared" si="37"/>
        <v>89.949999999999022</v>
      </c>
    </row>
    <row r="1298" spans="1:14" x14ac:dyDescent="0.3">
      <c r="A1298" s="5">
        <v>6.4299999999999304</v>
      </c>
      <c r="B1298" s="5">
        <f t="shared" si="38"/>
        <v>90.01999999999903</v>
      </c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>
        <f>0.000001*('Design Worksheet_BAT'!B$88)*(B1298-B1297)/E$232+M1297</f>
        <v>3.1000038743420109E-4</v>
      </c>
      <c r="N1298" s="5">
        <f t="shared" si="37"/>
        <v>90.01999999999903</v>
      </c>
    </row>
    <row r="1299" spans="1:14" x14ac:dyDescent="0.3">
      <c r="A1299" s="5">
        <v>6.4349999999999303</v>
      </c>
      <c r="B1299" s="5">
        <f t="shared" si="38"/>
        <v>90.089999999999023</v>
      </c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>
        <f>0.000001*('Design Worksheet_BAT'!B$88)*(B1299-B1298)/E$232+M1298</f>
        <v>3.1020159516366967E-4</v>
      </c>
      <c r="N1299" s="5">
        <f t="shared" si="37"/>
        <v>90.089999999999023</v>
      </c>
    </row>
    <row r="1300" spans="1:14" x14ac:dyDescent="0.3">
      <c r="A1300" s="5">
        <v>6.4399999999999302</v>
      </c>
      <c r="B1300" s="5">
        <f t="shared" si="38"/>
        <v>90.15999999999903</v>
      </c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>
        <f>0.000001*('Design Worksheet_BAT'!B$88)*(B1300-B1299)/E$232+M1299</f>
        <v>3.104028028931383E-4</v>
      </c>
      <c r="N1300" s="5">
        <f t="shared" si="37"/>
        <v>90.15999999999903</v>
      </c>
    </row>
    <row r="1301" spans="1:14" x14ac:dyDescent="0.3">
      <c r="A1301" s="5">
        <v>6.4449999999999301</v>
      </c>
      <c r="B1301" s="5">
        <f t="shared" si="38"/>
        <v>90.229999999999023</v>
      </c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>
        <f>0.000001*('Design Worksheet_BAT'!B$88)*(B1301-B1300)/E$232+M1300</f>
        <v>3.1060401062260688E-4</v>
      </c>
      <c r="N1301" s="5">
        <f t="shared" si="37"/>
        <v>90.229999999999023</v>
      </c>
    </row>
    <row r="1302" spans="1:14" x14ac:dyDescent="0.3">
      <c r="A1302" s="5">
        <v>6.44999999999993</v>
      </c>
      <c r="B1302" s="5">
        <f t="shared" si="38"/>
        <v>90.299999999999017</v>
      </c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>
        <f>0.000001*('Design Worksheet_BAT'!B$88)*(B1302-B1301)/E$232+M1301</f>
        <v>3.1080521835207545E-4</v>
      </c>
      <c r="N1302" s="5">
        <f t="shared" si="37"/>
        <v>90.299999999999017</v>
      </c>
    </row>
    <row r="1303" spans="1:14" x14ac:dyDescent="0.3">
      <c r="A1303" s="5">
        <v>6.4549999999999299</v>
      </c>
      <c r="B1303" s="5">
        <f t="shared" si="38"/>
        <v>90.369999999999024</v>
      </c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>
        <f>0.000001*('Design Worksheet_BAT'!B$88)*(B1303-B1302)/E$232+M1302</f>
        <v>3.1100642608154408E-4</v>
      </c>
      <c r="N1303" s="5">
        <f t="shared" si="37"/>
        <v>90.369999999999024</v>
      </c>
    </row>
    <row r="1304" spans="1:14" x14ac:dyDescent="0.3">
      <c r="A1304" s="5">
        <v>6.4599999999999298</v>
      </c>
      <c r="B1304" s="5">
        <f t="shared" si="38"/>
        <v>90.439999999999017</v>
      </c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>
        <f>0.000001*('Design Worksheet_BAT'!B$88)*(B1304-B1303)/E$232+M1303</f>
        <v>3.1120763381101266E-4</v>
      </c>
      <c r="N1304" s="5">
        <f t="shared" si="37"/>
        <v>90.439999999999017</v>
      </c>
    </row>
    <row r="1305" spans="1:14" x14ac:dyDescent="0.3">
      <c r="A1305" s="5">
        <v>6.4649999999999297</v>
      </c>
      <c r="B1305" s="5">
        <f t="shared" si="38"/>
        <v>90.50999999999901</v>
      </c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>
        <f>0.000001*('Design Worksheet_BAT'!B$88)*(B1305-B1304)/E$232+M1304</f>
        <v>3.1140884154048123E-4</v>
      </c>
      <c r="N1305" s="5">
        <f t="shared" si="37"/>
        <v>90.50999999999901</v>
      </c>
    </row>
    <row r="1306" spans="1:14" x14ac:dyDescent="0.3">
      <c r="A1306" s="5">
        <v>6.4699999999999296</v>
      </c>
      <c r="B1306" s="5">
        <f t="shared" si="38"/>
        <v>90.579999999999018</v>
      </c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>
        <f>0.000001*('Design Worksheet_BAT'!B$88)*(B1306-B1305)/E$232+M1305</f>
        <v>3.1161004926994986E-4</v>
      </c>
      <c r="N1306" s="5">
        <f t="shared" si="37"/>
        <v>90.579999999999018</v>
      </c>
    </row>
    <row r="1307" spans="1:14" x14ac:dyDescent="0.3">
      <c r="A1307" s="5">
        <v>6.4749999999999304</v>
      </c>
      <c r="B1307" s="5">
        <f t="shared" si="38"/>
        <v>90.649999999999025</v>
      </c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>
        <f>0.000001*('Design Worksheet_BAT'!B$88)*(B1307-B1306)/E$232+M1306</f>
        <v>3.1181125699941849E-4</v>
      </c>
      <c r="N1307" s="5">
        <f t="shared" si="37"/>
        <v>90.649999999999025</v>
      </c>
    </row>
    <row r="1308" spans="1:14" x14ac:dyDescent="0.3">
      <c r="A1308" s="5">
        <v>6.4799999999999303</v>
      </c>
      <c r="B1308" s="5">
        <f t="shared" si="38"/>
        <v>90.719999999999018</v>
      </c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>
        <f>0.000001*('Design Worksheet_BAT'!B$88)*(B1308-B1307)/E$232+M1307</f>
        <v>3.1201246472888707E-4</v>
      </c>
      <c r="N1308" s="5">
        <f t="shared" si="37"/>
        <v>90.719999999999018</v>
      </c>
    </row>
    <row r="1309" spans="1:14" x14ac:dyDescent="0.3">
      <c r="A1309" s="5">
        <v>6.4849999999999302</v>
      </c>
      <c r="B1309" s="5">
        <f t="shared" si="38"/>
        <v>90.789999999999026</v>
      </c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>
        <f>0.000001*('Design Worksheet_BAT'!B$88)*(B1309-B1308)/E$232+M1308</f>
        <v>3.122136724583557E-4</v>
      </c>
      <c r="N1309" s="5">
        <f t="shared" si="37"/>
        <v>90.789999999999026</v>
      </c>
    </row>
    <row r="1310" spans="1:14" x14ac:dyDescent="0.3">
      <c r="A1310" s="5">
        <v>6.48999999999993</v>
      </c>
      <c r="B1310" s="5">
        <f t="shared" si="38"/>
        <v>90.859999999999019</v>
      </c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>
        <f>0.000001*('Design Worksheet_BAT'!B$88)*(B1310-B1309)/E$232+M1309</f>
        <v>3.1241488018782427E-4</v>
      </c>
      <c r="N1310" s="5">
        <f t="shared" si="37"/>
        <v>90.859999999999019</v>
      </c>
    </row>
    <row r="1311" spans="1:14" x14ac:dyDescent="0.3">
      <c r="A1311" s="5">
        <v>6.4949999999999299</v>
      </c>
      <c r="B1311" s="5">
        <f t="shared" si="38"/>
        <v>90.929999999999012</v>
      </c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>
        <f>0.000001*('Design Worksheet_BAT'!B$88)*(B1311-B1310)/E$232+M1310</f>
        <v>3.1261608791729285E-4</v>
      </c>
      <c r="N1311" s="5">
        <f t="shared" si="37"/>
        <v>90.929999999999012</v>
      </c>
    </row>
    <row r="1312" spans="1:14" x14ac:dyDescent="0.3">
      <c r="A1312" s="5">
        <v>6.4999999999999298</v>
      </c>
      <c r="B1312" s="5">
        <f t="shared" si="38"/>
        <v>90.999999999999019</v>
      </c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>
        <f>0.000001*('Design Worksheet_BAT'!B$88)*(B1312-B1311)/E$232+M1311</f>
        <v>3.1281729564676148E-4</v>
      </c>
      <c r="N1312" s="5">
        <f t="shared" si="37"/>
        <v>90.999999999999019</v>
      </c>
    </row>
    <row r="1313" spans="1:14" x14ac:dyDescent="0.3">
      <c r="A1313" s="5">
        <v>6.5049999999999297</v>
      </c>
      <c r="B1313" s="5">
        <f t="shared" si="38"/>
        <v>91.069999999999013</v>
      </c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>
        <f>0.000001*('Design Worksheet_BAT'!B$88)*(B1313-B1312)/E$232+M1312</f>
        <v>3.1301850337623005E-4</v>
      </c>
      <c r="N1313" s="5">
        <f t="shared" si="37"/>
        <v>91.069999999999013</v>
      </c>
    </row>
    <row r="1314" spans="1:14" x14ac:dyDescent="0.3">
      <c r="A1314" s="5">
        <v>6.5099999999999296</v>
      </c>
      <c r="B1314" s="5">
        <f t="shared" si="38"/>
        <v>91.13999999999902</v>
      </c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>
        <f>0.000001*('Design Worksheet_BAT'!B$88)*(B1314-B1313)/E$232+M1313</f>
        <v>3.1321971110569868E-4</v>
      </c>
      <c r="N1314" s="5">
        <f t="shared" si="37"/>
        <v>91.13999999999902</v>
      </c>
    </row>
    <row r="1315" spans="1:14" x14ac:dyDescent="0.3">
      <c r="A1315" s="5">
        <v>6.5149999999999304</v>
      </c>
      <c r="B1315" s="5">
        <f t="shared" si="38"/>
        <v>91.209999999999027</v>
      </c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>
        <f>0.000001*('Design Worksheet_BAT'!B$88)*(B1315-B1314)/E$232+M1314</f>
        <v>3.1342091883516731E-4</v>
      </c>
      <c r="N1315" s="5">
        <f t="shared" si="37"/>
        <v>91.209999999999027</v>
      </c>
    </row>
    <row r="1316" spans="1:14" x14ac:dyDescent="0.3">
      <c r="A1316" s="5">
        <v>6.5199999999999303</v>
      </c>
      <c r="B1316" s="5">
        <f t="shared" si="38"/>
        <v>91.279999999999021</v>
      </c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>
        <f>0.000001*('Design Worksheet_BAT'!B$88)*(B1316-B1315)/E$232+M1315</f>
        <v>3.1362212656463589E-4</v>
      </c>
      <c r="N1316" s="5">
        <f t="shared" si="37"/>
        <v>91.279999999999021</v>
      </c>
    </row>
    <row r="1317" spans="1:14" x14ac:dyDescent="0.3">
      <c r="A1317" s="5">
        <v>6.5249999999999302</v>
      </c>
      <c r="B1317" s="5">
        <f t="shared" si="38"/>
        <v>91.349999999999028</v>
      </c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>
        <f>0.000001*('Design Worksheet_BAT'!B$88)*(B1317-B1316)/E$232+M1316</f>
        <v>3.1382333429410452E-4</v>
      </c>
      <c r="N1317" s="5">
        <f t="shared" si="37"/>
        <v>91.349999999999028</v>
      </c>
    </row>
    <row r="1318" spans="1:14" x14ac:dyDescent="0.3">
      <c r="A1318" s="5">
        <v>6.5299999999999301</v>
      </c>
      <c r="B1318" s="5">
        <f t="shared" si="38"/>
        <v>91.419999999999021</v>
      </c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>
        <f>0.000001*('Design Worksheet_BAT'!B$88)*(B1318-B1317)/E$232+M1317</f>
        <v>3.1402454202357309E-4</v>
      </c>
      <c r="N1318" s="5">
        <f t="shared" si="37"/>
        <v>91.419999999999021</v>
      </c>
    </row>
    <row r="1319" spans="1:14" x14ac:dyDescent="0.3">
      <c r="A1319" s="5">
        <v>6.53499999999993</v>
      </c>
      <c r="B1319" s="5">
        <f t="shared" si="38"/>
        <v>91.489999999999014</v>
      </c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>
        <f>0.000001*('Design Worksheet_BAT'!B$88)*(B1319-B1318)/E$232+M1318</f>
        <v>3.1422574975304167E-4</v>
      </c>
      <c r="N1319" s="5">
        <f t="shared" si="37"/>
        <v>91.489999999999014</v>
      </c>
    </row>
    <row r="1320" spans="1:14" x14ac:dyDescent="0.3">
      <c r="A1320" s="5">
        <v>6.5399999999999299</v>
      </c>
      <c r="B1320" s="5">
        <f t="shared" si="38"/>
        <v>91.559999999999022</v>
      </c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>
        <f>0.000001*('Design Worksheet_BAT'!B$88)*(B1320-B1319)/E$232+M1319</f>
        <v>3.144269574825103E-4</v>
      </c>
      <c r="N1320" s="5">
        <f t="shared" ref="N1320:N1383" si="39">B1320</f>
        <v>91.559999999999022</v>
      </c>
    </row>
    <row r="1321" spans="1:14" x14ac:dyDescent="0.3">
      <c r="A1321" s="5">
        <v>6.5449999999999298</v>
      </c>
      <c r="B1321" s="5">
        <f t="shared" ref="B1321:B1384" si="40">A1321*VOFLB</f>
        <v>91.629999999999015</v>
      </c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>
        <f>0.000001*('Design Worksheet_BAT'!B$88)*(B1321-B1320)/E$232+M1320</f>
        <v>3.1462816521197887E-4</v>
      </c>
      <c r="N1321" s="5">
        <f t="shared" si="39"/>
        <v>91.629999999999015</v>
      </c>
    </row>
    <row r="1322" spans="1:14" x14ac:dyDescent="0.3">
      <c r="A1322" s="5">
        <v>6.5499999999999297</v>
      </c>
      <c r="B1322" s="5">
        <f t="shared" si="40"/>
        <v>91.699999999999022</v>
      </c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>
        <f>0.000001*('Design Worksheet_BAT'!B$88)*(B1322-B1321)/E$232+M1321</f>
        <v>3.148293729414475E-4</v>
      </c>
      <c r="N1322" s="5">
        <f t="shared" si="39"/>
        <v>91.699999999999022</v>
      </c>
    </row>
    <row r="1323" spans="1:14" x14ac:dyDescent="0.3">
      <c r="A1323" s="5">
        <v>6.5549999999999304</v>
      </c>
      <c r="B1323" s="5">
        <f t="shared" si="40"/>
        <v>91.76999999999903</v>
      </c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>
        <f>0.000001*('Design Worksheet_BAT'!B$88)*(B1323-B1322)/E$232+M1322</f>
        <v>3.1503058067091613E-4</v>
      </c>
      <c r="N1323" s="5">
        <f t="shared" si="39"/>
        <v>91.76999999999903</v>
      </c>
    </row>
    <row r="1324" spans="1:14" x14ac:dyDescent="0.3">
      <c r="A1324" s="5">
        <v>6.5599999999999197</v>
      </c>
      <c r="B1324" s="5">
        <f t="shared" si="40"/>
        <v>91.839999999998881</v>
      </c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>
        <f>0.000001*('Design Worksheet_BAT'!B$88)*(B1324-B1323)/E$232+M1323</f>
        <v>3.1523178840038433E-4</v>
      </c>
      <c r="N1324" s="5">
        <f t="shared" si="39"/>
        <v>91.839999999998881</v>
      </c>
    </row>
    <row r="1325" spans="1:14" x14ac:dyDescent="0.3">
      <c r="A1325" s="5">
        <v>6.5649999999999196</v>
      </c>
      <c r="B1325" s="5">
        <f t="shared" si="40"/>
        <v>91.909999999998874</v>
      </c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>
        <f>0.000001*('Design Worksheet_BAT'!B$88)*(B1325-B1324)/E$232+M1324</f>
        <v>3.154329961298529E-4</v>
      </c>
      <c r="N1325" s="5">
        <f t="shared" si="39"/>
        <v>91.909999999998874</v>
      </c>
    </row>
    <row r="1326" spans="1:14" x14ac:dyDescent="0.3">
      <c r="A1326" s="5">
        <v>6.5699999999999203</v>
      </c>
      <c r="B1326" s="5">
        <f t="shared" si="40"/>
        <v>91.979999999998881</v>
      </c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>
        <f>0.000001*('Design Worksheet_BAT'!B$88)*(B1326-B1325)/E$232+M1325</f>
        <v>3.1563420385932153E-4</v>
      </c>
      <c r="N1326" s="5">
        <f t="shared" si="39"/>
        <v>91.979999999998881</v>
      </c>
    </row>
    <row r="1327" spans="1:14" x14ac:dyDescent="0.3">
      <c r="A1327" s="5">
        <v>6.5749999999999202</v>
      </c>
      <c r="B1327" s="5">
        <f t="shared" si="40"/>
        <v>92.049999999998889</v>
      </c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>
        <f>0.000001*('Design Worksheet_BAT'!B$88)*(B1327-B1326)/E$232+M1326</f>
        <v>3.1583541158879016E-4</v>
      </c>
      <c r="N1327" s="5">
        <f t="shared" si="39"/>
        <v>92.049999999998889</v>
      </c>
    </row>
    <row r="1328" spans="1:14" x14ac:dyDescent="0.3">
      <c r="A1328" s="5">
        <v>6.5799999999999201</v>
      </c>
      <c r="B1328" s="5">
        <f t="shared" si="40"/>
        <v>92.119999999998882</v>
      </c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>
        <f>0.000001*('Design Worksheet_BAT'!B$88)*(B1328-B1327)/E$232+M1327</f>
        <v>3.1603661931825874E-4</v>
      </c>
      <c r="N1328" s="5">
        <f t="shared" si="39"/>
        <v>92.119999999998882</v>
      </c>
    </row>
    <row r="1329" spans="1:14" x14ac:dyDescent="0.3">
      <c r="A1329" s="5">
        <v>6.58499999999992</v>
      </c>
      <c r="B1329" s="5">
        <f t="shared" si="40"/>
        <v>92.189999999998875</v>
      </c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>
        <f>0.000001*('Design Worksheet_BAT'!B$88)*(B1329-B1328)/E$232+M1328</f>
        <v>3.1623782704772732E-4</v>
      </c>
      <c r="N1329" s="5">
        <f t="shared" si="39"/>
        <v>92.189999999998875</v>
      </c>
    </row>
    <row r="1330" spans="1:14" x14ac:dyDescent="0.3">
      <c r="A1330" s="5">
        <v>6.5899999999999199</v>
      </c>
      <c r="B1330" s="5">
        <f t="shared" si="40"/>
        <v>92.259999999998882</v>
      </c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>
        <f>0.000001*('Design Worksheet_BAT'!B$88)*(B1330-B1329)/E$232+M1329</f>
        <v>3.1643903477719594E-4</v>
      </c>
      <c r="N1330" s="5">
        <f t="shared" si="39"/>
        <v>92.259999999998882</v>
      </c>
    </row>
    <row r="1331" spans="1:14" x14ac:dyDescent="0.3">
      <c r="A1331" s="5">
        <v>6.5949999999999198</v>
      </c>
      <c r="B1331" s="5">
        <f t="shared" si="40"/>
        <v>92.329999999998876</v>
      </c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>
        <f>0.000001*('Design Worksheet_BAT'!B$88)*(B1331-B1330)/E$232+M1330</f>
        <v>3.1664024250666452E-4</v>
      </c>
      <c r="N1331" s="5">
        <f t="shared" si="39"/>
        <v>92.329999999998876</v>
      </c>
    </row>
    <row r="1332" spans="1:14" x14ac:dyDescent="0.3">
      <c r="A1332" s="5">
        <v>6.5999999999999197</v>
      </c>
      <c r="B1332" s="5">
        <f t="shared" si="40"/>
        <v>92.399999999998869</v>
      </c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>
        <f>0.000001*('Design Worksheet_BAT'!B$88)*(B1332-B1331)/E$232+M1331</f>
        <v>3.168414502361331E-4</v>
      </c>
      <c r="N1332" s="5">
        <f t="shared" si="39"/>
        <v>92.399999999998869</v>
      </c>
    </row>
    <row r="1333" spans="1:14" x14ac:dyDescent="0.3">
      <c r="A1333" s="5">
        <v>6.6049999999999196</v>
      </c>
      <c r="B1333" s="5">
        <f t="shared" si="40"/>
        <v>92.469999999998876</v>
      </c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>
        <f>0.000001*('Design Worksheet_BAT'!B$88)*(B1333-B1332)/E$232+M1332</f>
        <v>3.1704265796560173E-4</v>
      </c>
      <c r="N1333" s="5">
        <f t="shared" si="39"/>
        <v>92.469999999998876</v>
      </c>
    </row>
    <row r="1334" spans="1:14" x14ac:dyDescent="0.3">
      <c r="A1334" s="5">
        <v>6.6099999999999204</v>
      </c>
      <c r="B1334" s="5">
        <f t="shared" si="40"/>
        <v>92.539999999998884</v>
      </c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>
        <f>0.000001*('Design Worksheet_BAT'!B$88)*(B1334-B1333)/E$232+M1333</f>
        <v>3.1724386569507036E-4</v>
      </c>
      <c r="N1334" s="5">
        <f t="shared" si="39"/>
        <v>92.539999999998884</v>
      </c>
    </row>
    <row r="1335" spans="1:14" x14ac:dyDescent="0.3">
      <c r="A1335" s="5">
        <v>6.6149999999999203</v>
      </c>
      <c r="B1335" s="5">
        <f t="shared" si="40"/>
        <v>92.609999999998877</v>
      </c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>
        <f>0.000001*('Design Worksheet_BAT'!B$88)*(B1335-B1334)/E$232+M1334</f>
        <v>3.1744507342453893E-4</v>
      </c>
      <c r="N1335" s="5">
        <f t="shared" si="39"/>
        <v>92.609999999998877</v>
      </c>
    </row>
    <row r="1336" spans="1:14" x14ac:dyDescent="0.3">
      <c r="A1336" s="5">
        <v>6.6199999999999202</v>
      </c>
      <c r="B1336" s="5">
        <f t="shared" si="40"/>
        <v>92.679999999998884</v>
      </c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>
        <f>0.000001*('Design Worksheet_BAT'!B$88)*(B1336-B1335)/E$232+M1335</f>
        <v>3.1764628115400756E-4</v>
      </c>
      <c r="N1336" s="5">
        <f t="shared" si="39"/>
        <v>92.679999999998884</v>
      </c>
    </row>
    <row r="1337" spans="1:14" x14ac:dyDescent="0.3">
      <c r="A1337" s="5">
        <v>6.6249999999999201</v>
      </c>
      <c r="B1337" s="5">
        <f t="shared" si="40"/>
        <v>92.749999999998877</v>
      </c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>
        <f>0.000001*('Design Worksheet_BAT'!B$88)*(B1337-B1336)/E$232+M1336</f>
        <v>3.1784748888347614E-4</v>
      </c>
      <c r="N1337" s="5">
        <f t="shared" si="39"/>
        <v>92.749999999998877</v>
      </c>
    </row>
    <row r="1338" spans="1:14" x14ac:dyDescent="0.3">
      <c r="A1338" s="5">
        <v>6.62999999999992</v>
      </c>
      <c r="B1338" s="5">
        <f t="shared" si="40"/>
        <v>92.819999999998885</v>
      </c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>
        <f>0.000001*('Design Worksheet_BAT'!B$88)*(B1338-B1337)/E$232+M1337</f>
        <v>3.1804869661294477E-4</v>
      </c>
      <c r="N1338" s="5">
        <f t="shared" si="39"/>
        <v>92.819999999998885</v>
      </c>
    </row>
    <row r="1339" spans="1:14" x14ac:dyDescent="0.3">
      <c r="A1339" s="5">
        <v>6.6349999999999199</v>
      </c>
      <c r="B1339" s="5">
        <f t="shared" si="40"/>
        <v>92.889999999998878</v>
      </c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>
        <f>0.000001*('Design Worksheet_BAT'!B$88)*(B1339-B1338)/E$232+M1338</f>
        <v>3.1824990434241334E-4</v>
      </c>
      <c r="N1339" s="5">
        <f t="shared" si="39"/>
        <v>92.889999999998878</v>
      </c>
    </row>
    <row r="1340" spans="1:14" x14ac:dyDescent="0.3">
      <c r="A1340" s="5">
        <v>6.6399999999999197</v>
      </c>
      <c r="B1340" s="5">
        <f t="shared" si="40"/>
        <v>92.959999999998871</v>
      </c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>
        <f>0.000001*('Design Worksheet_BAT'!B$88)*(B1340-B1339)/E$232+M1339</f>
        <v>3.1845111207188192E-4</v>
      </c>
      <c r="N1340" s="5">
        <f t="shared" si="39"/>
        <v>92.959999999998871</v>
      </c>
    </row>
    <row r="1341" spans="1:14" x14ac:dyDescent="0.3">
      <c r="A1341" s="5">
        <v>6.6449999999999196</v>
      </c>
      <c r="B1341" s="5">
        <f t="shared" si="40"/>
        <v>93.029999999998878</v>
      </c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>
        <f>0.000001*('Design Worksheet_BAT'!B$88)*(B1341-B1340)/E$232+M1340</f>
        <v>3.1865231980135055E-4</v>
      </c>
      <c r="N1341" s="5">
        <f t="shared" si="39"/>
        <v>93.029999999998878</v>
      </c>
    </row>
    <row r="1342" spans="1:14" x14ac:dyDescent="0.3">
      <c r="A1342" s="5">
        <v>6.6499999999999204</v>
      </c>
      <c r="B1342" s="5">
        <f t="shared" si="40"/>
        <v>93.099999999998886</v>
      </c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>
        <f>0.000001*('Design Worksheet_BAT'!B$88)*(B1342-B1341)/E$232+M1341</f>
        <v>3.1885352753081918E-4</v>
      </c>
      <c r="N1342" s="5">
        <f t="shared" si="39"/>
        <v>93.099999999998886</v>
      </c>
    </row>
    <row r="1343" spans="1:14" x14ac:dyDescent="0.3">
      <c r="A1343" s="5">
        <v>6.6549999999999203</v>
      </c>
      <c r="B1343" s="5">
        <f t="shared" si="40"/>
        <v>93.169999999998879</v>
      </c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>
        <f>0.000001*('Design Worksheet_BAT'!B$88)*(B1343-B1342)/E$232+M1342</f>
        <v>3.1905473526028775E-4</v>
      </c>
      <c r="N1343" s="5">
        <f t="shared" si="39"/>
        <v>93.169999999998879</v>
      </c>
    </row>
    <row r="1344" spans="1:14" x14ac:dyDescent="0.3">
      <c r="A1344" s="5">
        <v>6.6599999999999202</v>
      </c>
      <c r="B1344" s="5">
        <f t="shared" si="40"/>
        <v>93.239999999998886</v>
      </c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>
        <f>0.000001*('Design Worksheet_BAT'!B$88)*(B1344-B1343)/E$232+M1343</f>
        <v>3.1925594298975638E-4</v>
      </c>
      <c r="N1344" s="5">
        <f t="shared" si="39"/>
        <v>93.239999999998886</v>
      </c>
    </row>
    <row r="1345" spans="1:14" x14ac:dyDescent="0.3">
      <c r="A1345" s="5">
        <v>6.6649999999999201</v>
      </c>
      <c r="B1345" s="5">
        <f t="shared" si="40"/>
        <v>93.30999999999888</v>
      </c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>
        <f>0.000001*('Design Worksheet_BAT'!B$88)*(B1345-B1344)/E$232+M1344</f>
        <v>3.1945715071922496E-4</v>
      </c>
      <c r="N1345" s="5">
        <f t="shared" si="39"/>
        <v>93.30999999999888</v>
      </c>
    </row>
    <row r="1346" spans="1:14" x14ac:dyDescent="0.3">
      <c r="A1346" s="5">
        <v>6.66999999999992</v>
      </c>
      <c r="B1346" s="5">
        <f t="shared" si="40"/>
        <v>93.379999999998887</v>
      </c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>
        <f>0.000001*('Design Worksheet_BAT'!B$88)*(B1346-B1345)/E$232+M1345</f>
        <v>3.1965835844869359E-4</v>
      </c>
      <c r="N1346" s="5">
        <f t="shared" si="39"/>
        <v>93.379999999998887</v>
      </c>
    </row>
    <row r="1347" spans="1:14" x14ac:dyDescent="0.3">
      <c r="A1347" s="5">
        <v>6.6749999999999199</v>
      </c>
      <c r="B1347" s="5">
        <f t="shared" si="40"/>
        <v>93.44999999999888</v>
      </c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>
        <f>0.000001*('Design Worksheet_BAT'!B$88)*(B1347-B1346)/E$232+M1346</f>
        <v>3.1985956617816216E-4</v>
      </c>
      <c r="N1347" s="5">
        <f t="shared" si="39"/>
        <v>93.44999999999888</v>
      </c>
    </row>
    <row r="1348" spans="1:14" x14ac:dyDescent="0.3">
      <c r="A1348" s="5">
        <v>6.6799999999999198</v>
      </c>
      <c r="B1348" s="5">
        <f t="shared" si="40"/>
        <v>93.519999999998873</v>
      </c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>
        <f>0.000001*('Design Worksheet_BAT'!B$88)*(B1348-B1347)/E$232+M1347</f>
        <v>3.2006077390763074E-4</v>
      </c>
      <c r="N1348" s="5">
        <f t="shared" si="39"/>
        <v>93.519999999998873</v>
      </c>
    </row>
    <row r="1349" spans="1:14" x14ac:dyDescent="0.3">
      <c r="A1349" s="5">
        <v>6.6849999999999197</v>
      </c>
      <c r="B1349" s="5">
        <f t="shared" si="40"/>
        <v>93.589999999998881</v>
      </c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>
        <f>0.000001*('Design Worksheet_BAT'!B$88)*(B1349-B1348)/E$232+M1348</f>
        <v>3.2026198163709937E-4</v>
      </c>
      <c r="N1349" s="5">
        <f t="shared" si="39"/>
        <v>93.589999999998881</v>
      </c>
    </row>
    <row r="1350" spans="1:14" x14ac:dyDescent="0.3">
      <c r="A1350" s="5">
        <v>6.6899999999999196</v>
      </c>
      <c r="B1350" s="5">
        <f t="shared" si="40"/>
        <v>93.659999999998874</v>
      </c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>
        <f>0.000001*('Design Worksheet_BAT'!B$88)*(B1350-B1349)/E$232+M1349</f>
        <v>3.2046318936656794E-4</v>
      </c>
      <c r="N1350" s="5">
        <f t="shared" si="39"/>
        <v>93.659999999998874</v>
      </c>
    </row>
    <row r="1351" spans="1:14" x14ac:dyDescent="0.3">
      <c r="A1351" s="5">
        <v>6.6949999999999203</v>
      </c>
      <c r="B1351" s="5">
        <f t="shared" si="40"/>
        <v>93.729999999998881</v>
      </c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>
        <f>0.000001*('Design Worksheet_BAT'!B$88)*(B1351-B1350)/E$232+M1350</f>
        <v>3.2066439709603657E-4</v>
      </c>
      <c r="N1351" s="5">
        <f t="shared" si="39"/>
        <v>93.729999999998881</v>
      </c>
    </row>
    <row r="1352" spans="1:14" x14ac:dyDescent="0.3">
      <c r="A1352" s="5">
        <v>6.6999999999999202</v>
      </c>
      <c r="B1352" s="5">
        <f t="shared" si="40"/>
        <v>93.799999999998889</v>
      </c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>
        <f>0.000001*('Design Worksheet_BAT'!B$88)*(B1352-B1351)/E$232+M1351</f>
        <v>3.208656048255052E-4</v>
      </c>
      <c r="N1352" s="5">
        <f t="shared" si="39"/>
        <v>93.799999999998889</v>
      </c>
    </row>
    <row r="1353" spans="1:14" x14ac:dyDescent="0.3">
      <c r="A1353" s="5">
        <v>6.7049999999999201</v>
      </c>
      <c r="B1353" s="5">
        <f t="shared" si="40"/>
        <v>93.869999999998882</v>
      </c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>
        <f>0.000001*('Design Worksheet_BAT'!B$88)*(B1353-B1352)/E$232+M1352</f>
        <v>3.2106681255497378E-4</v>
      </c>
      <c r="N1353" s="5">
        <f t="shared" si="39"/>
        <v>93.869999999998882</v>
      </c>
    </row>
    <row r="1354" spans="1:14" x14ac:dyDescent="0.3">
      <c r="A1354" s="5">
        <v>6.70999999999992</v>
      </c>
      <c r="B1354" s="5">
        <f t="shared" si="40"/>
        <v>93.939999999998875</v>
      </c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>
        <f>0.000001*('Design Worksheet_BAT'!B$88)*(B1354-B1353)/E$232+M1353</f>
        <v>3.2126802028444235E-4</v>
      </c>
      <c r="N1354" s="5">
        <f t="shared" si="39"/>
        <v>93.939999999998875</v>
      </c>
    </row>
    <row r="1355" spans="1:14" x14ac:dyDescent="0.3">
      <c r="A1355" s="5">
        <v>6.7149999999999199</v>
      </c>
      <c r="B1355" s="5">
        <f t="shared" si="40"/>
        <v>94.009999999998882</v>
      </c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>
        <f>0.000001*('Design Worksheet_BAT'!B$88)*(B1355-B1354)/E$232+M1354</f>
        <v>3.2146922801391098E-4</v>
      </c>
      <c r="N1355" s="5">
        <f t="shared" si="39"/>
        <v>94.009999999998882</v>
      </c>
    </row>
    <row r="1356" spans="1:14" x14ac:dyDescent="0.3">
      <c r="A1356" s="5">
        <v>6.7199999999999198</v>
      </c>
      <c r="B1356" s="5">
        <f t="shared" si="40"/>
        <v>94.079999999998876</v>
      </c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>
        <f>0.000001*('Design Worksheet_BAT'!B$88)*(B1356-B1355)/E$232+M1355</f>
        <v>3.2167043574337956E-4</v>
      </c>
      <c r="N1356" s="5">
        <f t="shared" si="39"/>
        <v>94.079999999998876</v>
      </c>
    </row>
    <row r="1357" spans="1:14" x14ac:dyDescent="0.3">
      <c r="A1357" s="5">
        <v>6.7249999999999197</v>
      </c>
      <c r="B1357" s="5">
        <f t="shared" si="40"/>
        <v>94.149999999998869</v>
      </c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>
        <f>0.000001*('Design Worksheet_BAT'!B$88)*(B1357-B1356)/E$232+M1356</f>
        <v>3.2187164347284813E-4</v>
      </c>
      <c r="N1357" s="5">
        <f t="shared" si="39"/>
        <v>94.149999999998869</v>
      </c>
    </row>
    <row r="1358" spans="1:14" x14ac:dyDescent="0.3">
      <c r="A1358" s="5">
        <v>6.7299999999999196</v>
      </c>
      <c r="B1358" s="5">
        <f t="shared" si="40"/>
        <v>94.219999999998876</v>
      </c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>
        <f>0.000001*('Design Worksheet_BAT'!B$88)*(B1358-B1357)/E$232+M1357</f>
        <v>3.2207285120231676E-4</v>
      </c>
      <c r="N1358" s="5">
        <f t="shared" si="39"/>
        <v>94.219999999998876</v>
      </c>
    </row>
    <row r="1359" spans="1:14" x14ac:dyDescent="0.3">
      <c r="A1359" s="5">
        <v>6.7349999999999204</v>
      </c>
      <c r="B1359" s="5">
        <f t="shared" si="40"/>
        <v>94.289999999998884</v>
      </c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>
        <f>0.000001*('Design Worksheet_BAT'!B$88)*(B1359-B1358)/E$232+M1358</f>
        <v>3.2227405893178539E-4</v>
      </c>
      <c r="N1359" s="5">
        <f t="shared" si="39"/>
        <v>94.289999999998884</v>
      </c>
    </row>
    <row r="1360" spans="1:14" x14ac:dyDescent="0.3">
      <c r="A1360" s="5">
        <v>6.7399999999999203</v>
      </c>
      <c r="B1360" s="5">
        <f t="shared" si="40"/>
        <v>94.359999999998877</v>
      </c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>
        <f>0.000001*('Design Worksheet_BAT'!B$88)*(B1360-B1359)/E$232+M1359</f>
        <v>3.2247526666125397E-4</v>
      </c>
      <c r="N1360" s="5">
        <f t="shared" si="39"/>
        <v>94.359999999998877</v>
      </c>
    </row>
    <row r="1361" spans="1:14" x14ac:dyDescent="0.3">
      <c r="A1361" s="5">
        <v>6.7449999999999202</v>
      </c>
      <c r="B1361" s="5">
        <f t="shared" si="40"/>
        <v>94.429999999998884</v>
      </c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>
        <f>0.000001*('Design Worksheet_BAT'!B$88)*(B1361-B1360)/E$232+M1360</f>
        <v>3.226764743907226E-4</v>
      </c>
      <c r="N1361" s="5">
        <f t="shared" si="39"/>
        <v>94.429999999998884</v>
      </c>
    </row>
    <row r="1362" spans="1:14" x14ac:dyDescent="0.3">
      <c r="A1362" s="5">
        <v>6.7499999999999201</v>
      </c>
      <c r="B1362" s="5">
        <f t="shared" si="40"/>
        <v>94.499999999998877</v>
      </c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>
        <f>0.000001*('Design Worksheet_BAT'!B$88)*(B1362-B1361)/E$232+M1361</f>
        <v>3.2287768212019117E-4</v>
      </c>
      <c r="N1362" s="5">
        <f t="shared" si="39"/>
        <v>94.499999999998877</v>
      </c>
    </row>
    <row r="1363" spans="1:14" x14ac:dyDescent="0.3">
      <c r="A1363" s="5">
        <v>6.75499999999992</v>
      </c>
      <c r="B1363" s="5">
        <f t="shared" si="40"/>
        <v>94.569999999998885</v>
      </c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>
        <f>0.000001*('Design Worksheet_BAT'!B$88)*(B1363-B1362)/E$232+M1362</f>
        <v>3.230788898496598E-4</v>
      </c>
      <c r="N1363" s="5">
        <f t="shared" si="39"/>
        <v>94.569999999998885</v>
      </c>
    </row>
    <row r="1364" spans="1:14" x14ac:dyDescent="0.3">
      <c r="A1364" s="5">
        <v>6.7599999999999199</v>
      </c>
      <c r="B1364" s="5">
        <f t="shared" si="40"/>
        <v>94.639999999998878</v>
      </c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>
        <f>0.000001*('Design Worksheet_BAT'!B$88)*(B1364-B1363)/E$232+M1363</f>
        <v>3.2328009757912838E-4</v>
      </c>
      <c r="N1364" s="5">
        <f t="shared" si="39"/>
        <v>94.639999999998878</v>
      </c>
    </row>
    <row r="1365" spans="1:14" x14ac:dyDescent="0.3">
      <c r="A1365" s="5">
        <v>6.7649999999999197</v>
      </c>
      <c r="B1365" s="5">
        <f t="shared" si="40"/>
        <v>94.709999999998871</v>
      </c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>
        <f>0.000001*('Design Worksheet_BAT'!B$88)*(B1365-B1364)/E$232+M1364</f>
        <v>3.2348130530859696E-4</v>
      </c>
      <c r="N1365" s="5">
        <f t="shared" si="39"/>
        <v>94.709999999998871</v>
      </c>
    </row>
    <row r="1366" spans="1:14" x14ac:dyDescent="0.3">
      <c r="A1366" s="5">
        <v>6.7699999999999196</v>
      </c>
      <c r="B1366" s="5">
        <f t="shared" si="40"/>
        <v>94.779999999998878</v>
      </c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>
        <f>0.000001*('Design Worksheet_BAT'!B$88)*(B1366-B1365)/E$232+M1365</f>
        <v>3.2368251303806558E-4</v>
      </c>
      <c r="N1366" s="5">
        <f t="shared" si="39"/>
        <v>94.779999999998878</v>
      </c>
    </row>
    <row r="1367" spans="1:14" x14ac:dyDescent="0.3">
      <c r="A1367" s="5">
        <v>6.7749999999999204</v>
      </c>
      <c r="B1367" s="5">
        <f t="shared" si="40"/>
        <v>94.849999999998886</v>
      </c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>
        <f>0.000001*('Design Worksheet_BAT'!B$88)*(B1367-B1366)/E$232+M1366</f>
        <v>3.2388372076753421E-4</v>
      </c>
      <c r="N1367" s="5">
        <f t="shared" si="39"/>
        <v>94.849999999998886</v>
      </c>
    </row>
    <row r="1368" spans="1:14" x14ac:dyDescent="0.3">
      <c r="A1368" s="5">
        <v>6.7799999999999203</v>
      </c>
      <c r="B1368" s="5">
        <f t="shared" si="40"/>
        <v>94.919999999998879</v>
      </c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>
        <f>0.000001*('Design Worksheet_BAT'!B$88)*(B1368-B1367)/E$232+M1367</f>
        <v>3.2408492849700279E-4</v>
      </c>
      <c r="N1368" s="5">
        <f t="shared" si="39"/>
        <v>94.919999999998879</v>
      </c>
    </row>
    <row r="1369" spans="1:14" x14ac:dyDescent="0.3">
      <c r="A1369" s="5">
        <v>6.7849999999999202</v>
      </c>
      <c r="B1369" s="5">
        <f t="shared" si="40"/>
        <v>94.989999999998886</v>
      </c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>
        <f>0.000001*('Design Worksheet_BAT'!B$88)*(B1369-B1368)/E$232+M1368</f>
        <v>3.2428613622647142E-4</v>
      </c>
      <c r="N1369" s="5">
        <f t="shared" si="39"/>
        <v>94.989999999998886</v>
      </c>
    </row>
    <row r="1370" spans="1:14" x14ac:dyDescent="0.3">
      <c r="A1370" s="5">
        <v>6.7899999999999201</v>
      </c>
      <c r="B1370" s="5">
        <f t="shared" si="40"/>
        <v>95.05999999999888</v>
      </c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>
        <f>0.000001*('Design Worksheet_BAT'!B$88)*(B1370-B1369)/E$232+M1369</f>
        <v>3.2448734395594E-4</v>
      </c>
      <c r="N1370" s="5">
        <f t="shared" si="39"/>
        <v>95.05999999999888</v>
      </c>
    </row>
    <row r="1371" spans="1:14" x14ac:dyDescent="0.3">
      <c r="A1371" s="5">
        <v>6.79499999999992</v>
      </c>
      <c r="B1371" s="5">
        <f t="shared" si="40"/>
        <v>95.129999999998887</v>
      </c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>
        <f>0.000001*('Design Worksheet_BAT'!B$88)*(B1371-B1370)/E$232+M1370</f>
        <v>3.2468855168540862E-4</v>
      </c>
      <c r="N1371" s="5">
        <f t="shared" si="39"/>
        <v>95.129999999998887</v>
      </c>
    </row>
    <row r="1372" spans="1:14" x14ac:dyDescent="0.3">
      <c r="A1372" s="5">
        <v>6.7999999999999199</v>
      </c>
      <c r="B1372" s="5">
        <f t="shared" si="40"/>
        <v>95.19999999999888</v>
      </c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>
        <f>0.000001*('Design Worksheet_BAT'!B$88)*(B1372-B1371)/E$232+M1371</f>
        <v>3.248897594148772E-4</v>
      </c>
      <c r="N1372" s="5">
        <f t="shared" si="39"/>
        <v>95.19999999999888</v>
      </c>
    </row>
    <row r="1373" spans="1:14" x14ac:dyDescent="0.3">
      <c r="A1373" s="5">
        <v>6.8049999999999198</v>
      </c>
      <c r="B1373" s="5">
        <f t="shared" si="40"/>
        <v>95.269999999998873</v>
      </c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>
        <f>0.000001*('Design Worksheet_BAT'!B$88)*(B1373-B1372)/E$232+M1372</f>
        <v>3.2509096714434578E-4</v>
      </c>
      <c r="N1373" s="5">
        <f t="shared" si="39"/>
        <v>95.269999999998873</v>
      </c>
    </row>
    <row r="1374" spans="1:14" x14ac:dyDescent="0.3">
      <c r="A1374" s="5">
        <v>6.8099999999999197</v>
      </c>
      <c r="B1374" s="5">
        <f t="shared" si="40"/>
        <v>95.339999999998881</v>
      </c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>
        <f>0.000001*('Design Worksheet_BAT'!B$88)*(B1374-B1373)/E$232+M1373</f>
        <v>3.2529217487381441E-4</v>
      </c>
      <c r="N1374" s="5">
        <f t="shared" si="39"/>
        <v>95.339999999998881</v>
      </c>
    </row>
    <row r="1375" spans="1:14" x14ac:dyDescent="0.3">
      <c r="A1375" s="5">
        <v>6.8149999999999196</v>
      </c>
      <c r="B1375" s="5">
        <f t="shared" si="40"/>
        <v>95.409999999998874</v>
      </c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>
        <f>0.000001*('Design Worksheet_BAT'!B$88)*(B1375-B1374)/E$232+M1374</f>
        <v>3.2549338260328298E-4</v>
      </c>
      <c r="N1375" s="5">
        <f t="shared" si="39"/>
        <v>95.409999999998874</v>
      </c>
    </row>
    <row r="1376" spans="1:14" x14ac:dyDescent="0.3">
      <c r="A1376" s="5">
        <v>6.8199999999999203</v>
      </c>
      <c r="B1376" s="5">
        <f t="shared" si="40"/>
        <v>95.479999999998881</v>
      </c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>
        <f>0.000001*('Design Worksheet_BAT'!B$88)*(B1376-B1375)/E$232+M1375</f>
        <v>3.2569459033275161E-4</v>
      </c>
      <c r="N1376" s="5">
        <f t="shared" si="39"/>
        <v>95.479999999998881</v>
      </c>
    </row>
    <row r="1377" spans="1:14" x14ac:dyDescent="0.3">
      <c r="A1377" s="5">
        <v>6.8249999999999202</v>
      </c>
      <c r="B1377" s="5">
        <f t="shared" si="40"/>
        <v>95.549999999998889</v>
      </c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>
        <f>0.000001*('Design Worksheet_BAT'!B$88)*(B1377-B1376)/E$232+M1376</f>
        <v>3.2589579806222024E-4</v>
      </c>
      <c r="N1377" s="5">
        <f t="shared" si="39"/>
        <v>95.549999999998889</v>
      </c>
    </row>
    <row r="1378" spans="1:14" x14ac:dyDescent="0.3">
      <c r="A1378" s="5">
        <v>6.8299999999999201</v>
      </c>
      <c r="B1378" s="5">
        <f t="shared" si="40"/>
        <v>95.619999999998882</v>
      </c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>
        <f>0.000001*('Design Worksheet_BAT'!B$88)*(B1378-B1377)/E$232+M1377</f>
        <v>3.2609700579168882E-4</v>
      </c>
      <c r="N1378" s="5">
        <f t="shared" si="39"/>
        <v>95.619999999998882</v>
      </c>
    </row>
    <row r="1379" spans="1:14" x14ac:dyDescent="0.3">
      <c r="A1379" s="5">
        <v>6.83499999999992</v>
      </c>
      <c r="B1379" s="5">
        <f t="shared" si="40"/>
        <v>95.689999999998875</v>
      </c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>
        <f>0.000001*('Design Worksheet_BAT'!B$88)*(B1379-B1378)/E$232+M1378</f>
        <v>3.2629821352115739E-4</v>
      </c>
      <c r="N1379" s="5">
        <f t="shared" si="39"/>
        <v>95.689999999998875</v>
      </c>
    </row>
    <row r="1380" spans="1:14" x14ac:dyDescent="0.3">
      <c r="A1380" s="5">
        <v>6.8399999999999199</v>
      </c>
      <c r="B1380" s="5">
        <f t="shared" si="40"/>
        <v>95.759999999998882</v>
      </c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>
        <f>0.000001*('Design Worksheet_BAT'!B$88)*(B1380-B1379)/E$232+M1379</f>
        <v>3.2649942125062602E-4</v>
      </c>
      <c r="N1380" s="5">
        <f t="shared" si="39"/>
        <v>95.759999999998882</v>
      </c>
    </row>
    <row r="1381" spans="1:14" x14ac:dyDescent="0.3">
      <c r="A1381" s="5">
        <v>6.8449999999999198</v>
      </c>
      <c r="B1381" s="5">
        <f t="shared" si="40"/>
        <v>95.829999999998876</v>
      </c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>
        <f>0.000001*('Design Worksheet_BAT'!B$88)*(B1381-B1380)/E$232+M1380</f>
        <v>3.267006289800946E-4</v>
      </c>
      <c r="N1381" s="5">
        <f t="shared" si="39"/>
        <v>95.829999999998876</v>
      </c>
    </row>
    <row r="1382" spans="1:14" x14ac:dyDescent="0.3">
      <c r="A1382" s="5">
        <v>6.8499999999999197</v>
      </c>
      <c r="B1382" s="5">
        <f t="shared" si="40"/>
        <v>95.899999999998869</v>
      </c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>
        <f>0.000001*('Design Worksheet_BAT'!B$88)*(B1382-B1381)/E$232+M1381</f>
        <v>3.2690183670956317E-4</v>
      </c>
      <c r="N1382" s="5">
        <f t="shared" si="39"/>
        <v>95.899999999998869</v>
      </c>
    </row>
    <row r="1383" spans="1:14" x14ac:dyDescent="0.3">
      <c r="A1383" s="5">
        <v>6.8549999999999196</v>
      </c>
      <c r="B1383" s="5">
        <f t="shared" si="40"/>
        <v>95.969999999998876</v>
      </c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>
        <f>0.000001*('Design Worksheet_BAT'!B$88)*(B1383-B1382)/E$232+M1382</f>
        <v>3.271030444390318E-4</v>
      </c>
      <c r="N1383" s="5">
        <f t="shared" si="39"/>
        <v>95.969999999998876</v>
      </c>
    </row>
    <row r="1384" spans="1:14" x14ac:dyDescent="0.3">
      <c r="A1384" s="5">
        <v>6.8599999999999204</v>
      </c>
      <c r="B1384" s="5">
        <f t="shared" si="40"/>
        <v>96.039999999998884</v>
      </c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>
        <f>0.000001*('Design Worksheet_BAT'!B$88)*(B1384-B1383)/E$232+M1383</f>
        <v>3.2730425216850043E-4</v>
      </c>
      <c r="N1384" s="5">
        <f t="shared" ref="N1384:N1447" si="41">B1384</f>
        <v>96.039999999998884</v>
      </c>
    </row>
    <row r="1385" spans="1:14" x14ac:dyDescent="0.3">
      <c r="A1385" s="5">
        <v>6.8649999999999203</v>
      </c>
      <c r="B1385" s="5">
        <f t="shared" ref="B1385:B1448" si="42">A1385*VOFLB</f>
        <v>96.109999999998877</v>
      </c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>
        <f>0.000001*('Design Worksheet_BAT'!B$88)*(B1385-B1384)/E$232+M1384</f>
        <v>3.2750545989796901E-4</v>
      </c>
      <c r="N1385" s="5">
        <f t="shared" si="41"/>
        <v>96.109999999998877</v>
      </c>
    </row>
    <row r="1386" spans="1:14" x14ac:dyDescent="0.3">
      <c r="A1386" s="5">
        <v>6.8699999999999202</v>
      </c>
      <c r="B1386" s="5">
        <f t="shared" si="42"/>
        <v>96.179999999998884</v>
      </c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>
        <f>0.000001*('Design Worksheet_BAT'!B$88)*(B1386-B1385)/E$232+M1385</f>
        <v>3.2770666762743764E-4</v>
      </c>
      <c r="N1386" s="5">
        <f t="shared" si="41"/>
        <v>96.179999999998884</v>
      </c>
    </row>
    <row r="1387" spans="1:14" x14ac:dyDescent="0.3">
      <c r="A1387" s="5">
        <v>6.8749999999999201</v>
      </c>
      <c r="B1387" s="5">
        <f t="shared" si="42"/>
        <v>96.249999999998877</v>
      </c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>
        <f>0.000001*('Design Worksheet_BAT'!B$88)*(B1387-B1386)/E$232+M1386</f>
        <v>3.2790787535690621E-4</v>
      </c>
      <c r="N1387" s="5">
        <f t="shared" si="41"/>
        <v>96.249999999998877</v>
      </c>
    </row>
    <row r="1388" spans="1:14" x14ac:dyDescent="0.3">
      <c r="A1388" s="5">
        <v>6.87999999999992</v>
      </c>
      <c r="B1388" s="5">
        <f t="shared" si="42"/>
        <v>96.319999999998885</v>
      </c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>
        <f>0.000001*('Design Worksheet_BAT'!B$88)*(B1388-B1387)/E$232+M1387</f>
        <v>3.2810908308637484E-4</v>
      </c>
      <c r="N1388" s="5">
        <f t="shared" si="41"/>
        <v>96.319999999998885</v>
      </c>
    </row>
    <row r="1389" spans="1:14" x14ac:dyDescent="0.3">
      <c r="A1389" s="5">
        <v>6.8849999999999199</v>
      </c>
      <c r="B1389" s="5">
        <f t="shared" si="42"/>
        <v>96.389999999998878</v>
      </c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>
        <f>0.000001*('Design Worksheet_BAT'!B$88)*(B1389-B1388)/E$232+M1388</f>
        <v>3.2831029081584342E-4</v>
      </c>
      <c r="N1389" s="5">
        <f t="shared" si="41"/>
        <v>96.389999999998878</v>
      </c>
    </row>
    <row r="1390" spans="1:14" x14ac:dyDescent="0.3">
      <c r="A1390" s="5">
        <v>6.8899999999999197</v>
      </c>
      <c r="B1390" s="5">
        <f t="shared" si="42"/>
        <v>96.459999999998871</v>
      </c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>
        <f>0.000001*('Design Worksheet_BAT'!B$88)*(B1390-B1389)/E$232+M1389</f>
        <v>3.2851149854531199E-4</v>
      </c>
      <c r="N1390" s="5">
        <f t="shared" si="41"/>
        <v>96.459999999998871</v>
      </c>
    </row>
    <row r="1391" spans="1:14" x14ac:dyDescent="0.3">
      <c r="A1391" s="5">
        <v>6.8949999999999196</v>
      </c>
      <c r="B1391" s="5">
        <f t="shared" si="42"/>
        <v>96.529999999998878</v>
      </c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>
        <f>0.000001*('Design Worksheet_BAT'!B$88)*(B1391-B1390)/E$232+M1390</f>
        <v>3.2871270627478062E-4</v>
      </c>
      <c r="N1391" s="5">
        <f t="shared" si="41"/>
        <v>96.529999999998878</v>
      </c>
    </row>
    <row r="1392" spans="1:14" x14ac:dyDescent="0.3">
      <c r="A1392" s="5">
        <v>6.8999999999999204</v>
      </c>
      <c r="B1392" s="5">
        <f t="shared" si="42"/>
        <v>96.599999999998886</v>
      </c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>
        <f>0.000001*('Design Worksheet_BAT'!B$88)*(B1392-B1391)/E$232+M1391</f>
        <v>3.2891391400424925E-4</v>
      </c>
      <c r="N1392" s="5">
        <f t="shared" si="41"/>
        <v>96.599999999998886</v>
      </c>
    </row>
    <row r="1393" spans="1:14" x14ac:dyDescent="0.3">
      <c r="A1393" s="5">
        <v>6.9049999999999203</v>
      </c>
      <c r="B1393" s="5">
        <f t="shared" si="42"/>
        <v>96.669999999998879</v>
      </c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>
        <f>0.000001*('Design Worksheet_BAT'!B$88)*(B1393-B1392)/E$232+M1392</f>
        <v>3.2911512173371783E-4</v>
      </c>
      <c r="N1393" s="5">
        <f t="shared" si="41"/>
        <v>96.669999999998879</v>
      </c>
    </row>
    <row r="1394" spans="1:14" x14ac:dyDescent="0.3">
      <c r="A1394" s="5">
        <v>6.9099999999999202</v>
      </c>
      <c r="B1394" s="5">
        <f t="shared" si="42"/>
        <v>96.739999999998886</v>
      </c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>
        <f>0.000001*('Design Worksheet_BAT'!B$88)*(B1394-B1393)/E$232+M1393</f>
        <v>3.2931632946318646E-4</v>
      </c>
      <c r="N1394" s="5">
        <f t="shared" si="41"/>
        <v>96.739999999998886</v>
      </c>
    </row>
    <row r="1395" spans="1:14" x14ac:dyDescent="0.3">
      <c r="A1395" s="5">
        <v>6.9149999999999201</v>
      </c>
      <c r="B1395" s="5">
        <f t="shared" si="42"/>
        <v>96.80999999999888</v>
      </c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>
        <f>0.000001*('Design Worksheet_BAT'!B$88)*(B1395-B1394)/E$232+M1394</f>
        <v>3.2951753719265503E-4</v>
      </c>
      <c r="N1395" s="5">
        <f t="shared" si="41"/>
        <v>96.80999999999888</v>
      </c>
    </row>
    <row r="1396" spans="1:14" x14ac:dyDescent="0.3">
      <c r="A1396" s="5">
        <v>6.91999999999992</v>
      </c>
      <c r="B1396" s="5">
        <f t="shared" si="42"/>
        <v>96.879999999998887</v>
      </c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>
        <f>0.000001*('Design Worksheet_BAT'!B$88)*(B1396-B1395)/E$232+M1395</f>
        <v>3.2971874492212366E-4</v>
      </c>
      <c r="N1396" s="5">
        <f t="shared" si="41"/>
        <v>96.879999999998887</v>
      </c>
    </row>
    <row r="1397" spans="1:14" x14ac:dyDescent="0.3">
      <c r="A1397" s="5">
        <v>6.9249999999999199</v>
      </c>
      <c r="B1397" s="5">
        <f t="shared" si="42"/>
        <v>96.94999999999888</v>
      </c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>
        <f>0.000001*('Design Worksheet_BAT'!B$88)*(B1397-B1396)/E$232+M1396</f>
        <v>3.2991995265159224E-4</v>
      </c>
      <c r="N1397" s="5">
        <f t="shared" si="41"/>
        <v>96.94999999999888</v>
      </c>
    </row>
    <row r="1398" spans="1:14" x14ac:dyDescent="0.3">
      <c r="A1398" s="5">
        <v>6.9299999999999198</v>
      </c>
      <c r="B1398" s="5">
        <f t="shared" si="42"/>
        <v>97.019999999998873</v>
      </c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>
        <f>0.000001*('Design Worksheet_BAT'!B$88)*(B1398-B1397)/E$232+M1397</f>
        <v>3.3012116038106081E-4</v>
      </c>
      <c r="N1398" s="5">
        <f t="shared" si="41"/>
        <v>97.019999999998873</v>
      </c>
    </row>
    <row r="1399" spans="1:14" x14ac:dyDescent="0.3">
      <c r="A1399" s="5">
        <v>6.9349999999999197</v>
      </c>
      <c r="B1399" s="5">
        <f t="shared" si="42"/>
        <v>97.089999999998881</v>
      </c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>
        <f>0.000001*('Design Worksheet_BAT'!B$88)*(B1399-B1398)/E$232+M1398</f>
        <v>3.3032236811052944E-4</v>
      </c>
      <c r="N1399" s="5">
        <f t="shared" si="41"/>
        <v>97.089999999998881</v>
      </c>
    </row>
    <row r="1400" spans="1:14" x14ac:dyDescent="0.3">
      <c r="A1400" s="5">
        <v>6.9399999999999196</v>
      </c>
      <c r="B1400" s="5">
        <f t="shared" si="42"/>
        <v>97.159999999998874</v>
      </c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>
        <f>0.000001*('Design Worksheet_BAT'!B$88)*(B1400-B1399)/E$232+M1399</f>
        <v>3.3052357583999802E-4</v>
      </c>
      <c r="N1400" s="5">
        <f t="shared" si="41"/>
        <v>97.159999999998874</v>
      </c>
    </row>
    <row r="1401" spans="1:14" x14ac:dyDescent="0.3">
      <c r="A1401" s="5">
        <v>6.9449999999999203</v>
      </c>
      <c r="B1401" s="5">
        <f t="shared" si="42"/>
        <v>97.229999999998881</v>
      </c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>
        <f>0.000001*('Design Worksheet_BAT'!B$88)*(B1401-B1400)/E$232+M1400</f>
        <v>3.3072478356946665E-4</v>
      </c>
      <c r="N1401" s="5">
        <f t="shared" si="41"/>
        <v>97.229999999998881</v>
      </c>
    </row>
    <row r="1402" spans="1:14" x14ac:dyDescent="0.3">
      <c r="A1402" s="5">
        <v>6.9499999999999202</v>
      </c>
      <c r="B1402" s="5">
        <f t="shared" si="42"/>
        <v>97.299999999998889</v>
      </c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>
        <f>0.000001*('Design Worksheet_BAT'!B$88)*(B1402-B1401)/E$232+M1401</f>
        <v>3.3092599129893528E-4</v>
      </c>
      <c r="N1402" s="5">
        <f t="shared" si="41"/>
        <v>97.299999999998889</v>
      </c>
    </row>
    <row r="1403" spans="1:14" x14ac:dyDescent="0.3">
      <c r="A1403" s="5">
        <v>6.9549999999999201</v>
      </c>
      <c r="B1403" s="5">
        <f t="shared" si="42"/>
        <v>97.369999999998882</v>
      </c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>
        <f>0.000001*('Design Worksheet_BAT'!B$88)*(B1403-B1402)/E$232+M1402</f>
        <v>3.3112719902840385E-4</v>
      </c>
      <c r="N1403" s="5">
        <f t="shared" si="41"/>
        <v>97.369999999998882</v>
      </c>
    </row>
    <row r="1404" spans="1:14" x14ac:dyDescent="0.3">
      <c r="A1404" s="5">
        <v>6.95999999999992</v>
      </c>
      <c r="B1404" s="5">
        <f t="shared" si="42"/>
        <v>97.439999999998875</v>
      </c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>
        <f>0.000001*('Design Worksheet_BAT'!B$88)*(B1404-B1403)/E$232+M1403</f>
        <v>3.3132840675787243E-4</v>
      </c>
      <c r="N1404" s="5">
        <f t="shared" si="41"/>
        <v>97.439999999998875</v>
      </c>
    </row>
    <row r="1405" spans="1:14" x14ac:dyDescent="0.3">
      <c r="A1405" s="5">
        <v>6.9649999999999199</v>
      </c>
      <c r="B1405" s="5">
        <f t="shared" si="42"/>
        <v>97.509999999998882</v>
      </c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>
        <f>0.000001*('Design Worksheet_BAT'!B$88)*(B1405-B1404)/E$232+M1404</f>
        <v>3.3152961448734106E-4</v>
      </c>
      <c r="N1405" s="5">
        <f t="shared" si="41"/>
        <v>97.509999999998882</v>
      </c>
    </row>
    <row r="1406" spans="1:14" x14ac:dyDescent="0.3">
      <c r="A1406" s="5">
        <v>6.9699999999999198</v>
      </c>
      <c r="B1406" s="5">
        <f t="shared" si="42"/>
        <v>97.579999999998876</v>
      </c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>
        <f>0.000001*('Design Worksheet_BAT'!B$88)*(B1406-B1405)/E$232+M1405</f>
        <v>3.3173082221680964E-4</v>
      </c>
      <c r="N1406" s="5">
        <f t="shared" si="41"/>
        <v>97.579999999998876</v>
      </c>
    </row>
    <row r="1407" spans="1:14" x14ac:dyDescent="0.3">
      <c r="A1407" s="5">
        <v>6.9749999999999197</v>
      </c>
      <c r="B1407" s="5">
        <f t="shared" si="42"/>
        <v>97.649999999998869</v>
      </c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>
        <f>0.000001*('Design Worksheet_BAT'!B$88)*(B1407-B1406)/E$232+M1406</f>
        <v>3.3193202994627821E-4</v>
      </c>
      <c r="N1407" s="5">
        <f t="shared" si="41"/>
        <v>97.649999999998869</v>
      </c>
    </row>
    <row r="1408" spans="1:14" x14ac:dyDescent="0.3">
      <c r="A1408" s="5">
        <v>6.9799999999999196</v>
      </c>
      <c r="B1408" s="5">
        <f t="shared" si="42"/>
        <v>97.719999999998876</v>
      </c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>
        <f>0.000001*('Design Worksheet_BAT'!B$88)*(B1408-B1407)/E$232+M1407</f>
        <v>3.3213323767574684E-4</v>
      </c>
      <c r="N1408" s="5">
        <f t="shared" si="41"/>
        <v>97.719999999998876</v>
      </c>
    </row>
    <row r="1409" spans="1:14" x14ac:dyDescent="0.3">
      <c r="A1409" s="5">
        <v>6.9849999999999204</v>
      </c>
      <c r="B1409" s="5">
        <f t="shared" si="42"/>
        <v>97.789999999998884</v>
      </c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>
        <f>0.000001*('Design Worksheet_BAT'!B$88)*(B1409-B1408)/E$232+M1408</f>
        <v>3.3233444540521547E-4</v>
      </c>
      <c r="N1409" s="5">
        <f t="shared" si="41"/>
        <v>97.789999999998884</v>
      </c>
    </row>
    <row r="1410" spans="1:14" x14ac:dyDescent="0.3">
      <c r="A1410" s="5">
        <v>6.9899999999999203</v>
      </c>
      <c r="B1410" s="5">
        <f t="shared" si="42"/>
        <v>97.859999999998877</v>
      </c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>
        <f>0.000001*('Design Worksheet_BAT'!B$88)*(B1410-B1409)/E$232+M1409</f>
        <v>3.3253565313468405E-4</v>
      </c>
      <c r="N1410" s="5">
        <f t="shared" si="41"/>
        <v>97.859999999998877</v>
      </c>
    </row>
    <row r="1411" spans="1:14" x14ac:dyDescent="0.3">
      <c r="A1411" s="5">
        <v>6.9949999999999202</v>
      </c>
      <c r="B1411" s="5">
        <f t="shared" si="42"/>
        <v>97.929999999998884</v>
      </c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>
        <f>0.000001*('Design Worksheet_BAT'!B$88)*(B1411-B1410)/E$232+M1410</f>
        <v>3.3273686086415268E-4</v>
      </c>
      <c r="N1411" s="5">
        <f t="shared" si="41"/>
        <v>97.929999999998884</v>
      </c>
    </row>
    <row r="1412" spans="1:14" x14ac:dyDescent="0.3">
      <c r="A1412" s="5">
        <v>6.9999999999999201</v>
      </c>
      <c r="B1412" s="5">
        <f t="shared" si="42"/>
        <v>97.999999999998877</v>
      </c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>
        <f>0.000001*('Design Worksheet_BAT'!B$88)*(B1412-B1411)/E$232+M1411</f>
        <v>3.3293806859362125E-4</v>
      </c>
      <c r="N1412" s="5">
        <f t="shared" si="41"/>
        <v>97.999999999998877</v>
      </c>
    </row>
    <row r="1413" spans="1:14" x14ac:dyDescent="0.3">
      <c r="A1413" s="5">
        <v>7.00499999999992</v>
      </c>
      <c r="B1413" s="5">
        <f t="shared" si="42"/>
        <v>98.069999999998885</v>
      </c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>
        <f>0.000001*('Design Worksheet_BAT'!B$88)*(B1413-B1412)/E$232+M1412</f>
        <v>3.3313927632308988E-4</v>
      </c>
      <c r="N1413" s="5">
        <f t="shared" si="41"/>
        <v>98.069999999998885</v>
      </c>
    </row>
    <row r="1414" spans="1:14" x14ac:dyDescent="0.3">
      <c r="A1414" s="5">
        <v>7.0099999999999199</v>
      </c>
      <c r="B1414" s="5">
        <f t="shared" si="42"/>
        <v>98.139999999998878</v>
      </c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>
        <f>0.000001*('Design Worksheet_BAT'!B$88)*(B1414-B1413)/E$232+M1413</f>
        <v>3.3334048405255846E-4</v>
      </c>
      <c r="N1414" s="5">
        <f t="shared" si="41"/>
        <v>98.139999999998878</v>
      </c>
    </row>
    <row r="1415" spans="1:14" x14ac:dyDescent="0.3">
      <c r="A1415" s="5">
        <v>7.0149999999999197</v>
      </c>
      <c r="B1415" s="5">
        <f t="shared" si="42"/>
        <v>98.209999999998871</v>
      </c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>
        <f>0.000001*('Design Worksheet_BAT'!B$88)*(B1415-B1414)/E$232+M1414</f>
        <v>3.3354169178202703E-4</v>
      </c>
      <c r="N1415" s="5">
        <f t="shared" si="41"/>
        <v>98.209999999998871</v>
      </c>
    </row>
    <row r="1416" spans="1:14" x14ac:dyDescent="0.3">
      <c r="A1416" s="5">
        <v>7.0199999999999196</v>
      </c>
      <c r="B1416" s="5">
        <f t="shared" si="42"/>
        <v>98.279999999998878</v>
      </c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>
        <f>0.000001*('Design Worksheet_BAT'!B$88)*(B1416-B1415)/E$232+M1415</f>
        <v>3.3374289951149566E-4</v>
      </c>
      <c r="N1416" s="5">
        <f t="shared" si="41"/>
        <v>98.279999999998878</v>
      </c>
    </row>
    <row r="1417" spans="1:14" x14ac:dyDescent="0.3">
      <c r="A1417" s="5">
        <v>7.0249999999999204</v>
      </c>
      <c r="B1417" s="5">
        <f t="shared" si="42"/>
        <v>98.349999999998886</v>
      </c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>
        <f>0.000001*('Design Worksheet_BAT'!B$88)*(B1417-B1416)/E$232+M1416</f>
        <v>3.3394410724096429E-4</v>
      </c>
      <c r="N1417" s="5">
        <f t="shared" si="41"/>
        <v>98.349999999998886</v>
      </c>
    </row>
    <row r="1418" spans="1:14" x14ac:dyDescent="0.3">
      <c r="A1418" s="5">
        <v>7.0299999999999097</v>
      </c>
      <c r="B1418" s="5">
        <f t="shared" si="42"/>
        <v>98.419999999998737</v>
      </c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>
        <f>0.000001*('Design Worksheet_BAT'!B$88)*(B1418-B1417)/E$232+M1417</f>
        <v>3.3414531497043249E-4</v>
      </c>
      <c r="N1418" s="5">
        <f t="shared" si="41"/>
        <v>98.419999999998737</v>
      </c>
    </row>
    <row r="1419" spans="1:14" x14ac:dyDescent="0.3">
      <c r="A1419" s="5">
        <v>7.0349999999999104</v>
      </c>
      <c r="B1419" s="5">
        <f t="shared" si="42"/>
        <v>98.489999999998744</v>
      </c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>
        <f>0.000001*('Design Worksheet_BAT'!B$88)*(B1419-B1418)/E$232+M1418</f>
        <v>3.3434652269990112E-4</v>
      </c>
      <c r="N1419" s="5">
        <f t="shared" si="41"/>
        <v>98.489999999998744</v>
      </c>
    </row>
    <row r="1420" spans="1:14" x14ac:dyDescent="0.3">
      <c r="A1420" s="5">
        <v>7.0399999999999103</v>
      </c>
      <c r="B1420" s="5">
        <f t="shared" si="42"/>
        <v>98.559999999998752</v>
      </c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>
        <f>0.000001*('Design Worksheet_BAT'!B$88)*(B1420-B1419)/E$232+M1419</f>
        <v>3.3454773042936975E-4</v>
      </c>
      <c r="N1420" s="5">
        <f t="shared" si="41"/>
        <v>98.559999999998752</v>
      </c>
    </row>
    <row r="1421" spans="1:14" x14ac:dyDescent="0.3">
      <c r="A1421" s="5">
        <v>7.0449999999999102</v>
      </c>
      <c r="B1421" s="5">
        <f t="shared" si="42"/>
        <v>98.629999999998745</v>
      </c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>
        <f>0.000001*('Design Worksheet_BAT'!B$88)*(B1421-B1420)/E$232+M1420</f>
        <v>3.3474893815883832E-4</v>
      </c>
      <c r="N1421" s="5">
        <f t="shared" si="41"/>
        <v>98.629999999998745</v>
      </c>
    </row>
    <row r="1422" spans="1:14" x14ac:dyDescent="0.3">
      <c r="A1422" s="5">
        <v>7.0499999999999101</v>
      </c>
      <c r="B1422" s="5">
        <f t="shared" si="42"/>
        <v>98.699999999998738</v>
      </c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>
        <f>0.000001*('Design Worksheet_BAT'!B$88)*(B1422-B1421)/E$232+M1421</f>
        <v>3.349501458883069E-4</v>
      </c>
      <c r="N1422" s="5">
        <f t="shared" si="41"/>
        <v>98.699999999998738</v>
      </c>
    </row>
    <row r="1423" spans="1:14" x14ac:dyDescent="0.3">
      <c r="A1423" s="5">
        <v>7.05499999999991</v>
      </c>
      <c r="B1423" s="5">
        <f t="shared" si="42"/>
        <v>98.769999999998745</v>
      </c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>
        <f>0.000001*('Design Worksheet_BAT'!B$88)*(B1423-B1422)/E$232+M1422</f>
        <v>3.3515135361777553E-4</v>
      </c>
      <c r="N1423" s="5">
        <f t="shared" si="41"/>
        <v>98.769999999998745</v>
      </c>
    </row>
    <row r="1424" spans="1:14" x14ac:dyDescent="0.3">
      <c r="A1424" s="5">
        <v>7.0599999999999099</v>
      </c>
      <c r="B1424" s="5">
        <f t="shared" si="42"/>
        <v>98.839999999998739</v>
      </c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>
        <f>0.000001*('Design Worksheet_BAT'!B$88)*(B1424-B1423)/E$232+M1423</f>
        <v>3.353525613472441E-4</v>
      </c>
      <c r="N1424" s="5">
        <f t="shared" si="41"/>
        <v>98.839999999998739</v>
      </c>
    </row>
    <row r="1425" spans="1:14" x14ac:dyDescent="0.3">
      <c r="A1425" s="5">
        <v>7.0649999999999098</v>
      </c>
      <c r="B1425" s="5">
        <f t="shared" si="42"/>
        <v>98.909999999998732</v>
      </c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>
        <f>0.000001*('Design Worksheet_BAT'!B$88)*(B1425-B1424)/E$232+M1424</f>
        <v>3.3555376907671268E-4</v>
      </c>
      <c r="N1425" s="5">
        <f t="shared" si="41"/>
        <v>98.909999999998732</v>
      </c>
    </row>
    <row r="1426" spans="1:14" x14ac:dyDescent="0.3">
      <c r="A1426" s="5">
        <v>7.0699999999999097</v>
      </c>
      <c r="B1426" s="5">
        <f t="shared" si="42"/>
        <v>98.979999999998739</v>
      </c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>
        <f>0.000001*('Design Worksheet_BAT'!B$88)*(B1426-B1425)/E$232+M1425</f>
        <v>3.3575497680618131E-4</v>
      </c>
      <c r="N1426" s="5">
        <f t="shared" si="41"/>
        <v>98.979999999998739</v>
      </c>
    </row>
    <row r="1427" spans="1:14" x14ac:dyDescent="0.3">
      <c r="A1427" s="5">
        <v>7.0749999999999096</v>
      </c>
      <c r="B1427" s="5">
        <f t="shared" si="42"/>
        <v>99.049999999998732</v>
      </c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>
        <f>0.000001*('Design Worksheet_BAT'!B$88)*(B1427-B1426)/E$232+M1426</f>
        <v>3.3595618453564988E-4</v>
      </c>
      <c r="N1427" s="5">
        <f t="shared" si="41"/>
        <v>99.049999999998732</v>
      </c>
    </row>
    <row r="1428" spans="1:14" x14ac:dyDescent="0.3">
      <c r="A1428" s="5">
        <v>7.0799999999999104</v>
      </c>
      <c r="B1428" s="5">
        <f t="shared" si="42"/>
        <v>99.11999999999874</v>
      </c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>
        <f>0.000001*('Design Worksheet_BAT'!B$88)*(B1428-B1427)/E$232+M1427</f>
        <v>3.3615739226511851E-4</v>
      </c>
      <c r="N1428" s="5">
        <f t="shared" si="41"/>
        <v>99.11999999999874</v>
      </c>
    </row>
    <row r="1429" spans="1:14" x14ac:dyDescent="0.3">
      <c r="A1429" s="5">
        <v>7.0849999999999103</v>
      </c>
      <c r="B1429" s="5">
        <f t="shared" si="42"/>
        <v>99.189999999998747</v>
      </c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>
        <f>0.000001*('Design Worksheet_BAT'!B$88)*(B1429-B1428)/E$232+M1428</f>
        <v>3.3635859999458714E-4</v>
      </c>
      <c r="N1429" s="5">
        <f t="shared" si="41"/>
        <v>99.189999999998747</v>
      </c>
    </row>
    <row r="1430" spans="1:14" x14ac:dyDescent="0.3">
      <c r="A1430" s="5">
        <v>7.0899999999999102</v>
      </c>
      <c r="B1430" s="5">
        <f t="shared" si="42"/>
        <v>99.25999999999874</v>
      </c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>
        <f>0.000001*('Design Worksheet_BAT'!B$88)*(B1430-B1429)/E$232+M1429</f>
        <v>3.3655980772405572E-4</v>
      </c>
      <c r="N1430" s="5">
        <f t="shared" si="41"/>
        <v>99.25999999999874</v>
      </c>
    </row>
    <row r="1431" spans="1:14" x14ac:dyDescent="0.3">
      <c r="A1431" s="5">
        <v>7.09499999999991</v>
      </c>
      <c r="B1431" s="5">
        <f t="shared" si="42"/>
        <v>99.329999999998734</v>
      </c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>
        <f>0.000001*('Design Worksheet_BAT'!B$88)*(B1431-B1430)/E$232+M1430</f>
        <v>3.3676101545352429E-4</v>
      </c>
      <c r="N1431" s="5">
        <f t="shared" si="41"/>
        <v>99.329999999998734</v>
      </c>
    </row>
    <row r="1432" spans="1:14" x14ac:dyDescent="0.3">
      <c r="A1432" s="5">
        <v>7.0999999999999099</v>
      </c>
      <c r="B1432" s="5">
        <f t="shared" si="42"/>
        <v>99.399999999998741</v>
      </c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>
        <f>0.000001*('Design Worksheet_BAT'!B$88)*(B1432-B1431)/E$232+M1431</f>
        <v>3.3696222318299292E-4</v>
      </c>
      <c r="N1432" s="5">
        <f t="shared" si="41"/>
        <v>99.399999999998741</v>
      </c>
    </row>
    <row r="1433" spans="1:14" x14ac:dyDescent="0.3">
      <c r="A1433" s="5">
        <v>7.1049999999999098</v>
      </c>
      <c r="B1433" s="5">
        <f t="shared" si="42"/>
        <v>99.469999999998734</v>
      </c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>
        <f>0.000001*('Design Worksheet_BAT'!B$88)*(B1433-B1432)/E$232+M1432</f>
        <v>3.371634309124615E-4</v>
      </c>
      <c r="N1433" s="5">
        <f t="shared" si="41"/>
        <v>99.469999999998734</v>
      </c>
    </row>
    <row r="1434" spans="1:14" x14ac:dyDescent="0.3">
      <c r="A1434" s="5">
        <v>7.1099999999999097</v>
      </c>
      <c r="B1434" s="5">
        <f t="shared" si="42"/>
        <v>99.539999999998741</v>
      </c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>
        <f>0.000001*('Design Worksheet_BAT'!B$88)*(B1434-B1433)/E$232+M1433</f>
        <v>3.3736463864193013E-4</v>
      </c>
      <c r="N1434" s="5">
        <f t="shared" si="41"/>
        <v>99.539999999998741</v>
      </c>
    </row>
    <row r="1435" spans="1:14" x14ac:dyDescent="0.3">
      <c r="A1435" s="5">
        <v>7.1149999999999096</v>
      </c>
      <c r="B1435" s="5">
        <f t="shared" si="42"/>
        <v>99.609999999998735</v>
      </c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>
        <f>0.000001*('Design Worksheet_BAT'!B$88)*(B1435-B1434)/E$232+M1434</f>
        <v>3.375658463713987E-4</v>
      </c>
      <c r="N1435" s="5">
        <f t="shared" si="41"/>
        <v>99.609999999998735</v>
      </c>
    </row>
    <row r="1436" spans="1:14" x14ac:dyDescent="0.3">
      <c r="A1436" s="5">
        <v>7.1199999999999104</v>
      </c>
      <c r="B1436" s="5">
        <f t="shared" si="42"/>
        <v>99.679999999998742</v>
      </c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>
        <f>0.000001*('Design Worksheet_BAT'!B$88)*(B1436-B1435)/E$232+M1435</f>
        <v>3.3776705410086733E-4</v>
      </c>
      <c r="N1436" s="5">
        <f t="shared" si="41"/>
        <v>99.679999999998742</v>
      </c>
    </row>
    <row r="1437" spans="1:14" x14ac:dyDescent="0.3">
      <c r="A1437" s="5">
        <v>7.1249999999999103</v>
      </c>
      <c r="B1437" s="5">
        <f t="shared" si="42"/>
        <v>99.749999999998749</v>
      </c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>
        <f>0.000001*('Design Worksheet_BAT'!B$88)*(B1437-B1436)/E$232+M1436</f>
        <v>3.3796826183033596E-4</v>
      </c>
      <c r="N1437" s="5">
        <f t="shared" si="41"/>
        <v>99.749999999998749</v>
      </c>
    </row>
    <row r="1438" spans="1:14" x14ac:dyDescent="0.3">
      <c r="A1438" s="5">
        <v>7.1299999999999102</v>
      </c>
      <c r="B1438" s="5">
        <f t="shared" si="42"/>
        <v>99.819999999998743</v>
      </c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>
        <f>0.000001*('Design Worksheet_BAT'!B$88)*(B1438-B1437)/E$232+M1437</f>
        <v>3.3816946955980454E-4</v>
      </c>
      <c r="N1438" s="5">
        <f t="shared" si="41"/>
        <v>99.819999999998743</v>
      </c>
    </row>
    <row r="1439" spans="1:14" x14ac:dyDescent="0.3">
      <c r="A1439" s="5">
        <v>7.1349999999999101</v>
      </c>
      <c r="B1439" s="5">
        <f t="shared" si="42"/>
        <v>99.889999999998736</v>
      </c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>
        <f>0.000001*('Design Worksheet_BAT'!B$88)*(B1439-B1438)/E$232+M1438</f>
        <v>3.3837067728927311E-4</v>
      </c>
      <c r="N1439" s="5">
        <f t="shared" si="41"/>
        <v>99.889999999998736</v>
      </c>
    </row>
    <row r="1440" spans="1:14" x14ac:dyDescent="0.3">
      <c r="A1440" s="5">
        <v>7.13999999999991</v>
      </c>
      <c r="B1440" s="5">
        <f t="shared" si="42"/>
        <v>99.959999999998743</v>
      </c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>
        <f>0.000001*('Design Worksheet_BAT'!B$88)*(B1440-B1439)/E$232+M1439</f>
        <v>3.3857188501874174E-4</v>
      </c>
      <c r="N1440" s="5">
        <f t="shared" si="41"/>
        <v>99.959999999998743</v>
      </c>
    </row>
    <row r="1441" spans="1:14" x14ac:dyDescent="0.3">
      <c r="A1441" s="5">
        <v>7.1449999999999099</v>
      </c>
      <c r="B1441" s="5">
        <f t="shared" si="42"/>
        <v>100.02999999999874</v>
      </c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>
        <f>0.000001*('Design Worksheet_BAT'!B$88)*(B1441-B1440)/E$232+M1440</f>
        <v>3.3877309274821032E-4</v>
      </c>
      <c r="N1441" s="5">
        <f t="shared" si="41"/>
        <v>100.02999999999874</v>
      </c>
    </row>
    <row r="1442" spans="1:14" x14ac:dyDescent="0.3">
      <c r="A1442" s="5">
        <v>7.1499999999999098</v>
      </c>
      <c r="B1442" s="5">
        <f t="shared" si="42"/>
        <v>100.09999999999874</v>
      </c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>
        <f>0.000001*('Design Worksheet_BAT'!B$88)*(B1442-B1441)/E$232+M1441</f>
        <v>3.3897430047767895E-4</v>
      </c>
      <c r="N1442" s="5">
        <f t="shared" si="41"/>
        <v>100.09999999999874</v>
      </c>
    </row>
    <row r="1443" spans="1:14" x14ac:dyDescent="0.3">
      <c r="A1443" s="5">
        <v>7.1549999999999097</v>
      </c>
      <c r="B1443" s="5">
        <f t="shared" si="42"/>
        <v>100.16999999999874</v>
      </c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>
        <f>0.000001*('Design Worksheet_BAT'!B$88)*(B1443-B1442)/E$232+M1442</f>
        <v>3.3917550820714753E-4</v>
      </c>
      <c r="N1443" s="5">
        <f t="shared" si="41"/>
        <v>100.16999999999874</v>
      </c>
    </row>
    <row r="1444" spans="1:14" x14ac:dyDescent="0.3">
      <c r="A1444" s="5">
        <v>7.1599999999999104</v>
      </c>
      <c r="B1444" s="5">
        <f t="shared" si="42"/>
        <v>100.23999999999874</v>
      </c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>
        <f>0.000001*('Design Worksheet_BAT'!B$88)*(B1444-B1443)/E$232+M1443</f>
        <v>3.3937671593661616E-4</v>
      </c>
      <c r="N1444" s="5">
        <f t="shared" si="41"/>
        <v>100.23999999999874</v>
      </c>
    </row>
    <row r="1445" spans="1:14" x14ac:dyDescent="0.3">
      <c r="A1445" s="5">
        <v>7.1649999999999103</v>
      </c>
      <c r="B1445" s="5">
        <f t="shared" si="42"/>
        <v>100.30999999999875</v>
      </c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>
        <f>0.000001*('Design Worksheet_BAT'!B$88)*(B1445-B1444)/E$232+M1444</f>
        <v>3.3957792366608478E-4</v>
      </c>
      <c r="N1445" s="5">
        <f t="shared" si="41"/>
        <v>100.30999999999875</v>
      </c>
    </row>
    <row r="1446" spans="1:14" x14ac:dyDescent="0.3">
      <c r="A1446" s="5">
        <v>7.1699999999999102</v>
      </c>
      <c r="B1446" s="5">
        <f t="shared" si="42"/>
        <v>100.37999999999874</v>
      </c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>
        <f>0.000001*('Design Worksheet_BAT'!B$88)*(B1446-B1445)/E$232+M1445</f>
        <v>3.3977913139555336E-4</v>
      </c>
      <c r="N1446" s="5">
        <f t="shared" si="41"/>
        <v>100.37999999999874</v>
      </c>
    </row>
    <row r="1447" spans="1:14" x14ac:dyDescent="0.3">
      <c r="A1447" s="5">
        <v>7.1749999999999101</v>
      </c>
      <c r="B1447" s="5">
        <f t="shared" si="42"/>
        <v>100.44999999999874</v>
      </c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>
        <f>0.000001*('Design Worksheet_BAT'!B$88)*(B1447-B1446)/E$232+M1446</f>
        <v>3.3998033912502194E-4</v>
      </c>
      <c r="N1447" s="5">
        <f t="shared" si="41"/>
        <v>100.44999999999874</v>
      </c>
    </row>
    <row r="1448" spans="1:14" x14ac:dyDescent="0.3">
      <c r="A1448" s="5">
        <v>7.17999999999991</v>
      </c>
      <c r="B1448" s="5">
        <f t="shared" si="42"/>
        <v>100.51999999999875</v>
      </c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>
        <f>0.000001*('Design Worksheet_BAT'!B$88)*(B1448-B1447)/E$232+M1447</f>
        <v>3.4018154685449057E-4</v>
      </c>
      <c r="N1448" s="5">
        <f t="shared" ref="N1448:N1511" si="43">B1448</f>
        <v>100.51999999999875</v>
      </c>
    </row>
    <row r="1449" spans="1:14" x14ac:dyDescent="0.3">
      <c r="A1449" s="5">
        <v>7.1849999999999099</v>
      </c>
      <c r="B1449" s="5">
        <f t="shared" ref="B1449:B1512" si="44">A1449*VOFLB</f>
        <v>100.58999999999874</v>
      </c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>
        <f>0.000001*('Design Worksheet_BAT'!B$88)*(B1449-B1448)/E$232+M1448</f>
        <v>3.4038275458395914E-4</v>
      </c>
      <c r="N1449" s="5">
        <f t="shared" si="43"/>
        <v>100.58999999999874</v>
      </c>
    </row>
    <row r="1450" spans="1:14" x14ac:dyDescent="0.3">
      <c r="A1450" s="5">
        <v>7.1899999999999098</v>
      </c>
      <c r="B1450" s="5">
        <f t="shared" si="44"/>
        <v>100.65999999999873</v>
      </c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>
        <f>0.000001*('Design Worksheet_BAT'!B$88)*(B1450-B1449)/E$232+M1449</f>
        <v>3.4058396231342772E-4</v>
      </c>
      <c r="N1450" s="5">
        <f t="shared" si="43"/>
        <v>100.65999999999873</v>
      </c>
    </row>
    <row r="1451" spans="1:14" x14ac:dyDescent="0.3">
      <c r="A1451" s="5">
        <v>7.1949999999999097</v>
      </c>
      <c r="B1451" s="5">
        <f t="shared" si="44"/>
        <v>100.72999999999874</v>
      </c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>
        <f>0.000001*('Design Worksheet_BAT'!B$88)*(B1451-B1450)/E$232+M1450</f>
        <v>3.4078517004289635E-4</v>
      </c>
      <c r="N1451" s="5">
        <f t="shared" si="43"/>
        <v>100.72999999999874</v>
      </c>
    </row>
    <row r="1452" spans="1:14" x14ac:dyDescent="0.3">
      <c r="A1452" s="5">
        <v>7.1999999999999096</v>
      </c>
      <c r="B1452" s="5">
        <f t="shared" si="44"/>
        <v>100.79999999999873</v>
      </c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>
        <f>0.000001*('Design Worksheet_BAT'!B$88)*(B1452-B1451)/E$232+M1451</f>
        <v>3.4098637777236492E-4</v>
      </c>
      <c r="N1452" s="5">
        <f t="shared" si="43"/>
        <v>100.79999999999873</v>
      </c>
    </row>
    <row r="1453" spans="1:14" x14ac:dyDescent="0.3">
      <c r="A1453" s="5">
        <v>7.2049999999999104</v>
      </c>
      <c r="B1453" s="5">
        <f t="shared" si="44"/>
        <v>100.86999999999874</v>
      </c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>
        <f>0.000001*('Design Worksheet_BAT'!B$88)*(B1453-B1452)/E$232+M1452</f>
        <v>3.4118758550183355E-4</v>
      </c>
      <c r="N1453" s="5">
        <f t="shared" si="43"/>
        <v>100.86999999999874</v>
      </c>
    </row>
    <row r="1454" spans="1:14" x14ac:dyDescent="0.3">
      <c r="A1454" s="5">
        <v>7.2099999999999103</v>
      </c>
      <c r="B1454" s="5">
        <f t="shared" si="44"/>
        <v>100.93999999999875</v>
      </c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>
        <f>0.000001*('Design Worksheet_BAT'!B$88)*(B1454-B1453)/E$232+M1453</f>
        <v>3.4138879323130218E-4</v>
      </c>
      <c r="N1454" s="5">
        <f t="shared" si="43"/>
        <v>100.93999999999875</v>
      </c>
    </row>
    <row r="1455" spans="1:14" x14ac:dyDescent="0.3">
      <c r="A1455" s="5">
        <v>7.2149999999999102</v>
      </c>
      <c r="B1455" s="5">
        <f t="shared" si="44"/>
        <v>101.00999999999874</v>
      </c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>
        <f>0.000001*('Design Worksheet_BAT'!B$88)*(B1455-B1454)/E$232+M1454</f>
        <v>3.4159000096077076E-4</v>
      </c>
      <c r="N1455" s="5">
        <f t="shared" si="43"/>
        <v>101.00999999999874</v>
      </c>
    </row>
    <row r="1456" spans="1:14" x14ac:dyDescent="0.3">
      <c r="A1456" s="5">
        <v>7.21999999999991</v>
      </c>
      <c r="B1456" s="5">
        <f t="shared" si="44"/>
        <v>101.07999999999873</v>
      </c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>
        <f>0.000001*('Design Worksheet_BAT'!B$88)*(B1456-B1455)/E$232+M1455</f>
        <v>3.4179120869023933E-4</v>
      </c>
      <c r="N1456" s="5">
        <f t="shared" si="43"/>
        <v>101.07999999999873</v>
      </c>
    </row>
    <row r="1457" spans="1:14" x14ac:dyDescent="0.3">
      <c r="A1457" s="5">
        <v>7.2249999999999099</v>
      </c>
      <c r="B1457" s="5">
        <f t="shared" si="44"/>
        <v>101.14999999999874</v>
      </c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>
        <f>0.000001*('Design Worksheet_BAT'!B$88)*(B1457-B1456)/E$232+M1456</f>
        <v>3.4199241641970796E-4</v>
      </c>
      <c r="N1457" s="5">
        <f t="shared" si="43"/>
        <v>101.14999999999874</v>
      </c>
    </row>
    <row r="1458" spans="1:14" x14ac:dyDescent="0.3">
      <c r="A1458" s="5">
        <v>7.2299999999999098</v>
      </c>
      <c r="B1458" s="5">
        <f t="shared" si="44"/>
        <v>101.21999999999873</v>
      </c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>
        <f>0.000001*('Design Worksheet_BAT'!B$88)*(B1458-B1457)/E$232+M1457</f>
        <v>3.4219362414917654E-4</v>
      </c>
      <c r="N1458" s="5">
        <f t="shared" si="43"/>
        <v>101.21999999999873</v>
      </c>
    </row>
    <row r="1459" spans="1:14" x14ac:dyDescent="0.3">
      <c r="A1459" s="5">
        <v>7.2349999999999097</v>
      </c>
      <c r="B1459" s="5">
        <f t="shared" si="44"/>
        <v>101.28999999999874</v>
      </c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>
        <f>0.000001*('Design Worksheet_BAT'!B$88)*(B1459-B1458)/E$232+M1458</f>
        <v>3.4239483187864517E-4</v>
      </c>
      <c r="N1459" s="5">
        <f t="shared" si="43"/>
        <v>101.28999999999874</v>
      </c>
    </row>
    <row r="1460" spans="1:14" x14ac:dyDescent="0.3">
      <c r="A1460" s="5">
        <v>7.2399999999999096</v>
      </c>
      <c r="B1460" s="5">
        <f t="shared" si="44"/>
        <v>101.35999999999873</v>
      </c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>
        <f>0.000001*('Design Worksheet_BAT'!B$88)*(B1460-B1459)/E$232+M1459</f>
        <v>3.4259603960811374E-4</v>
      </c>
      <c r="N1460" s="5">
        <f t="shared" si="43"/>
        <v>101.35999999999873</v>
      </c>
    </row>
    <row r="1461" spans="1:14" x14ac:dyDescent="0.3">
      <c r="A1461" s="5">
        <v>7.2449999999999104</v>
      </c>
      <c r="B1461" s="5">
        <f t="shared" si="44"/>
        <v>101.42999999999874</v>
      </c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>
        <f>0.000001*('Design Worksheet_BAT'!B$88)*(B1461-B1460)/E$232+M1460</f>
        <v>3.4279724733758237E-4</v>
      </c>
      <c r="N1461" s="5">
        <f t="shared" si="43"/>
        <v>101.42999999999874</v>
      </c>
    </row>
    <row r="1462" spans="1:14" x14ac:dyDescent="0.3">
      <c r="A1462" s="5">
        <v>7.2499999999999103</v>
      </c>
      <c r="B1462" s="5">
        <f t="shared" si="44"/>
        <v>101.49999999999875</v>
      </c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>
        <f>0.000001*('Design Worksheet_BAT'!B$88)*(B1462-B1461)/E$232+M1461</f>
        <v>3.42998455067051E-4</v>
      </c>
      <c r="N1462" s="5">
        <f t="shared" si="43"/>
        <v>101.49999999999875</v>
      </c>
    </row>
    <row r="1463" spans="1:14" x14ac:dyDescent="0.3">
      <c r="A1463" s="5">
        <v>7.2549999999999102</v>
      </c>
      <c r="B1463" s="5">
        <f t="shared" si="44"/>
        <v>101.56999999999874</v>
      </c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>
        <f>0.000001*('Design Worksheet_BAT'!B$88)*(B1463-B1462)/E$232+M1462</f>
        <v>3.4319966279651958E-4</v>
      </c>
      <c r="N1463" s="5">
        <f t="shared" si="43"/>
        <v>101.56999999999874</v>
      </c>
    </row>
    <row r="1464" spans="1:14" x14ac:dyDescent="0.3">
      <c r="A1464" s="5">
        <v>7.2599999999999101</v>
      </c>
      <c r="B1464" s="5">
        <f t="shared" si="44"/>
        <v>101.63999999999874</v>
      </c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>
        <f>0.000001*('Design Worksheet_BAT'!B$88)*(B1464-B1463)/E$232+M1463</f>
        <v>3.4340087052598815E-4</v>
      </c>
      <c r="N1464" s="5">
        <f t="shared" si="43"/>
        <v>101.63999999999874</v>
      </c>
    </row>
    <row r="1465" spans="1:14" x14ac:dyDescent="0.3">
      <c r="A1465" s="5">
        <v>7.26499999999991</v>
      </c>
      <c r="B1465" s="5">
        <f t="shared" si="44"/>
        <v>101.70999999999874</v>
      </c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>
        <f>0.000001*('Design Worksheet_BAT'!B$88)*(B1465-B1464)/E$232+M1464</f>
        <v>3.4360207825545678E-4</v>
      </c>
      <c r="N1465" s="5">
        <f t="shared" si="43"/>
        <v>101.70999999999874</v>
      </c>
    </row>
    <row r="1466" spans="1:14" x14ac:dyDescent="0.3">
      <c r="A1466" s="5">
        <v>7.2699999999999099</v>
      </c>
      <c r="B1466" s="5">
        <f t="shared" si="44"/>
        <v>101.77999999999874</v>
      </c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>
        <f>0.000001*('Design Worksheet_BAT'!B$88)*(B1466-B1465)/E$232+M1465</f>
        <v>3.4380328598492536E-4</v>
      </c>
      <c r="N1466" s="5">
        <f t="shared" si="43"/>
        <v>101.77999999999874</v>
      </c>
    </row>
    <row r="1467" spans="1:14" x14ac:dyDescent="0.3">
      <c r="A1467" s="5">
        <v>7.2749999999999098</v>
      </c>
      <c r="B1467" s="5">
        <f t="shared" si="44"/>
        <v>101.84999999999874</v>
      </c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>
        <f>0.000001*('Design Worksheet_BAT'!B$88)*(B1467-B1466)/E$232+M1466</f>
        <v>3.4400449371439399E-4</v>
      </c>
      <c r="N1467" s="5">
        <f t="shared" si="43"/>
        <v>101.84999999999874</v>
      </c>
    </row>
    <row r="1468" spans="1:14" x14ac:dyDescent="0.3">
      <c r="A1468" s="5">
        <v>7.2799999999999097</v>
      </c>
      <c r="B1468" s="5">
        <f t="shared" si="44"/>
        <v>101.91999999999874</v>
      </c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>
        <f>0.000001*('Design Worksheet_BAT'!B$88)*(B1468-B1467)/E$232+M1467</f>
        <v>3.4420570144386256E-4</v>
      </c>
      <c r="N1468" s="5">
        <f t="shared" si="43"/>
        <v>101.91999999999874</v>
      </c>
    </row>
    <row r="1469" spans="1:14" x14ac:dyDescent="0.3">
      <c r="A1469" s="5">
        <v>7.2849999999999104</v>
      </c>
      <c r="B1469" s="5">
        <f t="shared" si="44"/>
        <v>101.98999999999874</v>
      </c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>
        <f>0.000001*('Design Worksheet_BAT'!B$88)*(B1469-B1468)/E$232+M1468</f>
        <v>3.4440690917333119E-4</v>
      </c>
      <c r="N1469" s="5">
        <f t="shared" si="43"/>
        <v>101.98999999999874</v>
      </c>
    </row>
    <row r="1470" spans="1:14" x14ac:dyDescent="0.3">
      <c r="A1470" s="5">
        <v>7.2899999999999103</v>
      </c>
      <c r="B1470" s="5">
        <f t="shared" si="44"/>
        <v>102.05999999999875</v>
      </c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>
        <f>0.000001*('Design Worksheet_BAT'!B$88)*(B1470-B1469)/E$232+M1469</f>
        <v>3.4460811690279982E-4</v>
      </c>
      <c r="N1470" s="5">
        <f t="shared" si="43"/>
        <v>102.05999999999875</v>
      </c>
    </row>
    <row r="1471" spans="1:14" x14ac:dyDescent="0.3">
      <c r="A1471" s="5">
        <v>7.2949999999999102</v>
      </c>
      <c r="B1471" s="5">
        <f t="shared" si="44"/>
        <v>102.12999999999874</v>
      </c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>
        <f>0.000001*('Design Worksheet_BAT'!B$88)*(B1471-B1470)/E$232+M1470</f>
        <v>3.448093246322684E-4</v>
      </c>
      <c r="N1471" s="5">
        <f t="shared" si="43"/>
        <v>102.12999999999874</v>
      </c>
    </row>
    <row r="1472" spans="1:14" x14ac:dyDescent="0.3">
      <c r="A1472" s="5">
        <v>7.2999999999999101</v>
      </c>
      <c r="B1472" s="5">
        <f t="shared" si="44"/>
        <v>102.19999999999874</v>
      </c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>
        <f>0.000001*('Design Worksheet_BAT'!B$88)*(B1472-B1471)/E$232+M1471</f>
        <v>3.4501053236173697E-4</v>
      </c>
      <c r="N1472" s="5">
        <f t="shared" si="43"/>
        <v>102.19999999999874</v>
      </c>
    </row>
    <row r="1473" spans="1:14" x14ac:dyDescent="0.3">
      <c r="A1473" s="5">
        <v>7.30499999999991</v>
      </c>
      <c r="B1473" s="5">
        <f t="shared" si="44"/>
        <v>102.26999999999875</v>
      </c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>
        <f>0.000001*('Design Worksheet_BAT'!B$88)*(B1473-B1472)/E$232+M1472</f>
        <v>3.452117400912056E-4</v>
      </c>
      <c r="N1473" s="5">
        <f t="shared" si="43"/>
        <v>102.26999999999875</v>
      </c>
    </row>
    <row r="1474" spans="1:14" x14ac:dyDescent="0.3">
      <c r="A1474" s="5">
        <v>7.3099999999999099</v>
      </c>
      <c r="B1474" s="5">
        <f t="shared" si="44"/>
        <v>102.33999999999874</v>
      </c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>
        <f>0.000001*('Design Worksheet_BAT'!B$88)*(B1474-B1473)/E$232+M1473</f>
        <v>3.4541294782067418E-4</v>
      </c>
      <c r="N1474" s="5">
        <f t="shared" si="43"/>
        <v>102.33999999999874</v>
      </c>
    </row>
    <row r="1475" spans="1:14" x14ac:dyDescent="0.3">
      <c r="A1475" s="5">
        <v>7.3149999999999098</v>
      </c>
      <c r="B1475" s="5">
        <f t="shared" si="44"/>
        <v>102.40999999999873</v>
      </c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>
        <f>0.000001*('Design Worksheet_BAT'!B$88)*(B1475-B1474)/E$232+M1474</f>
        <v>3.4561415555014275E-4</v>
      </c>
      <c r="N1475" s="5">
        <f t="shared" si="43"/>
        <v>102.40999999999873</v>
      </c>
    </row>
    <row r="1476" spans="1:14" x14ac:dyDescent="0.3">
      <c r="A1476" s="5">
        <v>7.3199999999999097</v>
      </c>
      <c r="B1476" s="5">
        <f t="shared" si="44"/>
        <v>102.47999999999874</v>
      </c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>
        <f>0.000001*('Design Worksheet_BAT'!B$88)*(B1476-B1475)/E$232+M1475</f>
        <v>3.4581536327961138E-4</v>
      </c>
      <c r="N1476" s="5">
        <f t="shared" si="43"/>
        <v>102.47999999999874</v>
      </c>
    </row>
    <row r="1477" spans="1:14" x14ac:dyDescent="0.3">
      <c r="A1477" s="5">
        <v>7.3249999999999096</v>
      </c>
      <c r="B1477" s="5">
        <f t="shared" si="44"/>
        <v>102.54999999999873</v>
      </c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>
        <f>0.000001*('Design Worksheet_BAT'!B$88)*(B1477-B1476)/E$232+M1476</f>
        <v>3.4601657100907996E-4</v>
      </c>
      <c r="N1477" s="5">
        <f t="shared" si="43"/>
        <v>102.54999999999873</v>
      </c>
    </row>
    <row r="1478" spans="1:14" x14ac:dyDescent="0.3">
      <c r="A1478" s="5">
        <v>7.3299999999999104</v>
      </c>
      <c r="B1478" s="5">
        <f t="shared" si="44"/>
        <v>102.61999999999874</v>
      </c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>
        <f>0.000001*('Design Worksheet_BAT'!B$88)*(B1478-B1477)/E$232+M1477</f>
        <v>3.4621777873854859E-4</v>
      </c>
      <c r="N1478" s="5">
        <f t="shared" si="43"/>
        <v>102.61999999999874</v>
      </c>
    </row>
    <row r="1479" spans="1:14" x14ac:dyDescent="0.3">
      <c r="A1479" s="5">
        <v>7.3349999999999103</v>
      </c>
      <c r="B1479" s="5">
        <f t="shared" si="44"/>
        <v>102.68999999999875</v>
      </c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>
        <f>0.000001*('Design Worksheet_BAT'!B$88)*(B1479-B1478)/E$232+M1478</f>
        <v>3.4641898646801722E-4</v>
      </c>
      <c r="N1479" s="5">
        <f t="shared" si="43"/>
        <v>102.68999999999875</v>
      </c>
    </row>
    <row r="1480" spans="1:14" x14ac:dyDescent="0.3">
      <c r="A1480" s="5">
        <v>7.3399999999999102</v>
      </c>
      <c r="B1480" s="5">
        <f t="shared" si="44"/>
        <v>102.75999999999874</v>
      </c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>
        <f>0.000001*('Design Worksheet_BAT'!B$88)*(B1480-B1479)/E$232+M1479</f>
        <v>3.466201941974858E-4</v>
      </c>
      <c r="N1480" s="5">
        <f t="shared" si="43"/>
        <v>102.75999999999874</v>
      </c>
    </row>
    <row r="1481" spans="1:14" x14ac:dyDescent="0.3">
      <c r="A1481" s="5">
        <v>7.34499999999991</v>
      </c>
      <c r="B1481" s="5">
        <f t="shared" si="44"/>
        <v>102.82999999999873</v>
      </c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>
        <f>0.000001*('Design Worksheet_BAT'!B$88)*(B1481-B1480)/E$232+M1480</f>
        <v>3.4682140192695437E-4</v>
      </c>
      <c r="N1481" s="5">
        <f t="shared" si="43"/>
        <v>102.82999999999873</v>
      </c>
    </row>
    <row r="1482" spans="1:14" x14ac:dyDescent="0.3">
      <c r="A1482" s="5">
        <v>7.3499999999999099</v>
      </c>
      <c r="B1482" s="5">
        <f t="shared" si="44"/>
        <v>102.89999999999874</v>
      </c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>
        <f>0.000001*('Design Worksheet_BAT'!B$88)*(B1482-B1481)/E$232+M1481</f>
        <v>3.47022609656423E-4</v>
      </c>
      <c r="N1482" s="5">
        <f t="shared" si="43"/>
        <v>102.89999999999874</v>
      </c>
    </row>
    <row r="1483" spans="1:14" x14ac:dyDescent="0.3">
      <c r="A1483" s="5">
        <v>7.3549999999999098</v>
      </c>
      <c r="B1483" s="5">
        <f t="shared" si="44"/>
        <v>102.96999999999873</v>
      </c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>
        <f>0.000001*('Design Worksheet_BAT'!B$88)*(B1483-B1482)/E$232+M1482</f>
        <v>3.4722381738589158E-4</v>
      </c>
      <c r="N1483" s="5">
        <f t="shared" si="43"/>
        <v>102.96999999999873</v>
      </c>
    </row>
    <row r="1484" spans="1:14" x14ac:dyDescent="0.3">
      <c r="A1484" s="5">
        <v>7.3599999999999097</v>
      </c>
      <c r="B1484" s="5">
        <f t="shared" si="44"/>
        <v>103.03999999999874</v>
      </c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>
        <f>0.000001*('Design Worksheet_BAT'!B$88)*(B1484-B1483)/E$232+M1483</f>
        <v>3.4742502511536021E-4</v>
      </c>
      <c r="N1484" s="5">
        <f t="shared" si="43"/>
        <v>103.03999999999874</v>
      </c>
    </row>
    <row r="1485" spans="1:14" x14ac:dyDescent="0.3">
      <c r="A1485" s="5">
        <v>7.3649999999999096</v>
      </c>
      <c r="B1485" s="5">
        <f t="shared" si="44"/>
        <v>103.10999999999873</v>
      </c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>
        <f>0.000001*('Design Worksheet_BAT'!B$88)*(B1485-B1484)/E$232+M1484</f>
        <v>3.4762623284482878E-4</v>
      </c>
      <c r="N1485" s="5">
        <f t="shared" si="43"/>
        <v>103.10999999999873</v>
      </c>
    </row>
    <row r="1486" spans="1:14" x14ac:dyDescent="0.3">
      <c r="A1486" s="5">
        <v>7.3699999999999104</v>
      </c>
      <c r="B1486" s="5">
        <f t="shared" si="44"/>
        <v>103.17999999999874</v>
      </c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>
        <f>0.000001*('Design Worksheet_BAT'!B$88)*(B1486-B1485)/E$232+M1485</f>
        <v>3.4782744057429741E-4</v>
      </c>
      <c r="N1486" s="5">
        <f t="shared" si="43"/>
        <v>103.17999999999874</v>
      </c>
    </row>
    <row r="1487" spans="1:14" x14ac:dyDescent="0.3">
      <c r="A1487" s="5">
        <v>7.3749999999999103</v>
      </c>
      <c r="B1487" s="5">
        <f t="shared" si="44"/>
        <v>103.24999999999875</v>
      </c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>
        <f>0.000001*('Design Worksheet_BAT'!B$88)*(B1487-B1486)/E$232+M1486</f>
        <v>3.4802864830376604E-4</v>
      </c>
      <c r="N1487" s="5">
        <f t="shared" si="43"/>
        <v>103.24999999999875</v>
      </c>
    </row>
    <row r="1488" spans="1:14" x14ac:dyDescent="0.3">
      <c r="A1488" s="5">
        <v>7.3799999999999102</v>
      </c>
      <c r="B1488" s="5">
        <f t="shared" si="44"/>
        <v>103.31999999999874</v>
      </c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>
        <f>0.000001*('Design Worksheet_BAT'!B$88)*(B1488-B1487)/E$232+M1487</f>
        <v>3.4822985603323462E-4</v>
      </c>
      <c r="N1488" s="5">
        <f t="shared" si="43"/>
        <v>103.31999999999874</v>
      </c>
    </row>
    <row r="1489" spans="1:14" x14ac:dyDescent="0.3">
      <c r="A1489" s="5">
        <v>7.3849999999999101</v>
      </c>
      <c r="B1489" s="5">
        <f t="shared" si="44"/>
        <v>103.38999999999874</v>
      </c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>
        <f>0.000001*('Design Worksheet_BAT'!B$88)*(B1489-B1488)/E$232+M1488</f>
        <v>3.4843106376270319E-4</v>
      </c>
      <c r="N1489" s="5">
        <f t="shared" si="43"/>
        <v>103.38999999999874</v>
      </c>
    </row>
    <row r="1490" spans="1:14" x14ac:dyDescent="0.3">
      <c r="A1490" s="5">
        <v>7.38999999999991</v>
      </c>
      <c r="B1490" s="5">
        <f t="shared" si="44"/>
        <v>103.45999999999874</v>
      </c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>
        <f>0.000001*('Design Worksheet_BAT'!B$88)*(B1490-B1489)/E$232+M1489</f>
        <v>3.4863227149217182E-4</v>
      </c>
      <c r="N1490" s="5">
        <f t="shared" si="43"/>
        <v>103.45999999999874</v>
      </c>
    </row>
    <row r="1491" spans="1:14" x14ac:dyDescent="0.3">
      <c r="A1491" s="5">
        <v>7.3949999999999099</v>
      </c>
      <c r="B1491" s="5">
        <f t="shared" si="44"/>
        <v>103.52999999999874</v>
      </c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>
        <f>0.000001*('Design Worksheet_BAT'!B$88)*(B1491-B1490)/E$232+M1490</f>
        <v>3.488334792216404E-4</v>
      </c>
      <c r="N1491" s="5">
        <f t="shared" si="43"/>
        <v>103.52999999999874</v>
      </c>
    </row>
    <row r="1492" spans="1:14" x14ac:dyDescent="0.3">
      <c r="A1492" s="5">
        <v>7.3999999999999098</v>
      </c>
      <c r="B1492" s="5">
        <f t="shared" si="44"/>
        <v>103.59999999999874</v>
      </c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>
        <f>0.000001*('Design Worksheet_BAT'!B$88)*(B1492-B1491)/E$232+M1491</f>
        <v>3.4903468695110903E-4</v>
      </c>
      <c r="N1492" s="5">
        <f t="shared" si="43"/>
        <v>103.59999999999874</v>
      </c>
    </row>
    <row r="1493" spans="1:14" x14ac:dyDescent="0.3">
      <c r="A1493" s="5">
        <v>7.4049999999999097</v>
      </c>
      <c r="B1493" s="5">
        <f t="shared" si="44"/>
        <v>103.66999999999874</v>
      </c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>
        <f>0.000001*('Design Worksheet_BAT'!B$88)*(B1493-B1492)/E$232+M1492</f>
        <v>3.492358946805776E-4</v>
      </c>
      <c r="N1493" s="5">
        <f t="shared" si="43"/>
        <v>103.66999999999874</v>
      </c>
    </row>
    <row r="1494" spans="1:14" x14ac:dyDescent="0.3">
      <c r="A1494" s="5">
        <v>7.4099999999999104</v>
      </c>
      <c r="B1494" s="5">
        <f t="shared" si="44"/>
        <v>103.73999999999874</v>
      </c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>
        <f>0.000001*('Design Worksheet_BAT'!B$88)*(B1494-B1493)/E$232+M1493</f>
        <v>3.4943710241004623E-4</v>
      </c>
      <c r="N1494" s="5">
        <f t="shared" si="43"/>
        <v>103.73999999999874</v>
      </c>
    </row>
    <row r="1495" spans="1:14" x14ac:dyDescent="0.3">
      <c r="A1495" s="5">
        <v>7.4149999999999103</v>
      </c>
      <c r="B1495" s="5">
        <f t="shared" si="44"/>
        <v>103.80999999999875</v>
      </c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>
        <f>0.000001*('Design Worksheet_BAT'!B$88)*(B1495-B1494)/E$232+M1494</f>
        <v>3.4963831013951486E-4</v>
      </c>
      <c r="N1495" s="5">
        <f t="shared" si="43"/>
        <v>103.80999999999875</v>
      </c>
    </row>
    <row r="1496" spans="1:14" x14ac:dyDescent="0.3">
      <c r="A1496" s="5">
        <v>7.4199999999999102</v>
      </c>
      <c r="B1496" s="5">
        <f t="shared" si="44"/>
        <v>103.87999999999874</v>
      </c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>
        <f>0.000001*('Design Worksheet_BAT'!B$88)*(B1496-B1495)/E$232+M1495</f>
        <v>3.4983951786898344E-4</v>
      </c>
      <c r="N1496" s="5">
        <f t="shared" si="43"/>
        <v>103.87999999999874</v>
      </c>
    </row>
    <row r="1497" spans="1:14" x14ac:dyDescent="0.3">
      <c r="A1497" s="5">
        <v>7.4249999999999101</v>
      </c>
      <c r="B1497" s="5">
        <f t="shared" si="44"/>
        <v>103.94999999999874</v>
      </c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>
        <f>0.000001*('Design Worksheet_BAT'!B$88)*(B1497-B1496)/E$232+M1496</f>
        <v>3.5004072559845201E-4</v>
      </c>
      <c r="N1497" s="5">
        <f t="shared" si="43"/>
        <v>103.94999999999874</v>
      </c>
    </row>
    <row r="1498" spans="1:14" x14ac:dyDescent="0.3">
      <c r="A1498" s="5">
        <v>7.42999999999991</v>
      </c>
      <c r="B1498" s="5">
        <f t="shared" si="44"/>
        <v>104.01999999999875</v>
      </c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>
        <f>0.000001*('Design Worksheet_BAT'!B$88)*(B1498-B1497)/E$232+M1497</f>
        <v>3.5024193332792064E-4</v>
      </c>
      <c r="N1498" s="5">
        <f t="shared" si="43"/>
        <v>104.01999999999875</v>
      </c>
    </row>
    <row r="1499" spans="1:14" x14ac:dyDescent="0.3">
      <c r="A1499" s="5">
        <v>7.4349999999999099</v>
      </c>
      <c r="B1499" s="5">
        <f t="shared" si="44"/>
        <v>104.08999999999874</v>
      </c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>
        <f>0.000001*('Design Worksheet_BAT'!B$88)*(B1499-B1498)/E$232+M1498</f>
        <v>3.5044314105738922E-4</v>
      </c>
      <c r="N1499" s="5">
        <f t="shared" si="43"/>
        <v>104.08999999999874</v>
      </c>
    </row>
    <row r="1500" spans="1:14" x14ac:dyDescent="0.3">
      <c r="A1500" s="5">
        <v>7.4399999999999098</v>
      </c>
      <c r="B1500" s="5">
        <f t="shared" si="44"/>
        <v>104.15999999999873</v>
      </c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>
        <f>0.000001*('Design Worksheet_BAT'!B$88)*(B1500-B1499)/E$232+M1499</f>
        <v>3.5064434878685779E-4</v>
      </c>
      <c r="N1500" s="5">
        <f t="shared" si="43"/>
        <v>104.15999999999873</v>
      </c>
    </row>
    <row r="1501" spans="1:14" x14ac:dyDescent="0.3">
      <c r="A1501" s="5">
        <v>7.4449999999999097</v>
      </c>
      <c r="B1501" s="5">
        <f t="shared" si="44"/>
        <v>104.22999999999874</v>
      </c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>
        <f>0.000001*('Design Worksheet_BAT'!B$88)*(B1501-B1500)/E$232+M1500</f>
        <v>3.5084555651632642E-4</v>
      </c>
      <c r="N1501" s="5">
        <f t="shared" si="43"/>
        <v>104.22999999999874</v>
      </c>
    </row>
    <row r="1502" spans="1:14" x14ac:dyDescent="0.3">
      <c r="A1502" s="5">
        <v>7.4499999999999096</v>
      </c>
      <c r="B1502" s="5">
        <f t="shared" si="44"/>
        <v>104.29999999999873</v>
      </c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>
        <f>0.000001*('Design Worksheet_BAT'!B$88)*(B1502-B1501)/E$232+M1501</f>
        <v>3.51046764245795E-4</v>
      </c>
      <c r="N1502" s="5">
        <f t="shared" si="43"/>
        <v>104.29999999999873</v>
      </c>
    </row>
    <row r="1503" spans="1:14" x14ac:dyDescent="0.3">
      <c r="A1503" s="5">
        <v>7.4549999999999104</v>
      </c>
      <c r="B1503" s="5">
        <f t="shared" si="44"/>
        <v>104.36999999999874</v>
      </c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>
        <f>0.000001*('Design Worksheet_BAT'!B$88)*(B1503-B1502)/E$232+M1502</f>
        <v>3.5124797197526363E-4</v>
      </c>
      <c r="N1503" s="5">
        <f t="shared" si="43"/>
        <v>104.36999999999874</v>
      </c>
    </row>
    <row r="1504" spans="1:14" x14ac:dyDescent="0.3">
      <c r="A1504" s="5">
        <v>7.4599999999999103</v>
      </c>
      <c r="B1504" s="5">
        <f t="shared" si="44"/>
        <v>104.43999999999875</v>
      </c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>
        <f>0.000001*('Design Worksheet_BAT'!B$88)*(B1504-B1503)/E$232+M1503</f>
        <v>3.5144917970473226E-4</v>
      </c>
      <c r="N1504" s="5">
        <f t="shared" si="43"/>
        <v>104.43999999999875</v>
      </c>
    </row>
    <row r="1505" spans="1:14" x14ac:dyDescent="0.3">
      <c r="A1505" s="5">
        <v>7.4649999999999102</v>
      </c>
      <c r="B1505" s="5">
        <f t="shared" si="44"/>
        <v>104.50999999999874</v>
      </c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>
        <f>0.000001*('Design Worksheet_BAT'!B$88)*(B1505-B1504)/E$232+M1504</f>
        <v>3.5165038743420083E-4</v>
      </c>
      <c r="N1505" s="5">
        <f t="shared" si="43"/>
        <v>104.50999999999874</v>
      </c>
    </row>
    <row r="1506" spans="1:14" x14ac:dyDescent="0.3">
      <c r="A1506" s="5">
        <v>7.46999999999991</v>
      </c>
      <c r="B1506" s="5">
        <f t="shared" si="44"/>
        <v>104.57999999999873</v>
      </c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>
        <f>0.000001*('Design Worksheet_BAT'!B$88)*(B1506-B1505)/E$232+M1505</f>
        <v>3.5185159516366941E-4</v>
      </c>
      <c r="N1506" s="5">
        <f t="shared" si="43"/>
        <v>104.57999999999873</v>
      </c>
    </row>
    <row r="1507" spans="1:14" x14ac:dyDescent="0.3">
      <c r="A1507" s="5">
        <v>7.4749999999999099</v>
      </c>
      <c r="B1507" s="5">
        <f t="shared" si="44"/>
        <v>104.64999999999874</v>
      </c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>
        <f>0.000001*('Design Worksheet_BAT'!B$88)*(B1507-B1506)/E$232+M1506</f>
        <v>3.5205280289313804E-4</v>
      </c>
      <c r="N1507" s="5">
        <f t="shared" si="43"/>
        <v>104.64999999999874</v>
      </c>
    </row>
    <row r="1508" spans="1:14" x14ac:dyDescent="0.3">
      <c r="A1508" s="5">
        <v>7.4799999999999098</v>
      </c>
      <c r="B1508" s="5">
        <f t="shared" si="44"/>
        <v>104.71999999999873</v>
      </c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>
        <f>0.000001*('Design Worksheet_BAT'!B$88)*(B1508-B1507)/E$232+M1507</f>
        <v>3.5225401062260661E-4</v>
      </c>
      <c r="N1508" s="5">
        <f t="shared" si="43"/>
        <v>104.71999999999873</v>
      </c>
    </row>
    <row r="1509" spans="1:14" x14ac:dyDescent="0.3">
      <c r="A1509" s="5">
        <v>7.4849999999999097</v>
      </c>
      <c r="B1509" s="5">
        <f t="shared" si="44"/>
        <v>104.78999999999874</v>
      </c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>
        <f>0.000001*('Design Worksheet_BAT'!B$88)*(B1509-B1508)/E$232+M1508</f>
        <v>3.5245521835207524E-4</v>
      </c>
      <c r="N1509" s="5">
        <f t="shared" si="43"/>
        <v>104.78999999999874</v>
      </c>
    </row>
    <row r="1510" spans="1:14" x14ac:dyDescent="0.3">
      <c r="A1510" s="5">
        <v>7.4899999999999096</v>
      </c>
      <c r="B1510" s="5">
        <f t="shared" si="44"/>
        <v>104.85999999999873</v>
      </c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>
        <f>0.000001*('Design Worksheet_BAT'!B$88)*(B1510-B1509)/E$232+M1509</f>
        <v>3.5265642608154382E-4</v>
      </c>
      <c r="N1510" s="5">
        <f t="shared" si="43"/>
        <v>104.85999999999873</v>
      </c>
    </row>
    <row r="1511" spans="1:14" x14ac:dyDescent="0.3">
      <c r="A1511" s="5">
        <v>7.4949999999999104</v>
      </c>
      <c r="B1511" s="5">
        <f t="shared" si="44"/>
        <v>104.92999999999874</v>
      </c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>
        <f>0.000001*('Design Worksheet_BAT'!B$88)*(B1511-B1510)/E$232+M1510</f>
        <v>3.5285763381101245E-4</v>
      </c>
      <c r="N1511" s="5">
        <f t="shared" si="43"/>
        <v>104.92999999999874</v>
      </c>
    </row>
    <row r="1512" spans="1:14" x14ac:dyDescent="0.3">
      <c r="A1512" s="5">
        <v>7.4999999999998996</v>
      </c>
      <c r="B1512" s="5">
        <f t="shared" si="44"/>
        <v>104.99999999999859</v>
      </c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>
        <f>0.000001*('Design Worksheet_BAT'!B$88)*(B1512-B1511)/E$232+M1511</f>
        <v>3.5305884154048065E-4</v>
      </c>
      <c r="N1512" s="5">
        <f t="shared" ref="N1512:N1575" si="45">B1512</f>
        <v>104.99999999999859</v>
      </c>
    </row>
    <row r="1513" spans="1:14" x14ac:dyDescent="0.3">
      <c r="A1513" s="5">
        <v>7.5049999999999004</v>
      </c>
      <c r="B1513" s="5">
        <f t="shared" ref="B1513:B1576" si="46">A1513*VOFLB</f>
        <v>105.0699999999986</v>
      </c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>
        <f>0.000001*('Design Worksheet_BAT'!B$88)*(B1513-B1512)/E$232+M1512</f>
        <v>3.5326004926994927E-4</v>
      </c>
      <c r="N1513" s="5">
        <f t="shared" si="45"/>
        <v>105.0699999999986</v>
      </c>
    </row>
    <row r="1514" spans="1:14" x14ac:dyDescent="0.3">
      <c r="A1514" s="5">
        <v>7.5099999999999003</v>
      </c>
      <c r="B1514" s="5">
        <f t="shared" si="46"/>
        <v>105.13999999999861</v>
      </c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>
        <f>0.000001*('Design Worksheet_BAT'!B$88)*(B1514-B1513)/E$232+M1513</f>
        <v>3.534612569994179E-4</v>
      </c>
      <c r="N1514" s="5">
        <f t="shared" si="45"/>
        <v>105.13999999999861</v>
      </c>
    </row>
    <row r="1515" spans="1:14" x14ac:dyDescent="0.3">
      <c r="A1515" s="5">
        <v>7.5149999999999002</v>
      </c>
      <c r="B1515" s="5">
        <f t="shared" si="46"/>
        <v>105.2099999999986</v>
      </c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>
        <f>0.000001*('Design Worksheet_BAT'!B$88)*(B1515-B1514)/E$232+M1514</f>
        <v>3.5366246472888648E-4</v>
      </c>
      <c r="N1515" s="5">
        <f t="shared" si="45"/>
        <v>105.2099999999986</v>
      </c>
    </row>
    <row r="1516" spans="1:14" x14ac:dyDescent="0.3">
      <c r="A1516" s="5">
        <v>7.5199999999999001</v>
      </c>
      <c r="B1516" s="5">
        <f t="shared" si="46"/>
        <v>105.27999999999861</v>
      </c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>
        <f>0.000001*('Design Worksheet_BAT'!B$88)*(B1516-B1515)/E$232+M1515</f>
        <v>3.5386367245835511E-4</v>
      </c>
      <c r="N1516" s="5">
        <f t="shared" si="45"/>
        <v>105.27999999999861</v>
      </c>
    </row>
    <row r="1517" spans="1:14" x14ac:dyDescent="0.3">
      <c r="A1517" s="5">
        <v>7.5249999999999</v>
      </c>
      <c r="B1517" s="5">
        <f t="shared" si="46"/>
        <v>105.3499999999986</v>
      </c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>
        <f>0.000001*('Design Worksheet_BAT'!B$88)*(B1517-B1516)/E$232+M1516</f>
        <v>3.5406488018782369E-4</v>
      </c>
      <c r="N1517" s="5">
        <f t="shared" si="45"/>
        <v>105.3499999999986</v>
      </c>
    </row>
    <row r="1518" spans="1:14" x14ac:dyDescent="0.3">
      <c r="A1518" s="5">
        <v>7.5299999999998999</v>
      </c>
      <c r="B1518" s="5">
        <f t="shared" si="46"/>
        <v>105.41999999999859</v>
      </c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>
        <f>0.000001*('Design Worksheet_BAT'!B$88)*(B1518-B1517)/E$232+M1517</f>
        <v>3.5426608791729226E-4</v>
      </c>
      <c r="N1518" s="5">
        <f t="shared" si="45"/>
        <v>105.41999999999859</v>
      </c>
    </row>
    <row r="1519" spans="1:14" x14ac:dyDescent="0.3">
      <c r="A1519" s="5">
        <v>7.5349999999998998</v>
      </c>
      <c r="B1519" s="5">
        <f t="shared" si="46"/>
        <v>105.4899999999986</v>
      </c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>
        <f>0.000001*('Design Worksheet_BAT'!B$88)*(B1519-B1518)/E$232+M1518</f>
        <v>3.5446729564676089E-4</v>
      </c>
      <c r="N1519" s="5">
        <f t="shared" si="45"/>
        <v>105.4899999999986</v>
      </c>
    </row>
    <row r="1520" spans="1:14" x14ac:dyDescent="0.3">
      <c r="A1520" s="5">
        <v>7.5399999999998997</v>
      </c>
      <c r="B1520" s="5">
        <f t="shared" si="46"/>
        <v>105.5599999999986</v>
      </c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>
        <f>0.000001*('Design Worksheet_BAT'!B$88)*(B1520-B1519)/E$232+M1519</f>
        <v>3.5466850337622947E-4</v>
      </c>
      <c r="N1520" s="5">
        <f t="shared" si="45"/>
        <v>105.5599999999986</v>
      </c>
    </row>
    <row r="1521" spans="1:14" x14ac:dyDescent="0.3">
      <c r="A1521" s="5">
        <v>7.5449999999998996</v>
      </c>
      <c r="B1521" s="5">
        <f t="shared" si="46"/>
        <v>105.62999999999859</v>
      </c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>
        <f>0.000001*('Design Worksheet_BAT'!B$88)*(B1521-B1520)/E$232+M1520</f>
        <v>3.5486971110569804E-4</v>
      </c>
      <c r="N1521" s="5">
        <f t="shared" si="45"/>
        <v>105.62999999999859</v>
      </c>
    </row>
    <row r="1522" spans="1:14" x14ac:dyDescent="0.3">
      <c r="A1522" s="5">
        <v>7.5499999999999003</v>
      </c>
      <c r="B1522" s="5">
        <f t="shared" si="46"/>
        <v>105.69999999999861</v>
      </c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>
        <f>0.000001*('Design Worksheet_BAT'!B$88)*(B1522-B1521)/E$232+M1521</f>
        <v>3.5507091883516673E-4</v>
      </c>
      <c r="N1522" s="5">
        <f t="shared" si="45"/>
        <v>105.69999999999861</v>
      </c>
    </row>
    <row r="1523" spans="1:14" x14ac:dyDescent="0.3">
      <c r="A1523" s="5">
        <v>7.5549999999999002</v>
      </c>
      <c r="B1523" s="5">
        <f t="shared" si="46"/>
        <v>105.7699999999986</v>
      </c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>
        <f>0.000001*('Design Worksheet_BAT'!B$88)*(B1523-B1522)/E$232+M1522</f>
        <v>3.552721265646353E-4</v>
      </c>
      <c r="N1523" s="5">
        <f t="shared" si="45"/>
        <v>105.7699999999986</v>
      </c>
    </row>
    <row r="1524" spans="1:14" x14ac:dyDescent="0.3">
      <c r="A1524" s="5">
        <v>7.5599999999999001</v>
      </c>
      <c r="B1524" s="5">
        <f t="shared" si="46"/>
        <v>105.8399999999986</v>
      </c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>
        <f>0.000001*('Design Worksheet_BAT'!B$88)*(B1524-B1523)/E$232+M1523</f>
        <v>3.5547333429410388E-4</v>
      </c>
      <c r="N1524" s="5">
        <f t="shared" si="45"/>
        <v>105.8399999999986</v>
      </c>
    </row>
    <row r="1525" spans="1:14" x14ac:dyDescent="0.3">
      <c r="A1525" s="5">
        <v>7.5649999999999</v>
      </c>
      <c r="B1525" s="5">
        <f t="shared" si="46"/>
        <v>105.9099999999986</v>
      </c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>
        <f>0.000001*('Design Worksheet_BAT'!B$88)*(B1525-B1524)/E$232+M1524</f>
        <v>3.5567454202357251E-4</v>
      </c>
      <c r="N1525" s="5">
        <f t="shared" si="45"/>
        <v>105.9099999999986</v>
      </c>
    </row>
    <row r="1526" spans="1:14" x14ac:dyDescent="0.3">
      <c r="A1526" s="5">
        <v>7.5699999999998999</v>
      </c>
      <c r="B1526" s="5">
        <f t="shared" si="46"/>
        <v>105.9799999999986</v>
      </c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>
        <f>0.000001*('Design Worksheet_BAT'!B$88)*(B1526-B1525)/E$232+M1525</f>
        <v>3.5587574975304108E-4</v>
      </c>
      <c r="N1526" s="5">
        <f t="shared" si="45"/>
        <v>105.9799999999986</v>
      </c>
    </row>
    <row r="1527" spans="1:14" x14ac:dyDescent="0.3">
      <c r="A1527" s="5">
        <v>7.5749999999998998</v>
      </c>
      <c r="B1527" s="5">
        <f t="shared" si="46"/>
        <v>106.04999999999859</v>
      </c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>
        <f>0.000001*('Design Worksheet_BAT'!B$88)*(B1527-B1526)/E$232+M1526</f>
        <v>3.5607695748250966E-4</v>
      </c>
      <c r="N1527" s="5">
        <f t="shared" si="45"/>
        <v>106.04999999999859</v>
      </c>
    </row>
    <row r="1528" spans="1:14" x14ac:dyDescent="0.3">
      <c r="A1528" s="5">
        <v>7.5799999999998997</v>
      </c>
      <c r="B1528" s="5">
        <f t="shared" si="46"/>
        <v>106.1199999999986</v>
      </c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>
        <f>0.000001*('Design Worksheet_BAT'!B$88)*(B1528-B1527)/E$232+M1527</f>
        <v>3.5627816521197829E-4</v>
      </c>
      <c r="N1528" s="5">
        <f t="shared" si="45"/>
        <v>106.1199999999986</v>
      </c>
    </row>
    <row r="1529" spans="1:14" x14ac:dyDescent="0.3">
      <c r="A1529" s="5">
        <v>7.5849999999998996</v>
      </c>
      <c r="B1529" s="5">
        <f t="shared" si="46"/>
        <v>106.18999999999859</v>
      </c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>
        <f>0.000001*('Design Worksheet_BAT'!B$88)*(B1529-B1528)/E$232+M1528</f>
        <v>3.5647937294144686E-4</v>
      </c>
      <c r="N1529" s="5">
        <f t="shared" si="45"/>
        <v>106.18999999999859</v>
      </c>
    </row>
    <row r="1530" spans="1:14" x14ac:dyDescent="0.3">
      <c r="A1530" s="5">
        <v>7.5899999999999004</v>
      </c>
      <c r="B1530" s="5">
        <f t="shared" si="46"/>
        <v>106.2599999999986</v>
      </c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>
        <f>0.000001*('Design Worksheet_BAT'!B$88)*(B1530-B1529)/E$232+M1529</f>
        <v>3.5668058067091549E-4</v>
      </c>
      <c r="N1530" s="5">
        <f t="shared" si="45"/>
        <v>106.2599999999986</v>
      </c>
    </row>
    <row r="1531" spans="1:14" x14ac:dyDescent="0.3">
      <c r="A1531" s="5">
        <v>7.5949999999999003</v>
      </c>
      <c r="B1531" s="5">
        <f t="shared" si="46"/>
        <v>106.32999999999861</v>
      </c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>
        <f>0.000001*('Design Worksheet_BAT'!B$88)*(B1531-B1530)/E$232+M1530</f>
        <v>3.5688178840038412E-4</v>
      </c>
      <c r="N1531" s="5">
        <f t="shared" si="45"/>
        <v>106.32999999999861</v>
      </c>
    </row>
    <row r="1532" spans="1:14" x14ac:dyDescent="0.3">
      <c r="A1532" s="5">
        <v>7.5999999999999002</v>
      </c>
      <c r="B1532" s="5">
        <f t="shared" si="46"/>
        <v>106.3999999999986</v>
      </c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>
        <f>0.000001*('Design Worksheet_BAT'!B$88)*(B1532-B1531)/E$232+M1531</f>
        <v>3.570829961298527E-4</v>
      </c>
      <c r="N1532" s="5">
        <f t="shared" si="45"/>
        <v>106.3999999999986</v>
      </c>
    </row>
    <row r="1533" spans="1:14" x14ac:dyDescent="0.3">
      <c r="A1533" s="5">
        <v>7.6049999999999001</v>
      </c>
      <c r="B1533" s="5">
        <f t="shared" si="46"/>
        <v>106.46999999999861</v>
      </c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>
        <f>0.000001*('Design Worksheet_BAT'!B$88)*(B1533-B1532)/E$232+M1532</f>
        <v>3.5728420385932133E-4</v>
      </c>
      <c r="N1533" s="5">
        <f t="shared" si="45"/>
        <v>106.46999999999861</v>
      </c>
    </row>
    <row r="1534" spans="1:14" x14ac:dyDescent="0.3">
      <c r="A1534" s="5">
        <v>7.6099999999999</v>
      </c>
      <c r="B1534" s="5">
        <f t="shared" si="46"/>
        <v>106.5399999999986</v>
      </c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>
        <f>0.000001*('Design Worksheet_BAT'!B$88)*(B1534-B1533)/E$232+M1533</f>
        <v>3.574854115887899E-4</v>
      </c>
      <c r="N1534" s="5">
        <f t="shared" si="45"/>
        <v>106.5399999999986</v>
      </c>
    </row>
    <row r="1535" spans="1:14" x14ac:dyDescent="0.3">
      <c r="A1535" s="5">
        <v>7.6149999999998998</v>
      </c>
      <c r="B1535" s="5">
        <f t="shared" si="46"/>
        <v>106.60999999999859</v>
      </c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>
        <f>0.000001*('Design Worksheet_BAT'!B$88)*(B1535-B1534)/E$232+M1534</f>
        <v>3.5768661931825848E-4</v>
      </c>
      <c r="N1535" s="5">
        <f t="shared" si="45"/>
        <v>106.60999999999859</v>
      </c>
    </row>
    <row r="1536" spans="1:14" x14ac:dyDescent="0.3">
      <c r="A1536" s="5">
        <v>7.6199999999998997</v>
      </c>
      <c r="B1536" s="5">
        <f t="shared" si="46"/>
        <v>106.6799999999986</v>
      </c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>
        <f>0.000001*('Design Worksheet_BAT'!B$88)*(B1536-B1535)/E$232+M1535</f>
        <v>3.5788782704772711E-4</v>
      </c>
      <c r="N1536" s="5">
        <f t="shared" si="45"/>
        <v>106.6799999999986</v>
      </c>
    </row>
    <row r="1537" spans="1:14" x14ac:dyDescent="0.3">
      <c r="A1537" s="5">
        <v>7.6249999999998996</v>
      </c>
      <c r="B1537" s="5">
        <f t="shared" si="46"/>
        <v>106.74999999999859</v>
      </c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>
        <f>0.000001*('Design Worksheet_BAT'!B$88)*(B1537-B1536)/E$232+M1536</f>
        <v>3.5808903477719568E-4</v>
      </c>
      <c r="N1537" s="5">
        <f t="shared" si="45"/>
        <v>106.74999999999859</v>
      </c>
    </row>
    <row r="1538" spans="1:14" x14ac:dyDescent="0.3">
      <c r="A1538" s="5">
        <v>7.6299999999999004</v>
      </c>
      <c r="B1538" s="5">
        <f t="shared" si="46"/>
        <v>106.8199999999986</v>
      </c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>
        <f>0.000001*('Design Worksheet_BAT'!B$88)*(B1538-B1537)/E$232+M1537</f>
        <v>3.5829024250666431E-4</v>
      </c>
      <c r="N1538" s="5">
        <f t="shared" si="45"/>
        <v>106.8199999999986</v>
      </c>
    </row>
    <row r="1539" spans="1:14" x14ac:dyDescent="0.3">
      <c r="A1539" s="5">
        <v>7.6349999999999003</v>
      </c>
      <c r="B1539" s="5">
        <f t="shared" si="46"/>
        <v>106.88999999999861</v>
      </c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>
        <f>0.000001*('Design Worksheet_BAT'!B$88)*(B1539-B1538)/E$232+M1538</f>
        <v>3.5849145023613294E-4</v>
      </c>
      <c r="N1539" s="5">
        <f t="shared" si="45"/>
        <v>106.88999999999861</v>
      </c>
    </row>
    <row r="1540" spans="1:14" x14ac:dyDescent="0.3">
      <c r="A1540" s="5">
        <v>7.6399999999999002</v>
      </c>
      <c r="B1540" s="5">
        <f t="shared" si="46"/>
        <v>106.9599999999986</v>
      </c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>
        <f>0.000001*('Design Worksheet_BAT'!B$88)*(B1540-B1539)/E$232+M1539</f>
        <v>3.5869265796560152E-4</v>
      </c>
      <c r="N1540" s="5">
        <f t="shared" si="45"/>
        <v>106.9599999999986</v>
      </c>
    </row>
    <row r="1541" spans="1:14" x14ac:dyDescent="0.3">
      <c r="A1541" s="5">
        <v>7.6449999999999001</v>
      </c>
      <c r="B1541" s="5">
        <f t="shared" si="46"/>
        <v>107.02999999999861</v>
      </c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>
        <f>0.000001*('Design Worksheet_BAT'!B$88)*(B1541-B1540)/E$232+M1540</f>
        <v>3.5889386569507015E-4</v>
      </c>
      <c r="N1541" s="5">
        <f t="shared" si="45"/>
        <v>107.02999999999861</v>
      </c>
    </row>
    <row r="1542" spans="1:14" x14ac:dyDescent="0.3">
      <c r="A1542" s="5">
        <v>7.6499999999999</v>
      </c>
      <c r="B1542" s="5">
        <f t="shared" si="46"/>
        <v>107.0999999999986</v>
      </c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>
        <f>0.000001*('Design Worksheet_BAT'!B$88)*(B1542-B1541)/E$232+M1541</f>
        <v>3.5909507342453872E-4</v>
      </c>
      <c r="N1542" s="5">
        <f t="shared" si="45"/>
        <v>107.0999999999986</v>
      </c>
    </row>
    <row r="1543" spans="1:14" x14ac:dyDescent="0.3">
      <c r="A1543" s="5">
        <v>7.6549999999998999</v>
      </c>
      <c r="B1543" s="5">
        <f t="shared" si="46"/>
        <v>107.16999999999859</v>
      </c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>
        <f>0.000001*('Design Worksheet_BAT'!B$88)*(B1543-B1542)/E$232+M1542</f>
        <v>3.592962811540073E-4</v>
      </c>
      <c r="N1543" s="5">
        <f t="shared" si="45"/>
        <v>107.16999999999859</v>
      </c>
    </row>
    <row r="1544" spans="1:14" x14ac:dyDescent="0.3">
      <c r="A1544" s="5">
        <v>7.6599999999998998</v>
      </c>
      <c r="B1544" s="5">
        <f t="shared" si="46"/>
        <v>107.2399999999986</v>
      </c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>
        <f>0.000001*('Design Worksheet_BAT'!B$88)*(B1544-B1543)/E$232+M1543</f>
        <v>3.5949748888347593E-4</v>
      </c>
      <c r="N1544" s="5">
        <f t="shared" si="45"/>
        <v>107.2399999999986</v>
      </c>
    </row>
    <row r="1545" spans="1:14" x14ac:dyDescent="0.3">
      <c r="A1545" s="5">
        <v>7.6649999999998997</v>
      </c>
      <c r="B1545" s="5">
        <f t="shared" si="46"/>
        <v>107.3099999999986</v>
      </c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>
        <f>0.000001*('Design Worksheet_BAT'!B$88)*(B1545-B1544)/E$232+M1544</f>
        <v>3.596986966129445E-4</v>
      </c>
      <c r="N1545" s="5">
        <f t="shared" si="45"/>
        <v>107.3099999999986</v>
      </c>
    </row>
    <row r="1546" spans="1:14" x14ac:dyDescent="0.3">
      <c r="A1546" s="5">
        <v>7.6699999999998996</v>
      </c>
      <c r="B1546" s="5">
        <f t="shared" si="46"/>
        <v>107.37999999999859</v>
      </c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>
        <f>0.000001*('Design Worksheet_BAT'!B$88)*(B1546-B1545)/E$232+M1545</f>
        <v>3.5989990434241308E-4</v>
      </c>
      <c r="N1546" s="5">
        <f t="shared" si="45"/>
        <v>107.37999999999859</v>
      </c>
    </row>
    <row r="1547" spans="1:14" x14ac:dyDescent="0.3">
      <c r="A1547" s="5">
        <v>7.6749999999999003</v>
      </c>
      <c r="B1547" s="5">
        <f t="shared" si="46"/>
        <v>107.44999999999861</v>
      </c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>
        <f>0.000001*('Design Worksheet_BAT'!B$88)*(B1547-B1546)/E$232+M1546</f>
        <v>3.6010111207188176E-4</v>
      </c>
      <c r="N1547" s="5">
        <f t="shared" si="45"/>
        <v>107.44999999999861</v>
      </c>
    </row>
    <row r="1548" spans="1:14" x14ac:dyDescent="0.3">
      <c r="A1548" s="5">
        <v>7.6799999999999002</v>
      </c>
      <c r="B1548" s="5">
        <f t="shared" si="46"/>
        <v>107.5199999999986</v>
      </c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>
        <f>0.000001*('Design Worksheet_BAT'!B$88)*(B1548-B1547)/E$232+M1547</f>
        <v>3.6030231980135034E-4</v>
      </c>
      <c r="N1548" s="5">
        <f t="shared" si="45"/>
        <v>107.5199999999986</v>
      </c>
    </row>
    <row r="1549" spans="1:14" x14ac:dyDescent="0.3">
      <c r="A1549" s="5">
        <v>7.6849999999999001</v>
      </c>
      <c r="B1549" s="5">
        <f t="shared" si="46"/>
        <v>107.5899999999986</v>
      </c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>
        <f>0.000001*('Design Worksheet_BAT'!B$88)*(B1549-B1548)/E$232+M1548</f>
        <v>3.6050352753081891E-4</v>
      </c>
      <c r="N1549" s="5">
        <f t="shared" si="45"/>
        <v>107.5899999999986</v>
      </c>
    </row>
    <row r="1550" spans="1:14" x14ac:dyDescent="0.3">
      <c r="A1550" s="5">
        <v>7.6899999999999</v>
      </c>
      <c r="B1550" s="5">
        <f t="shared" si="46"/>
        <v>107.6599999999986</v>
      </c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>
        <f>0.000001*('Design Worksheet_BAT'!B$88)*(B1550-B1549)/E$232+M1549</f>
        <v>3.6070473526028754E-4</v>
      </c>
      <c r="N1550" s="5">
        <f t="shared" si="45"/>
        <v>107.6599999999986</v>
      </c>
    </row>
    <row r="1551" spans="1:14" x14ac:dyDescent="0.3">
      <c r="A1551" s="5">
        <v>7.6949999999998999</v>
      </c>
      <c r="B1551" s="5">
        <f t="shared" si="46"/>
        <v>107.7299999999986</v>
      </c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>
        <f>0.000001*('Design Worksheet_BAT'!B$88)*(B1551-B1550)/E$232+M1550</f>
        <v>3.6090594298975612E-4</v>
      </c>
      <c r="N1551" s="5">
        <f t="shared" si="45"/>
        <v>107.7299999999986</v>
      </c>
    </row>
    <row r="1552" spans="1:14" x14ac:dyDescent="0.3">
      <c r="A1552" s="5">
        <v>7.6999999999998998</v>
      </c>
      <c r="B1552" s="5">
        <f t="shared" si="46"/>
        <v>107.79999999999859</v>
      </c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>
        <f>0.000001*('Design Worksheet_BAT'!B$88)*(B1552-B1551)/E$232+M1551</f>
        <v>3.611071507192247E-4</v>
      </c>
      <c r="N1552" s="5">
        <f t="shared" si="45"/>
        <v>107.79999999999859</v>
      </c>
    </row>
    <row r="1553" spans="1:14" x14ac:dyDescent="0.3">
      <c r="A1553" s="5">
        <v>7.7049999999998997</v>
      </c>
      <c r="B1553" s="5">
        <f t="shared" si="46"/>
        <v>107.8699999999986</v>
      </c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>
        <f>0.000001*('Design Worksheet_BAT'!B$88)*(B1553-B1552)/E$232+M1552</f>
        <v>3.6130835844869333E-4</v>
      </c>
      <c r="N1553" s="5">
        <f t="shared" si="45"/>
        <v>107.8699999999986</v>
      </c>
    </row>
    <row r="1554" spans="1:14" x14ac:dyDescent="0.3">
      <c r="A1554" s="5">
        <v>7.7099999999998996</v>
      </c>
      <c r="B1554" s="5">
        <f t="shared" si="46"/>
        <v>107.93999999999859</v>
      </c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>
        <f>0.000001*('Design Worksheet_BAT'!B$88)*(B1554-B1553)/E$232+M1553</f>
        <v>3.615095661781619E-4</v>
      </c>
      <c r="N1554" s="5">
        <f t="shared" si="45"/>
        <v>107.93999999999859</v>
      </c>
    </row>
    <row r="1555" spans="1:14" x14ac:dyDescent="0.3">
      <c r="A1555" s="5">
        <v>7.7149999999999004</v>
      </c>
      <c r="B1555" s="5">
        <f t="shared" si="46"/>
        <v>108.0099999999986</v>
      </c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>
        <f>0.000001*('Design Worksheet_BAT'!B$88)*(B1555-B1554)/E$232+M1554</f>
        <v>3.6171077390763053E-4</v>
      </c>
      <c r="N1555" s="5">
        <f t="shared" si="45"/>
        <v>108.0099999999986</v>
      </c>
    </row>
    <row r="1556" spans="1:14" x14ac:dyDescent="0.3">
      <c r="A1556" s="5">
        <v>7.7199999999999003</v>
      </c>
      <c r="B1556" s="5">
        <f t="shared" si="46"/>
        <v>108.07999999999861</v>
      </c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>
        <f>0.000001*('Design Worksheet_BAT'!B$88)*(B1556-B1555)/E$232+M1555</f>
        <v>3.6191198163709916E-4</v>
      </c>
      <c r="N1556" s="5">
        <f t="shared" si="45"/>
        <v>108.07999999999861</v>
      </c>
    </row>
    <row r="1557" spans="1:14" x14ac:dyDescent="0.3">
      <c r="A1557" s="5">
        <v>7.7249999999999002</v>
      </c>
      <c r="B1557" s="5">
        <f t="shared" si="46"/>
        <v>108.1499999999986</v>
      </c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>
        <f>0.000001*('Design Worksheet_BAT'!B$88)*(B1557-B1556)/E$232+M1556</f>
        <v>3.6211318936656774E-4</v>
      </c>
      <c r="N1557" s="5">
        <f t="shared" si="45"/>
        <v>108.1499999999986</v>
      </c>
    </row>
    <row r="1558" spans="1:14" x14ac:dyDescent="0.3">
      <c r="A1558" s="5">
        <v>7.7299999999999001</v>
      </c>
      <c r="B1558" s="5">
        <f t="shared" si="46"/>
        <v>108.21999999999861</v>
      </c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>
        <f>0.000001*('Design Worksheet_BAT'!B$88)*(B1558-B1557)/E$232+M1557</f>
        <v>3.6231439709603637E-4</v>
      </c>
      <c r="N1558" s="5">
        <f t="shared" si="45"/>
        <v>108.21999999999861</v>
      </c>
    </row>
    <row r="1559" spans="1:14" x14ac:dyDescent="0.3">
      <c r="A1559" s="5">
        <v>7.7349999999999</v>
      </c>
      <c r="B1559" s="5">
        <f t="shared" si="46"/>
        <v>108.2899999999986</v>
      </c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>
        <f>0.000001*('Design Worksheet_BAT'!B$88)*(B1559-B1558)/E$232+M1558</f>
        <v>3.6251560482550494E-4</v>
      </c>
      <c r="N1559" s="5">
        <f t="shared" si="45"/>
        <v>108.2899999999986</v>
      </c>
    </row>
    <row r="1560" spans="1:14" x14ac:dyDescent="0.3">
      <c r="A1560" s="5">
        <v>7.7399999999998998</v>
      </c>
      <c r="B1560" s="5">
        <f t="shared" si="46"/>
        <v>108.35999999999859</v>
      </c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>
        <f>0.000001*('Design Worksheet_BAT'!B$88)*(B1560-B1559)/E$232+M1559</f>
        <v>3.6271681255497352E-4</v>
      </c>
      <c r="N1560" s="5">
        <f t="shared" si="45"/>
        <v>108.35999999999859</v>
      </c>
    </row>
    <row r="1561" spans="1:14" x14ac:dyDescent="0.3">
      <c r="A1561" s="5">
        <v>7.7449999999998997</v>
      </c>
      <c r="B1561" s="5">
        <f t="shared" si="46"/>
        <v>108.4299999999986</v>
      </c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>
        <f>0.000001*('Design Worksheet_BAT'!B$88)*(B1561-B1560)/E$232+M1560</f>
        <v>3.6291802028444215E-4</v>
      </c>
      <c r="N1561" s="5">
        <f t="shared" si="45"/>
        <v>108.4299999999986</v>
      </c>
    </row>
    <row r="1562" spans="1:14" x14ac:dyDescent="0.3">
      <c r="A1562" s="5">
        <v>7.7499999999998996</v>
      </c>
      <c r="B1562" s="5">
        <f t="shared" si="46"/>
        <v>108.49999999999859</v>
      </c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>
        <f>0.000001*('Design Worksheet_BAT'!B$88)*(B1562-B1561)/E$232+M1561</f>
        <v>3.6311922801391072E-4</v>
      </c>
      <c r="N1562" s="5">
        <f t="shared" si="45"/>
        <v>108.49999999999859</v>
      </c>
    </row>
    <row r="1563" spans="1:14" x14ac:dyDescent="0.3">
      <c r="A1563" s="5">
        <v>7.7549999999999004</v>
      </c>
      <c r="B1563" s="5">
        <f t="shared" si="46"/>
        <v>108.5699999999986</v>
      </c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>
        <f>0.000001*('Design Worksheet_BAT'!B$88)*(B1563-B1562)/E$232+M1562</f>
        <v>3.6332043574337935E-4</v>
      </c>
      <c r="N1563" s="5">
        <f t="shared" si="45"/>
        <v>108.5699999999986</v>
      </c>
    </row>
    <row r="1564" spans="1:14" x14ac:dyDescent="0.3">
      <c r="A1564" s="5">
        <v>7.7599999999999003</v>
      </c>
      <c r="B1564" s="5">
        <f t="shared" si="46"/>
        <v>108.63999999999861</v>
      </c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>
        <f>0.000001*('Design Worksheet_BAT'!B$88)*(B1564-B1563)/E$232+M1563</f>
        <v>3.6352164347284798E-4</v>
      </c>
      <c r="N1564" s="5">
        <f t="shared" si="45"/>
        <v>108.63999999999861</v>
      </c>
    </row>
    <row r="1565" spans="1:14" x14ac:dyDescent="0.3">
      <c r="A1565" s="5">
        <v>7.7649999999999002</v>
      </c>
      <c r="B1565" s="5">
        <f t="shared" si="46"/>
        <v>108.7099999999986</v>
      </c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>
        <f>0.000001*('Design Worksheet_BAT'!B$88)*(B1565-B1564)/E$232+M1564</f>
        <v>3.6372285120231656E-4</v>
      </c>
      <c r="N1565" s="5">
        <f t="shared" si="45"/>
        <v>108.7099999999986</v>
      </c>
    </row>
    <row r="1566" spans="1:14" x14ac:dyDescent="0.3">
      <c r="A1566" s="5">
        <v>7.7699999999999001</v>
      </c>
      <c r="B1566" s="5">
        <f t="shared" si="46"/>
        <v>108.77999999999861</v>
      </c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>
        <f>0.000001*('Design Worksheet_BAT'!B$88)*(B1566-B1565)/E$232+M1565</f>
        <v>3.6392405893178519E-4</v>
      </c>
      <c r="N1566" s="5">
        <f t="shared" si="45"/>
        <v>108.77999999999861</v>
      </c>
    </row>
    <row r="1567" spans="1:14" x14ac:dyDescent="0.3">
      <c r="A1567" s="5">
        <v>7.7749999999999</v>
      </c>
      <c r="B1567" s="5">
        <f t="shared" si="46"/>
        <v>108.8499999999986</v>
      </c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>
        <f>0.000001*('Design Worksheet_BAT'!B$88)*(B1567-B1566)/E$232+M1566</f>
        <v>3.6412526666125376E-4</v>
      </c>
      <c r="N1567" s="5">
        <f t="shared" si="45"/>
        <v>108.8499999999986</v>
      </c>
    </row>
    <row r="1568" spans="1:14" x14ac:dyDescent="0.3">
      <c r="A1568" s="5">
        <v>7.7799999999998999</v>
      </c>
      <c r="B1568" s="5">
        <f t="shared" si="46"/>
        <v>108.91999999999859</v>
      </c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>
        <f>0.000001*('Design Worksheet_BAT'!B$88)*(B1568-B1567)/E$232+M1567</f>
        <v>3.6432647439072234E-4</v>
      </c>
      <c r="N1568" s="5">
        <f t="shared" si="45"/>
        <v>108.91999999999859</v>
      </c>
    </row>
    <row r="1569" spans="1:14" x14ac:dyDescent="0.3">
      <c r="A1569" s="5">
        <v>7.7849999999998998</v>
      </c>
      <c r="B1569" s="5">
        <f t="shared" si="46"/>
        <v>108.9899999999986</v>
      </c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>
        <f>0.000001*('Design Worksheet_BAT'!B$88)*(B1569-B1568)/E$232+M1568</f>
        <v>3.6452768212019097E-4</v>
      </c>
      <c r="N1569" s="5">
        <f t="shared" si="45"/>
        <v>108.9899999999986</v>
      </c>
    </row>
    <row r="1570" spans="1:14" x14ac:dyDescent="0.3">
      <c r="A1570" s="5">
        <v>7.7899999999998997</v>
      </c>
      <c r="B1570" s="5">
        <f t="shared" si="46"/>
        <v>109.0599999999986</v>
      </c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>
        <f>0.000001*('Design Worksheet_BAT'!B$88)*(B1570-B1569)/E$232+M1569</f>
        <v>3.6472888984965954E-4</v>
      </c>
      <c r="N1570" s="5">
        <f t="shared" si="45"/>
        <v>109.0599999999986</v>
      </c>
    </row>
    <row r="1571" spans="1:14" x14ac:dyDescent="0.3">
      <c r="A1571" s="5">
        <v>7.7949999999998996</v>
      </c>
      <c r="B1571" s="5">
        <f t="shared" si="46"/>
        <v>109.12999999999859</v>
      </c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>
        <f>0.000001*('Design Worksheet_BAT'!B$88)*(B1571-B1570)/E$232+M1570</f>
        <v>3.6493009757912812E-4</v>
      </c>
      <c r="N1571" s="5">
        <f t="shared" si="45"/>
        <v>109.12999999999859</v>
      </c>
    </row>
    <row r="1572" spans="1:14" x14ac:dyDescent="0.3">
      <c r="A1572" s="5">
        <v>7.7999999999999003</v>
      </c>
      <c r="B1572" s="5">
        <f t="shared" si="46"/>
        <v>109.19999999999861</v>
      </c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>
        <f>0.000001*('Design Worksheet_BAT'!B$88)*(B1572-B1571)/E$232+M1571</f>
        <v>3.651313053085968E-4</v>
      </c>
      <c r="N1572" s="5">
        <f t="shared" si="45"/>
        <v>109.19999999999861</v>
      </c>
    </row>
    <row r="1573" spans="1:14" x14ac:dyDescent="0.3">
      <c r="A1573" s="5">
        <v>7.8049999999999002</v>
      </c>
      <c r="B1573" s="5">
        <f t="shared" si="46"/>
        <v>109.2699999999986</v>
      </c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>
        <f>0.000001*('Design Worksheet_BAT'!B$88)*(B1573-B1572)/E$232+M1572</f>
        <v>3.6533251303806538E-4</v>
      </c>
      <c r="N1573" s="5">
        <f t="shared" si="45"/>
        <v>109.2699999999986</v>
      </c>
    </row>
    <row r="1574" spans="1:14" x14ac:dyDescent="0.3">
      <c r="A1574" s="5">
        <v>7.8099999999999001</v>
      </c>
      <c r="B1574" s="5">
        <f t="shared" si="46"/>
        <v>109.3399999999986</v>
      </c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>
        <f>0.000001*('Design Worksheet_BAT'!B$88)*(B1574-B1573)/E$232+M1573</f>
        <v>3.6553372076753395E-4</v>
      </c>
      <c r="N1574" s="5">
        <f t="shared" si="45"/>
        <v>109.3399999999986</v>
      </c>
    </row>
    <row r="1575" spans="1:14" x14ac:dyDescent="0.3">
      <c r="A1575" s="5">
        <v>7.8149999999999</v>
      </c>
      <c r="B1575" s="5">
        <f t="shared" si="46"/>
        <v>109.4099999999986</v>
      </c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>
        <f>0.000001*('Design Worksheet_BAT'!B$88)*(B1575-B1574)/E$232+M1574</f>
        <v>3.6573492849700258E-4</v>
      </c>
      <c r="N1575" s="5">
        <f t="shared" si="45"/>
        <v>109.4099999999986</v>
      </c>
    </row>
    <row r="1576" spans="1:14" x14ac:dyDescent="0.3">
      <c r="A1576" s="5">
        <v>7.8199999999998999</v>
      </c>
      <c r="B1576" s="5">
        <f t="shared" si="46"/>
        <v>109.4799999999986</v>
      </c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>
        <f>0.000001*('Design Worksheet_BAT'!B$88)*(B1576-B1575)/E$232+M1575</f>
        <v>3.6593613622647116E-4</v>
      </c>
      <c r="N1576" s="5">
        <f t="shared" ref="N1576:N1639" si="47">B1576</f>
        <v>109.4799999999986</v>
      </c>
    </row>
    <row r="1577" spans="1:14" x14ac:dyDescent="0.3">
      <c r="A1577" s="5">
        <v>7.8249999999998998</v>
      </c>
      <c r="B1577" s="5">
        <f t="shared" ref="B1577:B1640" si="48">A1577*VOFLB</f>
        <v>109.54999999999859</v>
      </c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>
        <f>0.000001*('Design Worksheet_BAT'!B$88)*(B1577-B1576)/E$232+M1576</f>
        <v>3.6613734395593973E-4</v>
      </c>
      <c r="N1577" s="5">
        <f t="shared" si="47"/>
        <v>109.54999999999859</v>
      </c>
    </row>
    <row r="1578" spans="1:14" x14ac:dyDescent="0.3">
      <c r="A1578" s="5">
        <v>7.8299999999998997</v>
      </c>
      <c r="B1578" s="5">
        <f t="shared" si="48"/>
        <v>109.6199999999986</v>
      </c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>
        <f>0.000001*('Design Worksheet_BAT'!B$88)*(B1578-B1577)/E$232+M1577</f>
        <v>3.6633855168540836E-4</v>
      </c>
      <c r="N1578" s="5">
        <f t="shared" si="47"/>
        <v>109.6199999999986</v>
      </c>
    </row>
    <row r="1579" spans="1:14" x14ac:dyDescent="0.3">
      <c r="A1579" s="5">
        <v>7.8349999999998996</v>
      </c>
      <c r="B1579" s="5">
        <f t="shared" si="48"/>
        <v>109.68999999999859</v>
      </c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>
        <f>0.000001*('Design Worksheet_BAT'!B$88)*(B1579-B1578)/E$232+M1578</f>
        <v>3.6653975941487694E-4</v>
      </c>
      <c r="N1579" s="5">
        <f t="shared" si="47"/>
        <v>109.68999999999859</v>
      </c>
    </row>
    <row r="1580" spans="1:14" x14ac:dyDescent="0.3">
      <c r="A1580" s="5">
        <v>7.8399999999999004</v>
      </c>
      <c r="B1580" s="5">
        <f t="shared" si="48"/>
        <v>109.7599999999986</v>
      </c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>
        <f>0.000001*('Design Worksheet_BAT'!B$88)*(B1580-B1579)/E$232+M1579</f>
        <v>3.6674096714434557E-4</v>
      </c>
      <c r="N1580" s="5">
        <f t="shared" si="47"/>
        <v>109.7599999999986</v>
      </c>
    </row>
    <row r="1581" spans="1:14" x14ac:dyDescent="0.3">
      <c r="A1581" s="5">
        <v>7.8449999999999003</v>
      </c>
      <c r="B1581" s="5">
        <f t="shared" si="48"/>
        <v>109.82999999999861</v>
      </c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>
        <f>0.000001*('Design Worksheet_BAT'!B$88)*(B1581-B1580)/E$232+M1580</f>
        <v>3.669421748738142E-4</v>
      </c>
      <c r="N1581" s="5">
        <f t="shared" si="47"/>
        <v>109.82999999999861</v>
      </c>
    </row>
    <row r="1582" spans="1:14" x14ac:dyDescent="0.3">
      <c r="A1582" s="5">
        <v>7.8499999999999002</v>
      </c>
      <c r="B1582" s="5">
        <f t="shared" si="48"/>
        <v>109.8999999999986</v>
      </c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>
        <f>0.000001*('Design Worksheet_BAT'!B$88)*(B1582-B1581)/E$232+M1581</f>
        <v>3.6714338260328277E-4</v>
      </c>
      <c r="N1582" s="5">
        <f t="shared" si="47"/>
        <v>109.8999999999986</v>
      </c>
    </row>
    <row r="1583" spans="1:14" x14ac:dyDescent="0.3">
      <c r="A1583" s="5">
        <v>7.8549999999999001</v>
      </c>
      <c r="B1583" s="5">
        <f t="shared" si="48"/>
        <v>109.96999999999861</v>
      </c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>
        <f>0.000001*('Design Worksheet_BAT'!B$88)*(B1583-B1582)/E$232+M1582</f>
        <v>3.673445903327514E-4</v>
      </c>
      <c r="N1583" s="5">
        <f t="shared" si="47"/>
        <v>109.96999999999861</v>
      </c>
    </row>
    <row r="1584" spans="1:14" x14ac:dyDescent="0.3">
      <c r="A1584" s="5">
        <v>7.8599999999999</v>
      </c>
      <c r="B1584" s="5">
        <f t="shared" si="48"/>
        <v>110.0399999999986</v>
      </c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>
        <f>0.000001*('Design Worksheet_BAT'!B$88)*(B1584-B1583)/E$232+M1583</f>
        <v>3.6754579806221998E-4</v>
      </c>
      <c r="N1584" s="5">
        <f t="shared" si="47"/>
        <v>110.0399999999986</v>
      </c>
    </row>
    <row r="1585" spans="1:14" x14ac:dyDescent="0.3">
      <c r="A1585" s="5">
        <v>7.8649999999998998</v>
      </c>
      <c r="B1585" s="5">
        <f t="shared" si="48"/>
        <v>110.10999999999859</v>
      </c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>
        <f>0.000001*('Design Worksheet_BAT'!B$88)*(B1585-B1584)/E$232+M1584</f>
        <v>3.6774700579168855E-4</v>
      </c>
      <c r="N1585" s="5">
        <f t="shared" si="47"/>
        <v>110.10999999999859</v>
      </c>
    </row>
    <row r="1586" spans="1:14" x14ac:dyDescent="0.3">
      <c r="A1586" s="5">
        <v>7.8699999999998997</v>
      </c>
      <c r="B1586" s="5">
        <f t="shared" si="48"/>
        <v>110.1799999999986</v>
      </c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>
        <f>0.000001*('Design Worksheet_BAT'!B$88)*(B1586-B1585)/E$232+M1585</f>
        <v>3.6794821352115718E-4</v>
      </c>
      <c r="N1586" s="5">
        <f t="shared" si="47"/>
        <v>110.1799999999986</v>
      </c>
    </row>
    <row r="1587" spans="1:14" x14ac:dyDescent="0.3">
      <c r="A1587" s="5">
        <v>7.8749999999998996</v>
      </c>
      <c r="B1587" s="5">
        <f t="shared" si="48"/>
        <v>110.24999999999859</v>
      </c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>
        <f>0.000001*('Design Worksheet_BAT'!B$88)*(B1587-B1586)/E$232+M1586</f>
        <v>3.6814942125062576E-4</v>
      </c>
      <c r="N1587" s="5">
        <f t="shared" si="47"/>
        <v>110.24999999999859</v>
      </c>
    </row>
    <row r="1588" spans="1:14" x14ac:dyDescent="0.3">
      <c r="A1588" s="5">
        <v>7.8799999999999004</v>
      </c>
      <c r="B1588" s="5">
        <f t="shared" si="48"/>
        <v>110.3199999999986</v>
      </c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>
        <f>0.000001*('Design Worksheet_BAT'!B$88)*(B1588-B1587)/E$232+M1587</f>
        <v>3.6835062898009439E-4</v>
      </c>
      <c r="N1588" s="5">
        <f t="shared" si="47"/>
        <v>110.3199999999986</v>
      </c>
    </row>
    <row r="1589" spans="1:14" x14ac:dyDescent="0.3">
      <c r="A1589" s="5">
        <v>7.8849999999999003</v>
      </c>
      <c r="B1589" s="5">
        <f t="shared" si="48"/>
        <v>110.38999999999861</v>
      </c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>
        <f>0.000001*('Design Worksheet_BAT'!B$88)*(B1589-B1588)/E$232+M1588</f>
        <v>3.6855183670956302E-4</v>
      </c>
      <c r="N1589" s="5">
        <f t="shared" si="47"/>
        <v>110.38999999999861</v>
      </c>
    </row>
    <row r="1590" spans="1:14" x14ac:dyDescent="0.3">
      <c r="A1590" s="5">
        <v>7.8899999999999002</v>
      </c>
      <c r="B1590" s="5">
        <f t="shared" si="48"/>
        <v>110.4599999999986</v>
      </c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>
        <f>0.000001*('Design Worksheet_BAT'!B$88)*(B1590-B1589)/E$232+M1589</f>
        <v>3.6875304443903159E-4</v>
      </c>
      <c r="N1590" s="5">
        <f t="shared" si="47"/>
        <v>110.4599999999986</v>
      </c>
    </row>
    <row r="1591" spans="1:14" x14ac:dyDescent="0.3">
      <c r="A1591" s="5">
        <v>7.8949999999999001</v>
      </c>
      <c r="B1591" s="5">
        <f t="shared" si="48"/>
        <v>110.52999999999861</v>
      </c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>
        <f>0.000001*('Design Worksheet_BAT'!B$88)*(B1591-B1590)/E$232+M1590</f>
        <v>3.6895425216850022E-4</v>
      </c>
      <c r="N1591" s="5">
        <f t="shared" si="47"/>
        <v>110.52999999999861</v>
      </c>
    </row>
    <row r="1592" spans="1:14" x14ac:dyDescent="0.3">
      <c r="A1592" s="5">
        <v>7.8999999999999</v>
      </c>
      <c r="B1592" s="5">
        <f t="shared" si="48"/>
        <v>110.5999999999986</v>
      </c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>
        <f>0.000001*('Design Worksheet_BAT'!B$88)*(B1592-B1591)/E$232+M1591</f>
        <v>3.691554598979688E-4</v>
      </c>
      <c r="N1592" s="5">
        <f t="shared" si="47"/>
        <v>110.5999999999986</v>
      </c>
    </row>
    <row r="1593" spans="1:14" x14ac:dyDescent="0.3">
      <c r="A1593" s="5">
        <v>7.9049999999998999</v>
      </c>
      <c r="B1593" s="5">
        <f t="shared" si="48"/>
        <v>110.66999999999859</v>
      </c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>
        <f>0.000001*('Design Worksheet_BAT'!B$88)*(B1593-B1592)/E$232+M1592</f>
        <v>3.6935666762743738E-4</v>
      </c>
      <c r="N1593" s="5">
        <f t="shared" si="47"/>
        <v>110.66999999999859</v>
      </c>
    </row>
    <row r="1594" spans="1:14" x14ac:dyDescent="0.3">
      <c r="A1594" s="5">
        <v>7.9099999999998998</v>
      </c>
      <c r="B1594" s="5">
        <f t="shared" si="48"/>
        <v>110.7399999999986</v>
      </c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>
        <f>0.000001*('Design Worksheet_BAT'!B$88)*(B1594-B1593)/E$232+M1593</f>
        <v>3.6955787535690601E-4</v>
      </c>
      <c r="N1594" s="5">
        <f t="shared" si="47"/>
        <v>110.7399999999986</v>
      </c>
    </row>
    <row r="1595" spans="1:14" x14ac:dyDescent="0.3">
      <c r="A1595" s="5">
        <v>7.9149999999998997</v>
      </c>
      <c r="B1595" s="5">
        <f t="shared" si="48"/>
        <v>110.8099999999986</v>
      </c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>
        <f>0.000001*('Design Worksheet_BAT'!B$88)*(B1595-B1594)/E$232+M1594</f>
        <v>3.6975908308637458E-4</v>
      </c>
      <c r="N1595" s="5">
        <f t="shared" si="47"/>
        <v>110.8099999999986</v>
      </c>
    </row>
    <row r="1596" spans="1:14" x14ac:dyDescent="0.3">
      <c r="A1596" s="5">
        <v>7.9199999999998996</v>
      </c>
      <c r="B1596" s="5">
        <f t="shared" si="48"/>
        <v>110.87999999999859</v>
      </c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>
        <f>0.000001*('Design Worksheet_BAT'!B$88)*(B1596-B1595)/E$232+M1595</f>
        <v>3.6996029081584316E-4</v>
      </c>
      <c r="N1596" s="5">
        <f t="shared" si="47"/>
        <v>110.87999999999859</v>
      </c>
    </row>
    <row r="1597" spans="1:14" x14ac:dyDescent="0.3">
      <c r="A1597" s="5">
        <v>7.9249999999999003</v>
      </c>
      <c r="B1597" s="5">
        <f t="shared" si="48"/>
        <v>110.94999999999861</v>
      </c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>
        <f>0.000001*('Design Worksheet_BAT'!B$88)*(B1597-B1596)/E$232+M1596</f>
        <v>3.7016149854531184E-4</v>
      </c>
      <c r="N1597" s="5">
        <f t="shared" si="47"/>
        <v>110.94999999999861</v>
      </c>
    </row>
    <row r="1598" spans="1:14" x14ac:dyDescent="0.3">
      <c r="A1598" s="5">
        <v>7.9299999999999002</v>
      </c>
      <c r="B1598" s="5">
        <f t="shared" si="48"/>
        <v>111.0199999999986</v>
      </c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>
        <f>0.000001*('Design Worksheet_BAT'!B$88)*(B1598-B1597)/E$232+M1597</f>
        <v>3.7036270627478042E-4</v>
      </c>
      <c r="N1598" s="5">
        <f t="shared" si="47"/>
        <v>111.0199999999986</v>
      </c>
    </row>
    <row r="1599" spans="1:14" x14ac:dyDescent="0.3">
      <c r="A1599" s="5">
        <v>7.9349999999999001</v>
      </c>
      <c r="B1599" s="5">
        <f t="shared" si="48"/>
        <v>111.0899999999986</v>
      </c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>
        <f>0.000001*('Design Worksheet_BAT'!B$88)*(B1599-B1598)/E$232+M1598</f>
        <v>3.7056391400424899E-4</v>
      </c>
      <c r="N1599" s="5">
        <f t="shared" si="47"/>
        <v>111.0899999999986</v>
      </c>
    </row>
    <row r="1600" spans="1:14" x14ac:dyDescent="0.3">
      <c r="A1600" s="5">
        <v>7.9399999999999</v>
      </c>
      <c r="B1600" s="5">
        <f t="shared" si="48"/>
        <v>111.1599999999986</v>
      </c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>
        <f>0.000001*('Design Worksheet_BAT'!B$88)*(B1600-B1599)/E$232+M1599</f>
        <v>3.7076512173371762E-4</v>
      </c>
      <c r="N1600" s="5">
        <f t="shared" si="47"/>
        <v>111.1599999999986</v>
      </c>
    </row>
    <row r="1601" spans="1:14" x14ac:dyDescent="0.3">
      <c r="A1601" s="5">
        <v>7.9449999999998999</v>
      </c>
      <c r="B1601" s="5">
        <f t="shared" si="48"/>
        <v>111.2299999999986</v>
      </c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>
        <f>0.000001*('Design Worksheet_BAT'!B$88)*(B1601-B1600)/E$232+M1600</f>
        <v>3.709663294631862E-4</v>
      </c>
      <c r="N1601" s="5">
        <f t="shared" si="47"/>
        <v>111.2299999999986</v>
      </c>
    </row>
    <row r="1602" spans="1:14" x14ac:dyDescent="0.3">
      <c r="A1602" s="5">
        <v>7.9499999999998998</v>
      </c>
      <c r="B1602" s="5">
        <f t="shared" si="48"/>
        <v>111.29999999999859</v>
      </c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>
        <f>0.000001*('Design Worksheet_BAT'!B$88)*(B1602-B1601)/E$232+M1601</f>
        <v>3.7116753719265477E-4</v>
      </c>
      <c r="N1602" s="5">
        <f t="shared" si="47"/>
        <v>111.29999999999859</v>
      </c>
    </row>
    <row r="1603" spans="1:14" x14ac:dyDescent="0.3">
      <c r="A1603" s="5">
        <v>7.9549999999998997</v>
      </c>
      <c r="B1603" s="5">
        <f t="shared" si="48"/>
        <v>111.3699999999986</v>
      </c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>
        <f>0.000001*('Design Worksheet_BAT'!B$88)*(B1603-B1602)/E$232+M1602</f>
        <v>3.713687449221234E-4</v>
      </c>
      <c r="N1603" s="5">
        <f t="shared" si="47"/>
        <v>111.3699999999986</v>
      </c>
    </row>
    <row r="1604" spans="1:14" x14ac:dyDescent="0.3">
      <c r="A1604" s="5">
        <v>7.9599999999998996</v>
      </c>
      <c r="B1604" s="5">
        <f t="shared" si="48"/>
        <v>111.43999999999859</v>
      </c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>
        <f>0.000001*('Design Worksheet_BAT'!B$88)*(B1604-B1603)/E$232+M1603</f>
        <v>3.7156995265159198E-4</v>
      </c>
      <c r="N1604" s="5">
        <f t="shared" si="47"/>
        <v>111.43999999999859</v>
      </c>
    </row>
    <row r="1605" spans="1:14" x14ac:dyDescent="0.3">
      <c r="A1605" s="5">
        <v>7.9649999999998897</v>
      </c>
      <c r="B1605" s="5">
        <f t="shared" si="48"/>
        <v>111.50999999999846</v>
      </c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>
        <f>0.000001*('Design Worksheet_BAT'!B$88)*(B1605-B1604)/E$232+M1604</f>
        <v>3.7177116038106017E-4</v>
      </c>
      <c r="N1605" s="5">
        <f t="shared" si="47"/>
        <v>111.50999999999846</v>
      </c>
    </row>
    <row r="1606" spans="1:14" x14ac:dyDescent="0.3">
      <c r="A1606" s="5">
        <v>7.9699999999998896</v>
      </c>
      <c r="B1606" s="5">
        <f t="shared" si="48"/>
        <v>111.57999999999845</v>
      </c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>
        <f>0.000001*('Design Worksheet_BAT'!B$88)*(B1606-B1605)/E$232+M1605</f>
        <v>3.7197236811052875E-4</v>
      </c>
      <c r="N1606" s="5">
        <f t="shared" si="47"/>
        <v>111.57999999999845</v>
      </c>
    </row>
    <row r="1607" spans="1:14" x14ac:dyDescent="0.3">
      <c r="A1607" s="5">
        <v>7.9749999999998904</v>
      </c>
      <c r="B1607" s="5">
        <f t="shared" si="48"/>
        <v>111.64999999999847</v>
      </c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>
        <f>0.000001*('Design Worksheet_BAT'!B$88)*(B1607-B1606)/E$232+M1606</f>
        <v>3.7217357583999743E-4</v>
      </c>
      <c r="N1607" s="5">
        <f t="shared" si="47"/>
        <v>111.64999999999847</v>
      </c>
    </row>
    <row r="1608" spans="1:14" x14ac:dyDescent="0.3">
      <c r="A1608" s="5">
        <v>7.9799999999998903</v>
      </c>
      <c r="B1608" s="5">
        <f t="shared" si="48"/>
        <v>111.71999999999846</v>
      </c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>
        <f>0.000001*('Design Worksheet_BAT'!B$88)*(B1608-B1607)/E$232+M1607</f>
        <v>3.7237478356946601E-4</v>
      </c>
      <c r="N1608" s="5">
        <f t="shared" si="47"/>
        <v>111.71999999999846</v>
      </c>
    </row>
    <row r="1609" spans="1:14" x14ac:dyDescent="0.3">
      <c r="A1609" s="5">
        <v>7.9849999999998902</v>
      </c>
      <c r="B1609" s="5">
        <f t="shared" si="48"/>
        <v>111.78999999999846</v>
      </c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>
        <f>0.000001*('Design Worksheet_BAT'!B$88)*(B1609-B1608)/E$232+M1608</f>
        <v>3.7257599129893458E-4</v>
      </c>
      <c r="N1609" s="5">
        <f t="shared" si="47"/>
        <v>111.78999999999846</v>
      </c>
    </row>
    <row r="1610" spans="1:14" x14ac:dyDescent="0.3">
      <c r="A1610" s="5">
        <v>7.9899999999998901</v>
      </c>
      <c r="B1610" s="5">
        <f t="shared" si="48"/>
        <v>111.85999999999846</v>
      </c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>
        <f>0.000001*('Design Worksheet_BAT'!B$88)*(B1610-B1609)/E$232+M1609</f>
        <v>3.7277719902840321E-4</v>
      </c>
      <c r="N1610" s="5">
        <f t="shared" si="47"/>
        <v>111.85999999999846</v>
      </c>
    </row>
    <row r="1611" spans="1:14" x14ac:dyDescent="0.3">
      <c r="A1611" s="5">
        <v>7.99499999999989</v>
      </c>
      <c r="B1611" s="5">
        <f t="shared" si="48"/>
        <v>111.92999999999846</v>
      </c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>
        <f>0.000001*('Design Worksheet_BAT'!B$88)*(B1611-B1610)/E$232+M1610</f>
        <v>3.7297840675787179E-4</v>
      </c>
      <c r="N1611" s="5">
        <f t="shared" si="47"/>
        <v>111.92999999999846</v>
      </c>
    </row>
    <row r="1612" spans="1:14" x14ac:dyDescent="0.3">
      <c r="A1612" s="5">
        <v>7.9999999999998899</v>
      </c>
      <c r="B1612" s="5">
        <f t="shared" si="48"/>
        <v>111.99999999999847</v>
      </c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>
        <f>0.000001*('Design Worksheet_BAT'!B$88)*(B1612-B1611)/E$232+M1611</f>
        <v>3.7317961448734042E-4</v>
      </c>
      <c r="N1612" s="5">
        <f t="shared" si="47"/>
        <v>111.99999999999847</v>
      </c>
    </row>
    <row r="1613" spans="1:14" x14ac:dyDescent="0.3">
      <c r="A1613" s="5">
        <v>8.0049999999998906</v>
      </c>
      <c r="B1613" s="5">
        <f t="shared" si="48"/>
        <v>112.06999999999847</v>
      </c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>
        <f>0.000001*('Design Worksheet_BAT'!B$88)*(B1613-B1612)/E$232+M1612</f>
        <v>3.7338082221680905E-4</v>
      </c>
      <c r="N1613" s="5">
        <f t="shared" si="47"/>
        <v>112.06999999999847</v>
      </c>
    </row>
    <row r="1614" spans="1:14" x14ac:dyDescent="0.3">
      <c r="A1614" s="5">
        <v>8.0099999999998897</v>
      </c>
      <c r="B1614" s="5">
        <f t="shared" si="48"/>
        <v>112.13999999999845</v>
      </c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>
        <f>0.000001*('Design Worksheet_BAT'!B$88)*(B1614-B1613)/E$232+M1613</f>
        <v>3.7358202994627757E-4</v>
      </c>
      <c r="N1614" s="5">
        <f t="shared" si="47"/>
        <v>112.13999999999845</v>
      </c>
    </row>
    <row r="1615" spans="1:14" x14ac:dyDescent="0.3">
      <c r="A1615" s="5">
        <v>8.0149999999998904</v>
      </c>
      <c r="B1615" s="5">
        <f t="shared" si="48"/>
        <v>112.20999999999847</v>
      </c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>
        <f>0.000001*('Design Worksheet_BAT'!B$88)*(B1615-B1614)/E$232+M1614</f>
        <v>3.7378323767574625E-4</v>
      </c>
      <c r="N1615" s="5">
        <f t="shared" si="47"/>
        <v>112.20999999999847</v>
      </c>
    </row>
    <row r="1616" spans="1:14" x14ac:dyDescent="0.3">
      <c r="A1616" s="5">
        <v>8.0199999999998894</v>
      </c>
      <c r="B1616" s="5">
        <f t="shared" si="48"/>
        <v>112.27999999999845</v>
      </c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>
        <f>0.000001*('Design Worksheet_BAT'!B$88)*(B1616-B1615)/E$232+M1615</f>
        <v>3.7398444540521477E-4</v>
      </c>
      <c r="N1616" s="5">
        <f t="shared" si="47"/>
        <v>112.27999999999845</v>
      </c>
    </row>
    <row r="1617" spans="1:14" x14ac:dyDescent="0.3">
      <c r="A1617" s="5">
        <v>8.0249999999998902</v>
      </c>
      <c r="B1617" s="5">
        <f t="shared" si="48"/>
        <v>112.34999999999846</v>
      </c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>
        <f>0.000001*('Design Worksheet_BAT'!B$88)*(B1617-B1616)/E$232+M1616</f>
        <v>3.741856531346834E-4</v>
      </c>
      <c r="N1617" s="5">
        <f t="shared" si="47"/>
        <v>112.34999999999846</v>
      </c>
    </row>
    <row r="1618" spans="1:14" x14ac:dyDescent="0.3">
      <c r="A1618" s="5">
        <v>8.0299999999998892</v>
      </c>
      <c r="B1618" s="5">
        <f t="shared" si="48"/>
        <v>112.41999999999845</v>
      </c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>
        <f>0.000001*('Design Worksheet_BAT'!B$88)*(B1618-B1617)/E$232+M1617</f>
        <v>3.7438686086415198E-4</v>
      </c>
      <c r="N1618" s="5">
        <f t="shared" si="47"/>
        <v>112.41999999999845</v>
      </c>
    </row>
    <row r="1619" spans="1:14" x14ac:dyDescent="0.3">
      <c r="A1619" s="5">
        <v>8.03499999999989</v>
      </c>
      <c r="B1619" s="5">
        <f t="shared" si="48"/>
        <v>112.48999999999846</v>
      </c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>
        <f>0.000001*('Design Worksheet_BAT'!B$88)*(B1619-B1618)/E$232+M1618</f>
        <v>3.7458806859362061E-4</v>
      </c>
      <c r="N1619" s="5">
        <f t="shared" si="47"/>
        <v>112.48999999999846</v>
      </c>
    </row>
    <row r="1620" spans="1:14" x14ac:dyDescent="0.3">
      <c r="A1620" s="5">
        <v>8.0399999999998908</v>
      </c>
      <c r="B1620" s="5">
        <f t="shared" si="48"/>
        <v>112.55999999999847</v>
      </c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>
        <f>0.000001*('Design Worksheet_BAT'!B$88)*(B1620-B1619)/E$232+M1619</f>
        <v>3.7478927632308924E-4</v>
      </c>
      <c r="N1620" s="5">
        <f t="shared" si="47"/>
        <v>112.55999999999847</v>
      </c>
    </row>
    <row r="1621" spans="1:14" x14ac:dyDescent="0.3">
      <c r="A1621" s="5">
        <v>8.0449999999998898</v>
      </c>
      <c r="B1621" s="5">
        <f t="shared" si="48"/>
        <v>112.62999999999846</v>
      </c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>
        <f>0.000001*('Design Worksheet_BAT'!B$88)*(B1621-B1620)/E$232+M1620</f>
        <v>3.7499048405255782E-4</v>
      </c>
      <c r="N1621" s="5">
        <f t="shared" si="47"/>
        <v>112.62999999999846</v>
      </c>
    </row>
    <row r="1622" spans="1:14" x14ac:dyDescent="0.3">
      <c r="A1622" s="5">
        <v>8.0499999999998906</v>
      </c>
      <c r="B1622" s="5">
        <f t="shared" si="48"/>
        <v>112.69999999999847</v>
      </c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>
        <f>0.000001*('Design Worksheet_BAT'!B$88)*(B1622-B1621)/E$232+M1621</f>
        <v>3.7519169178202644E-4</v>
      </c>
      <c r="N1622" s="5">
        <f t="shared" si="47"/>
        <v>112.69999999999847</v>
      </c>
    </row>
    <row r="1623" spans="1:14" x14ac:dyDescent="0.3">
      <c r="A1623" s="5">
        <v>8.0549999999998896</v>
      </c>
      <c r="B1623" s="5">
        <f t="shared" si="48"/>
        <v>112.76999999999845</v>
      </c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>
        <f>0.000001*('Design Worksheet_BAT'!B$88)*(B1623-B1622)/E$232+M1622</f>
        <v>3.7539289951149497E-4</v>
      </c>
      <c r="N1623" s="5">
        <f t="shared" si="47"/>
        <v>112.76999999999845</v>
      </c>
    </row>
    <row r="1624" spans="1:14" x14ac:dyDescent="0.3">
      <c r="A1624" s="5">
        <v>8.0599999999998904</v>
      </c>
      <c r="B1624" s="5">
        <f t="shared" si="48"/>
        <v>112.83999999999847</v>
      </c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>
        <f>0.000001*('Design Worksheet_BAT'!B$88)*(B1624-B1623)/E$232+M1623</f>
        <v>3.7559410724096365E-4</v>
      </c>
      <c r="N1624" s="5">
        <f t="shared" si="47"/>
        <v>112.83999999999847</v>
      </c>
    </row>
    <row r="1625" spans="1:14" x14ac:dyDescent="0.3">
      <c r="A1625" s="5">
        <v>8.0649999999998894</v>
      </c>
      <c r="B1625" s="5">
        <f t="shared" si="48"/>
        <v>112.90999999999845</v>
      </c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>
        <f>0.000001*('Design Worksheet_BAT'!B$88)*(B1625-B1624)/E$232+M1624</f>
        <v>3.7579531497043217E-4</v>
      </c>
      <c r="N1625" s="5">
        <f t="shared" si="47"/>
        <v>112.90999999999845</v>
      </c>
    </row>
    <row r="1626" spans="1:14" x14ac:dyDescent="0.3">
      <c r="A1626" s="5">
        <v>8.0699999999998902</v>
      </c>
      <c r="B1626" s="5">
        <f t="shared" si="48"/>
        <v>112.97999999999845</v>
      </c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>
        <f>0.000001*('Design Worksheet_BAT'!B$88)*(B1626-B1625)/E$232+M1625</f>
        <v>3.759965226999008E-4</v>
      </c>
      <c r="N1626" s="5">
        <f t="shared" si="47"/>
        <v>112.97999999999845</v>
      </c>
    </row>
    <row r="1627" spans="1:14" x14ac:dyDescent="0.3">
      <c r="A1627" s="5">
        <v>8.0749999999998892</v>
      </c>
      <c r="B1627" s="5">
        <f t="shared" si="48"/>
        <v>113.04999999999845</v>
      </c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>
        <f>0.000001*('Design Worksheet_BAT'!B$88)*(B1627-B1626)/E$232+M1626</f>
        <v>3.7619773042936938E-4</v>
      </c>
      <c r="N1627" s="5">
        <f t="shared" si="47"/>
        <v>113.04999999999845</v>
      </c>
    </row>
    <row r="1628" spans="1:14" x14ac:dyDescent="0.3">
      <c r="A1628" s="5">
        <v>8.0799999999998899</v>
      </c>
      <c r="B1628" s="5">
        <f t="shared" si="48"/>
        <v>113.11999999999846</v>
      </c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>
        <f>0.000001*('Design Worksheet_BAT'!B$88)*(B1628-B1627)/E$232+M1627</f>
        <v>3.7639893815883801E-4</v>
      </c>
      <c r="N1628" s="5">
        <f t="shared" si="47"/>
        <v>113.11999999999846</v>
      </c>
    </row>
    <row r="1629" spans="1:14" x14ac:dyDescent="0.3">
      <c r="A1629" s="5">
        <v>8.0849999999998907</v>
      </c>
      <c r="B1629" s="5">
        <f t="shared" si="48"/>
        <v>113.18999999999846</v>
      </c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>
        <f>0.000001*('Design Worksheet_BAT'!B$88)*(B1629-B1628)/E$232+M1628</f>
        <v>3.7660014588830664E-4</v>
      </c>
      <c r="N1629" s="5">
        <f t="shared" si="47"/>
        <v>113.18999999999846</v>
      </c>
    </row>
    <row r="1630" spans="1:14" x14ac:dyDescent="0.3">
      <c r="A1630" s="5">
        <v>8.0899999999998897</v>
      </c>
      <c r="B1630" s="5">
        <f t="shared" si="48"/>
        <v>113.25999999999846</v>
      </c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>
        <f>0.000001*('Design Worksheet_BAT'!B$88)*(B1630-B1629)/E$232+M1629</f>
        <v>3.7680135361777521E-4</v>
      </c>
      <c r="N1630" s="5">
        <f t="shared" si="47"/>
        <v>113.25999999999846</v>
      </c>
    </row>
    <row r="1631" spans="1:14" x14ac:dyDescent="0.3">
      <c r="A1631" s="5">
        <v>8.0949999999998905</v>
      </c>
      <c r="B1631" s="5">
        <f t="shared" si="48"/>
        <v>113.32999999999846</v>
      </c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>
        <f>0.000001*('Design Worksheet_BAT'!B$88)*(B1631-B1630)/E$232+M1630</f>
        <v>3.7700256134724384E-4</v>
      </c>
      <c r="N1631" s="5">
        <f t="shared" si="47"/>
        <v>113.32999999999846</v>
      </c>
    </row>
    <row r="1632" spans="1:14" x14ac:dyDescent="0.3">
      <c r="A1632" s="5">
        <v>8.0999999999998895</v>
      </c>
      <c r="B1632" s="5">
        <f t="shared" si="48"/>
        <v>113.39999999999846</v>
      </c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>
        <f>0.000001*('Design Worksheet_BAT'!B$88)*(B1632-B1631)/E$232+M1631</f>
        <v>3.7720376907671242E-4</v>
      </c>
      <c r="N1632" s="5">
        <f t="shared" si="47"/>
        <v>113.39999999999846</v>
      </c>
    </row>
    <row r="1633" spans="1:14" x14ac:dyDescent="0.3">
      <c r="A1633" s="5">
        <v>8.1049999999998903</v>
      </c>
      <c r="B1633" s="5">
        <f t="shared" si="48"/>
        <v>113.46999999999846</v>
      </c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>
        <f>0.000001*('Design Worksheet_BAT'!B$88)*(B1633-B1632)/E$232+M1632</f>
        <v>3.7740497680618105E-4</v>
      </c>
      <c r="N1633" s="5">
        <f t="shared" si="47"/>
        <v>113.46999999999846</v>
      </c>
    </row>
    <row r="1634" spans="1:14" x14ac:dyDescent="0.3">
      <c r="A1634" s="5">
        <v>8.1099999999998893</v>
      </c>
      <c r="B1634" s="5">
        <f t="shared" si="48"/>
        <v>113.53999999999846</v>
      </c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>
        <f>0.000001*('Design Worksheet_BAT'!B$88)*(B1634-B1633)/E$232+M1633</f>
        <v>3.7760618453564962E-4</v>
      </c>
      <c r="N1634" s="5">
        <f t="shared" si="47"/>
        <v>113.53999999999846</v>
      </c>
    </row>
    <row r="1635" spans="1:14" x14ac:dyDescent="0.3">
      <c r="A1635" s="5">
        <v>8.1149999999998901</v>
      </c>
      <c r="B1635" s="5">
        <f t="shared" si="48"/>
        <v>113.60999999999846</v>
      </c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>
        <f>0.000001*('Design Worksheet_BAT'!B$88)*(B1635-B1634)/E$232+M1634</f>
        <v>3.7780739226511825E-4</v>
      </c>
      <c r="N1635" s="5">
        <f t="shared" si="47"/>
        <v>113.60999999999846</v>
      </c>
    </row>
    <row r="1636" spans="1:14" x14ac:dyDescent="0.3">
      <c r="A1636" s="5">
        <v>8.1199999999998909</v>
      </c>
      <c r="B1636" s="5">
        <f t="shared" si="48"/>
        <v>113.67999999999847</v>
      </c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>
        <f>0.000001*('Design Worksheet_BAT'!B$88)*(B1636-B1635)/E$232+M1635</f>
        <v>3.7800859999458688E-4</v>
      </c>
      <c r="N1636" s="5">
        <f t="shared" si="47"/>
        <v>113.67999999999847</v>
      </c>
    </row>
    <row r="1637" spans="1:14" x14ac:dyDescent="0.3">
      <c r="A1637" s="5">
        <v>8.1249999999998899</v>
      </c>
      <c r="B1637" s="5">
        <f t="shared" si="48"/>
        <v>113.74999999999847</v>
      </c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>
        <f>0.000001*('Design Worksheet_BAT'!B$88)*(B1637-B1636)/E$232+M1636</f>
        <v>3.7820980772405546E-4</v>
      </c>
      <c r="N1637" s="5">
        <f t="shared" si="47"/>
        <v>113.74999999999847</v>
      </c>
    </row>
    <row r="1638" spans="1:14" x14ac:dyDescent="0.3">
      <c r="A1638" s="5">
        <v>8.1299999999998906</v>
      </c>
      <c r="B1638" s="5">
        <f t="shared" si="48"/>
        <v>113.81999999999847</v>
      </c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>
        <f>0.000001*('Design Worksheet_BAT'!B$88)*(B1638-B1637)/E$232+M1637</f>
        <v>3.7841101545352409E-4</v>
      </c>
      <c r="N1638" s="5">
        <f t="shared" si="47"/>
        <v>113.81999999999847</v>
      </c>
    </row>
    <row r="1639" spans="1:14" x14ac:dyDescent="0.3">
      <c r="A1639" s="5">
        <v>8.1349999999998897</v>
      </c>
      <c r="B1639" s="5">
        <f t="shared" si="48"/>
        <v>113.88999999999845</v>
      </c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>
        <f>0.000001*('Design Worksheet_BAT'!B$88)*(B1639-B1638)/E$232+M1638</f>
        <v>3.7861222318299261E-4</v>
      </c>
      <c r="N1639" s="5">
        <f t="shared" si="47"/>
        <v>113.88999999999845</v>
      </c>
    </row>
    <row r="1640" spans="1:14" x14ac:dyDescent="0.3">
      <c r="A1640" s="5">
        <v>8.1399999999998904</v>
      </c>
      <c r="B1640" s="5">
        <f t="shared" si="48"/>
        <v>113.95999999999847</v>
      </c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>
        <f>0.000001*('Design Worksheet_BAT'!B$88)*(B1640-B1639)/E$232+M1639</f>
        <v>3.7881343091246129E-4</v>
      </c>
      <c r="N1640" s="5">
        <f>B1640</f>
        <v>113.95999999999847</v>
      </c>
    </row>
    <row r="1641" spans="1:14" x14ac:dyDescent="0.3">
      <c r="A1641" s="5">
        <v>8.1449999999998894</v>
      </c>
      <c r="B1641" s="5">
        <f>A1641*VOFLB</f>
        <v>114.02999999999845</v>
      </c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>
        <f>0.000001*('Design Worksheet_BAT'!B$88)*(B1641-B1640)/E$232+M1640</f>
        <v>3.7901463864192981E-4</v>
      </c>
      <c r="N1641" s="5">
        <f>B1641</f>
        <v>114.02999999999845</v>
      </c>
    </row>
    <row r="1642" spans="1:14" x14ac:dyDescent="0.3">
      <c r="A1642" s="5">
        <v>8.1499999999998902</v>
      </c>
      <c r="B1642" s="5">
        <f>A1642*VOFLB</f>
        <v>114.09999999999846</v>
      </c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>
        <f>0.000001*('Design Worksheet_BAT'!B$88)*(B1642-B1641)/E$232+M1641</f>
        <v>3.7921584637139844E-4</v>
      </c>
      <c r="N1642" s="5">
        <f>B1642</f>
        <v>114.09999999999846</v>
      </c>
    </row>
  </sheetData>
  <sheetProtection algorithmName="SHA-512" hashValue="rUSPGcx7JXZHO2Q1V67ldXXHlsX/NnOgT5Jge6CtKUnRyCs/vpWgIx0fxVI2wQh75iQjhFyiSg0qpAvJBD7qcg==" saltValue="tc9W5NtVbfVenaMOaaFJlQ==" spinCount="100000" sheet="1" objects="1" scenarios="1"/>
  <phoneticPr fontId="3" type="noConversion"/>
  <pageMargins left="0.75" right="0.75" top="1" bottom="1" header="0.5" footer="0.5"/>
  <headerFooter alignWithMargins="0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z_Deploy xmlns="0c518340-14d9-46e5-9e41-e3950e13e43d">false</z_Deploy>
    <IconOverlay xmlns="http://schemas.microsoft.com/sharepoint/v4" xsi:nil="true"/>
  </documentManagement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0AEBCAAAF75C4FA9774A32EB8F6C27" ma:contentTypeVersion="6" ma:contentTypeDescription="Create a new document." ma:contentTypeScope="" ma:versionID="86fdccbc1553393ab99af59ffa0849c6">
  <xsd:schema xmlns:xsd="http://www.w3.org/2001/XMLSchema" xmlns:xs="http://www.w3.org/2001/XMLSchema" xmlns:p="http://schemas.microsoft.com/office/2006/metadata/properties" xmlns:ns2="0c518340-14d9-46e5-9e41-e3950e13e43d" xmlns:ns3="http://schemas.microsoft.com/sharepoint/v4" targetNamespace="http://schemas.microsoft.com/office/2006/metadata/properties" ma:root="true" ma:fieldsID="8e8656ab5396b181def4055ca4ccf03b" ns2:_="" ns3:_="">
    <xsd:import namespace="0c518340-14d9-46e5-9e41-e3950e13e43d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z_Deploy" minOccurs="0"/>
                <xsd:element ref="ns3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518340-14d9-46e5-9e41-e3950e13e43d" elementFormDefault="qualified">
    <xsd:import namespace="http://schemas.microsoft.com/office/2006/documentManagement/types"/>
    <xsd:import namespace="http://schemas.microsoft.com/office/infopath/2007/PartnerControls"/>
    <xsd:element name="z_Deploy" ma:index="8" nillable="true" ma:displayName="z_Deploy" ma:default="0" ma:description="Ready for Deployment" ma:internalName="z_Deploy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9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4" ma:displayName="Content Type"/>
        <xsd:element ref="dc:title" minOccurs="0" maxOccurs="1" ma:index="1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C802F9E-7E62-4F92-A7DD-FDA370E78512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12F52F86-704C-4A2B-88B2-C4F836C7C7F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862BD0C-D523-446A-A51F-36AF1BCA8046}">
  <ds:schemaRefs>
    <ds:schemaRef ds:uri="http://schemas.microsoft.com/office/2006/metadata/properties"/>
    <ds:schemaRef ds:uri="http://schemas.microsoft.com/office/infopath/2007/PartnerControls"/>
    <ds:schemaRef ds:uri="0c518340-14d9-46e5-9e41-e3950e13e43d"/>
    <ds:schemaRef ds:uri="http://schemas.microsoft.com/sharepoint/v4"/>
  </ds:schemaRefs>
</ds:datastoreItem>
</file>

<file path=customXml/itemProps4.xml><?xml version="1.0" encoding="utf-8"?>
<ds:datastoreItem xmlns:ds="http://schemas.openxmlformats.org/officeDocument/2006/customXml" ds:itemID="{E5476423-0BAC-47E2-9BCE-43969226488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518340-14d9-46e5-9e41-e3950e13e43d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114</vt:i4>
      </vt:variant>
    </vt:vector>
  </HeadingPairs>
  <TitlesOfParts>
    <vt:vector size="115" baseType="lpstr">
      <vt:lpstr>Design Worksheet_BAT</vt:lpstr>
      <vt:lpstr>ActR1</vt:lpstr>
      <vt:lpstr>ActR2</vt:lpstr>
      <vt:lpstr>ActR4</vt:lpstr>
      <vt:lpstr>ActR7</vt:lpstr>
      <vt:lpstr>ActR7_sw</vt:lpstr>
      <vt:lpstr>ActR8</vt:lpstr>
      <vt:lpstr>ActR9_sw</vt:lpstr>
      <vt:lpstr>CapTol</vt:lpstr>
      <vt:lpstr>CSTol</vt:lpstr>
      <vt:lpstr>FB</vt:lpstr>
      <vt:lpstr>Fbinact</vt:lpstr>
      <vt:lpstr>Fbinactmax</vt:lpstr>
      <vt:lpstr>Fbinactmin</vt:lpstr>
      <vt:lpstr>Fbmax</vt:lpstr>
      <vt:lpstr>Fbmin</vt:lpstr>
      <vt:lpstr>Gain</vt:lpstr>
      <vt:lpstr>IGATEDN</vt:lpstr>
      <vt:lpstr>IGATEDNmax</vt:lpstr>
      <vt:lpstr>IGATEDNmin</vt:lpstr>
      <vt:lpstr>IGATEUP</vt:lpstr>
      <vt:lpstr>IGATEUPFLT</vt:lpstr>
      <vt:lpstr>IGATEUPFLTmax</vt:lpstr>
      <vt:lpstr>IGATEUPFLTmin</vt:lpstr>
      <vt:lpstr>IGATEUPmax</vt:lpstr>
      <vt:lpstr>IGATEUPmin</vt:lpstr>
      <vt:lpstr>IPOR</vt:lpstr>
      <vt:lpstr>IPORmax</vt:lpstr>
      <vt:lpstr>IPORmin</vt:lpstr>
      <vt:lpstr>IRPFG</vt:lpstr>
      <vt:lpstr>IRPFGmax</vt:lpstr>
      <vt:lpstr>IRPFGmin</vt:lpstr>
      <vt:lpstr>Isense</vt:lpstr>
      <vt:lpstr>Isensemax</vt:lpstr>
      <vt:lpstr>Isensemin</vt:lpstr>
      <vt:lpstr>Ov</vt:lpstr>
      <vt:lpstr>Ovhyst</vt:lpstr>
      <vt:lpstr>Ovhystmax</vt:lpstr>
      <vt:lpstr>Ovhystmin</vt:lpstr>
      <vt:lpstr>Ovmax</vt:lpstr>
      <vt:lpstr>Ovmin</vt:lpstr>
      <vt:lpstr>PGHyst</vt:lpstr>
      <vt:lpstr>PGHystmax</vt:lpstr>
      <vt:lpstr>PGHystmin</vt:lpstr>
      <vt:lpstr>ResTol</vt:lpstr>
      <vt:lpstr>revLink</vt:lpstr>
      <vt:lpstr>revName</vt:lpstr>
      <vt:lpstr>revText</vt:lpstr>
      <vt:lpstr>revTool</vt:lpstr>
      <vt:lpstr>Set_OC</vt:lpstr>
      <vt:lpstr>Set_OV</vt:lpstr>
      <vt:lpstr>Set_R3</vt:lpstr>
      <vt:lpstr>Set_R5</vt:lpstr>
      <vt:lpstr>Set_R8</vt:lpstr>
      <vt:lpstr>Set_R9</vt:lpstr>
      <vt:lpstr>Set_Rs</vt:lpstr>
      <vt:lpstr>Set_TimerOff</vt:lpstr>
      <vt:lpstr>Set_UV</vt:lpstr>
      <vt:lpstr>SOC</vt:lpstr>
      <vt:lpstr>SOCmax</vt:lpstr>
      <vt:lpstr>SOCmin</vt:lpstr>
      <vt:lpstr>Tamb</vt:lpstr>
      <vt:lpstr>ThetaJA</vt:lpstr>
      <vt:lpstr>TimeOffmax</vt:lpstr>
      <vt:lpstr>TimerOff</vt:lpstr>
      <vt:lpstr>TimerOffH</vt:lpstr>
      <vt:lpstr>TimerOffHmax</vt:lpstr>
      <vt:lpstr>TimerOffHmin</vt:lpstr>
      <vt:lpstr>TimerOffmin</vt:lpstr>
      <vt:lpstr>TimerUp</vt:lpstr>
      <vt:lpstr>TimerUpmax</vt:lpstr>
      <vt:lpstr>TimerUpmin</vt:lpstr>
      <vt:lpstr>Tinit</vt:lpstr>
      <vt:lpstr>TJmax</vt:lpstr>
      <vt:lpstr>UV</vt:lpstr>
      <vt:lpstr>Uvhyst</vt:lpstr>
      <vt:lpstr>Uvhystmax</vt:lpstr>
      <vt:lpstr>Uvhystmin</vt:lpstr>
      <vt:lpstr>UVLOfall</vt:lpstr>
      <vt:lpstr>UVLOhyst</vt:lpstr>
      <vt:lpstr>UVLOrise</vt:lpstr>
      <vt:lpstr>Uvmax</vt:lpstr>
      <vt:lpstr>Uvmin</vt:lpstr>
      <vt:lpstr>Vcap</vt:lpstr>
      <vt:lpstr>Vcapmax</vt:lpstr>
      <vt:lpstr>Vcapmin</vt:lpstr>
      <vt:lpstr>VCBOS</vt:lpstr>
      <vt:lpstr>VCBOSmax</vt:lpstr>
      <vt:lpstr>VCBOSmin</vt:lpstr>
      <vt:lpstr>VCLref</vt:lpstr>
      <vt:lpstr>Vgate</vt:lpstr>
      <vt:lpstr>Vgatemax</vt:lpstr>
      <vt:lpstr>Vgatemin</vt:lpstr>
      <vt:lpstr>VI</vt:lpstr>
      <vt:lpstr>VISET</vt:lpstr>
      <vt:lpstr>VISETmax</vt:lpstr>
      <vt:lpstr>VISETmin</vt:lpstr>
      <vt:lpstr>VOFLB</vt:lpstr>
      <vt:lpstr>VOPG</vt:lpstr>
      <vt:lpstr>Vout</vt:lpstr>
      <vt:lpstr>VPG</vt:lpstr>
      <vt:lpstr>VPGmax</vt:lpstr>
      <vt:lpstr>VPGmin</vt:lpstr>
      <vt:lpstr>VRPFG</vt:lpstr>
      <vt:lpstr>VRPFGmax</vt:lpstr>
      <vt:lpstr>VRPFGmin</vt:lpstr>
      <vt:lpstr>VsenseCL</vt:lpstr>
      <vt:lpstr>VsenseCLmax</vt:lpstr>
      <vt:lpstr>VsenseCLmin</vt:lpstr>
      <vt:lpstr>VtimeH</vt:lpstr>
      <vt:lpstr>VtimeHmax</vt:lpstr>
      <vt:lpstr>VtimeHmin</vt:lpstr>
      <vt:lpstr>VtimeL</vt:lpstr>
      <vt:lpstr>VtimeLmax</vt:lpstr>
      <vt:lpstr>VtimeLmin</vt:lpstr>
    </vt:vector>
  </TitlesOfParts>
  <Company>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ADM1270 Design Spreadsheet tool</dc:title>
  <dc:creator/>
  <cp:lastModifiedBy>Alain Aziz Kamal Aziz</cp:lastModifiedBy>
  <cp:lastPrinted>2025-11-10T09:08:21Z</cp:lastPrinted>
  <dcterms:created xsi:type="dcterms:W3CDTF">2013-10-01T16:08:54Z</dcterms:created>
  <dcterms:modified xsi:type="dcterms:W3CDTF">2026-01-15T09:29:33Z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0x0101004B0AEBCAAAF75C4FA9774A32EB8F6C27</vt:lpwstr>
  </property>
</Properties>
</file>